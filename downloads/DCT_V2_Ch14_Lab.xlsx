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eclarations" sheetId="2" state="visible" r:id="rId4"/>
    <sheet name="Grid" sheetId="3" state="visible" r:id="rId5"/>
    <sheet name="BestRule" sheetId="4" state="visible" r:id="rId6"/>
    <sheet name="Rules" sheetId="5" state="visible" r:id="rId7"/>
    <sheet name="Certify" sheetId="6" state="visible" r:id="rId8"/>
    <sheet name="QLearning" sheetId="7" state="visible" r:id="rId9"/>
    <sheet name="Bandit" sheetId="8" state="visible" r:id="rId10"/>
    <sheet name="Swings" sheetId="9" state="visible" r:id="rId11"/>
    <sheet name="Practice" sheetId="10" state="visible" r:id="rId12"/>
    <sheet name="Company" sheetId="11" state="visible" r:id="rId13"/>
    <sheet name="Table14_3" sheetId="12" state="visible" r:id="rId14"/>
    <sheet name="Examples" sheetId="13" state="visible" r:id="rId15"/>
    <sheet name="Reference_Values" sheetId="14" state="visible" r:id="rId16"/>
    <sheet name="Checks" sheetId="15" state="visible" r:id="rId17"/>
  </sheets>
  <definedNames>
    <definedName function="false" hidden="false" name="AdmBlock" vbProcedure="false">Grid!$C$5:$M$205</definedName>
    <definedName function="false" hidden="false" name="Alpha_keep" vbProcedure="false">Declarations!$B$7</definedName>
    <definedName function="false" hidden="false" name="Beta_q" vbProcedure="false">Declarations!$B$5</definedName>
    <definedName function="false" hidden="false" name="Cap_h" vbProcedure="false">Declarations!$B$9</definedName>
    <definedName function="false" hidden="false" name="Ch7_cost" vbProcedure="false">Declarations!$B$21</definedName>
    <definedName function="false" hidden="false" name="Cost_k" vbProcedure="false">Declarations!$B$8</definedName>
    <definedName function="false" hidden="false" name="Floor_c" vbProcedure="false">Declarations!$B$10</definedName>
    <definedName function="false" hidden="false" name="GuardBlock" vbProcedure="false">Grid!$N$5:$X$205</definedName>
    <definedName function="false" hidden="false" name="Hi_c" vbProcedure="false">Declarations!$B$13</definedName>
    <definedName function="false" hidden="false" name="Horizon_q" vbProcedure="false">Declarations!$B$6</definedName>
    <definedName function="false" hidden="false" name="Levels_n" vbProcedure="false">Declarations!$B$15</definedName>
    <definedName function="false" hidden="false" name="Loss_n" vbProcedure="false">Declarations!$C$25:$C$29</definedName>
    <definedName function="false" hidden="false" name="Loss_p" vbProcedure="false">Declarations!$B$25:$B$29</definedName>
    <definedName function="false" hidden="false" name="Loss_w" vbProcedure="false">Declarations!$A$25:$A$29</definedName>
    <definedName function="false" hidden="false" name="Lo_c" vbProcedure="false">Declarations!$B$12</definedName>
    <definedName function="false" hidden="false" name="Mean_w" vbProcedure="false">Declarations!$B$31</definedName>
    <definedName function="false" hidden="false" name="Rbar" vbProcedure="false">Declarations!$B$22</definedName>
    <definedName function="false" hidden="false" name="Short_p" vbProcedure="false">Declarations!$B$11</definedName>
    <definedName function="false" hidden="false" name="Start_c" vbProcedure="false">Declarations!$B$18</definedName>
    <definedName function="false" hidden="false" name="Step_c" vbProcedure="false">Declarations!$B$14</definedName>
    <definedName function="false" hidden="false" name="Step_h" vbProcedure="false">Declarations!$B$16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<sst xmlns="http://schemas.openxmlformats.org/spreadsheetml/2006/main" count="967" uniqueCount="678">
  <si>
    <t xml:space="preserve">DCT Laboratory — Vol II, Ch 14: Artificial Intelligence for Enterprise Optimization</t>
  </si>
  <si>
    <t xml:space="preserve">Seed 26214 · Companion to DCT_V2_Ch14_Lab.ipynb and AXIOM Lab 2.14 (module AXIOM-14). Money in $ million.</t>
  </si>
  <si>
    <t xml:space="preserve">Worked Example 14.1, Should Meridian Let an Agent Learn Its Hiring Rule?, with the book's declarations: Chapter 7's law and costs on the agent's quarter-point grid; the AI team's agent (tabular Q-learning, one random decision in ten, step 1/(1 + (1 - beta) n), untried decisions at zero); the board's guardrail; the audit committee's certification. Seeds as in Online Appendix Remark 14.B.1.</t>
  </si>
  <si>
    <t xml:space="preserve">Declarations: the costs, the discount, the swings and the record, the grid, the new declarations, the seeds.</t>
  </si>
  <si>
    <t xml:space="preserve">Grid: the 2,113 admissible decisions and the 1,152 inside the guardrail, by formula (AXIOM Lab 2.14, step 1).</t>
  </si>
  <si>
    <t xml:space="preserve">BestRule: one Bellman step on the engine's values of the best rule at all 201 levels: decision values, best hires, the residual, planned capability, the guardrail check; the rule's cost from 58 and its shape.</t>
  </si>
  <si>
    <t xml:space="preserve">Rules: Volume I's rule and the worst rules, by formula against the engine; their costs and excess.</t>
  </si>
  <si>
    <t xml:space="preserve">Certify: the ten learned rules' breaches of the guardrail at every capability (Step 6).</t>
  </si>
  <si>
    <t xml:space="preserve">QLearning: step sizes, Equation 14.2 for one trial, every agent's excess cost and the summaries, Theorem 14.1(ii)'s bound, and the greedy learners (Steps 2-3; Figure 14.1).</t>
  </si>
  <si>
    <t xml:space="preserve">Bandit: thirteen target rules, the regret decomposition, Theorem 14.2(iii)'s bound and the optimistic rule's index (Step 3; Figure 14.2(a)).</t>
  </si>
  <si>
    <t xml:space="preserve">Swings and Practice: simulators learned from records of swings and from a record kept under Volume I's rule, with Theorem 14.3's bounds, LINEST and the collinearity of hiring and capability (Step 4; Figure 14.3).</t>
  </si>
  <si>
    <t xml:space="preserve">Company: learning on the company with and without the guardrail (Step 5; Figure 14.2(b)). Table14_3: the Worked Example's table, linked to the sheets. Examples: the appendices' small examples.</t>
  </si>
  <si>
    <t xml:space="preserve">Engine values (green) are what needs simulation or iteration: the best rule's values, the learned rules and their exact costs, decade costs and trials, the records' rules, learning on the company.</t>
  </si>
  <si>
    <t xml:space="preserve">Reference_Values and Checks: the engine's numbers and a PASS/FAIL comparison with this workbook's formulas.</t>
  </si>
  <si>
    <t xml:space="preserve">LEGEND</t>
  </si>
  <si>
    <t xml:space="preserve">Input: blue on pale gold. A declaration from the book; change it to explore.</t>
  </si>
  <si>
    <t xml:space="preserve">Formula: black. Recalculates from the inputs.</t>
  </si>
  <si>
    <t xml:space="preserve">Engine value: green on pale green. Computed by the notebook's engine (the book's numbers); the Checks sheet compares the workbook's formulas with them.</t>
  </si>
  <si>
    <t xml:space="preserve">Cross-sheet link: green.</t>
  </si>
  <si>
    <t xml:space="preserve">Declarations (Worked Example 14.1, Step 1; Chapter 7's law and costs; the agent's grid; Online Appendix Remark 14.B.1). Money in $ million; capability in points.</t>
  </si>
  <si>
    <t xml:space="preserve">Quantity</t>
  </si>
  <si>
    <t xml:space="preserve">Value</t>
  </si>
  <si>
    <t xml:space="preserve">Source</t>
  </si>
  <si>
    <t xml:space="preserve">Discount rate a year</t>
  </si>
  <si>
    <t xml:space="preserve">The board's 10 percent</t>
  </si>
  <si>
    <t xml:space="preserve">Discount factor a quarter, beta</t>
  </si>
  <si>
    <t xml:space="preserve">beta = 1.1^(-1/4)</t>
  </si>
  <si>
    <t xml:space="preserve">Effective horizon 1/(1 - beta), quarters</t>
  </si>
  <si>
    <t xml:space="preserve">42 quarters (Section 14.2)</t>
  </si>
  <si>
    <t xml:space="preserve">Capability kept each quarter, alpha</t>
  </si>
  <si>
    <t xml:space="preserve">Chapter 7</t>
  </si>
  <si>
    <t xml:space="preserve">Cost of a point hired and trained, k</t>
  </si>
  <si>
    <t xml:space="preserve">$4 million a point</t>
  </si>
  <si>
    <t xml:space="preserve">Hiring cap a quarter (points)</t>
  </si>
  <si>
    <t xml:space="preserve">Capability floor</t>
  </si>
  <si>
    <t xml:space="preserve">Cost of a point-quarter short, p</t>
  </si>
  <si>
    <t xml:space="preserve">$1.6 million (Chapter 7)</t>
  </si>
  <si>
    <t xml:space="preserve">Lowest capability on the agent's grid</t>
  </si>
  <si>
    <t xml:space="preserve">Highest capability on the grid</t>
  </si>
  <si>
    <t xml:space="preserve">Grid step (points)</t>
  </si>
  <si>
    <t xml:space="preserve">The engineering office counts quarter-points</t>
  </si>
  <si>
    <t xml:space="preserve">Levels</t>
  </si>
  <si>
    <t xml:space="preserve">201</t>
  </si>
  <si>
    <t xml:space="preserve">Hire step (points)</t>
  </si>
  <si>
    <t xml:space="preserve">Human resources hires in quarter-points</t>
  </si>
  <si>
    <t xml:space="preserve">Hires a quarter may take</t>
  </si>
  <si>
    <t xml:space="preserve">0, 0.25, ..., 2.5</t>
  </si>
  <si>
    <t xml:space="preserve">Starting capability</t>
  </si>
  <si>
    <t xml:space="preserve">Every rule is priced from 58</t>
  </si>
  <si>
    <t xml:space="preserve">Chance of a random decision</t>
  </si>
  <si>
    <t xml:space="preserve">One time in ten</t>
  </si>
  <si>
    <t xml:space="preserve">Untried decisions start at</t>
  </si>
  <si>
    <t xml:space="preserve">The software's default</t>
  </si>
  <si>
    <t xml:space="preserve">Chapter 7's best rule, cost from 58 (0.05-point grid)</t>
  </si>
  <si>
    <t xml:space="preserve">Worked Example 7.1</t>
  </si>
  <si>
    <t xml:space="preserve">Range of a quarter's value, rbar = k x cap + p x (floor - lowest)</t>
  </si>
  <si>
    <t xml:space="preserve">From -50 (capability 30, hiring at the cap) to 0</t>
  </si>
  <si>
    <t xml:space="preserve">Swing w (points lost)</t>
  </si>
  <si>
    <t xml:space="preserve">Chance</t>
  </si>
  <si>
    <t xml:space="preserve">The record: count (40 quarters)</t>
  </si>
  <si>
    <t xml:space="preserve">The record: frequency</t>
  </si>
  <si>
    <t xml:space="preserve">Grid steps, w / step</t>
  </si>
  <si>
    <t xml:space="preserve">Total</t>
  </si>
  <si>
    <t xml:space="preserve">Mean swing</t>
  </si>
  <si>
    <t xml:space="preserve">Standard deviation of a swing</t>
  </si>
  <si>
    <t xml:space="preserve">c' = 0.975c + h - w; the next capability is placed on the grid by unbiased rounding: the upper neighbour with chance equal to its fractional position (Chapter 7's interpolation).</t>
  </si>
  <si>
    <t xml:space="preserve">New declarations (Chapter 14)</t>
  </si>
  <si>
    <t xml:space="preserve">The agent: tabular Q-learning (Equation 14.2), one random admissible decision in ten, step size 1/(1 + (1 - beta) n) after n trials of a pair, untried decisions at zero, ties to the smallest hire; it knows the costs and the discount, not the law of the swings.</t>
  </si>
  <si>
    <t xml:space="preserve">The board's guardrail: never plan below 55 unless hiring at the cap.</t>
  </si>
  <si>
    <t xml:space="preserve">The audit committee: adopt a learned rule only after exact evaluation under the declared model, with the guardrail checked at every capability.</t>
  </si>
  <si>
    <t xml:space="preserve">Seeds (Online Appendix Remark 14.B.1)</t>
  </si>
  <si>
    <t xml:space="preserve">Q-learning in the simulator: the first million quarters</t>
  </si>
  <si>
    <t xml:space="preserve">25 agents</t>
  </si>
  <si>
    <t xml:space="preserve">  the declared-step agents' second million</t>
  </si>
  <si>
    <t xml:space="preserve">10 agents</t>
  </si>
  <si>
    <t xml:space="preserve">Greedy learners</t>
  </si>
  <si>
    <t xml:space="preserve">20 agents, 100,000 quarters</t>
  </si>
  <si>
    <t xml:space="preserve">Bandit: pools of simulated decades</t>
  </si>
  <si>
    <t xml:space="preserve">50,000 decades a target</t>
  </si>
  <si>
    <t xml:space="preserve">Bandit: runs</t>
  </si>
  <si>
    <t xml:space="preserve">100 runs of 20,000 trials</t>
  </si>
  <si>
    <t xml:space="preserve">Learning on the company</t>
  </si>
  <si>
    <t xml:space="preserve">400 companies, with and without the guardrail</t>
  </si>
  <si>
    <t xml:space="preserve">Records of swings: 914000 + 1000 n + r</t>
  </si>
  <si>
    <t xml:space="preserve">n = 12, 40, 120; r = 0, ..., 199</t>
  </si>
  <si>
    <t xml:space="preserve">Records kept under Volume I's rule: 1414000 + r</t>
  </si>
  <si>
    <t xml:space="preserve">r = 0, ..., 199</t>
  </si>
  <si>
    <t xml:space="preserve">The lab's seed (new draws only)</t>
  </si>
  <si>
    <t xml:space="preserve">The optimizer's curse (notebook, Panel 6)</t>
  </si>
  <si>
    <t xml:space="preserve">The agent's grid: admissible decisions and the board's guardrail (Worked Example 14.1, Step 1; Definition 14.2; AXIOM Lab 2.14, step 1)</t>
  </si>
  <si>
    <t xml:space="preserve">A hire h at capability c is admissible when 0.975c + h - w stays within [30, 80] for every swing w; it is inside the guardrail when it plans at least 55, or hires at the cap where no admissible hire plans 55.</t>
  </si>
  <si>
    <t xml:space="preserve">hire h:</t>
  </si>
  <si>
    <t xml:space="preserve">Summary</t>
  </si>
  <si>
    <t xml:space="preserve">Capability c</t>
  </si>
  <si>
    <t xml:space="preserve">Can plan 55 (1 = yes)</t>
  </si>
  <si>
    <t xml:space="preserve">Admissible, h = 0</t>
  </si>
  <si>
    <t xml:space="preserve">Admissible, h = 0.25</t>
  </si>
  <si>
    <t xml:space="preserve">Admissible, h = 0.5</t>
  </si>
  <si>
    <t xml:space="preserve">Admissible, h = 0.75</t>
  </si>
  <si>
    <t xml:space="preserve">Admissible, h = 1</t>
  </si>
  <si>
    <t xml:space="preserve">Admissible, h = 1.25</t>
  </si>
  <si>
    <t xml:space="preserve">Admissible, h = 1.5</t>
  </si>
  <si>
    <t xml:space="preserve">Admissible, h = 1.75</t>
  </si>
  <si>
    <t xml:space="preserve">Admissible, h = 2</t>
  </si>
  <si>
    <t xml:space="preserve">Admissible, h = 2.25</t>
  </si>
  <si>
    <t xml:space="preserve">Admissible, h = 2.5</t>
  </si>
  <si>
    <t xml:space="preserve">Guarded, h = 0</t>
  </si>
  <si>
    <t xml:space="preserve">Guarded, h = 0.25</t>
  </si>
  <si>
    <t xml:space="preserve">Guarded, h = 0.5</t>
  </si>
  <si>
    <t xml:space="preserve">Guarded, h = 0.75</t>
  </si>
  <si>
    <t xml:space="preserve">Guarded, h = 1</t>
  </si>
  <si>
    <t xml:space="preserve">Guarded, h = 1.25</t>
  </si>
  <si>
    <t xml:space="preserve">Guarded, h = 1.5</t>
  </si>
  <si>
    <t xml:space="preserve">Guarded, h = 1.75</t>
  </si>
  <si>
    <t xml:space="preserve">Guarded, h = 2</t>
  </si>
  <si>
    <t xml:space="preserve">Guarded, h = 2.25</t>
  </si>
  <si>
    <t xml:space="preserve">Guarded, h = 2.5</t>
  </si>
  <si>
    <t xml:space="preserve">Admissible hires</t>
  </si>
  <si>
    <t xml:space="preserve">Guarded hires</t>
  </si>
  <si>
    <t xml:space="preserve">Lowest admissible hire</t>
  </si>
  <si>
    <t xml:space="preserve">Highest guarded hire</t>
  </si>
  <si>
    <t xml:space="preserve">Admissible decisions</t>
  </si>
  <si>
    <t xml:space="preserve">2,113</t>
  </si>
  <si>
    <t xml:space="preserve">Decisions inside the guardrail</t>
  </si>
  <si>
    <t xml:space="preserve">1,152</t>
  </si>
  <si>
    <t xml:space="preserve">Levels that cannot plan 55</t>
  </si>
  <si>
    <t xml:space="preserve">There the guardrail asks for the cap</t>
  </si>
  <si>
    <t xml:space="preserve">  the highest of them</t>
  </si>
  <si>
    <t xml:space="preserve">Admissible hires form a run of quarter-points, and the guarded ones end at the highest admissible hire: the highest guarded hire is the lowest guarded hire plus the run's length.</t>
  </si>
  <si>
    <t xml:space="preserve">One Bellman step on the best rule's values: decision values, best decisions, the residual and the guardrail (Definition 14.1; Equation 14.1; Proposition 14.2(ii); Worked Example 14.1, Step 1; AXIOM Lab 2.14, step 1)</t>
  </si>
  <si>
    <t xml:space="preserve">Column B is the engine's values of the best rule (policy iteration, exact). G = the sum of p_w V(node - w/step) at each node; Q(c, h) = -k h - p (55 - c)^+ + beta [(1 - t) G(j) + t G(j + 1)] where 0.975c + h = 30 + (j + t) x step: the value of deciding h at c and acting best afterwards. A residual near zero certifies the values, and the best decisions are the rule.</t>
  </si>
  <si>
    <t xml:space="preserve">The best rule on the agent's grid</t>
  </si>
  <si>
    <t xml:space="preserve">Book</t>
  </si>
  <si>
    <t xml:space="preserve">c</t>
  </si>
  <si>
    <t xml:space="preserve">V*(c) (engine)</t>
  </si>
  <si>
    <t xml:space="preserve">Node</t>
  </si>
  <si>
    <t xml:space="preserve">G at the node</t>
  </si>
  <si>
    <t xml:space="preserve">Q(c, 0)</t>
  </si>
  <si>
    <t xml:space="preserve">Q(c, 0.25)</t>
  </si>
  <si>
    <t xml:space="preserve">Q(c, 0.5)</t>
  </si>
  <si>
    <t xml:space="preserve">Q(c, 0.75)</t>
  </si>
  <si>
    <t xml:space="preserve">Q(c, 1)</t>
  </si>
  <si>
    <t xml:space="preserve">Q(c, 1.25)</t>
  </si>
  <si>
    <t xml:space="preserve">Q(c, 1.5)</t>
  </si>
  <si>
    <t xml:space="preserve">Q(c, 1.75)</t>
  </si>
  <si>
    <t xml:space="preserve">Q(c, 2)</t>
  </si>
  <si>
    <t xml:space="preserve">Q(c, 2.25)</t>
  </si>
  <si>
    <t xml:space="preserve">Q(c, 2.5)</t>
  </si>
  <si>
    <t xml:space="preserve">Best value, max Q</t>
  </si>
  <si>
    <t xml:space="preserve">Best hire (formula)</t>
  </si>
  <si>
    <t xml:space="preserve">Engine's hire</t>
  </si>
  <si>
    <t xml:space="preserve">Same (1 = yes)</t>
  </si>
  <si>
    <t xml:space="preserve">|max Q - V*|</t>
  </si>
  <si>
    <t xml:space="preserve">Planned 0.975c + h</t>
  </si>
  <si>
    <t xml:space="preserve">In the guardrail (1 = yes)</t>
  </si>
  <si>
    <t xml:space="preserve">Long-run share (engine)</t>
  </si>
  <si>
    <t xml:space="preserve">Cost from 58: minus the best value at 58</t>
  </si>
  <si>
    <t xml:space="preserve">231.18</t>
  </si>
  <si>
    <t xml:space="preserve">Above Chapter 7's 230.755 (hires in quarter-points)</t>
  </si>
  <si>
    <t xml:space="preserve">0.42</t>
  </si>
  <si>
    <t xml:space="preserve">Largest Bellman residual at the 201 levels</t>
  </si>
  <si>
    <t xml:space="preserve">Values within residual/(1 - beta) of the best</t>
  </si>
  <si>
    <t xml:space="preserve">Levels where the formulas' best hire is the engine's</t>
  </si>
  <si>
    <t xml:space="preserve">Hires at the cap at and below</t>
  </si>
  <si>
    <t xml:space="preserve">54.75</t>
  </si>
  <si>
    <t xml:space="preserve">Hires nothing at and above</t>
  </si>
  <si>
    <t xml:space="preserve">57.25</t>
  </si>
  <si>
    <t xml:space="preserve">Where it hires below the cap, it plans from</t>
  </si>
  <si>
    <t xml:space="preserve">55.825</t>
  </si>
  <si>
    <t xml:space="preserve">  to</t>
  </si>
  <si>
    <t xml:space="preserve">55.875</t>
  </si>
  <si>
    <t xml:space="preserve">Levels where the best rule is inside the guardrail</t>
  </si>
  <si>
    <t xml:space="preserve">Long-run share of quarters below the floor</t>
  </si>
  <si>
    <t xml:space="preserve">5.82 percent</t>
  </si>
  <si>
    <t xml:space="preserve">Long-run mean capability</t>
  </si>
  <si>
    <t xml:space="preserve">Expected capability after one quarter from 58</t>
  </si>
  <si>
    <t xml:space="preserve">56.55 (Online Appendix Example 14.B.2)</t>
  </si>
  <si>
    <t xml:space="preserve">The benchmark rules: Volume I's, the worst admissible and the worst inside the guardrail (Proposition 14.2(i); Worked Example 14.1, Steps 1 and 5; Table 14.3; Online Appendix Example 14.B.2)</t>
  </si>
  <si>
    <t xml:space="preserve">Hires by formula against the engine's rules. Costs from 58 are the engine's exact evaluations (one linear solve each); the excess over the best rule is a formula. Whatever a learner does inside the guardrail, it loses at most the worst guarded rule's excess.</t>
  </si>
  <si>
    <t xml:space="preserve">Best rule (formula)</t>
  </si>
  <si>
    <t xml:space="preserve">Volume I's rule: hire to plan 58 (formula)</t>
  </si>
  <si>
    <t xml:space="preserve">Volume I's rule (engine)</t>
  </si>
  <si>
    <t xml:space="preserve">Same</t>
  </si>
  <si>
    <t xml:space="preserve">Only what the limits force (formula)</t>
  </si>
  <si>
    <t xml:space="preserve">Worst admissible rule (engine)</t>
  </si>
  <si>
    <t xml:space="preserve">Most the guardrail allows (formula)</t>
  </si>
  <si>
    <t xml:space="preserve">Worst guarded rule (engine)</t>
  </si>
  <si>
    <t xml:space="preserve">Volume I's target for planned capability</t>
  </si>
  <si>
    <t xml:space="preserve">Rule</t>
  </si>
  <si>
    <t xml:space="preserve">Cost from 58 (engine)</t>
  </si>
  <si>
    <t xml:space="preserve">Excess over the best</t>
  </si>
  <si>
    <t xml:space="preserve">Long-run capability (engine)</t>
  </si>
  <si>
    <t xml:space="preserve">Long-run share below 55 (engine)</t>
  </si>
  <si>
    <t xml:space="preserve">Levels matching the formula</t>
  </si>
  <si>
    <t xml:space="preserve">Best rule (declared law)</t>
  </si>
  <si>
    <t xml:space="preserve">Volume I's rule (hold 58)</t>
  </si>
  <si>
    <t xml:space="preserve">Worst admissible rule</t>
  </si>
  <si>
    <t xml:space="preserve">Worst rule inside the guardrail</t>
  </si>
  <si>
    <t xml:space="preserve">Policy iteration from Volume I's rule: evaluations to the best rule (engine)</t>
  </si>
  <si>
    <t xml:space="preserve">Three</t>
  </si>
  <si>
    <t xml:space="preserve">Worst guarded rule: share of the first 40 quarters at the cap, from 58 (engine)</t>
  </si>
  <si>
    <t xml:space="preserve">It hires at the cap at 77.75 and below; above, the cap would carry capability past 80</t>
  </si>
  <si>
    <t xml:space="preserve">Certify before adopting: the ten learned rules against the guardrail at every capability (Definition 14.2; Proposition 14.2(ii); Worked Example 14.1, Step 6)</t>
  </si>
  <si>
    <t xml:space="preserve">Hires of the ten declared-step agents' greedy rules after two million simulated quarters (engine). A level breaks the guardrail when the rule plans below 55 there without hiring at the cap. The best rule's long-run shares are the engine's.</t>
  </si>
  <si>
    <t xml:space="preserve">Agent 1: hire (engine)</t>
  </si>
  <si>
    <t xml:space="preserve">Agent 2: hire (engine)</t>
  </si>
  <si>
    <t xml:space="preserve">Agent 3: hire (engine)</t>
  </si>
  <si>
    <t xml:space="preserve">Agent 4: hire (engine)</t>
  </si>
  <si>
    <t xml:space="preserve">Agent 5: hire (engine)</t>
  </si>
  <si>
    <t xml:space="preserve">Agent 6: hire (engine)</t>
  </si>
  <si>
    <t xml:space="preserve">Agent 7: hire (engine)</t>
  </si>
  <si>
    <t xml:space="preserve">Agent 8: hire (engine)</t>
  </si>
  <si>
    <t xml:space="preserve">Agent 9: hire (engine)</t>
  </si>
  <si>
    <t xml:space="preserve">Agent 10: hire (engine)</t>
  </si>
  <si>
    <t xml:space="preserve">Agent 1: breaks (1 = yes)</t>
  </si>
  <si>
    <t xml:space="preserve">Agent 2: breaks (1 = yes)</t>
  </si>
  <si>
    <t xml:space="preserve">Agent 3: breaks (1 = yes)</t>
  </si>
  <si>
    <t xml:space="preserve">Agent 4: breaks (1 = yes)</t>
  </si>
  <si>
    <t xml:space="preserve">Agent 5: breaks (1 = yes)</t>
  </si>
  <si>
    <t xml:space="preserve">Agent 6: breaks (1 = yes)</t>
  </si>
  <si>
    <t xml:space="preserve">Agent 7: breaks (1 = yes)</t>
  </si>
  <si>
    <t xml:space="preserve">Agent 8: breaks (1 = yes)</t>
  </si>
  <si>
    <t xml:space="preserve">Agent 9: breaks (1 = yes)</t>
  </si>
  <si>
    <t xml:space="preserve">Agent 10: breaks (1 = yes)</t>
  </si>
  <si>
    <t xml:space="preserve">Best rule's long-run share</t>
  </si>
  <si>
    <t xml:space="preserve">Agent</t>
  </si>
  <si>
    <t xml:space="preserve">Levels breaking the guardrail</t>
  </si>
  <si>
    <t xml:space="preserve">Highest breach</t>
  </si>
  <si>
    <t xml:space="preserve">Share of breaches below 45</t>
  </si>
  <si>
    <t xml:space="preserve">Best rule's long-run share at the breaches</t>
  </si>
  <si>
    <t xml:space="preserve">Excess from 58 (engine)</t>
  </si>
  <si>
    <t xml:space="preserve">Policy-iteration evaluations to the best rule (engine)</t>
  </si>
  <si>
    <t xml:space="preserve">Fewest levels breaking the guardrail</t>
  </si>
  <si>
    <t xml:space="preserve">74</t>
  </si>
  <si>
    <t xml:space="preserve">Most levels breaking the guardrail</t>
  </si>
  <si>
    <t xml:space="preserve">84</t>
  </si>
  <si>
    <t xml:space="preserve">Highest breach of any rule</t>
  </si>
  <si>
    <t xml:space="preserve">All below 54.5</t>
  </si>
  <si>
    <t xml:space="preserve">Smallest share of breaches below 45</t>
  </si>
  <si>
    <t xml:space="preserve">Most below 45</t>
  </si>
  <si>
    <t xml:space="preserve">Best rule's long-run share at a rule's breaches, at most</t>
  </si>
  <si>
    <t xml:space="preserve">2.8 percent</t>
  </si>
  <si>
    <t xml:space="preserve">Excess from 58: lowest</t>
  </si>
  <si>
    <t xml:space="preserve">0.17</t>
  </si>
  <si>
    <t xml:space="preserve">Excess from 58: highest</t>
  </si>
  <si>
    <t xml:space="preserve">1.40</t>
  </si>
  <si>
    <t xml:space="preserve">Policy-iteration evaluations: fewest</t>
  </si>
  <si>
    <t xml:space="preserve">3</t>
  </si>
  <si>
    <t xml:space="preserve">  most</t>
  </si>
  <si>
    <t xml:space="preserve">4</t>
  </si>
  <si>
    <t xml:space="preserve">None of the ten rules keeps the guardrail everywhere, yet each costs little from 58: the breaches lie where the best rule seldom goes (Proposition 14.1(i)). The audit committee prices each rule exactly and checks the guardrail at every capability.</t>
  </si>
  <si>
    <t xml:space="preserve">Train by trial: step sizes, the learners' excess costs and Theorem 14.1's bounds (Theorem 14.1; Worked Example 14.1, Steps 2-3; Figure 14.1; Table 14.3; AXIOM Lab 2.14, step 2)</t>
  </si>
  <si>
    <t xml:space="preserve">Each agent's greedy rule priced exactly from 58 at each checkpoint (engine); the summaries are formulas. The greedy learners start every decision at -$400 million and never explore.</t>
  </si>
  <si>
    <t xml:space="preserve">Trials n of a pair</t>
  </si>
  <si>
    <t xml:space="preserve">Declared 1/(1 + (1 - beta) n)</t>
  </si>
  <si>
    <t xml:space="preserve">1/n</t>
  </si>
  <si>
    <t xml:space="preserve">Constant 0.1</t>
  </si>
  <si>
    <t xml:space="preserve">1/n^0.7</t>
  </si>
  <si>
    <t xml:space="preserve">Equation 14.2, one trial (try your own)</t>
  </si>
  <si>
    <t xml:space="preserve">Decision value before, Q(s, a)</t>
  </si>
  <si>
    <t xml:space="preserve">An untried decision: the default 0</t>
  </si>
  <si>
    <t xml:space="preserve">Trials of the pair, with this one, n</t>
  </si>
  <si>
    <t xml:space="preserve">The quarter's value R</t>
  </si>
  <si>
    <t xml:space="preserve">e.g. no hiring at 54</t>
  </si>
  <si>
    <t xml:space="preserve">Best decision value at the next state</t>
  </si>
  <si>
    <t xml:space="preserve">Step, declared</t>
  </si>
  <si>
    <t xml:space="preserve">Decision value after</t>
  </si>
  <si>
    <t xml:space="preserve">Equation 14.2</t>
  </si>
  <si>
    <t xml:space="preserve">Constant step alpha</t>
  </si>
  <si>
    <t xml:space="preserve">Theorem 14.1(iii)</t>
  </si>
  <si>
    <t xml:space="preserve">Spread of order sqrt(alpha/(1 - beta))</t>
  </si>
  <si>
    <t xml:space="preserve">The declared step stays near 1 for the first few dozen trials and then falls like 1/((1 - beta) n): its steps sum to infinity while their squares do not (Theorem 14.1(i)). A constant step never settles (Theorem 14.1(iii)).</t>
  </si>
  <si>
    <t xml:space="preserve">Declared step 1/(1 + (1 - beta) n): each agent's excess cost from 58 (engine), by simulated quarters</t>
  </si>
  <si>
    <t xml:space="preserve">1,000</t>
  </si>
  <si>
    <t xml:space="preserve">10,000</t>
  </si>
  <si>
    <t xml:space="preserve">100,000</t>
  </si>
  <si>
    <t xml:space="preserve">1,000,000</t>
  </si>
  <si>
    <t xml:space="preserve">2,000,000</t>
  </si>
  <si>
    <t xml:space="preserve">Mean</t>
  </si>
  <si>
    <t xml:space="preserve">90th percentile</t>
  </si>
  <si>
    <t xml:space="preserve">Lowest</t>
  </si>
  <si>
    <t xml:space="preserve">Highest</t>
  </si>
  <si>
    <t xml:space="preserve">Agents within $1m</t>
  </si>
  <si>
    <t xml:space="preserve">Pairs tried, mean (engine)</t>
  </si>
  <si>
    <t xml:space="preserve">Long-run share below the floor, median (engine)</t>
  </si>
  <si>
    <t xml:space="preserve">Two million quarters: the ten agents' excess, lowest to highest</t>
  </si>
  <si>
    <t xml:space="preserve">Step 1/n: each agent's excess cost from 58 (engine), by simulated quarters</t>
  </si>
  <si>
    <t xml:space="preserve">Constant step 0.1: each agent's excess cost from 58 (engine), by simulated quarters</t>
  </si>
  <si>
    <t xml:space="preserve">Step 1/n^0.7: each agent's excess cost from 58 (engine), by simulated quarters</t>
  </si>
  <si>
    <t xml:space="preserve">Theorem 14.1(ii): where the error matters (the ten declared-step agents after two million quarters)</t>
  </si>
  <si>
    <t xml:space="preserve">Largest decision-value error (engine)</t>
  </si>
  <si>
    <t xml:space="preserve">615.6, at capability 30</t>
  </si>
  <si>
    <t xml:space="preserve">Uniform bound on a greedy rule's loss, 2 x error / (1 - beta)</t>
  </si>
  <si>
    <t xml:space="preserve">52,287</t>
  </si>
  <si>
    <t xml:space="preserve">  in $ billion</t>
  </si>
  <si>
    <t xml:space="preserve">$52 billion (Section 14.2)</t>
  </si>
  <si>
    <t xml:space="preserve">Error at 58 (engine)</t>
  </si>
  <si>
    <t xml:space="preserve">0.79</t>
  </si>
  <si>
    <t xml:space="preserve">Two million quarters, in years</t>
  </si>
  <si>
    <t xml:space="preserve">Half a million years</t>
  </si>
  <si>
    <t xml:space="preserve">The sharper bound: twice the discounted errors where each rule goes, from 58 (engine)</t>
  </si>
  <si>
    <t xml:space="preserve">Greedy learners with a pessimistic start: excess from 58 after 100,000 quarters (engine; Worked Example 14.1, Step 3)</t>
  </si>
  <si>
    <t xml:space="preserve">Median</t>
  </si>
  <si>
    <t xml:space="preserve">121.19 (Table 14.3)</t>
  </si>
  <si>
    <t xml:space="preserve">Largest of the 20</t>
  </si>
  <si>
    <t xml:space="preserve">133.51</t>
  </si>
  <si>
    <t xml:space="preserve">105.7</t>
  </si>
  <si>
    <t xml:space="preserve">Median long-run share below the floor (engine)</t>
  </si>
  <si>
    <t xml:space="preserve">99.5 percent</t>
  </si>
  <si>
    <t xml:space="preserve">Median long-run capability (engine)</t>
  </si>
  <si>
    <t xml:space="preserve">About 52.6</t>
  </si>
  <si>
    <t xml:space="preserve">The price of exploration: thirteen target rules, tried a decade at a time (Theorem 14.2; Worked Example 14.1, Step 3; Figure 14.2(a); AXIOM Lab 2.14, step 3)</t>
  </si>
  <si>
    <t xml:space="preserve">A trial is one decade, 40 quarters from 58, under a target rule. Exact decade costs and their standard deviations are the engine's; mean trials over 100 runs of 20,000 are the engine's. Regret is the sum of each target's shortfall times its trials (Theorem 14.2(i)).</t>
  </si>
  <si>
    <t xml:space="preserve">Trials T</t>
  </si>
  <si>
    <t xml:space="preserve">20,000 decades</t>
  </si>
  <si>
    <t xml:space="preserve">The optimistic rule's bonus scale, sigma ($ million)</t>
  </si>
  <si>
    <t xml:space="preserve">Least average less sigma x sqrt(2 ln(t + 1)/n)</t>
  </si>
  <si>
    <t xml:space="preserve">Twenty thousand decades, in years</t>
  </si>
  <si>
    <t xml:space="preserve">200,000 years</t>
  </si>
  <si>
    <t xml:space="preserve">Target</t>
  </si>
  <si>
    <t xml:space="preserve">Decade cost (engine)</t>
  </si>
  <si>
    <t xml:space="preserve">Its sd (engine)</t>
  </si>
  <si>
    <t xml:space="preserve">Shortfall</t>
  </si>
  <si>
    <t xml:space="preserve">Shortfall / sigma</t>
  </si>
  <si>
    <t xml:space="preserve">8 ln T/(shortfall/sigma)^2 + 1 + pi^2/3</t>
  </si>
  <si>
    <t xml:space="preserve">Mean trials: greedy (engine)</t>
  </si>
  <si>
    <t xml:space="preserve">Mean trials: one in ten at random (engine)</t>
  </si>
  <si>
    <t xml:space="preserve">Mean trials: optimistic (engine)</t>
  </si>
  <si>
    <t xml:space="preserve">Shortfall x trials: greedy</t>
  </si>
  <si>
    <t xml:space="preserve">Shortfall x trials: one in ten</t>
  </si>
  <si>
    <t xml:space="preserve">Shortfall x trials: optimistic</t>
  </si>
  <si>
    <t xml:space="preserve">Total regret over 20,000 decades = the sum of shortfall x trials: greedy 20,372, one in ten at random 12,498, optimistic 7,357 ($ million). Theorem 14.2(iii)'s bound is for payoffs in [0, 1]; here it is the formula with shortfalls in units of the bonus scale, a guide to how trials grow as the shortfall shrinks, not a guarantee. For 55.50, $0.16m in $12m of noise, it exceeds the horizon.</t>
  </si>
  <si>
    <t xml:space="preserve">Ends on the best target (engine)</t>
  </si>
  <si>
    <t xml:space="preserve">Regret per decade, last 2,000 (engine)</t>
  </si>
  <si>
    <t xml:space="preserve">Greedy choice</t>
  </si>
  <si>
    <t xml:space="preserve">One random target in ten</t>
  </si>
  <si>
    <t xml:space="preserve">Optimistic rule</t>
  </si>
  <si>
    <t xml:space="preserve">Best target</t>
  </si>
  <si>
    <t xml:space="preserve">55.75</t>
  </si>
  <si>
    <t xml:space="preserve">Its lower neighbour's shortfall a decade</t>
  </si>
  <si>
    <t xml:space="preserve">0.16</t>
  </si>
  <si>
    <t xml:space="preserve">Its upper neighbour's shortfall a decade</t>
  </si>
  <si>
    <t xml:space="preserve">1.01</t>
  </si>
  <si>
    <t xml:space="preserve">The optimistic rule's index after 20,000 trials, run 1 of 100 (counts and totals: engine)</t>
  </si>
  <si>
    <t xml:space="preserve">Trials n_k (engine)</t>
  </si>
  <si>
    <t xml:space="preserve">Total cost (engine)</t>
  </si>
  <si>
    <t xml:space="preserve">Average</t>
  </si>
  <si>
    <t xml:space="preserve">Index: average - sigma x sqrt(2 ln(T + 1)/n_k)</t>
  </si>
  <si>
    <t xml:space="preserve">Next trial goes to the least index: target</t>
  </si>
  <si>
    <t xml:space="preserve">This run ends on 55.50, not the best target</t>
  </si>
  <si>
    <t xml:space="preserve">Most-tried target</t>
  </si>
  <si>
    <t xml:space="preserve">Trials in all</t>
  </si>
  <si>
    <t xml:space="preserve">20,000</t>
  </si>
  <si>
    <t xml:space="preserve">Theorem 14.2(ii): greed fails</t>
  </si>
  <si>
    <t xml:space="preserve">Option 1 pays 1/2 surely; option 2 pays 1 with chance</t>
  </si>
  <si>
    <t xml:space="preserve">Chance option 2's one trial pays 0, after which greed never tries it again</t>
  </si>
  <si>
    <t xml:space="preserve">Shortfall of option 1</t>
  </si>
  <si>
    <t xml:space="preserve">Regret over T trials, at least (T - 1) x chance x shortfall</t>
  </si>
  <si>
    <t xml:space="preserve">0.04 (T - 1)</t>
  </si>
  <si>
    <t xml:space="preserve">Learn a simulator from the record of swings (Theorem 14.3(i)-(ii); Worked Example 14.1, Step 4; Figure 14.3(a); Table 14.3; AXIOM Lab 2.14, step 4)</t>
  </si>
  <si>
    <t xml:space="preserve">Records of 12, 40 and 120 quarters drawn from the declared chances (seeds 914000 + 1000 n + r): counts, the rule best for each record's frequencies, its excess from 58 under the declared law, and whether it is the best rule (engine). Frequencies, distances from the law and the summaries are formulas.</t>
  </si>
  <si>
    <t xml:space="preserve">rbar, the range of a quarter's value</t>
  </si>
  <si>
    <t xml:space="preserve">Theorem 14.3(i): beta x rbar / (1 - beta)^2, per unit of distance delta</t>
  </si>
  <si>
    <t xml:space="preserve">About $88 billion times delta (Section 14.4)</t>
  </si>
  <si>
    <t xml:space="preserve">Outcomes of the swing, k</t>
  </si>
  <si>
    <t xml:space="preserve">Theorem 14.3(ii): 2^k - 2 sets</t>
  </si>
  <si>
    <t xml:space="preserve">Confidence for the distance</t>
  </si>
  <si>
    <t xml:space="preserve">Quarters n</t>
  </si>
  <si>
    <t xml:space="preserve">Distance delta at the confidence</t>
  </si>
  <si>
    <t xml:space="preserve">The simulator's rule loses at most 2 x B4 x delta</t>
  </si>
  <si>
    <t xml:space="preserve">Worst actual loss</t>
  </si>
  <si>
    <t xml:space="preserve">Mean excess</t>
  </si>
  <si>
    <t xml:space="preserve">Records with the best rule</t>
  </si>
  <si>
    <t xml:space="preserve">Mean distance from the law</t>
  </si>
  <si>
    <t xml:space="preserve">P(distance &gt;= 0.1): bound</t>
  </si>
  <si>
    <t xml:space="preserve">  share of records</t>
  </si>
  <si>
    <t xml:space="preserve">P(distance &gt;= 0.2): bound</t>
  </si>
  <si>
    <t xml:space="preserve">The bounds guarantee consistency, not a forecast: the declared model computes the actual losses (Section 14.4). The probability bound exceeds 1 for short records.</t>
  </si>
  <si>
    <t xml:space="preserve">Record r</t>
  </si>
  <si>
    <t xml:space="preserve">Seed</t>
  </si>
  <si>
    <t xml:space="preserve">Count w = 1.5</t>
  </si>
  <si>
    <t xml:space="preserve">Count w = 0.75</t>
  </si>
  <si>
    <t xml:space="preserve">Count w = 0</t>
  </si>
  <si>
    <t xml:space="preserve">Count w = -0.75</t>
  </si>
  <si>
    <t xml:space="preserve">Count w = -1.5</t>
  </si>
  <si>
    <t xml:space="preserve">Distance from the law, 1/2 sum |freq - p|</t>
  </si>
  <si>
    <t xml:space="preserve">Best rule (1 = yes, engine)</t>
  </si>
  <si>
    <t xml:space="preserve">Learn a simulator from practice: a record kept under Volume I's rule (Theorem 14.3(iii); Worked Example 14.1, Step 4; Figure 14.3(b); Table 14.3; AXIOM Lab 2.14, step 4)</t>
  </si>
  <si>
    <t xml:space="preserve">The first record (seed 1414000): 40 quarters from 58 while Meridian held planned capability at 58 (engine). LINEST fits c' = a + b c + d h; hiring moved with capability, so the fit cannot tell their effects apart. The 200 records' fitted effects and their rules' excess costs are the engine's.</t>
  </si>
  <si>
    <t xml:space="preserve">Quarter</t>
  </si>
  <si>
    <t xml:space="preserve">Capability c (engine)</t>
  </si>
  <si>
    <t xml:space="preserve">Hired h (engine)</t>
  </si>
  <si>
    <t xml:space="preserve">Next capability c' (engine)</t>
  </si>
  <si>
    <t xml:space="preserve">Fitted c'</t>
  </si>
  <si>
    <t xml:space="preserve">Residual</t>
  </si>
  <si>
    <t xml:space="preserve">Planned 0.975c + h - 58</t>
  </si>
  <si>
    <t xml:space="preserve">The fit (LINEST)</t>
  </si>
  <si>
    <t xml:space="preserve">200 records of 40 quarters (engine; seeds 1414000 + r)</t>
  </si>
  <si>
    <t xml:space="preserve">Intercept a</t>
  </si>
  <si>
    <t xml:space="preserve">-63.46</t>
  </si>
  <si>
    <t xml:space="preserve">Record</t>
  </si>
  <si>
    <t xml:space="preserve">Fitted effect of a point hired</t>
  </si>
  <si>
    <t xml:space="preserve">Excess from 58</t>
  </si>
  <si>
    <t xml:space="preserve">Hires nothing at 55 (1 = yes)</t>
  </si>
  <si>
    <t xml:space="preserve">The worst admissible rule (1 = yes)</t>
  </si>
  <si>
    <t xml:space="preserve">Effect of a point of capability, b</t>
  </si>
  <si>
    <t xml:space="preserve">2.036</t>
  </si>
  <si>
    <t xml:space="preserve">Lowest effect of a point hired</t>
  </si>
  <si>
    <t xml:space="preserve">-4.54</t>
  </si>
  <si>
    <t xml:space="preserve">Effect of a point hired, d</t>
  </si>
  <si>
    <t xml:space="preserve">2.219 (truth 1)</t>
  </si>
  <si>
    <t xml:space="preserve">5.35</t>
  </si>
  <si>
    <t xml:space="preserve">Correlation of hiring with capability</t>
  </si>
  <si>
    <t xml:space="preserve">Collinearity: the record cannot separate them</t>
  </si>
  <si>
    <t xml:space="preserve">Records whose rule hires nothing at 55</t>
  </si>
  <si>
    <t xml:space="preserve">76</t>
  </si>
  <si>
    <t xml:space="preserve">Residual standard deviation</t>
  </si>
  <si>
    <t xml:space="preserve">Records with the worst admissible rule</t>
  </si>
  <si>
    <t xml:space="preserve">66</t>
  </si>
  <si>
    <t xml:space="preserve">The fitted simulator's rule: excess from 58 (engine)</t>
  </si>
  <si>
    <t xml:space="preserve">29.6</t>
  </si>
  <si>
    <t xml:space="preserve">  of which hire something at 55</t>
  </si>
  <si>
    <t xml:space="preserve">None</t>
  </si>
  <si>
    <t xml:space="preserve">Records within $1m of the best</t>
  </si>
  <si>
    <t xml:space="preserve">28</t>
  </si>
  <si>
    <t xml:space="preserve">Theorem 14.3(iii): laws c' = 58(1 - d) + 0.975 d c + d h - w agree on the record's pairs</t>
  </si>
  <si>
    <t xml:space="preserve">Median excess</t>
  </si>
  <si>
    <t xml:space="preserve">42.70</t>
  </si>
  <si>
    <t xml:space="preserve">d</t>
  </si>
  <si>
    <t xml:space="preserve">Mean difference from the declared law on the record's pairs</t>
  </si>
  <si>
    <t xml:space="preserve">At c = 55 with no hiring</t>
  </si>
  <si>
    <t xml:space="preserve">1,029.74</t>
  </si>
  <si>
    <t xml:space="preserve">8.3 percent</t>
  </si>
  <si>
    <t xml:space="preserve">On the record's pairs the laws differ only by quarter-point rounding; at decisions the record never took they differ by points. No method can learn from the record what other decisions do.</t>
  </si>
  <si>
    <t xml:space="preserve">Learn on the company, inside a guardrail (Proposition 14.2(i); Worked Example 14.1, Step 5; Figure 14.2(b); Table 14.3; AXIOM Lab 2.14, step 5)</t>
  </si>
  <si>
    <t xml:space="preserve">400 simulated companies run the agent for 40 quarters from 58, without and with the guardrail (seed 1411). Excess: the value of the learning quarters plus beta^40 V* at the capability reached, against the best rule (engine).</t>
  </si>
  <si>
    <t xml:space="preserve">Without the guardrail</t>
  </si>
  <si>
    <t xml:space="preserve">Inside the guardrail</t>
  </si>
  <si>
    <t xml:space="preserve">Mean excess from 58 (engine)</t>
  </si>
  <si>
    <t xml:space="preserve">545.54; 1.18</t>
  </si>
  <si>
    <t xml:space="preserve">90th percentile (engine)</t>
  </si>
  <si>
    <t xml:space="preserve">622.59; 19.04</t>
  </si>
  <si>
    <t xml:space="preserve">Share of quarters below the floor (engine)</t>
  </si>
  <si>
    <t xml:space="preserve">92.2; 17.8 percent</t>
  </si>
  <si>
    <t xml:space="preserve">Capability after 40 quarters (engine)</t>
  </si>
  <si>
    <t xml:space="preserve">32.30; 55.73</t>
  </si>
  <si>
    <t xml:space="preserve">What the guardrail saves, on average</t>
  </si>
  <si>
    <t xml:space="preserve">The worst rule inside the guardrail: excess (Rules)</t>
  </si>
  <si>
    <t xml:space="preserve">142.78</t>
  </si>
  <si>
    <t xml:space="preserve">Guarded learners lose less than it (1 = yes)</t>
  </si>
  <si>
    <t xml:space="preserve">Proposition 14.2(i): whatever a learner does inside</t>
  </si>
  <si>
    <t xml:space="preserve">The best rule's long-run share below the floor</t>
  </si>
  <si>
    <t xml:space="preserve">5.8 percent</t>
  </si>
  <si>
    <t xml:space="preserve">No guardrail: mean</t>
  </si>
  <si>
    <t xml:space="preserve">10th percentile</t>
  </si>
  <si>
    <t xml:space="preserve">Guardrail: mean</t>
  </si>
  <si>
    <t xml:space="preserve">Best rule: mean (engine)</t>
  </si>
  <si>
    <t xml:space="preserve">Guardrail less best rule</t>
  </si>
  <si>
    <t xml:space="preserve">Table 14.3: what each learner learned, priced exactly under the declared law (Worked Example 14.1)</t>
  </si>
  <si>
    <t xml:space="preserve">Excess: cost from 58 above the best rule's $231.18 million, the mean (median where marked) and the 90th percentile over agents, records or companies; below floor: share of quarters that start below 55, in the long run under the learned rule (the median over agents or records), or over the 40 quarters on the company.</t>
  </si>
  <si>
    <t xml:space="preserve">Learner</t>
  </si>
  <si>
    <t xml:space="preserve">Experience</t>
  </si>
  <si>
    <t xml:space="preserve">Excess</t>
  </si>
  <si>
    <t xml:space="preserve">Below floor (%)</t>
  </si>
  <si>
    <t xml:space="preserve">none</t>
  </si>
  <si>
    <t xml:space="preserve">--</t>
  </si>
  <si>
    <t xml:space="preserve">Q-learning, simulator</t>
  </si>
  <si>
    <t xml:space="preserve">10,000 quarters</t>
  </si>
  <si>
    <t xml:space="preserve">100,000 quarters</t>
  </si>
  <si>
    <t xml:space="preserve">1,000,000 quarters</t>
  </si>
  <si>
    <t xml:space="preserve">2,000,000 quarters</t>
  </si>
  <si>
    <t xml:space="preserve">Greedy, pessimistic start</t>
  </si>
  <si>
    <t xml:space="preserve">Simulator from swings</t>
  </si>
  <si>
    <t xml:space="preserve">12 quarters</t>
  </si>
  <si>
    <t xml:space="preserve">40 quarters</t>
  </si>
  <si>
    <t xml:space="preserve">120 quarters</t>
  </si>
  <si>
    <t xml:space="preserve">Simulator from practice</t>
  </si>
  <si>
    <t xml:space="preserve">On the company</t>
  </si>
  <si>
    <t xml:space="preserve">On the company, guardrail</t>
  </si>
  <si>
    <t xml:space="preserve">Medians: the greedy learners' and the practice records' excess, and every learned rule's share below the floor; the greedy learners' 90th-percentile column holds the largest of the 20.</t>
  </si>
  <si>
    <t xml:space="preserve">The appendices' small examples (Proposition 14.1(iii); Proposition 14.3(ii)-(iii); Theorem 14.1(iii))</t>
  </si>
  <si>
    <t xml:space="preserve">Inputs in blue can be changed; the book's values are the defaults.</t>
  </si>
  <si>
    <t xml:space="preserve">Proposition 14.3(ii): fictitious play that miscoordinates in every round</t>
  </si>
  <si>
    <t xml:space="preserve">Round</t>
  </si>
  <si>
    <t xml:space="preserve">Agent 1's weight on the other's A</t>
  </si>
  <si>
    <t xml:space="preserve">on B</t>
  </si>
  <si>
    <t xml:space="preserve">Agent 2's weight on the other's A</t>
  </si>
  <si>
    <t xml:space="preserve">Agent 1 takes (1 = A)</t>
  </si>
  <si>
    <t xml:space="preserve">Agent 2 takes (1 = A)</t>
  </si>
  <si>
    <t xml:space="preserve">Same decision (1 = yes)</t>
  </si>
  <si>
    <t xml:space="preserve">Payoff to each</t>
  </si>
  <si>
    <t xml:space="preserve">Rounds with the same decision</t>
  </si>
  <si>
    <t xml:space="preserve">Every round: both receive 0</t>
  </si>
  <si>
    <t xml:space="preserve">Payoff in all</t>
  </si>
  <si>
    <t xml:space="preserve">Agent 1's frequency of A</t>
  </si>
  <si>
    <t xml:space="preserve">Tends to 1/2: the equilibrium, worth 1/2</t>
  </si>
  <si>
    <t xml:space="preserve">Each agent takes the decision the other is less likely to take by its weights, and both receive 1 only when their decisions differ.</t>
  </si>
  <si>
    <t xml:space="preserve">Proposition 14.3(iii)(b): two units that share or hoard</t>
  </si>
  <si>
    <t xml:space="preserve">Unit 1 \ unit 2</t>
  </si>
  <si>
    <t xml:space="preserve">Share</t>
  </si>
  <si>
    <t xml:space="preserve">Hoard</t>
  </si>
  <si>
    <t xml:space="preserve">3, 3</t>
  </si>
  <si>
    <t xml:space="preserve">0, 4</t>
  </si>
  <si>
    <t xml:space="preserve">4, 0</t>
  </si>
  <si>
    <t xml:space="preserve">1, 1</t>
  </si>
  <si>
    <t xml:space="preserve">Both share: each gets</t>
  </si>
  <si>
    <t xml:space="preserve">A hoarder against a sharer gets</t>
  </si>
  <si>
    <t xml:space="preserve">A sharer against a hoarder gets</t>
  </si>
  <si>
    <t xml:space="preserve">Both hoard: each gets</t>
  </si>
  <si>
    <t xml:space="preserve">Hoarding is better against sharing (1 = yes)</t>
  </si>
  <si>
    <t xml:space="preserve">Hoarding is better against hoarding (1 = yes)</t>
  </si>
  <si>
    <t xml:space="preserve">The equilibrium, both hoard: worth to the company</t>
  </si>
  <si>
    <t xml:space="preserve">2</t>
  </si>
  <si>
    <t xml:space="preserve">Both share: worth to the company</t>
  </si>
  <si>
    <t xml:space="preserve">6</t>
  </si>
  <si>
    <t xml:space="preserve">Proposition 14.1(iii): a local maximum for a rule that cannot tell two states apart</t>
  </si>
  <si>
    <t xml:space="preserve">beta (Meridian's quarter)</t>
  </si>
  <si>
    <t xml:space="preserve">Any beta in (1/4, 1)</t>
  </si>
  <si>
    <t xml:space="preserve">V(1) = 4 beta - 1, the maximum at theta = 1</t>
  </si>
  <si>
    <t xml:space="preserve">Below theta = 1/(8 beta) the gradient is negative</t>
  </si>
  <si>
    <t xml:space="preserve">theta</t>
  </si>
  <si>
    <t xml:space="preserve">V(theta) = -theta + 4 beta theta^2</t>
  </si>
  <si>
    <t xml:space="preserve">dV/dtheta = -1 + 8 beta theta</t>
  </si>
  <si>
    <t xml:space="preserve">Theorem 14.1(iii): failures</t>
  </si>
  <si>
    <t xml:space="preserve">(b) Constant step alpha</t>
  </si>
  <si>
    <t xml:space="preserve">Rewards +1 or -1, equally likely</t>
  </si>
  <si>
    <t xml:space="preserve">  variance of Q in the long run, alpha/((1 - beta)(2 - alpha(1 - beta)))</t>
  </si>
  <si>
    <t xml:space="preserve">Q* = 0, yet Q never settles</t>
  </si>
  <si>
    <t xml:space="preserve">(c) Fitted values theta at state 1 and 2 theta at state 2: growth a step, 1 + alpha (2 beta - 1)</t>
  </si>
  <si>
    <t xml:space="preserve">  after 100 updates, theta is multiplied by</t>
  </si>
  <si>
    <t xml:space="preserve">Grows without bound</t>
  </si>
  <si>
    <t xml:space="preserve">Checkpoint</t>
  </si>
  <si>
    <t xml:space="preserve">Engine value</t>
  </si>
  <si>
    <t xml:space="preserve">Meaning (where in the book)</t>
  </si>
  <si>
    <t xml:space="preserve">Effective horizon 1/(1 - beta)</t>
  </si>
  <si>
    <t xml:space="preserve">Capability levels</t>
  </si>
  <si>
    <t xml:space="preserve">2,113 (Step 1)</t>
  </si>
  <si>
    <t xml:space="preserve">The guardrail holds the best rule (Step 1)</t>
  </si>
  <si>
    <t xml:space="preserve">Best rule: cost from 58, one Bellman step</t>
  </si>
  <si>
    <t xml:space="preserve">Best rule: above Chapter 7's</t>
  </si>
  <si>
    <t xml:space="preserve">Best rule: largest Bellman residual</t>
  </si>
  <si>
    <t xml:space="preserve">Certifies the engine's values</t>
  </si>
  <si>
    <t xml:space="preserve">Best rule: levels where the formulas' best hire is the engine's</t>
  </si>
  <si>
    <t xml:space="preserve">All 201</t>
  </si>
  <si>
    <t xml:space="preserve">Best rule: hires at the cap at and below</t>
  </si>
  <si>
    <t xml:space="preserve">Best rule: hires nothing at and above</t>
  </si>
  <si>
    <t xml:space="preserve">Best rule: plans from</t>
  </si>
  <si>
    <t xml:space="preserve">Best rule: plans to</t>
  </si>
  <si>
    <t xml:space="preserve">Best rule: long-run share below the floor</t>
  </si>
  <si>
    <t xml:space="preserve">Best rule: expected capability after one quarter</t>
  </si>
  <si>
    <t xml:space="preserve">56.55</t>
  </si>
  <si>
    <t xml:space="preserve">Volume I's rule: levels matching the formula</t>
  </si>
  <si>
    <t xml:space="preserve">Hire to plan 58</t>
  </si>
  <si>
    <t xml:space="preserve">Volume I's rule: excess</t>
  </si>
  <si>
    <t xml:space="preserve">15.37</t>
  </si>
  <si>
    <t xml:space="preserve">Worst admissible rule: hires only what the limits force</t>
  </si>
  <si>
    <t xml:space="preserve">All 201 levels</t>
  </si>
  <si>
    <t xml:space="preserve">Worst admissible rule: excess</t>
  </si>
  <si>
    <t xml:space="preserve">Worst guarded rule: hires the most the guardrail allows</t>
  </si>
  <si>
    <t xml:space="preserve">Worst guarded rule: excess</t>
  </si>
  <si>
    <t xml:space="preserve">Certify: fewest levels breaking the guardrail</t>
  </si>
  <si>
    <t xml:space="preserve">Certify: most levels breaking the guardrail</t>
  </si>
  <si>
    <t xml:space="preserve">Certify: highest breach</t>
  </si>
  <si>
    <t xml:space="preserve">Certify: smallest share of breaches below 45</t>
  </si>
  <si>
    <t xml:space="preserve">Certify: best rule's long-run share at the breaches, at most</t>
  </si>
  <si>
    <t xml:space="preserve">Q-learning, declared: mean excess after 1,000</t>
  </si>
  <si>
    <t xml:space="preserve">Example 14.B.2</t>
  </si>
  <si>
    <t xml:space="preserve">Q-learning, declared: mean excess after 10,000</t>
  </si>
  <si>
    <t xml:space="preserve">Q-learning, declared: mean excess after 100,000</t>
  </si>
  <si>
    <t xml:space="preserve">Q-learning, declared: mean excess after 1,000,000</t>
  </si>
  <si>
    <t xml:space="preserve">Q-learning, declared: mean excess after 2,000,000</t>
  </si>
  <si>
    <t xml:space="preserve">Q-learning, 1/n: mean excess after 1,000</t>
  </si>
  <si>
    <t xml:space="preserve">Q-learning, 1/n: mean excess after 10,000</t>
  </si>
  <si>
    <t xml:space="preserve">Q-learning, 1/n: mean excess after 100,000</t>
  </si>
  <si>
    <t xml:space="preserve">Q-learning, 1/n: mean excess after 1,000,000</t>
  </si>
  <si>
    <t xml:space="preserve">Q-learning, constant 0.1: mean excess after 1,000</t>
  </si>
  <si>
    <t xml:space="preserve">Q-learning, constant 0.1: mean excess after 10,000</t>
  </si>
  <si>
    <t xml:space="preserve">Q-learning, constant 0.1: mean excess after 100,000</t>
  </si>
  <si>
    <t xml:space="preserve">Q-learning, constant 0.1: mean excess after 1,000,000</t>
  </si>
  <si>
    <t xml:space="preserve">Q-learning, 1/n^0.7: mean excess after 1,000</t>
  </si>
  <si>
    <t xml:space="preserve">Q-learning, 1/n^0.7: mean excess after 10,000</t>
  </si>
  <si>
    <t xml:space="preserve">Q-learning, 1/n^0.7: mean excess after 100,000</t>
  </si>
  <si>
    <t xml:space="preserve">Q-learning, 1/n^0.7: mean excess after 1,000,000</t>
  </si>
  <si>
    <t xml:space="preserve">Q-learning, declared: 90th percentile after 10,000</t>
  </si>
  <si>
    <t xml:space="preserve">Table 14.3</t>
  </si>
  <si>
    <t xml:space="preserve">Q-learning, declared: 90th percentile after 100,000</t>
  </si>
  <si>
    <t xml:space="preserve">Q-learning, declared: 90th percentile after 1,000,000</t>
  </si>
  <si>
    <t xml:space="preserve">Q-learning, declared: 90th percentile after 2,000,000</t>
  </si>
  <si>
    <t xml:space="preserve">Q-learning, declared: lowest after 1,000</t>
  </si>
  <si>
    <t xml:space="preserve">Q-learning, declared: highest after 1,000</t>
  </si>
  <si>
    <t xml:space="preserve">Q-learning, declared: lowest after 10,000</t>
  </si>
  <si>
    <t xml:space="preserve">Q-learning, declared: highest after 10,000</t>
  </si>
  <si>
    <t xml:space="preserve">Q-learning, declared: lowest after 100,000</t>
  </si>
  <si>
    <t xml:space="preserve">Q-learning, declared: highest after 100,000</t>
  </si>
  <si>
    <t xml:space="preserve">Q-learning, declared: lowest after 1,000,000</t>
  </si>
  <si>
    <t xml:space="preserve">Q-learning, declared: highest after 1,000,000</t>
  </si>
  <si>
    <t xml:space="preserve">Q-learning, declared: agents within $1m after 2,000,000</t>
  </si>
  <si>
    <t xml:space="preserve">Nine of ten</t>
  </si>
  <si>
    <t xml:space="preserve">Q-learning, declared: 1th lowest excess after 2,000,000</t>
  </si>
  <si>
    <t xml:space="preserve">Q-learning, declared: 2th lowest excess after 2,000,000</t>
  </si>
  <si>
    <t xml:space="preserve">Q-learning, declared: 3th lowest excess after 2,000,000</t>
  </si>
  <si>
    <t xml:space="preserve">Q-learning, declared: 4th lowest excess after 2,000,000</t>
  </si>
  <si>
    <t xml:space="preserve">Q-learning, declared: 5th lowest excess after 2,000,000</t>
  </si>
  <si>
    <t xml:space="preserve">Q-learning, declared: 6th lowest excess after 2,000,000</t>
  </si>
  <si>
    <t xml:space="preserve">Q-learning, declared: 7th lowest excess after 2,000,000</t>
  </si>
  <si>
    <t xml:space="preserve">Q-learning, declared: 8th lowest excess after 2,000,000</t>
  </si>
  <si>
    <t xml:space="preserve">Q-learning, declared: 9th lowest excess after 2,000,000</t>
  </si>
  <si>
    <t xml:space="preserve">Q-learning, declared: 10th lowest excess after 2,000,000</t>
  </si>
  <si>
    <t xml:space="preserve">Theorem 14.1(ii): uniform bound</t>
  </si>
  <si>
    <t xml:space="preserve">Theorem 14.1(ii): uniform bound, $ billion</t>
  </si>
  <si>
    <t xml:space="preserve">$52 billion</t>
  </si>
  <si>
    <t xml:space="preserve">Greedy learners: median excess</t>
  </si>
  <si>
    <t xml:space="preserve">121.19</t>
  </si>
  <si>
    <t xml:space="preserve">Greedy learners: largest excess</t>
  </si>
  <si>
    <t xml:space="preserve">Greedy learners: lowest excess</t>
  </si>
  <si>
    <t xml:space="preserve">Bandit: best target</t>
  </si>
  <si>
    <t xml:space="preserve">Bandit: the lower neighbour's shortfall</t>
  </si>
  <si>
    <t xml:space="preserve">Bandit: the upper neighbour's shortfall</t>
  </si>
  <si>
    <t xml:space="preserve">Bandit: greedy regret = sum of shortfall x trials</t>
  </si>
  <si>
    <t xml:space="preserve">20,372</t>
  </si>
  <si>
    <t xml:space="preserve">Bandit: one in ten at random, regret</t>
  </si>
  <si>
    <t xml:space="preserve">12,498</t>
  </si>
  <si>
    <t xml:space="preserve">Bandit: optimistic regret</t>
  </si>
  <si>
    <t xml:space="preserve">7,357</t>
  </si>
  <si>
    <t xml:space="preserve">Bandit: the optimistic rule's next target, run 1</t>
  </si>
  <si>
    <t xml:space="preserve">Its least index</t>
  </si>
  <si>
    <t xml:space="preserve">Bandit: trials in run 1</t>
  </si>
  <si>
    <t xml:space="preserve">200,000</t>
  </si>
  <si>
    <t xml:space="preserve">Theorem 14.3(i): per unit of distance, $ billion</t>
  </si>
  <si>
    <t xml:space="preserve">About $88 billion</t>
  </si>
  <si>
    <t xml:space="preserve">Swings, 12 quarters: mean excess</t>
  </si>
  <si>
    <t xml:space="preserve">Swings, 12 quarters: 90th percentile</t>
  </si>
  <si>
    <t xml:space="preserve">Swings, 12 quarters: worst record</t>
  </si>
  <si>
    <t xml:space="preserve">Swings, 12 quarters: records with the best rule</t>
  </si>
  <si>
    <t xml:space="preserve">Swings, 40 quarters: mean excess</t>
  </si>
  <si>
    <t xml:space="preserve">Swings, 40 quarters: 90th percentile</t>
  </si>
  <si>
    <t xml:space="preserve">Swings, 40 quarters: worst record</t>
  </si>
  <si>
    <t xml:space="preserve">Swings, 40 quarters: records with the best rule</t>
  </si>
  <si>
    <t xml:space="preserve">Swings, 120 quarters: mean excess</t>
  </si>
  <si>
    <t xml:space="preserve">Swings, 120 quarters: 90th percentile</t>
  </si>
  <si>
    <t xml:space="preserve">Swings, 120 quarters: worst record</t>
  </si>
  <si>
    <t xml:space="preserve">Swings, 120 quarters: records with the best rule</t>
  </si>
  <si>
    <t xml:space="preserve">Practice, first record: intercept (LINEST)</t>
  </si>
  <si>
    <t xml:space="preserve">Practice, first record: capability coefficient</t>
  </si>
  <si>
    <t xml:space="preserve">Practice, first record: hiring coefficient</t>
  </si>
  <si>
    <t xml:space="preserve">2.219</t>
  </si>
  <si>
    <t xml:space="preserve">Practice, first record: correlation of hiring with capability</t>
  </si>
  <si>
    <t xml:space="preserve">Collinear</t>
  </si>
  <si>
    <t xml:space="preserve">Practice: lowest effect of a point hired</t>
  </si>
  <si>
    <t xml:space="preserve">Practice: highest effect of a point hired</t>
  </si>
  <si>
    <t xml:space="preserve">Practice: records whose rule hires nothing at 55</t>
  </si>
  <si>
    <t xml:space="preserve">Practice: records with the worst admissible rule</t>
  </si>
  <si>
    <t xml:space="preserve">Practice: worst rules that hire at 55</t>
  </si>
  <si>
    <t xml:space="preserve">None: all 66 stop at 55</t>
  </si>
  <si>
    <t xml:space="preserve">Practice: records within $1m of the best</t>
  </si>
  <si>
    <t xml:space="preserve">Practice: median excess</t>
  </si>
  <si>
    <t xml:space="preserve">Practice: 90th percentile</t>
  </si>
  <si>
    <t xml:space="preserve">Company: guarded learners lose less than the worst guarded rule</t>
  </si>
  <si>
    <t xml:space="preserve">Proposition 14.2(i)</t>
  </si>
  <si>
    <t xml:space="preserve">Table 14.3: Q-learning after a million quarters</t>
  </si>
  <si>
    <t xml:space="preserve">1.26</t>
  </si>
  <si>
    <t xml:space="preserve">Fictitious play: rounds with the same decision</t>
  </si>
  <si>
    <t xml:space="preserve">Every round</t>
  </si>
  <si>
    <t xml:space="preserve">Fictitious play: payoff in all</t>
  </si>
  <si>
    <t xml:space="preserve">0</t>
  </si>
  <si>
    <t xml:space="preserve">Fictitious play: frequency of A</t>
  </si>
  <si>
    <t xml:space="preserve">1/2</t>
  </si>
  <si>
    <t xml:space="preserve">Share or hoard: the equilibrium's worth</t>
  </si>
  <si>
    <t xml:space="preserve">Share or hoard: both sharing</t>
  </si>
  <si>
    <t xml:space="preserve">Proposition 14.1(iii): V(1) = 4 beta - 1</t>
  </si>
  <si>
    <t xml:space="preserve">The maximum</t>
  </si>
  <si>
    <t xml:space="preserve">Proposition 14.1(iii): 1/(8 beta)</t>
  </si>
  <si>
    <t xml:space="preserve">Below it the gradient is negative</t>
  </si>
  <si>
    <t xml:space="preserve">Workbook formula value</t>
  </si>
  <si>
    <t xml:space="preserve">|diff|</t>
  </si>
  <si>
    <t xml:space="preserve">Tolerance</t>
  </si>
  <si>
    <t xml:space="preserve">Status</t>
  </si>
  <si>
    <t xml:space="preserve">All checkpoints</t>
  </si>
</sst>
</file>

<file path=xl/styles.xml><?xml version="1.0" encoding="utf-8"?>
<styleSheet xmlns="http://schemas.openxmlformats.org/spreadsheetml/2006/main">
  <numFmts count="15">
    <numFmt numFmtId="164" formatCode="General"/>
    <numFmt numFmtId="165" formatCode="0.00"/>
    <numFmt numFmtId="166" formatCode="0.000000"/>
    <numFmt numFmtId="167" formatCode="0.000"/>
    <numFmt numFmtId="168" formatCode="0"/>
    <numFmt numFmtId="169" formatCode="#,##0"/>
    <numFmt numFmtId="170" formatCode="0.0E+00"/>
    <numFmt numFmtId="171" formatCode="0.0000"/>
    <numFmt numFmtId="172" formatCode="0.00%"/>
    <numFmt numFmtId="173" formatCode="0%"/>
    <numFmt numFmtId="174" formatCode="0.0000%"/>
    <numFmt numFmtId="175" formatCode="0.0%"/>
    <numFmt numFmtId="176" formatCode="0.0"/>
    <numFmt numFmtId="177" formatCode="#,##0.0"/>
    <numFmt numFmtId="178" formatCode="#,##0.00"/>
  </numFmts>
  <fonts count="1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sz val="10"/>
      <color rgb="FF0000FF"/>
      <name val="Arial"/>
      <family val="0"/>
      <charset val="1"/>
    </font>
    <font>
      <b val="true"/>
      <sz val="10"/>
      <color rgb="FF008000"/>
      <name val="Arial"/>
      <family val="0"/>
      <charset val="1"/>
    </font>
    <font>
      <sz val="10"/>
      <color rgb="FF008000"/>
      <name val="Arial"/>
      <family val="0"/>
      <charset val="1"/>
    </font>
    <font>
      <b val="true"/>
      <sz val="10"/>
      <color rgb="FFFFFFFF"/>
      <name val="Arial"/>
      <family val="0"/>
      <charset val="1"/>
    </font>
    <font>
      <i val="true"/>
      <sz val="9"/>
      <color rgb="FF555555"/>
      <name val="Arial"/>
      <family val="0"/>
      <charset val="1"/>
    </font>
  </fonts>
  <fills count="5">
    <fill>
      <patternFill patternType="none"/>
    </fill>
    <fill>
      <patternFill patternType="gray125"/>
    </fill>
    <fill>
      <patternFill patternType="solid">
        <fgColor rgb="FFFFF3D6"/>
        <bgColor rgb="FFE8F0EC"/>
      </patternFill>
    </fill>
    <fill>
      <patternFill patternType="solid">
        <fgColor rgb="FFE8F0EC"/>
        <bgColor rgb="FFFFF3D6"/>
      </patternFill>
    </fill>
    <fill>
      <patternFill patternType="solid">
        <fgColor rgb="FF0B3D2E"/>
        <bgColor rgb="FF003366"/>
      </patternFill>
    </fill>
  </fills>
  <borders count="2">
    <border diagonalUp="false" diagonalDown="false">
      <left/>
      <right/>
      <top/>
      <bottom/>
      <diagonal/>
    </border>
    <border diagonalUp="false" diagonalDown="false">
      <left/>
      <right/>
      <top/>
      <bottom style="thin">
        <color rgb="FFB4BE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5" fontId="7"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7" fontId="7" fillId="2"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8" fontId="7" fillId="2"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1" fontId="8" fillId="3"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2" fontId="8" fillId="3"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73" fontId="8" fillId="3"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69" fontId="7" fillId="2" borderId="0" xfId="0" applyFont="true" applyBorder="false" applyAlignment="false" applyProtection="false">
      <alignment horizontal="general" vertical="bottom" textRotation="0" wrapText="false" indent="0" shrinkToFit="false"/>
      <protection locked="true" hidden="false"/>
    </xf>
    <xf numFmtId="166" fontId="7" fillId="2"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75" fontId="8" fillId="3"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xf numFmtId="176" fontId="8" fillId="3" borderId="0" xfId="0" applyFont="true" applyBorder="false" applyAlignment="false" applyProtection="false">
      <alignment horizontal="general" vertical="bottom" textRotation="0" wrapText="false" indent="0" shrinkToFit="false"/>
      <protection locked="true" hidden="false"/>
    </xf>
    <xf numFmtId="176" fontId="7" fillId="2"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7" fontId="8" fillId="3"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78" fontId="8" fillId="3" borderId="0" xfId="0" applyFont="true" applyBorder="fals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75" fontId="5" fillId="0"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xf numFmtId="178"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70" fontId="7" fillId="2"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BECE"/>
      <rgbColor rgb="FF808080"/>
      <rgbColor rgb="FF9999FF"/>
      <rgbColor rgb="FF993366"/>
      <rgbColor rgb="FFFFF3D6"/>
      <rgbColor rgb="FFE8F0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B3D2E"/>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5" hidden="false" customHeight="false" outlineLevel="0" collapsed="false">
      <c r="B1" s="1" t="s">
        <v>0</v>
      </c>
    </row>
    <row r="2" customFormat="false" ht="15" hidden="false" customHeight="false" outlineLevel="0" collapsed="false">
      <c r="B2" s="2" t="s">
        <v>1</v>
      </c>
    </row>
    <row r="4" customFormat="false" ht="35.05" hidden="false" customHeight="false" outlineLevel="0" collapsed="false">
      <c r="B4" s="3" t="s">
        <v>2</v>
      </c>
    </row>
    <row r="5" customFormat="false" ht="15" hidden="false" customHeight="false" outlineLevel="0" collapsed="false">
      <c r="B5" s="3" t="s">
        <v>3</v>
      </c>
    </row>
    <row r="6" customFormat="false" ht="15" hidden="false" customHeight="false" outlineLevel="0" collapsed="false">
      <c r="B6" s="3" t="s">
        <v>4</v>
      </c>
    </row>
    <row r="7" customFormat="false" ht="23.85" hidden="false" customHeight="false" outlineLevel="0" collapsed="false">
      <c r="B7" s="3" t="s">
        <v>5</v>
      </c>
    </row>
    <row r="8" customFormat="false" ht="15" hidden="false" customHeight="false" outlineLevel="0" collapsed="false">
      <c r="B8" s="3" t="s">
        <v>6</v>
      </c>
    </row>
    <row r="9" customFormat="false" ht="15" hidden="false" customHeight="false" outlineLevel="0" collapsed="false">
      <c r="B9" s="3" t="s">
        <v>7</v>
      </c>
    </row>
    <row r="10" customFormat="false" ht="23.85" hidden="false" customHeight="false" outlineLevel="0" collapsed="false">
      <c r="B10" s="3" t="s">
        <v>8</v>
      </c>
    </row>
    <row r="11" customFormat="false" ht="15" hidden="false" customHeight="false" outlineLevel="0" collapsed="false">
      <c r="B11" s="3" t="s">
        <v>9</v>
      </c>
    </row>
    <row r="12" customFormat="false" ht="23.85" hidden="false" customHeight="false" outlineLevel="0" collapsed="false">
      <c r="B12" s="3" t="s">
        <v>10</v>
      </c>
    </row>
    <row r="13" customFormat="false" ht="23.85" hidden="false" customHeight="false" outlineLevel="0" collapsed="false">
      <c r="B13" s="3" t="s">
        <v>11</v>
      </c>
    </row>
    <row r="14" customFormat="false" ht="23.85" hidden="false" customHeight="false" outlineLevel="0" collapsed="false">
      <c r="B14" s="3" t="s">
        <v>12</v>
      </c>
    </row>
    <row r="15" customFormat="false" ht="15" hidden="false" customHeight="false" outlineLevel="0" collapsed="false">
      <c r="B15" s="3" t="s">
        <v>13</v>
      </c>
    </row>
    <row r="17" customFormat="false" ht="15" hidden="false" customHeight="false" outlineLevel="0" collapsed="false">
      <c r="B17" s="4" t="s">
        <v>14</v>
      </c>
    </row>
    <row r="18" customFormat="false" ht="15" hidden="false" customHeight="false" outlineLevel="0" collapsed="false">
      <c r="B18" s="5" t="s">
        <v>15</v>
      </c>
    </row>
    <row r="19" customFormat="false" ht="15" hidden="false" customHeight="false" outlineLevel="0" collapsed="false">
      <c r="B19" s="2" t="s">
        <v>16</v>
      </c>
    </row>
    <row r="20" customFormat="false" ht="15" hidden="false" customHeight="false" outlineLevel="0" collapsed="false">
      <c r="B20" s="6" t="s">
        <v>17</v>
      </c>
    </row>
    <row r="21" customFormat="false" ht="15" hidden="false" customHeight="false" outlineLevel="0" collapsed="false">
      <c r="B21" s="7"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4"/>
    <col collapsed="false" customWidth="true" hidden="false" outlineLevel="0" max="2" min="2" style="0" width="14"/>
    <col collapsed="false" customWidth="true" hidden="false" outlineLevel="0" max="3" min="3" style="0" width="30"/>
    <col collapsed="false" customWidth="true" hidden="false" outlineLevel="0" max="4" min="4" style="0" width="22"/>
    <col collapsed="false" customWidth="true" hidden="false" outlineLevel="0" max="5" min="5" style="0" width="18"/>
  </cols>
  <sheetData>
    <row r="1" customFormat="false" ht="15" hidden="false" customHeight="false" outlineLevel="0" collapsed="false">
      <c r="A1" s="1" t="s">
        <v>19</v>
      </c>
    </row>
    <row r="3" customFormat="false" ht="15" hidden="false" customHeight="false" outlineLevel="0" collapsed="false">
      <c r="A3" s="8" t="s">
        <v>20</v>
      </c>
      <c r="B3" s="8" t="s">
        <v>21</v>
      </c>
      <c r="C3" s="8" t="s">
        <v>22</v>
      </c>
    </row>
    <row r="4" customFormat="false" ht="15" hidden="false" customHeight="false" outlineLevel="0" collapsed="false">
      <c r="A4" s="2" t="s">
        <v>23</v>
      </c>
      <c r="B4" s="9" t="n">
        <v>0.1</v>
      </c>
      <c r="C4" s="10" t="s">
        <v>24</v>
      </c>
    </row>
    <row r="5" customFormat="false" ht="15" hidden="false" customHeight="false" outlineLevel="0" collapsed="false">
      <c r="A5" s="2" t="s">
        <v>25</v>
      </c>
      <c r="B5" s="11" t="n">
        <f aca="false">(1+B4)^(-1/4)</f>
        <v>0.976454089676311</v>
      </c>
      <c r="C5" s="10" t="s">
        <v>26</v>
      </c>
    </row>
    <row r="6" customFormat="false" ht="15" hidden="false" customHeight="false" outlineLevel="0" collapsed="false">
      <c r="A6" s="2" t="s">
        <v>27</v>
      </c>
      <c r="B6" s="12" t="n">
        <f aca="false">1/(1-B5)</f>
        <v>42.4702203589854</v>
      </c>
      <c r="C6" s="10" t="s">
        <v>28</v>
      </c>
    </row>
    <row r="7" customFormat="false" ht="15" hidden="false" customHeight="false" outlineLevel="0" collapsed="false">
      <c r="A7" s="2" t="s">
        <v>29</v>
      </c>
      <c r="B7" s="13" t="n">
        <v>0.975</v>
      </c>
      <c r="C7" s="10" t="s">
        <v>30</v>
      </c>
    </row>
    <row r="8" customFormat="false" ht="15" hidden="false" customHeight="false" outlineLevel="0" collapsed="false">
      <c r="A8" s="2" t="s">
        <v>31</v>
      </c>
      <c r="B8" s="9" t="n">
        <v>4</v>
      </c>
      <c r="C8" s="10" t="s">
        <v>32</v>
      </c>
    </row>
    <row r="9" customFormat="false" ht="15" hidden="false" customHeight="false" outlineLevel="0" collapsed="false">
      <c r="A9" s="2" t="s">
        <v>33</v>
      </c>
      <c r="B9" s="9" t="n">
        <v>2.5</v>
      </c>
    </row>
    <row r="10" customFormat="false" ht="15" hidden="false" customHeight="false" outlineLevel="0" collapsed="false">
      <c r="A10" s="2" t="s">
        <v>34</v>
      </c>
      <c r="B10" s="9" t="n">
        <v>55</v>
      </c>
    </row>
    <row r="11" customFormat="false" ht="15" hidden="false" customHeight="false" outlineLevel="0" collapsed="false">
      <c r="A11" s="2" t="s">
        <v>35</v>
      </c>
      <c r="B11" s="9" t="n">
        <v>1.6</v>
      </c>
      <c r="C11" s="10" t="s">
        <v>36</v>
      </c>
    </row>
    <row r="12" customFormat="false" ht="15" hidden="false" customHeight="false" outlineLevel="0" collapsed="false">
      <c r="A12" s="2" t="s">
        <v>37</v>
      </c>
      <c r="B12" s="9" t="n">
        <v>30</v>
      </c>
    </row>
    <row r="13" customFormat="false" ht="15" hidden="false" customHeight="false" outlineLevel="0" collapsed="false">
      <c r="A13" s="2" t="s">
        <v>38</v>
      </c>
      <c r="B13" s="9" t="n">
        <v>80</v>
      </c>
    </row>
    <row r="14" customFormat="false" ht="15" hidden="false" customHeight="false" outlineLevel="0" collapsed="false">
      <c r="A14" s="2" t="s">
        <v>39</v>
      </c>
      <c r="B14" s="9" t="n">
        <v>0.25</v>
      </c>
      <c r="C14" s="10" t="s">
        <v>40</v>
      </c>
    </row>
    <row r="15" customFormat="false" ht="15" hidden="false" customHeight="false" outlineLevel="0" collapsed="false">
      <c r="A15" s="2" t="s">
        <v>41</v>
      </c>
      <c r="B15" s="14" t="n">
        <f aca="false">ROUND((B13-B12)/B14,0)+1</f>
        <v>201</v>
      </c>
      <c r="C15" s="10" t="s">
        <v>42</v>
      </c>
    </row>
    <row r="16" customFormat="false" ht="15" hidden="false" customHeight="false" outlineLevel="0" collapsed="false">
      <c r="A16" s="2" t="s">
        <v>43</v>
      </c>
      <c r="B16" s="9" t="n">
        <v>0.25</v>
      </c>
      <c r="C16" s="10" t="s">
        <v>44</v>
      </c>
    </row>
    <row r="17" customFormat="false" ht="15" hidden="false" customHeight="false" outlineLevel="0" collapsed="false">
      <c r="A17" s="2" t="s">
        <v>45</v>
      </c>
      <c r="B17" s="14" t="n">
        <f aca="false">ROUND(B9/B16,0)+1</f>
        <v>11</v>
      </c>
      <c r="C17" s="10" t="s">
        <v>46</v>
      </c>
    </row>
    <row r="18" customFormat="false" ht="15" hidden="false" customHeight="false" outlineLevel="0" collapsed="false">
      <c r="A18" s="2" t="s">
        <v>47</v>
      </c>
      <c r="B18" s="9" t="n">
        <v>58</v>
      </c>
      <c r="C18" s="10" t="s">
        <v>48</v>
      </c>
    </row>
    <row r="19" customFormat="false" ht="15" hidden="false" customHeight="false" outlineLevel="0" collapsed="false">
      <c r="A19" s="2" t="s">
        <v>49</v>
      </c>
      <c r="B19" s="9" t="n">
        <v>0.1</v>
      </c>
      <c r="C19" s="10" t="s">
        <v>50</v>
      </c>
    </row>
    <row r="20" customFormat="false" ht="15" hidden="false" customHeight="false" outlineLevel="0" collapsed="false">
      <c r="A20" s="2" t="s">
        <v>51</v>
      </c>
      <c r="B20" s="9" t="n">
        <v>0</v>
      </c>
      <c r="C20" s="10" t="s">
        <v>52</v>
      </c>
    </row>
    <row r="21" customFormat="false" ht="15" hidden="false" customHeight="false" outlineLevel="0" collapsed="false">
      <c r="A21" s="2" t="s">
        <v>53</v>
      </c>
      <c r="B21" s="13" t="n">
        <v>230.755</v>
      </c>
      <c r="C21" s="10" t="s">
        <v>54</v>
      </c>
    </row>
    <row r="22" customFormat="false" ht="15" hidden="false" customHeight="false" outlineLevel="0" collapsed="false">
      <c r="A22" s="2" t="s">
        <v>55</v>
      </c>
      <c r="B22" s="12" t="n">
        <f aca="false">B8*B9+B11*(B10-B12)</f>
        <v>50</v>
      </c>
      <c r="C22" s="10" t="s">
        <v>56</v>
      </c>
    </row>
    <row r="24" customFormat="false" ht="15" hidden="false" customHeight="false" outlineLevel="0" collapsed="false">
      <c r="A24" s="8" t="s">
        <v>57</v>
      </c>
      <c r="B24" s="8" t="s">
        <v>58</v>
      </c>
      <c r="C24" s="8" t="s">
        <v>59</v>
      </c>
      <c r="D24" s="8" t="s">
        <v>60</v>
      </c>
      <c r="E24" s="8" t="s">
        <v>61</v>
      </c>
    </row>
    <row r="25" customFormat="false" ht="15" hidden="false" customHeight="false" outlineLevel="0" collapsed="false">
      <c r="A25" s="9" t="n">
        <v>1.5</v>
      </c>
      <c r="B25" s="9" t="n">
        <v>0.05</v>
      </c>
      <c r="C25" s="15" t="n">
        <v>2</v>
      </c>
      <c r="D25" s="12" t="n">
        <f aca="false">C25/SUM($C$25:$C$29)</f>
        <v>0.05</v>
      </c>
      <c r="E25" s="14" t="n">
        <f aca="false">ROUND(A25/$B$14,0)</f>
        <v>6</v>
      </c>
    </row>
    <row r="26" customFormat="false" ht="15" hidden="false" customHeight="false" outlineLevel="0" collapsed="false">
      <c r="A26" s="9" t="n">
        <v>0.75</v>
      </c>
      <c r="B26" s="9" t="n">
        <v>0.2</v>
      </c>
      <c r="C26" s="15" t="n">
        <v>8</v>
      </c>
      <c r="D26" s="12" t="n">
        <f aca="false">C26/SUM($C$25:$C$29)</f>
        <v>0.2</v>
      </c>
      <c r="E26" s="14" t="n">
        <f aca="false">ROUND(A26/$B$14,0)</f>
        <v>3</v>
      </c>
    </row>
    <row r="27" customFormat="false" ht="15" hidden="false" customHeight="false" outlineLevel="0" collapsed="false">
      <c r="A27" s="9" t="n">
        <v>0</v>
      </c>
      <c r="B27" s="9" t="n">
        <v>0.5</v>
      </c>
      <c r="C27" s="15" t="n">
        <v>20</v>
      </c>
      <c r="D27" s="12" t="n">
        <f aca="false">C27/SUM($C$25:$C$29)</f>
        <v>0.5</v>
      </c>
      <c r="E27" s="14" t="n">
        <f aca="false">ROUND(A27/$B$14,0)</f>
        <v>0</v>
      </c>
    </row>
    <row r="28" customFormat="false" ht="15" hidden="false" customHeight="false" outlineLevel="0" collapsed="false">
      <c r="A28" s="9" t="n">
        <v>-0.75</v>
      </c>
      <c r="B28" s="9" t="n">
        <v>0.2</v>
      </c>
      <c r="C28" s="15" t="n">
        <v>8</v>
      </c>
      <c r="D28" s="12" t="n">
        <f aca="false">C28/SUM($C$25:$C$29)</f>
        <v>0.2</v>
      </c>
      <c r="E28" s="14" t="n">
        <f aca="false">ROUND(A28/$B$14,0)</f>
        <v>-3</v>
      </c>
    </row>
    <row r="29" customFormat="false" ht="15" hidden="false" customHeight="false" outlineLevel="0" collapsed="false">
      <c r="A29" s="9" t="n">
        <v>-1.5</v>
      </c>
      <c r="B29" s="9" t="n">
        <v>0.05</v>
      </c>
      <c r="C29" s="15" t="n">
        <v>2</v>
      </c>
      <c r="D29" s="12" t="n">
        <f aca="false">C29/SUM($C$25:$C$29)</f>
        <v>0.05</v>
      </c>
      <c r="E29" s="14" t="n">
        <f aca="false">ROUND(A29/$B$14,0)</f>
        <v>-6</v>
      </c>
    </row>
    <row r="30" customFormat="false" ht="15" hidden="false" customHeight="false" outlineLevel="0" collapsed="false">
      <c r="A30" s="2" t="s">
        <v>62</v>
      </c>
      <c r="B30" s="12" t="n">
        <f aca="false">SUM(B25:B29)</f>
        <v>1</v>
      </c>
      <c r="C30" s="14" t="n">
        <f aca="false">SUM(C25:C29)</f>
        <v>40</v>
      </c>
    </row>
    <row r="31" customFormat="false" ht="15" hidden="false" customHeight="false" outlineLevel="0" collapsed="false">
      <c r="A31" s="2" t="s">
        <v>63</v>
      </c>
      <c r="B31" s="16" t="n">
        <f aca="false">SUMPRODUCT(A25:A29,B25:B29)</f>
        <v>0</v>
      </c>
    </row>
    <row r="32" customFormat="false" ht="15" hidden="false" customHeight="false" outlineLevel="0" collapsed="false">
      <c r="A32" s="2" t="s">
        <v>64</v>
      </c>
      <c r="B32" s="16" t="n">
        <f aca="false">SQRT(SUMPRODUCT(A25:A29,A25:A29,B25:B29)-B31^2)</f>
        <v>0.670820393249937</v>
      </c>
    </row>
    <row r="33" customFormat="false" ht="15" hidden="false" customHeight="false" outlineLevel="0" collapsed="false">
      <c r="A33" s="10" t="s">
        <v>65</v>
      </c>
    </row>
    <row r="35" customFormat="false" ht="15" hidden="false" customHeight="false" outlineLevel="0" collapsed="false">
      <c r="A35" s="4" t="s">
        <v>66</v>
      </c>
    </row>
    <row r="36" customFormat="false" ht="15" hidden="false" customHeight="false" outlineLevel="0" collapsed="false">
      <c r="A36" s="2" t="s">
        <v>67</v>
      </c>
    </row>
    <row r="37" customFormat="false" ht="15" hidden="false" customHeight="false" outlineLevel="0" collapsed="false">
      <c r="A37" s="2" t="s">
        <v>68</v>
      </c>
    </row>
    <row r="38" customFormat="false" ht="15" hidden="false" customHeight="false" outlineLevel="0" collapsed="false">
      <c r="A38" s="2" t="s">
        <v>69</v>
      </c>
    </row>
    <row r="40" customFormat="false" ht="15" hidden="false" customHeight="false" outlineLevel="0" collapsed="false">
      <c r="A40" s="4" t="s">
        <v>70</v>
      </c>
    </row>
    <row r="41" customFormat="false" ht="15" hidden="false" customHeight="false" outlineLevel="0" collapsed="false">
      <c r="A41" s="2" t="s">
        <v>71</v>
      </c>
      <c r="B41" s="15" t="n">
        <v>1400</v>
      </c>
      <c r="C41" s="10" t="s">
        <v>72</v>
      </c>
    </row>
    <row r="42" customFormat="false" ht="15" hidden="false" customHeight="false" outlineLevel="0" collapsed="false">
      <c r="A42" s="2" t="s">
        <v>73</v>
      </c>
      <c r="B42" s="15" t="n">
        <v>1401</v>
      </c>
      <c r="C42" s="10" t="s">
        <v>74</v>
      </c>
    </row>
    <row r="43" customFormat="false" ht="15" hidden="false" customHeight="false" outlineLevel="0" collapsed="false">
      <c r="A43" s="2" t="s">
        <v>75</v>
      </c>
      <c r="B43" s="15" t="n">
        <v>1403</v>
      </c>
      <c r="C43" s="10" t="s">
        <v>76</v>
      </c>
    </row>
    <row r="44" customFormat="false" ht="15" hidden="false" customHeight="false" outlineLevel="0" collapsed="false">
      <c r="A44" s="2" t="s">
        <v>77</v>
      </c>
      <c r="B44" s="15" t="n">
        <v>1407</v>
      </c>
      <c r="C44" s="10" t="s">
        <v>78</v>
      </c>
    </row>
    <row r="45" customFormat="false" ht="15" hidden="false" customHeight="false" outlineLevel="0" collapsed="false">
      <c r="A45" s="2" t="s">
        <v>79</v>
      </c>
      <c r="B45" s="15" t="n">
        <v>1408</v>
      </c>
      <c r="C45" s="10" t="s">
        <v>80</v>
      </c>
    </row>
    <row r="46" customFormat="false" ht="15" hidden="false" customHeight="false" outlineLevel="0" collapsed="false">
      <c r="A46" s="2" t="s">
        <v>81</v>
      </c>
      <c r="B46" s="15" t="n">
        <v>1411</v>
      </c>
      <c r="C46" s="10" t="s">
        <v>82</v>
      </c>
    </row>
    <row r="47" customFormat="false" ht="15" hidden="false" customHeight="false" outlineLevel="0" collapsed="false">
      <c r="A47" s="2" t="s">
        <v>83</v>
      </c>
      <c r="B47" s="15" t="n">
        <v>914000</v>
      </c>
      <c r="C47" s="10" t="s">
        <v>84</v>
      </c>
    </row>
    <row r="48" customFormat="false" ht="15" hidden="false" customHeight="false" outlineLevel="0" collapsed="false">
      <c r="A48" s="2" t="s">
        <v>85</v>
      </c>
      <c r="B48" s="15" t="n">
        <v>1414000</v>
      </c>
      <c r="C48" s="10" t="s">
        <v>86</v>
      </c>
    </row>
    <row r="49" customFormat="false" ht="15" hidden="false" customHeight="false" outlineLevel="0" collapsed="false">
      <c r="A49" s="2" t="s">
        <v>87</v>
      </c>
      <c r="B49" s="15" t="n">
        <v>26214</v>
      </c>
      <c r="C49" s="10" t="s">
        <v>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24" min="3" style="0" width="7"/>
    <col collapsed="false" customWidth="true" hidden="false" outlineLevel="0" max="25" min="25" style="0" width="11"/>
    <col collapsed="false" customWidth="true" hidden="false" outlineLevel="0" max="26" min="26" style="0" width="9"/>
    <col collapsed="false" customWidth="true" hidden="false" outlineLevel="0" max="28" min="27" style="0" width="11"/>
    <col collapsed="false" customWidth="true" hidden="false" outlineLevel="0" max="29" min="29" style="0" width="3"/>
    <col collapsed="false" customWidth="true" hidden="false" outlineLevel="0" max="30" min="30" style="0" width="34"/>
    <col collapsed="false" customWidth="true" hidden="false" outlineLevel="0" max="31" min="31" style="0" width="10"/>
    <col collapsed="false" customWidth="true" hidden="false" outlineLevel="0" max="32" min="32" style="0" width="30"/>
  </cols>
  <sheetData>
    <row r="1" customFormat="false" ht="15" hidden="false" customHeight="false" outlineLevel="0" collapsed="false">
      <c r="A1" s="1" t="s">
        <v>89</v>
      </c>
    </row>
    <row r="2" customFormat="false" ht="15" hidden="false" customHeight="false" outlineLevel="0" collapsed="false">
      <c r="A2" s="10" t="s">
        <v>90</v>
      </c>
    </row>
    <row r="3" customFormat="false" ht="15" hidden="false" customHeight="false" outlineLevel="0" collapsed="false">
      <c r="B3" s="10" t="s">
        <v>91</v>
      </c>
      <c r="C3" s="12" t="n">
        <f aca="false">0*Step_h</f>
        <v>0</v>
      </c>
      <c r="D3" s="12" t="n">
        <f aca="false">1*Step_h</f>
        <v>0.25</v>
      </c>
      <c r="E3" s="12" t="n">
        <f aca="false">2*Step_h</f>
        <v>0.5</v>
      </c>
      <c r="F3" s="12" t="n">
        <f aca="false">3*Step_h</f>
        <v>0.75</v>
      </c>
      <c r="G3" s="12" t="n">
        <f aca="false">4*Step_h</f>
        <v>1</v>
      </c>
      <c r="H3" s="12" t="n">
        <f aca="false">5*Step_h</f>
        <v>1.25</v>
      </c>
      <c r="I3" s="12" t="n">
        <f aca="false">6*Step_h</f>
        <v>1.5</v>
      </c>
      <c r="J3" s="12" t="n">
        <f aca="false">7*Step_h</f>
        <v>1.75</v>
      </c>
      <c r="K3" s="12" t="n">
        <f aca="false">8*Step_h</f>
        <v>2</v>
      </c>
      <c r="L3" s="12" t="n">
        <f aca="false">9*Step_h</f>
        <v>2.25</v>
      </c>
      <c r="M3" s="12" t="n">
        <f aca="false">10*Step_h</f>
        <v>2.5</v>
      </c>
      <c r="N3" s="12" t="n">
        <f aca="false">C3</f>
        <v>0</v>
      </c>
      <c r="O3" s="12" t="n">
        <f aca="false">D3</f>
        <v>0.25</v>
      </c>
      <c r="P3" s="12" t="n">
        <f aca="false">E3</f>
        <v>0.5</v>
      </c>
      <c r="Q3" s="12" t="n">
        <f aca="false">F3</f>
        <v>0.75</v>
      </c>
      <c r="R3" s="12" t="n">
        <f aca="false">G3</f>
        <v>1</v>
      </c>
      <c r="S3" s="12" t="n">
        <f aca="false">H3</f>
        <v>1.25</v>
      </c>
      <c r="T3" s="12" t="n">
        <f aca="false">I3</f>
        <v>1.5</v>
      </c>
      <c r="U3" s="12" t="n">
        <f aca="false">J3</f>
        <v>1.75</v>
      </c>
      <c r="V3" s="12" t="n">
        <f aca="false">K3</f>
        <v>2</v>
      </c>
      <c r="W3" s="12" t="n">
        <f aca="false">L3</f>
        <v>2.25</v>
      </c>
      <c r="X3" s="12" t="n">
        <f aca="false">M3</f>
        <v>2.5</v>
      </c>
      <c r="AD3" s="8" t="s">
        <v>92</v>
      </c>
      <c r="AE3" s="8" t="s">
        <v>21</v>
      </c>
    </row>
    <row r="4" customFormat="false" ht="35.05" hidden="false" customHeight="false" outlineLevel="0" collapsed="false">
      <c r="A4" s="8" t="s">
        <v>93</v>
      </c>
      <c r="B4" s="8" t="s">
        <v>94</v>
      </c>
      <c r="C4" s="8" t="s">
        <v>95</v>
      </c>
      <c r="D4" s="8" t="s">
        <v>96</v>
      </c>
      <c r="E4" s="8" t="s">
        <v>97</v>
      </c>
      <c r="F4" s="8" t="s">
        <v>98</v>
      </c>
      <c r="G4" s="8" t="s">
        <v>99</v>
      </c>
      <c r="H4" s="8" t="s">
        <v>100</v>
      </c>
      <c r="I4" s="8" t="s">
        <v>101</v>
      </c>
      <c r="J4" s="8" t="s">
        <v>102</v>
      </c>
      <c r="K4" s="8" t="s">
        <v>103</v>
      </c>
      <c r="L4" s="8" t="s">
        <v>104</v>
      </c>
      <c r="M4" s="8" t="s">
        <v>105</v>
      </c>
      <c r="N4" s="8" t="s">
        <v>106</v>
      </c>
      <c r="O4" s="8" t="s">
        <v>107</v>
      </c>
      <c r="P4" s="8" t="s">
        <v>108</v>
      </c>
      <c r="Q4" s="8" t="s">
        <v>109</v>
      </c>
      <c r="R4" s="8" t="s">
        <v>110</v>
      </c>
      <c r="S4" s="8" t="s">
        <v>111</v>
      </c>
      <c r="T4" s="8" t="s">
        <v>112</v>
      </c>
      <c r="U4" s="8" t="s">
        <v>113</v>
      </c>
      <c r="V4" s="8" t="s">
        <v>114</v>
      </c>
      <c r="W4" s="8" t="s">
        <v>115</v>
      </c>
      <c r="X4" s="8" t="s">
        <v>116</v>
      </c>
      <c r="Y4" s="8" t="s">
        <v>117</v>
      </c>
      <c r="Z4" s="8" t="s">
        <v>118</v>
      </c>
      <c r="AA4" s="8" t="s">
        <v>119</v>
      </c>
      <c r="AB4" s="8" t="s">
        <v>120</v>
      </c>
      <c r="AD4" s="2" t="s">
        <v>121</v>
      </c>
      <c r="AE4" s="17" t="n">
        <f aca="false">SUM(Y5:Y205)</f>
        <v>2113</v>
      </c>
      <c r="AF4" s="10" t="s">
        <v>122</v>
      </c>
    </row>
    <row r="5" customFormat="false" ht="15" hidden="false" customHeight="false" outlineLevel="0" collapsed="false">
      <c r="A5" s="12" t="n">
        <f aca="false">Lo_c</f>
        <v>30</v>
      </c>
      <c r="B5" s="14" t="n">
        <f aca="false">IF(SUMPRODUCT((Alpha_keep*$A5+$C$3:$M$3&gt;=Floor_c-0.000000001)*(C5:M5))&gt;0,1,0)</f>
        <v>0</v>
      </c>
      <c r="C5" s="14" t="n">
        <f aca="false">IF(AND(Alpha_keep*$A5+C$3-MAX(Loss_w)&gt;=Lo_c-0.000000001,Alpha_keep*$A5+C$3-MIN(Loss_w)&lt;=Hi_c+0.000000001),1,0)</f>
        <v>0</v>
      </c>
      <c r="D5" s="14" t="n">
        <f aca="false">IF(AND(Alpha_keep*$A5+D$3-MAX(Loss_w)&gt;=Lo_c-0.000000001,Alpha_keep*$A5+D$3-MIN(Loss_w)&lt;=Hi_c+0.000000001),1,0)</f>
        <v>0</v>
      </c>
      <c r="E5" s="14" t="n">
        <f aca="false">IF(AND(Alpha_keep*$A5+E$3-MAX(Loss_w)&gt;=Lo_c-0.000000001,Alpha_keep*$A5+E$3-MIN(Loss_w)&lt;=Hi_c+0.000000001),1,0)</f>
        <v>0</v>
      </c>
      <c r="F5" s="14" t="n">
        <f aca="false">IF(AND(Alpha_keep*$A5+F$3-MAX(Loss_w)&gt;=Lo_c-0.000000001,Alpha_keep*$A5+F$3-MIN(Loss_w)&lt;=Hi_c+0.000000001),1,0)</f>
        <v>0</v>
      </c>
      <c r="G5" s="14" t="n">
        <f aca="false">IF(AND(Alpha_keep*$A5+G$3-MAX(Loss_w)&gt;=Lo_c-0.000000001,Alpha_keep*$A5+G$3-MIN(Loss_w)&lt;=Hi_c+0.000000001),1,0)</f>
        <v>0</v>
      </c>
      <c r="H5" s="14" t="n">
        <f aca="false">IF(AND(Alpha_keep*$A5+H$3-MAX(Loss_w)&gt;=Lo_c-0.000000001,Alpha_keep*$A5+H$3-MIN(Loss_w)&lt;=Hi_c+0.000000001),1,0)</f>
        <v>0</v>
      </c>
      <c r="I5" s="14" t="n">
        <f aca="false">IF(AND(Alpha_keep*$A5+I$3-MAX(Loss_w)&gt;=Lo_c-0.000000001,Alpha_keep*$A5+I$3-MIN(Loss_w)&lt;=Hi_c+0.000000001),1,0)</f>
        <v>0</v>
      </c>
      <c r="J5" s="14" t="n">
        <f aca="false">IF(AND(Alpha_keep*$A5+J$3-MAX(Loss_w)&gt;=Lo_c-0.000000001,Alpha_keep*$A5+J$3-MIN(Loss_w)&lt;=Hi_c+0.000000001),1,0)</f>
        <v>0</v>
      </c>
      <c r="K5" s="14" t="n">
        <f aca="false">IF(AND(Alpha_keep*$A5+K$3-MAX(Loss_w)&gt;=Lo_c-0.000000001,Alpha_keep*$A5+K$3-MIN(Loss_w)&lt;=Hi_c+0.000000001),1,0)</f>
        <v>0</v>
      </c>
      <c r="L5" s="14" t="n">
        <f aca="false">IF(AND(Alpha_keep*$A5+L$3-MAX(Loss_w)&gt;=Lo_c-0.000000001,Alpha_keep*$A5+L$3-MIN(Loss_w)&lt;=Hi_c+0.000000001),1,0)</f>
        <v>1</v>
      </c>
      <c r="M5" s="14" t="n">
        <f aca="false">IF(AND(Alpha_keep*$A5+M$3-MAX(Loss_w)&gt;=Lo_c-0.000000001,Alpha_keep*$A5+M$3-MIN(Loss_w)&lt;=Hi_c+0.000000001),1,0)</f>
        <v>1</v>
      </c>
      <c r="N5" s="14" t="n">
        <f aca="false">IF(C5=1,IF(OR(Alpha_keep*$A5+N$3&gt;=Floor_c-0.000000001,AND($B5=0,N$3&gt;=Cap_h-0.000000001)),1,0),0)</f>
        <v>0</v>
      </c>
      <c r="O5" s="14" t="n">
        <f aca="false">IF(D5=1,IF(OR(Alpha_keep*$A5+O$3&gt;=Floor_c-0.000000001,AND($B5=0,O$3&gt;=Cap_h-0.000000001)),1,0),0)</f>
        <v>0</v>
      </c>
      <c r="P5" s="14" t="n">
        <f aca="false">IF(E5=1,IF(OR(Alpha_keep*$A5+P$3&gt;=Floor_c-0.000000001,AND($B5=0,P$3&gt;=Cap_h-0.000000001)),1,0),0)</f>
        <v>0</v>
      </c>
      <c r="Q5" s="14" t="n">
        <f aca="false">IF(F5=1,IF(OR(Alpha_keep*$A5+Q$3&gt;=Floor_c-0.000000001,AND($B5=0,Q$3&gt;=Cap_h-0.000000001)),1,0),0)</f>
        <v>0</v>
      </c>
      <c r="R5" s="14" t="n">
        <f aca="false">IF(G5=1,IF(OR(Alpha_keep*$A5+R$3&gt;=Floor_c-0.000000001,AND($B5=0,R$3&gt;=Cap_h-0.000000001)),1,0),0)</f>
        <v>0</v>
      </c>
      <c r="S5" s="14" t="n">
        <f aca="false">IF(H5=1,IF(OR(Alpha_keep*$A5+S$3&gt;=Floor_c-0.000000001,AND($B5=0,S$3&gt;=Cap_h-0.000000001)),1,0),0)</f>
        <v>0</v>
      </c>
      <c r="T5" s="14" t="n">
        <f aca="false">IF(I5=1,IF(OR(Alpha_keep*$A5+T$3&gt;=Floor_c-0.000000001,AND($B5=0,T$3&gt;=Cap_h-0.000000001)),1,0),0)</f>
        <v>0</v>
      </c>
      <c r="U5" s="14" t="n">
        <f aca="false">IF(J5=1,IF(OR(Alpha_keep*$A5+U$3&gt;=Floor_c-0.000000001,AND($B5=0,U$3&gt;=Cap_h-0.000000001)),1,0),0)</f>
        <v>0</v>
      </c>
      <c r="V5" s="14" t="n">
        <f aca="false">IF(K5=1,IF(OR(Alpha_keep*$A5+V$3&gt;=Floor_c-0.000000001,AND($B5=0,V$3&gt;=Cap_h-0.000000001)),1,0),0)</f>
        <v>0</v>
      </c>
      <c r="W5" s="14" t="n">
        <f aca="false">IF(L5=1,IF(OR(Alpha_keep*$A5+W$3&gt;=Floor_c-0.000000001,AND($B5=0,W$3&gt;=Cap_h-0.000000001)),1,0),0)</f>
        <v>0</v>
      </c>
      <c r="X5" s="14" t="n">
        <f aca="false">IF(M5=1,IF(OR(Alpha_keep*$A5+X$3&gt;=Floor_c-0.000000001,AND($B5=0,X$3&gt;=Cap_h-0.000000001)),1,0),0)</f>
        <v>1</v>
      </c>
      <c r="Y5" s="14" t="n">
        <f aca="false">SUM(C5:M5)</f>
        <v>2</v>
      </c>
      <c r="Z5" s="14" t="n">
        <f aca="false">SUM(N5:X5)</f>
        <v>1</v>
      </c>
      <c r="AA5" s="12" t="n">
        <f aca="false">INDEX($C$3:$M$3,MATCH(1,C5:M5,0))</f>
        <v>2.25</v>
      </c>
      <c r="AB5" s="12" t="n">
        <f aca="false">INDEX($N$3:$X$3,MATCH(1,N5:X5,0))+(Z5-1)*Step_h</f>
        <v>2.5</v>
      </c>
      <c r="AD5" s="2" t="s">
        <v>123</v>
      </c>
      <c r="AE5" s="17" t="n">
        <f aca="false">SUM(Z5:Z205)</f>
        <v>1152</v>
      </c>
      <c r="AF5" s="10" t="s">
        <v>124</v>
      </c>
    </row>
    <row r="6" customFormat="false" ht="15" hidden="false" customHeight="false" outlineLevel="0" collapsed="false">
      <c r="A6" s="12" t="n">
        <f aca="false">A5+Step_c</f>
        <v>30.25</v>
      </c>
      <c r="B6" s="14" t="n">
        <f aca="false">IF(SUMPRODUCT((Alpha_keep*$A6+$C$3:$M$3&gt;=Floor_c-0.000000001)*(C6:M6))&gt;0,1,0)</f>
        <v>0</v>
      </c>
      <c r="C6" s="14" t="n">
        <f aca="false">IF(AND(Alpha_keep*$A6+C$3-MAX(Loss_w)&gt;=Lo_c-0.000000001,Alpha_keep*$A6+C$3-MIN(Loss_w)&lt;=Hi_c+0.000000001),1,0)</f>
        <v>0</v>
      </c>
      <c r="D6" s="14" t="n">
        <f aca="false">IF(AND(Alpha_keep*$A6+D$3-MAX(Loss_w)&gt;=Lo_c-0.000000001,Alpha_keep*$A6+D$3-MIN(Loss_w)&lt;=Hi_c+0.000000001),1,0)</f>
        <v>0</v>
      </c>
      <c r="E6" s="14" t="n">
        <f aca="false">IF(AND(Alpha_keep*$A6+E$3-MAX(Loss_w)&gt;=Lo_c-0.000000001,Alpha_keep*$A6+E$3-MIN(Loss_w)&lt;=Hi_c+0.000000001),1,0)</f>
        <v>0</v>
      </c>
      <c r="F6" s="14" t="n">
        <f aca="false">IF(AND(Alpha_keep*$A6+F$3-MAX(Loss_w)&gt;=Lo_c-0.000000001,Alpha_keep*$A6+F$3-MIN(Loss_w)&lt;=Hi_c+0.000000001),1,0)</f>
        <v>0</v>
      </c>
      <c r="G6" s="14" t="n">
        <f aca="false">IF(AND(Alpha_keep*$A6+G$3-MAX(Loss_w)&gt;=Lo_c-0.000000001,Alpha_keep*$A6+G$3-MIN(Loss_w)&lt;=Hi_c+0.000000001),1,0)</f>
        <v>0</v>
      </c>
      <c r="H6" s="14" t="n">
        <f aca="false">IF(AND(Alpha_keep*$A6+H$3-MAX(Loss_w)&gt;=Lo_c-0.000000001,Alpha_keep*$A6+H$3-MIN(Loss_w)&lt;=Hi_c+0.000000001),1,0)</f>
        <v>0</v>
      </c>
      <c r="I6" s="14" t="n">
        <f aca="false">IF(AND(Alpha_keep*$A6+I$3-MAX(Loss_w)&gt;=Lo_c-0.000000001,Alpha_keep*$A6+I$3-MIN(Loss_w)&lt;=Hi_c+0.000000001),1,0)</f>
        <v>0</v>
      </c>
      <c r="J6" s="14" t="n">
        <f aca="false">IF(AND(Alpha_keep*$A6+J$3-MAX(Loss_w)&gt;=Lo_c-0.000000001,Alpha_keep*$A6+J$3-MIN(Loss_w)&lt;=Hi_c+0.000000001),1,0)</f>
        <v>0</v>
      </c>
      <c r="K6" s="14" t="n">
        <f aca="false">IF(AND(Alpha_keep*$A6+K$3-MAX(Loss_w)&gt;=Lo_c-0.000000001,Alpha_keep*$A6+K$3-MIN(Loss_w)&lt;=Hi_c+0.000000001),1,0)</f>
        <v>0</v>
      </c>
      <c r="L6" s="14" t="n">
        <f aca="false">IF(AND(Alpha_keep*$A6+L$3-MAX(Loss_w)&gt;=Lo_c-0.000000001,Alpha_keep*$A6+L$3-MIN(Loss_w)&lt;=Hi_c+0.000000001),1,0)</f>
        <v>1</v>
      </c>
      <c r="M6" s="14" t="n">
        <f aca="false">IF(AND(Alpha_keep*$A6+M$3-MAX(Loss_w)&gt;=Lo_c-0.000000001,Alpha_keep*$A6+M$3-MIN(Loss_w)&lt;=Hi_c+0.000000001),1,0)</f>
        <v>1</v>
      </c>
      <c r="N6" s="14" t="n">
        <f aca="false">IF(C6=1,IF(OR(Alpha_keep*$A6+N$3&gt;=Floor_c-0.000000001,AND($B6=0,N$3&gt;=Cap_h-0.000000001)),1,0),0)</f>
        <v>0</v>
      </c>
      <c r="O6" s="14" t="n">
        <f aca="false">IF(D6=1,IF(OR(Alpha_keep*$A6+O$3&gt;=Floor_c-0.000000001,AND($B6=0,O$3&gt;=Cap_h-0.000000001)),1,0),0)</f>
        <v>0</v>
      </c>
      <c r="P6" s="14" t="n">
        <f aca="false">IF(E6=1,IF(OR(Alpha_keep*$A6+P$3&gt;=Floor_c-0.000000001,AND($B6=0,P$3&gt;=Cap_h-0.000000001)),1,0),0)</f>
        <v>0</v>
      </c>
      <c r="Q6" s="14" t="n">
        <f aca="false">IF(F6=1,IF(OR(Alpha_keep*$A6+Q$3&gt;=Floor_c-0.000000001,AND($B6=0,Q$3&gt;=Cap_h-0.000000001)),1,0),0)</f>
        <v>0</v>
      </c>
      <c r="R6" s="14" t="n">
        <f aca="false">IF(G6=1,IF(OR(Alpha_keep*$A6+R$3&gt;=Floor_c-0.000000001,AND($B6=0,R$3&gt;=Cap_h-0.000000001)),1,0),0)</f>
        <v>0</v>
      </c>
      <c r="S6" s="14" t="n">
        <f aca="false">IF(H6=1,IF(OR(Alpha_keep*$A6+S$3&gt;=Floor_c-0.000000001,AND($B6=0,S$3&gt;=Cap_h-0.000000001)),1,0),0)</f>
        <v>0</v>
      </c>
      <c r="T6" s="14" t="n">
        <f aca="false">IF(I6=1,IF(OR(Alpha_keep*$A6+T$3&gt;=Floor_c-0.000000001,AND($B6=0,T$3&gt;=Cap_h-0.000000001)),1,0),0)</f>
        <v>0</v>
      </c>
      <c r="U6" s="14" t="n">
        <f aca="false">IF(J6=1,IF(OR(Alpha_keep*$A6+U$3&gt;=Floor_c-0.000000001,AND($B6=0,U$3&gt;=Cap_h-0.000000001)),1,0),0)</f>
        <v>0</v>
      </c>
      <c r="V6" s="14" t="n">
        <f aca="false">IF(K6=1,IF(OR(Alpha_keep*$A6+V$3&gt;=Floor_c-0.000000001,AND($B6=0,V$3&gt;=Cap_h-0.000000001)),1,0),0)</f>
        <v>0</v>
      </c>
      <c r="W6" s="14" t="n">
        <f aca="false">IF(L6=1,IF(OR(Alpha_keep*$A6+W$3&gt;=Floor_c-0.000000001,AND($B6=0,W$3&gt;=Cap_h-0.000000001)),1,0),0)</f>
        <v>0</v>
      </c>
      <c r="X6" s="14" t="n">
        <f aca="false">IF(M6=1,IF(OR(Alpha_keep*$A6+X$3&gt;=Floor_c-0.000000001,AND($B6=0,X$3&gt;=Cap_h-0.000000001)),1,0),0)</f>
        <v>1</v>
      </c>
      <c r="Y6" s="14" t="n">
        <f aca="false">SUM(C6:M6)</f>
        <v>2</v>
      </c>
      <c r="Z6" s="14" t="n">
        <f aca="false">SUM(N6:X6)</f>
        <v>1</v>
      </c>
      <c r="AA6" s="12" t="n">
        <f aca="false">INDEX($C$3:$M$3,MATCH(1,C6:M6,0))</f>
        <v>2.25</v>
      </c>
      <c r="AB6" s="12" t="n">
        <f aca="false">INDEX($N$3:$X$3,MATCH(1,N6:X6,0))+(Z6-1)*Step_h</f>
        <v>2.5</v>
      </c>
      <c r="AD6" s="2" t="s">
        <v>125</v>
      </c>
      <c r="AE6" s="14" t="n">
        <f aca="false">COUNTIF(B5:B205,0)</f>
        <v>96</v>
      </c>
      <c r="AF6" s="10" t="s">
        <v>126</v>
      </c>
    </row>
    <row r="7" customFormat="false" ht="15" hidden="false" customHeight="false" outlineLevel="0" collapsed="false">
      <c r="A7" s="12" t="n">
        <f aca="false">A6+Step_c</f>
        <v>30.5</v>
      </c>
      <c r="B7" s="14" t="n">
        <f aca="false">IF(SUMPRODUCT((Alpha_keep*$A7+$C$3:$M$3&gt;=Floor_c-0.000000001)*(C7:M7))&gt;0,1,0)</f>
        <v>0</v>
      </c>
      <c r="C7" s="14" t="n">
        <f aca="false">IF(AND(Alpha_keep*$A7+C$3-MAX(Loss_w)&gt;=Lo_c-0.000000001,Alpha_keep*$A7+C$3-MIN(Loss_w)&lt;=Hi_c+0.000000001),1,0)</f>
        <v>0</v>
      </c>
      <c r="D7" s="14" t="n">
        <f aca="false">IF(AND(Alpha_keep*$A7+D$3-MAX(Loss_w)&gt;=Lo_c-0.000000001,Alpha_keep*$A7+D$3-MIN(Loss_w)&lt;=Hi_c+0.000000001),1,0)</f>
        <v>0</v>
      </c>
      <c r="E7" s="14" t="n">
        <f aca="false">IF(AND(Alpha_keep*$A7+E$3-MAX(Loss_w)&gt;=Lo_c-0.000000001,Alpha_keep*$A7+E$3-MIN(Loss_w)&lt;=Hi_c+0.000000001),1,0)</f>
        <v>0</v>
      </c>
      <c r="F7" s="14" t="n">
        <f aca="false">IF(AND(Alpha_keep*$A7+F$3-MAX(Loss_w)&gt;=Lo_c-0.000000001,Alpha_keep*$A7+F$3-MIN(Loss_w)&lt;=Hi_c+0.000000001),1,0)</f>
        <v>0</v>
      </c>
      <c r="G7" s="14" t="n">
        <f aca="false">IF(AND(Alpha_keep*$A7+G$3-MAX(Loss_w)&gt;=Lo_c-0.000000001,Alpha_keep*$A7+G$3-MIN(Loss_w)&lt;=Hi_c+0.000000001),1,0)</f>
        <v>0</v>
      </c>
      <c r="H7" s="14" t="n">
        <f aca="false">IF(AND(Alpha_keep*$A7+H$3-MAX(Loss_w)&gt;=Lo_c-0.000000001,Alpha_keep*$A7+H$3-MIN(Loss_w)&lt;=Hi_c+0.000000001),1,0)</f>
        <v>0</v>
      </c>
      <c r="I7" s="14" t="n">
        <f aca="false">IF(AND(Alpha_keep*$A7+I$3-MAX(Loss_w)&gt;=Lo_c-0.000000001,Alpha_keep*$A7+I$3-MIN(Loss_w)&lt;=Hi_c+0.000000001),1,0)</f>
        <v>0</v>
      </c>
      <c r="J7" s="14" t="n">
        <f aca="false">IF(AND(Alpha_keep*$A7+J$3-MAX(Loss_w)&gt;=Lo_c-0.000000001,Alpha_keep*$A7+J$3-MIN(Loss_w)&lt;=Hi_c+0.000000001),1,0)</f>
        <v>0</v>
      </c>
      <c r="K7" s="14" t="n">
        <f aca="false">IF(AND(Alpha_keep*$A7+K$3-MAX(Loss_w)&gt;=Lo_c-0.000000001,Alpha_keep*$A7+K$3-MIN(Loss_w)&lt;=Hi_c+0.000000001),1,0)</f>
        <v>1</v>
      </c>
      <c r="L7" s="14" t="n">
        <f aca="false">IF(AND(Alpha_keep*$A7+L$3-MAX(Loss_w)&gt;=Lo_c-0.000000001,Alpha_keep*$A7+L$3-MIN(Loss_w)&lt;=Hi_c+0.000000001),1,0)</f>
        <v>1</v>
      </c>
      <c r="M7" s="14" t="n">
        <f aca="false">IF(AND(Alpha_keep*$A7+M$3-MAX(Loss_w)&gt;=Lo_c-0.000000001,Alpha_keep*$A7+M$3-MIN(Loss_w)&lt;=Hi_c+0.000000001),1,0)</f>
        <v>1</v>
      </c>
      <c r="N7" s="14" t="n">
        <f aca="false">IF(C7=1,IF(OR(Alpha_keep*$A7+N$3&gt;=Floor_c-0.000000001,AND($B7=0,N$3&gt;=Cap_h-0.000000001)),1,0),0)</f>
        <v>0</v>
      </c>
      <c r="O7" s="14" t="n">
        <f aca="false">IF(D7=1,IF(OR(Alpha_keep*$A7+O$3&gt;=Floor_c-0.000000001,AND($B7=0,O$3&gt;=Cap_h-0.000000001)),1,0),0)</f>
        <v>0</v>
      </c>
      <c r="P7" s="14" t="n">
        <f aca="false">IF(E7=1,IF(OR(Alpha_keep*$A7+P$3&gt;=Floor_c-0.000000001,AND($B7=0,P$3&gt;=Cap_h-0.000000001)),1,0),0)</f>
        <v>0</v>
      </c>
      <c r="Q7" s="14" t="n">
        <f aca="false">IF(F7=1,IF(OR(Alpha_keep*$A7+Q$3&gt;=Floor_c-0.000000001,AND($B7=0,Q$3&gt;=Cap_h-0.000000001)),1,0),0)</f>
        <v>0</v>
      </c>
      <c r="R7" s="14" t="n">
        <f aca="false">IF(G7=1,IF(OR(Alpha_keep*$A7+R$3&gt;=Floor_c-0.000000001,AND($B7=0,R$3&gt;=Cap_h-0.000000001)),1,0),0)</f>
        <v>0</v>
      </c>
      <c r="S7" s="14" t="n">
        <f aca="false">IF(H7=1,IF(OR(Alpha_keep*$A7+S$3&gt;=Floor_c-0.000000001,AND($B7=0,S$3&gt;=Cap_h-0.000000001)),1,0),0)</f>
        <v>0</v>
      </c>
      <c r="T7" s="14" t="n">
        <f aca="false">IF(I7=1,IF(OR(Alpha_keep*$A7+T$3&gt;=Floor_c-0.000000001,AND($B7=0,T$3&gt;=Cap_h-0.000000001)),1,0),0)</f>
        <v>0</v>
      </c>
      <c r="U7" s="14" t="n">
        <f aca="false">IF(J7=1,IF(OR(Alpha_keep*$A7+U$3&gt;=Floor_c-0.000000001,AND($B7=0,U$3&gt;=Cap_h-0.000000001)),1,0),0)</f>
        <v>0</v>
      </c>
      <c r="V7" s="14" t="n">
        <f aca="false">IF(K7=1,IF(OR(Alpha_keep*$A7+V$3&gt;=Floor_c-0.000000001,AND($B7=0,V$3&gt;=Cap_h-0.000000001)),1,0),0)</f>
        <v>0</v>
      </c>
      <c r="W7" s="14" t="n">
        <f aca="false">IF(L7=1,IF(OR(Alpha_keep*$A7+W$3&gt;=Floor_c-0.000000001,AND($B7=0,W$3&gt;=Cap_h-0.000000001)),1,0),0)</f>
        <v>0</v>
      </c>
      <c r="X7" s="14" t="n">
        <f aca="false">IF(M7=1,IF(OR(Alpha_keep*$A7+X$3&gt;=Floor_c-0.000000001,AND($B7=0,X$3&gt;=Cap_h-0.000000001)),1,0),0)</f>
        <v>1</v>
      </c>
      <c r="Y7" s="14" t="n">
        <f aca="false">SUM(C7:M7)</f>
        <v>3</v>
      </c>
      <c r="Z7" s="14" t="n">
        <f aca="false">SUM(N7:X7)</f>
        <v>1</v>
      </c>
      <c r="AA7" s="12" t="n">
        <f aca="false">INDEX($C$3:$M$3,MATCH(1,C7:M7,0))</f>
        <v>2</v>
      </c>
      <c r="AB7" s="12" t="n">
        <f aca="false">INDEX($N$3:$X$3,MATCH(1,N7:X7,0))+(Z7-1)*Step_h</f>
        <v>2.5</v>
      </c>
      <c r="AD7" s="2" t="s">
        <v>127</v>
      </c>
      <c r="AE7" s="12" t="n">
        <f aca="false">_xlfn.MAXIFS($A$5:$A$205,B5:B205,0)</f>
        <v>53.75</v>
      </c>
    </row>
    <row r="8" customFormat="false" ht="15" hidden="false" customHeight="false" outlineLevel="0" collapsed="false">
      <c r="A8" s="12" t="n">
        <f aca="false">A7+Step_c</f>
        <v>30.75</v>
      </c>
      <c r="B8" s="14" t="n">
        <f aca="false">IF(SUMPRODUCT((Alpha_keep*$A8+$C$3:$M$3&gt;=Floor_c-0.000000001)*(C8:M8))&gt;0,1,0)</f>
        <v>0</v>
      </c>
      <c r="C8" s="14" t="n">
        <f aca="false">IF(AND(Alpha_keep*$A8+C$3-MAX(Loss_w)&gt;=Lo_c-0.000000001,Alpha_keep*$A8+C$3-MIN(Loss_w)&lt;=Hi_c+0.000000001),1,0)</f>
        <v>0</v>
      </c>
      <c r="D8" s="14" t="n">
        <f aca="false">IF(AND(Alpha_keep*$A8+D$3-MAX(Loss_w)&gt;=Lo_c-0.000000001,Alpha_keep*$A8+D$3-MIN(Loss_w)&lt;=Hi_c+0.000000001),1,0)</f>
        <v>0</v>
      </c>
      <c r="E8" s="14" t="n">
        <f aca="false">IF(AND(Alpha_keep*$A8+E$3-MAX(Loss_w)&gt;=Lo_c-0.000000001,Alpha_keep*$A8+E$3-MIN(Loss_w)&lt;=Hi_c+0.000000001),1,0)</f>
        <v>0</v>
      </c>
      <c r="F8" s="14" t="n">
        <f aca="false">IF(AND(Alpha_keep*$A8+F$3-MAX(Loss_w)&gt;=Lo_c-0.000000001,Alpha_keep*$A8+F$3-MIN(Loss_w)&lt;=Hi_c+0.000000001),1,0)</f>
        <v>0</v>
      </c>
      <c r="G8" s="14" t="n">
        <f aca="false">IF(AND(Alpha_keep*$A8+G$3-MAX(Loss_w)&gt;=Lo_c-0.000000001,Alpha_keep*$A8+G$3-MIN(Loss_w)&lt;=Hi_c+0.000000001),1,0)</f>
        <v>0</v>
      </c>
      <c r="H8" s="14" t="n">
        <f aca="false">IF(AND(Alpha_keep*$A8+H$3-MAX(Loss_w)&gt;=Lo_c-0.000000001,Alpha_keep*$A8+H$3-MIN(Loss_w)&lt;=Hi_c+0.000000001),1,0)</f>
        <v>0</v>
      </c>
      <c r="I8" s="14" t="n">
        <f aca="false">IF(AND(Alpha_keep*$A8+I$3-MAX(Loss_w)&gt;=Lo_c-0.000000001,Alpha_keep*$A8+I$3-MIN(Loss_w)&lt;=Hi_c+0.000000001),1,0)</f>
        <v>0</v>
      </c>
      <c r="J8" s="14" t="n">
        <f aca="false">IF(AND(Alpha_keep*$A8+J$3-MAX(Loss_w)&gt;=Lo_c-0.000000001,Alpha_keep*$A8+J$3-MIN(Loss_w)&lt;=Hi_c+0.000000001),1,0)</f>
        <v>1</v>
      </c>
      <c r="K8" s="14" t="n">
        <f aca="false">IF(AND(Alpha_keep*$A8+K$3-MAX(Loss_w)&gt;=Lo_c-0.000000001,Alpha_keep*$A8+K$3-MIN(Loss_w)&lt;=Hi_c+0.000000001),1,0)</f>
        <v>1</v>
      </c>
      <c r="L8" s="14" t="n">
        <f aca="false">IF(AND(Alpha_keep*$A8+L$3-MAX(Loss_w)&gt;=Lo_c-0.000000001,Alpha_keep*$A8+L$3-MIN(Loss_w)&lt;=Hi_c+0.000000001),1,0)</f>
        <v>1</v>
      </c>
      <c r="M8" s="14" t="n">
        <f aca="false">IF(AND(Alpha_keep*$A8+M$3-MAX(Loss_w)&gt;=Lo_c-0.000000001,Alpha_keep*$A8+M$3-MIN(Loss_w)&lt;=Hi_c+0.000000001),1,0)</f>
        <v>1</v>
      </c>
      <c r="N8" s="14" t="n">
        <f aca="false">IF(C8=1,IF(OR(Alpha_keep*$A8+N$3&gt;=Floor_c-0.000000001,AND($B8=0,N$3&gt;=Cap_h-0.000000001)),1,0),0)</f>
        <v>0</v>
      </c>
      <c r="O8" s="14" t="n">
        <f aca="false">IF(D8=1,IF(OR(Alpha_keep*$A8+O$3&gt;=Floor_c-0.000000001,AND($B8=0,O$3&gt;=Cap_h-0.000000001)),1,0),0)</f>
        <v>0</v>
      </c>
      <c r="P8" s="14" t="n">
        <f aca="false">IF(E8=1,IF(OR(Alpha_keep*$A8+P$3&gt;=Floor_c-0.000000001,AND($B8=0,P$3&gt;=Cap_h-0.000000001)),1,0),0)</f>
        <v>0</v>
      </c>
      <c r="Q8" s="14" t="n">
        <f aca="false">IF(F8=1,IF(OR(Alpha_keep*$A8+Q$3&gt;=Floor_c-0.000000001,AND($B8=0,Q$3&gt;=Cap_h-0.000000001)),1,0),0)</f>
        <v>0</v>
      </c>
      <c r="R8" s="14" t="n">
        <f aca="false">IF(G8=1,IF(OR(Alpha_keep*$A8+R$3&gt;=Floor_c-0.000000001,AND($B8=0,R$3&gt;=Cap_h-0.000000001)),1,0),0)</f>
        <v>0</v>
      </c>
      <c r="S8" s="14" t="n">
        <f aca="false">IF(H8=1,IF(OR(Alpha_keep*$A8+S$3&gt;=Floor_c-0.000000001,AND($B8=0,S$3&gt;=Cap_h-0.000000001)),1,0),0)</f>
        <v>0</v>
      </c>
      <c r="T8" s="14" t="n">
        <f aca="false">IF(I8=1,IF(OR(Alpha_keep*$A8+T$3&gt;=Floor_c-0.000000001,AND($B8=0,T$3&gt;=Cap_h-0.000000001)),1,0),0)</f>
        <v>0</v>
      </c>
      <c r="U8" s="14" t="n">
        <f aca="false">IF(J8=1,IF(OR(Alpha_keep*$A8+U$3&gt;=Floor_c-0.000000001,AND($B8=0,U$3&gt;=Cap_h-0.000000001)),1,0),0)</f>
        <v>0</v>
      </c>
      <c r="V8" s="14" t="n">
        <f aca="false">IF(K8=1,IF(OR(Alpha_keep*$A8+V$3&gt;=Floor_c-0.000000001,AND($B8=0,V$3&gt;=Cap_h-0.000000001)),1,0),0)</f>
        <v>0</v>
      </c>
      <c r="W8" s="14" t="n">
        <f aca="false">IF(L8=1,IF(OR(Alpha_keep*$A8+W$3&gt;=Floor_c-0.000000001,AND($B8=0,W$3&gt;=Cap_h-0.000000001)),1,0),0)</f>
        <v>0</v>
      </c>
      <c r="X8" s="14" t="n">
        <f aca="false">IF(M8=1,IF(OR(Alpha_keep*$A8+X$3&gt;=Floor_c-0.000000001,AND($B8=0,X$3&gt;=Cap_h-0.000000001)),1,0),0)</f>
        <v>1</v>
      </c>
      <c r="Y8" s="14" t="n">
        <f aca="false">SUM(C8:M8)</f>
        <v>4</v>
      </c>
      <c r="Z8" s="14" t="n">
        <f aca="false">SUM(N8:X8)</f>
        <v>1</v>
      </c>
      <c r="AA8" s="12" t="n">
        <f aca="false">INDEX($C$3:$M$3,MATCH(1,C8:M8,0))</f>
        <v>1.75</v>
      </c>
      <c r="AB8" s="12" t="n">
        <f aca="false">INDEX($N$3:$X$3,MATCH(1,N8:X8,0))+(Z8-1)*Step_h</f>
        <v>2.5</v>
      </c>
    </row>
    <row r="9" customFormat="false" ht="15" hidden="false" customHeight="false" outlineLevel="0" collapsed="false">
      <c r="A9" s="12" t="n">
        <f aca="false">A8+Step_c</f>
        <v>31</v>
      </c>
      <c r="B9" s="14" t="n">
        <f aca="false">IF(SUMPRODUCT((Alpha_keep*$A9+$C$3:$M$3&gt;=Floor_c-0.000000001)*(C9:M9))&gt;0,1,0)</f>
        <v>0</v>
      </c>
      <c r="C9" s="14" t="n">
        <f aca="false">IF(AND(Alpha_keep*$A9+C$3-MAX(Loss_w)&gt;=Lo_c-0.000000001,Alpha_keep*$A9+C$3-MIN(Loss_w)&lt;=Hi_c+0.000000001),1,0)</f>
        <v>0</v>
      </c>
      <c r="D9" s="14" t="n">
        <f aca="false">IF(AND(Alpha_keep*$A9+D$3-MAX(Loss_w)&gt;=Lo_c-0.000000001,Alpha_keep*$A9+D$3-MIN(Loss_w)&lt;=Hi_c+0.000000001),1,0)</f>
        <v>0</v>
      </c>
      <c r="E9" s="14" t="n">
        <f aca="false">IF(AND(Alpha_keep*$A9+E$3-MAX(Loss_w)&gt;=Lo_c-0.000000001,Alpha_keep*$A9+E$3-MIN(Loss_w)&lt;=Hi_c+0.000000001),1,0)</f>
        <v>0</v>
      </c>
      <c r="F9" s="14" t="n">
        <f aca="false">IF(AND(Alpha_keep*$A9+F$3-MAX(Loss_w)&gt;=Lo_c-0.000000001,Alpha_keep*$A9+F$3-MIN(Loss_w)&lt;=Hi_c+0.000000001),1,0)</f>
        <v>0</v>
      </c>
      <c r="G9" s="14" t="n">
        <f aca="false">IF(AND(Alpha_keep*$A9+G$3-MAX(Loss_w)&gt;=Lo_c-0.000000001,Alpha_keep*$A9+G$3-MIN(Loss_w)&lt;=Hi_c+0.000000001),1,0)</f>
        <v>0</v>
      </c>
      <c r="H9" s="14" t="n">
        <f aca="false">IF(AND(Alpha_keep*$A9+H$3-MAX(Loss_w)&gt;=Lo_c-0.000000001,Alpha_keep*$A9+H$3-MIN(Loss_w)&lt;=Hi_c+0.000000001),1,0)</f>
        <v>0</v>
      </c>
      <c r="I9" s="14" t="n">
        <f aca="false">IF(AND(Alpha_keep*$A9+I$3-MAX(Loss_w)&gt;=Lo_c-0.000000001,Alpha_keep*$A9+I$3-MIN(Loss_w)&lt;=Hi_c+0.000000001),1,0)</f>
        <v>1</v>
      </c>
      <c r="J9" s="14" t="n">
        <f aca="false">IF(AND(Alpha_keep*$A9+J$3-MAX(Loss_w)&gt;=Lo_c-0.000000001,Alpha_keep*$A9+J$3-MIN(Loss_w)&lt;=Hi_c+0.000000001),1,0)</f>
        <v>1</v>
      </c>
      <c r="K9" s="14" t="n">
        <f aca="false">IF(AND(Alpha_keep*$A9+K$3-MAX(Loss_w)&gt;=Lo_c-0.000000001,Alpha_keep*$A9+K$3-MIN(Loss_w)&lt;=Hi_c+0.000000001),1,0)</f>
        <v>1</v>
      </c>
      <c r="L9" s="14" t="n">
        <f aca="false">IF(AND(Alpha_keep*$A9+L$3-MAX(Loss_w)&gt;=Lo_c-0.000000001,Alpha_keep*$A9+L$3-MIN(Loss_w)&lt;=Hi_c+0.000000001),1,0)</f>
        <v>1</v>
      </c>
      <c r="M9" s="14" t="n">
        <f aca="false">IF(AND(Alpha_keep*$A9+M$3-MAX(Loss_w)&gt;=Lo_c-0.000000001,Alpha_keep*$A9+M$3-MIN(Loss_w)&lt;=Hi_c+0.000000001),1,0)</f>
        <v>1</v>
      </c>
      <c r="N9" s="14" t="n">
        <f aca="false">IF(C9=1,IF(OR(Alpha_keep*$A9+N$3&gt;=Floor_c-0.000000001,AND($B9=0,N$3&gt;=Cap_h-0.000000001)),1,0),0)</f>
        <v>0</v>
      </c>
      <c r="O9" s="14" t="n">
        <f aca="false">IF(D9=1,IF(OR(Alpha_keep*$A9+O$3&gt;=Floor_c-0.000000001,AND($B9=0,O$3&gt;=Cap_h-0.000000001)),1,0),0)</f>
        <v>0</v>
      </c>
      <c r="P9" s="14" t="n">
        <f aca="false">IF(E9=1,IF(OR(Alpha_keep*$A9+P$3&gt;=Floor_c-0.000000001,AND($B9=0,P$3&gt;=Cap_h-0.000000001)),1,0),0)</f>
        <v>0</v>
      </c>
      <c r="Q9" s="14" t="n">
        <f aca="false">IF(F9=1,IF(OR(Alpha_keep*$A9+Q$3&gt;=Floor_c-0.000000001,AND($B9=0,Q$3&gt;=Cap_h-0.000000001)),1,0),0)</f>
        <v>0</v>
      </c>
      <c r="R9" s="14" t="n">
        <f aca="false">IF(G9=1,IF(OR(Alpha_keep*$A9+R$3&gt;=Floor_c-0.000000001,AND($B9=0,R$3&gt;=Cap_h-0.000000001)),1,0),0)</f>
        <v>0</v>
      </c>
      <c r="S9" s="14" t="n">
        <f aca="false">IF(H9=1,IF(OR(Alpha_keep*$A9+S$3&gt;=Floor_c-0.000000001,AND($B9=0,S$3&gt;=Cap_h-0.000000001)),1,0),0)</f>
        <v>0</v>
      </c>
      <c r="T9" s="14" t="n">
        <f aca="false">IF(I9=1,IF(OR(Alpha_keep*$A9+T$3&gt;=Floor_c-0.000000001,AND($B9=0,T$3&gt;=Cap_h-0.000000001)),1,0),0)</f>
        <v>0</v>
      </c>
      <c r="U9" s="14" t="n">
        <f aca="false">IF(J9=1,IF(OR(Alpha_keep*$A9+U$3&gt;=Floor_c-0.000000001,AND($B9=0,U$3&gt;=Cap_h-0.000000001)),1,0),0)</f>
        <v>0</v>
      </c>
      <c r="V9" s="14" t="n">
        <f aca="false">IF(K9=1,IF(OR(Alpha_keep*$A9+V$3&gt;=Floor_c-0.000000001,AND($B9=0,V$3&gt;=Cap_h-0.000000001)),1,0),0)</f>
        <v>0</v>
      </c>
      <c r="W9" s="14" t="n">
        <f aca="false">IF(L9=1,IF(OR(Alpha_keep*$A9+W$3&gt;=Floor_c-0.000000001,AND($B9=0,W$3&gt;=Cap_h-0.000000001)),1,0),0)</f>
        <v>0</v>
      </c>
      <c r="X9" s="14" t="n">
        <f aca="false">IF(M9=1,IF(OR(Alpha_keep*$A9+X$3&gt;=Floor_c-0.000000001,AND($B9=0,X$3&gt;=Cap_h-0.000000001)),1,0),0)</f>
        <v>1</v>
      </c>
      <c r="Y9" s="14" t="n">
        <f aca="false">SUM(C9:M9)</f>
        <v>5</v>
      </c>
      <c r="Z9" s="14" t="n">
        <f aca="false">SUM(N9:X9)</f>
        <v>1</v>
      </c>
      <c r="AA9" s="12" t="n">
        <f aca="false">INDEX($C$3:$M$3,MATCH(1,C9:M9,0))</f>
        <v>1.5</v>
      </c>
      <c r="AB9" s="12" t="n">
        <f aca="false">INDEX($N$3:$X$3,MATCH(1,N9:X9,0))+(Z9-1)*Step_h</f>
        <v>2.5</v>
      </c>
      <c r="AD9" s="10" t="s">
        <v>128</v>
      </c>
    </row>
    <row r="10" customFormat="false" ht="15" hidden="false" customHeight="false" outlineLevel="0" collapsed="false">
      <c r="A10" s="12" t="n">
        <f aca="false">A9+Step_c</f>
        <v>31.25</v>
      </c>
      <c r="B10" s="14" t="n">
        <f aca="false">IF(SUMPRODUCT((Alpha_keep*$A10+$C$3:$M$3&gt;=Floor_c-0.000000001)*(C10:M10))&gt;0,1,0)</f>
        <v>0</v>
      </c>
      <c r="C10" s="14" t="n">
        <f aca="false">IF(AND(Alpha_keep*$A10+C$3-MAX(Loss_w)&gt;=Lo_c-0.000000001,Alpha_keep*$A10+C$3-MIN(Loss_w)&lt;=Hi_c+0.000000001),1,0)</f>
        <v>0</v>
      </c>
      <c r="D10" s="14" t="n">
        <f aca="false">IF(AND(Alpha_keep*$A10+D$3-MAX(Loss_w)&gt;=Lo_c-0.000000001,Alpha_keep*$A10+D$3-MIN(Loss_w)&lt;=Hi_c+0.000000001),1,0)</f>
        <v>0</v>
      </c>
      <c r="E10" s="14" t="n">
        <f aca="false">IF(AND(Alpha_keep*$A10+E$3-MAX(Loss_w)&gt;=Lo_c-0.000000001,Alpha_keep*$A10+E$3-MIN(Loss_w)&lt;=Hi_c+0.000000001),1,0)</f>
        <v>0</v>
      </c>
      <c r="F10" s="14" t="n">
        <f aca="false">IF(AND(Alpha_keep*$A10+F$3-MAX(Loss_w)&gt;=Lo_c-0.000000001,Alpha_keep*$A10+F$3-MIN(Loss_w)&lt;=Hi_c+0.000000001),1,0)</f>
        <v>0</v>
      </c>
      <c r="G10" s="14" t="n">
        <f aca="false">IF(AND(Alpha_keep*$A10+G$3-MAX(Loss_w)&gt;=Lo_c-0.000000001,Alpha_keep*$A10+G$3-MIN(Loss_w)&lt;=Hi_c+0.000000001),1,0)</f>
        <v>0</v>
      </c>
      <c r="H10" s="14" t="n">
        <f aca="false">IF(AND(Alpha_keep*$A10+H$3-MAX(Loss_w)&gt;=Lo_c-0.000000001,Alpha_keep*$A10+H$3-MIN(Loss_w)&lt;=Hi_c+0.000000001),1,0)</f>
        <v>1</v>
      </c>
      <c r="I10" s="14" t="n">
        <f aca="false">IF(AND(Alpha_keep*$A10+I$3-MAX(Loss_w)&gt;=Lo_c-0.000000001,Alpha_keep*$A10+I$3-MIN(Loss_w)&lt;=Hi_c+0.000000001),1,0)</f>
        <v>1</v>
      </c>
      <c r="J10" s="14" t="n">
        <f aca="false">IF(AND(Alpha_keep*$A10+J$3-MAX(Loss_w)&gt;=Lo_c-0.000000001,Alpha_keep*$A10+J$3-MIN(Loss_w)&lt;=Hi_c+0.000000001),1,0)</f>
        <v>1</v>
      </c>
      <c r="K10" s="14" t="n">
        <f aca="false">IF(AND(Alpha_keep*$A10+K$3-MAX(Loss_w)&gt;=Lo_c-0.000000001,Alpha_keep*$A10+K$3-MIN(Loss_w)&lt;=Hi_c+0.000000001),1,0)</f>
        <v>1</v>
      </c>
      <c r="L10" s="14" t="n">
        <f aca="false">IF(AND(Alpha_keep*$A10+L$3-MAX(Loss_w)&gt;=Lo_c-0.000000001,Alpha_keep*$A10+L$3-MIN(Loss_w)&lt;=Hi_c+0.000000001),1,0)</f>
        <v>1</v>
      </c>
      <c r="M10" s="14" t="n">
        <f aca="false">IF(AND(Alpha_keep*$A10+M$3-MAX(Loss_w)&gt;=Lo_c-0.000000001,Alpha_keep*$A10+M$3-MIN(Loss_w)&lt;=Hi_c+0.000000001),1,0)</f>
        <v>1</v>
      </c>
      <c r="N10" s="14" t="n">
        <f aca="false">IF(C10=1,IF(OR(Alpha_keep*$A10+N$3&gt;=Floor_c-0.000000001,AND($B10=0,N$3&gt;=Cap_h-0.000000001)),1,0),0)</f>
        <v>0</v>
      </c>
      <c r="O10" s="14" t="n">
        <f aca="false">IF(D10=1,IF(OR(Alpha_keep*$A10+O$3&gt;=Floor_c-0.000000001,AND($B10=0,O$3&gt;=Cap_h-0.000000001)),1,0),0)</f>
        <v>0</v>
      </c>
      <c r="P10" s="14" t="n">
        <f aca="false">IF(E10=1,IF(OR(Alpha_keep*$A10+P$3&gt;=Floor_c-0.000000001,AND($B10=0,P$3&gt;=Cap_h-0.000000001)),1,0),0)</f>
        <v>0</v>
      </c>
      <c r="Q10" s="14" t="n">
        <f aca="false">IF(F10=1,IF(OR(Alpha_keep*$A10+Q$3&gt;=Floor_c-0.000000001,AND($B10=0,Q$3&gt;=Cap_h-0.000000001)),1,0),0)</f>
        <v>0</v>
      </c>
      <c r="R10" s="14" t="n">
        <f aca="false">IF(G10=1,IF(OR(Alpha_keep*$A10+R$3&gt;=Floor_c-0.000000001,AND($B10=0,R$3&gt;=Cap_h-0.000000001)),1,0),0)</f>
        <v>0</v>
      </c>
      <c r="S10" s="14" t="n">
        <f aca="false">IF(H10=1,IF(OR(Alpha_keep*$A10+S$3&gt;=Floor_c-0.000000001,AND($B10=0,S$3&gt;=Cap_h-0.000000001)),1,0),0)</f>
        <v>0</v>
      </c>
      <c r="T10" s="14" t="n">
        <f aca="false">IF(I10=1,IF(OR(Alpha_keep*$A10+T$3&gt;=Floor_c-0.000000001,AND($B10=0,T$3&gt;=Cap_h-0.000000001)),1,0),0)</f>
        <v>0</v>
      </c>
      <c r="U10" s="14" t="n">
        <f aca="false">IF(J10=1,IF(OR(Alpha_keep*$A10+U$3&gt;=Floor_c-0.000000001,AND($B10=0,U$3&gt;=Cap_h-0.000000001)),1,0),0)</f>
        <v>0</v>
      </c>
      <c r="V10" s="14" t="n">
        <f aca="false">IF(K10=1,IF(OR(Alpha_keep*$A10+V$3&gt;=Floor_c-0.000000001,AND($B10=0,V$3&gt;=Cap_h-0.000000001)),1,0),0)</f>
        <v>0</v>
      </c>
      <c r="W10" s="14" t="n">
        <f aca="false">IF(L10=1,IF(OR(Alpha_keep*$A10+W$3&gt;=Floor_c-0.000000001,AND($B10=0,W$3&gt;=Cap_h-0.000000001)),1,0),0)</f>
        <v>0</v>
      </c>
      <c r="X10" s="14" t="n">
        <f aca="false">IF(M10=1,IF(OR(Alpha_keep*$A10+X$3&gt;=Floor_c-0.000000001,AND($B10=0,X$3&gt;=Cap_h-0.000000001)),1,0),0)</f>
        <v>1</v>
      </c>
      <c r="Y10" s="14" t="n">
        <f aca="false">SUM(C10:M10)</f>
        <v>6</v>
      </c>
      <c r="Z10" s="14" t="n">
        <f aca="false">SUM(N10:X10)</f>
        <v>1</v>
      </c>
      <c r="AA10" s="12" t="n">
        <f aca="false">INDEX($C$3:$M$3,MATCH(1,C10:M10,0))</f>
        <v>1.25</v>
      </c>
      <c r="AB10" s="12" t="n">
        <f aca="false">INDEX($N$3:$X$3,MATCH(1,N10:X10,0))+(Z10-1)*Step_h</f>
        <v>2.5</v>
      </c>
    </row>
    <row r="11" customFormat="false" ht="15" hidden="false" customHeight="false" outlineLevel="0" collapsed="false">
      <c r="A11" s="12" t="n">
        <f aca="false">A10+Step_c</f>
        <v>31.5</v>
      </c>
      <c r="B11" s="14" t="n">
        <f aca="false">IF(SUMPRODUCT((Alpha_keep*$A11+$C$3:$M$3&gt;=Floor_c-0.000000001)*(C11:M11))&gt;0,1,0)</f>
        <v>0</v>
      </c>
      <c r="C11" s="14" t="n">
        <f aca="false">IF(AND(Alpha_keep*$A11+C$3-MAX(Loss_w)&gt;=Lo_c-0.000000001,Alpha_keep*$A11+C$3-MIN(Loss_w)&lt;=Hi_c+0.000000001),1,0)</f>
        <v>0</v>
      </c>
      <c r="D11" s="14" t="n">
        <f aca="false">IF(AND(Alpha_keep*$A11+D$3-MAX(Loss_w)&gt;=Lo_c-0.000000001,Alpha_keep*$A11+D$3-MIN(Loss_w)&lt;=Hi_c+0.000000001),1,0)</f>
        <v>0</v>
      </c>
      <c r="E11" s="14" t="n">
        <f aca="false">IF(AND(Alpha_keep*$A11+E$3-MAX(Loss_w)&gt;=Lo_c-0.000000001,Alpha_keep*$A11+E$3-MIN(Loss_w)&lt;=Hi_c+0.000000001),1,0)</f>
        <v>0</v>
      </c>
      <c r="F11" s="14" t="n">
        <f aca="false">IF(AND(Alpha_keep*$A11+F$3-MAX(Loss_w)&gt;=Lo_c-0.000000001,Alpha_keep*$A11+F$3-MIN(Loss_w)&lt;=Hi_c+0.000000001),1,0)</f>
        <v>0</v>
      </c>
      <c r="G11" s="14" t="n">
        <f aca="false">IF(AND(Alpha_keep*$A11+G$3-MAX(Loss_w)&gt;=Lo_c-0.000000001,Alpha_keep*$A11+G$3-MIN(Loss_w)&lt;=Hi_c+0.000000001),1,0)</f>
        <v>1</v>
      </c>
      <c r="H11" s="14" t="n">
        <f aca="false">IF(AND(Alpha_keep*$A11+H$3-MAX(Loss_w)&gt;=Lo_c-0.000000001,Alpha_keep*$A11+H$3-MIN(Loss_w)&lt;=Hi_c+0.000000001),1,0)</f>
        <v>1</v>
      </c>
      <c r="I11" s="14" t="n">
        <f aca="false">IF(AND(Alpha_keep*$A11+I$3-MAX(Loss_w)&gt;=Lo_c-0.000000001,Alpha_keep*$A11+I$3-MIN(Loss_w)&lt;=Hi_c+0.000000001),1,0)</f>
        <v>1</v>
      </c>
      <c r="J11" s="14" t="n">
        <f aca="false">IF(AND(Alpha_keep*$A11+J$3-MAX(Loss_w)&gt;=Lo_c-0.000000001,Alpha_keep*$A11+J$3-MIN(Loss_w)&lt;=Hi_c+0.000000001),1,0)</f>
        <v>1</v>
      </c>
      <c r="K11" s="14" t="n">
        <f aca="false">IF(AND(Alpha_keep*$A11+K$3-MAX(Loss_w)&gt;=Lo_c-0.000000001,Alpha_keep*$A11+K$3-MIN(Loss_w)&lt;=Hi_c+0.000000001),1,0)</f>
        <v>1</v>
      </c>
      <c r="L11" s="14" t="n">
        <f aca="false">IF(AND(Alpha_keep*$A11+L$3-MAX(Loss_w)&gt;=Lo_c-0.000000001,Alpha_keep*$A11+L$3-MIN(Loss_w)&lt;=Hi_c+0.000000001),1,0)</f>
        <v>1</v>
      </c>
      <c r="M11" s="14" t="n">
        <f aca="false">IF(AND(Alpha_keep*$A11+M$3-MAX(Loss_w)&gt;=Lo_c-0.000000001,Alpha_keep*$A11+M$3-MIN(Loss_w)&lt;=Hi_c+0.000000001),1,0)</f>
        <v>1</v>
      </c>
      <c r="N11" s="14" t="n">
        <f aca="false">IF(C11=1,IF(OR(Alpha_keep*$A11+N$3&gt;=Floor_c-0.000000001,AND($B11=0,N$3&gt;=Cap_h-0.000000001)),1,0),0)</f>
        <v>0</v>
      </c>
      <c r="O11" s="14" t="n">
        <f aca="false">IF(D11=1,IF(OR(Alpha_keep*$A11+O$3&gt;=Floor_c-0.000000001,AND($B11=0,O$3&gt;=Cap_h-0.000000001)),1,0),0)</f>
        <v>0</v>
      </c>
      <c r="P11" s="14" t="n">
        <f aca="false">IF(E11=1,IF(OR(Alpha_keep*$A11+P$3&gt;=Floor_c-0.000000001,AND($B11=0,P$3&gt;=Cap_h-0.000000001)),1,0),0)</f>
        <v>0</v>
      </c>
      <c r="Q11" s="14" t="n">
        <f aca="false">IF(F11=1,IF(OR(Alpha_keep*$A11+Q$3&gt;=Floor_c-0.000000001,AND($B11=0,Q$3&gt;=Cap_h-0.000000001)),1,0),0)</f>
        <v>0</v>
      </c>
      <c r="R11" s="14" t="n">
        <f aca="false">IF(G11=1,IF(OR(Alpha_keep*$A11+R$3&gt;=Floor_c-0.000000001,AND($B11=0,R$3&gt;=Cap_h-0.000000001)),1,0),0)</f>
        <v>0</v>
      </c>
      <c r="S11" s="14" t="n">
        <f aca="false">IF(H11=1,IF(OR(Alpha_keep*$A11+S$3&gt;=Floor_c-0.000000001,AND($B11=0,S$3&gt;=Cap_h-0.000000001)),1,0),0)</f>
        <v>0</v>
      </c>
      <c r="T11" s="14" t="n">
        <f aca="false">IF(I11=1,IF(OR(Alpha_keep*$A11+T$3&gt;=Floor_c-0.000000001,AND($B11=0,T$3&gt;=Cap_h-0.000000001)),1,0),0)</f>
        <v>0</v>
      </c>
      <c r="U11" s="14" t="n">
        <f aca="false">IF(J11=1,IF(OR(Alpha_keep*$A11+U$3&gt;=Floor_c-0.000000001,AND($B11=0,U$3&gt;=Cap_h-0.000000001)),1,0),0)</f>
        <v>0</v>
      </c>
      <c r="V11" s="14" t="n">
        <f aca="false">IF(K11=1,IF(OR(Alpha_keep*$A11+V$3&gt;=Floor_c-0.000000001,AND($B11=0,V$3&gt;=Cap_h-0.000000001)),1,0),0)</f>
        <v>0</v>
      </c>
      <c r="W11" s="14" t="n">
        <f aca="false">IF(L11=1,IF(OR(Alpha_keep*$A11+W$3&gt;=Floor_c-0.000000001,AND($B11=0,W$3&gt;=Cap_h-0.000000001)),1,0),0)</f>
        <v>0</v>
      </c>
      <c r="X11" s="14" t="n">
        <f aca="false">IF(M11=1,IF(OR(Alpha_keep*$A11+X$3&gt;=Floor_c-0.000000001,AND($B11=0,X$3&gt;=Cap_h-0.000000001)),1,0),0)</f>
        <v>1</v>
      </c>
      <c r="Y11" s="14" t="n">
        <f aca="false">SUM(C11:M11)</f>
        <v>7</v>
      </c>
      <c r="Z11" s="14" t="n">
        <f aca="false">SUM(N11:X11)</f>
        <v>1</v>
      </c>
      <c r="AA11" s="12" t="n">
        <f aca="false">INDEX($C$3:$M$3,MATCH(1,C11:M11,0))</f>
        <v>1</v>
      </c>
      <c r="AB11" s="12" t="n">
        <f aca="false">INDEX($N$3:$X$3,MATCH(1,N11:X11,0))+(Z11-1)*Step_h</f>
        <v>2.5</v>
      </c>
    </row>
    <row r="12" customFormat="false" ht="15" hidden="false" customHeight="false" outlineLevel="0" collapsed="false">
      <c r="A12" s="12" t="n">
        <f aca="false">A11+Step_c</f>
        <v>31.75</v>
      </c>
      <c r="B12" s="14" t="n">
        <f aca="false">IF(SUMPRODUCT((Alpha_keep*$A12+$C$3:$M$3&gt;=Floor_c-0.000000001)*(C12:M12))&gt;0,1,0)</f>
        <v>0</v>
      </c>
      <c r="C12" s="14" t="n">
        <f aca="false">IF(AND(Alpha_keep*$A12+C$3-MAX(Loss_w)&gt;=Lo_c-0.000000001,Alpha_keep*$A12+C$3-MIN(Loss_w)&lt;=Hi_c+0.000000001),1,0)</f>
        <v>0</v>
      </c>
      <c r="D12" s="14" t="n">
        <f aca="false">IF(AND(Alpha_keep*$A12+D$3-MAX(Loss_w)&gt;=Lo_c-0.000000001,Alpha_keep*$A12+D$3-MIN(Loss_w)&lt;=Hi_c+0.000000001),1,0)</f>
        <v>0</v>
      </c>
      <c r="E12" s="14" t="n">
        <f aca="false">IF(AND(Alpha_keep*$A12+E$3-MAX(Loss_w)&gt;=Lo_c-0.000000001,Alpha_keep*$A12+E$3-MIN(Loss_w)&lt;=Hi_c+0.000000001),1,0)</f>
        <v>0</v>
      </c>
      <c r="F12" s="14" t="n">
        <f aca="false">IF(AND(Alpha_keep*$A12+F$3-MAX(Loss_w)&gt;=Lo_c-0.000000001,Alpha_keep*$A12+F$3-MIN(Loss_w)&lt;=Hi_c+0.000000001),1,0)</f>
        <v>1</v>
      </c>
      <c r="G12" s="14" t="n">
        <f aca="false">IF(AND(Alpha_keep*$A12+G$3-MAX(Loss_w)&gt;=Lo_c-0.000000001,Alpha_keep*$A12+G$3-MIN(Loss_w)&lt;=Hi_c+0.000000001),1,0)</f>
        <v>1</v>
      </c>
      <c r="H12" s="14" t="n">
        <f aca="false">IF(AND(Alpha_keep*$A12+H$3-MAX(Loss_w)&gt;=Lo_c-0.000000001,Alpha_keep*$A12+H$3-MIN(Loss_w)&lt;=Hi_c+0.000000001),1,0)</f>
        <v>1</v>
      </c>
      <c r="I12" s="14" t="n">
        <f aca="false">IF(AND(Alpha_keep*$A12+I$3-MAX(Loss_w)&gt;=Lo_c-0.000000001,Alpha_keep*$A12+I$3-MIN(Loss_w)&lt;=Hi_c+0.000000001),1,0)</f>
        <v>1</v>
      </c>
      <c r="J12" s="14" t="n">
        <f aca="false">IF(AND(Alpha_keep*$A12+J$3-MAX(Loss_w)&gt;=Lo_c-0.000000001,Alpha_keep*$A12+J$3-MIN(Loss_w)&lt;=Hi_c+0.000000001),1,0)</f>
        <v>1</v>
      </c>
      <c r="K12" s="14" t="n">
        <f aca="false">IF(AND(Alpha_keep*$A12+K$3-MAX(Loss_w)&gt;=Lo_c-0.000000001,Alpha_keep*$A12+K$3-MIN(Loss_w)&lt;=Hi_c+0.000000001),1,0)</f>
        <v>1</v>
      </c>
      <c r="L12" s="14" t="n">
        <f aca="false">IF(AND(Alpha_keep*$A12+L$3-MAX(Loss_w)&gt;=Lo_c-0.000000001,Alpha_keep*$A12+L$3-MIN(Loss_w)&lt;=Hi_c+0.000000001),1,0)</f>
        <v>1</v>
      </c>
      <c r="M12" s="14" t="n">
        <f aca="false">IF(AND(Alpha_keep*$A12+M$3-MAX(Loss_w)&gt;=Lo_c-0.000000001,Alpha_keep*$A12+M$3-MIN(Loss_w)&lt;=Hi_c+0.000000001),1,0)</f>
        <v>1</v>
      </c>
      <c r="N12" s="14" t="n">
        <f aca="false">IF(C12=1,IF(OR(Alpha_keep*$A12+N$3&gt;=Floor_c-0.000000001,AND($B12=0,N$3&gt;=Cap_h-0.000000001)),1,0),0)</f>
        <v>0</v>
      </c>
      <c r="O12" s="14" t="n">
        <f aca="false">IF(D12=1,IF(OR(Alpha_keep*$A12+O$3&gt;=Floor_c-0.000000001,AND($B12=0,O$3&gt;=Cap_h-0.000000001)),1,0),0)</f>
        <v>0</v>
      </c>
      <c r="P12" s="14" t="n">
        <f aca="false">IF(E12=1,IF(OR(Alpha_keep*$A12+P$3&gt;=Floor_c-0.000000001,AND($B12=0,P$3&gt;=Cap_h-0.000000001)),1,0),0)</f>
        <v>0</v>
      </c>
      <c r="Q12" s="14" t="n">
        <f aca="false">IF(F12=1,IF(OR(Alpha_keep*$A12+Q$3&gt;=Floor_c-0.000000001,AND($B12=0,Q$3&gt;=Cap_h-0.000000001)),1,0),0)</f>
        <v>0</v>
      </c>
      <c r="R12" s="14" t="n">
        <f aca="false">IF(G12=1,IF(OR(Alpha_keep*$A12+R$3&gt;=Floor_c-0.000000001,AND($B12=0,R$3&gt;=Cap_h-0.000000001)),1,0),0)</f>
        <v>0</v>
      </c>
      <c r="S12" s="14" t="n">
        <f aca="false">IF(H12=1,IF(OR(Alpha_keep*$A12+S$3&gt;=Floor_c-0.000000001,AND($B12=0,S$3&gt;=Cap_h-0.000000001)),1,0),0)</f>
        <v>0</v>
      </c>
      <c r="T12" s="14" t="n">
        <f aca="false">IF(I12=1,IF(OR(Alpha_keep*$A12+T$3&gt;=Floor_c-0.000000001,AND($B12=0,T$3&gt;=Cap_h-0.000000001)),1,0),0)</f>
        <v>0</v>
      </c>
      <c r="U12" s="14" t="n">
        <f aca="false">IF(J12=1,IF(OR(Alpha_keep*$A12+U$3&gt;=Floor_c-0.000000001,AND($B12=0,U$3&gt;=Cap_h-0.000000001)),1,0),0)</f>
        <v>0</v>
      </c>
      <c r="V12" s="14" t="n">
        <f aca="false">IF(K12=1,IF(OR(Alpha_keep*$A12+V$3&gt;=Floor_c-0.000000001,AND($B12=0,V$3&gt;=Cap_h-0.000000001)),1,0),0)</f>
        <v>0</v>
      </c>
      <c r="W12" s="14" t="n">
        <f aca="false">IF(L12=1,IF(OR(Alpha_keep*$A12+W$3&gt;=Floor_c-0.000000001,AND($B12=0,W$3&gt;=Cap_h-0.000000001)),1,0),0)</f>
        <v>0</v>
      </c>
      <c r="X12" s="14" t="n">
        <f aca="false">IF(M12=1,IF(OR(Alpha_keep*$A12+X$3&gt;=Floor_c-0.000000001,AND($B12=0,X$3&gt;=Cap_h-0.000000001)),1,0),0)</f>
        <v>1</v>
      </c>
      <c r="Y12" s="14" t="n">
        <f aca="false">SUM(C12:M12)</f>
        <v>8</v>
      </c>
      <c r="Z12" s="14" t="n">
        <f aca="false">SUM(N12:X12)</f>
        <v>1</v>
      </c>
      <c r="AA12" s="12" t="n">
        <f aca="false">INDEX($C$3:$M$3,MATCH(1,C12:M12,0))</f>
        <v>0.75</v>
      </c>
      <c r="AB12" s="12" t="n">
        <f aca="false">INDEX($N$3:$X$3,MATCH(1,N12:X12,0))+(Z12-1)*Step_h</f>
        <v>2.5</v>
      </c>
    </row>
    <row r="13" customFormat="false" ht="15" hidden="false" customHeight="false" outlineLevel="0" collapsed="false">
      <c r="A13" s="12" t="n">
        <f aca="false">A12+Step_c</f>
        <v>32</v>
      </c>
      <c r="B13" s="14" t="n">
        <f aca="false">IF(SUMPRODUCT((Alpha_keep*$A13+$C$3:$M$3&gt;=Floor_c-0.000000001)*(C13:M13))&gt;0,1,0)</f>
        <v>0</v>
      </c>
      <c r="C13" s="14" t="n">
        <f aca="false">IF(AND(Alpha_keep*$A13+C$3-MAX(Loss_w)&gt;=Lo_c-0.000000001,Alpha_keep*$A13+C$3-MIN(Loss_w)&lt;=Hi_c+0.000000001),1,0)</f>
        <v>0</v>
      </c>
      <c r="D13" s="14" t="n">
        <f aca="false">IF(AND(Alpha_keep*$A13+D$3-MAX(Loss_w)&gt;=Lo_c-0.000000001,Alpha_keep*$A13+D$3-MIN(Loss_w)&lt;=Hi_c+0.000000001),1,0)</f>
        <v>0</v>
      </c>
      <c r="E13" s="14" t="n">
        <f aca="false">IF(AND(Alpha_keep*$A13+E$3-MAX(Loss_w)&gt;=Lo_c-0.000000001,Alpha_keep*$A13+E$3-MIN(Loss_w)&lt;=Hi_c+0.000000001),1,0)</f>
        <v>1</v>
      </c>
      <c r="F13" s="14" t="n">
        <f aca="false">IF(AND(Alpha_keep*$A13+F$3-MAX(Loss_w)&gt;=Lo_c-0.000000001,Alpha_keep*$A13+F$3-MIN(Loss_w)&lt;=Hi_c+0.000000001),1,0)</f>
        <v>1</v>
      </c>
      <c r="G13" s="14" t="n">
        <f aca="false">IF(AND(Alpha_keep*$A13+G$3-MAX(Loss_w)&gt;=Lo_c-0.000000001,Alpha_keep*$A13+G$3-MIN(Loss_w)&lt;=Hi_c+0.000000001),1,0)</f>
        <v>1</v>
      </c>
      <c r="H13" s="14" t="n">
        <f aca="false">IF(AND(Alpha_keep*$A13+H$3-MAX(Loss_w)&gt;=Lo_c-0.000000001,Alpha_keep*$A13+H$3-MIN(Loss_w)&lt;=Hi_c+0.000000001),1,0)</f>
        <v>1</v>
      </c>
      <c r="I13" s="14" t="n">
        <f aca="false">IF(AND(Alpha_keep*$A13+I$3-MAX(Loss_w)&gt;=Lo_c-0.000000001,Alpha_keep*$A13+I$3-MIN(Loss_w)&lt;=Hi_c+0.000000001),1,0)</f>
        <v>1</v>
      </c>
      <c r="J13" s="14" t="n">
        <f aca="false">IF(AND(Alpha_keep*$A13+J$3-MAX(Loss_w)&gt;=Lo_c-0.000000001,Alpha_keep*$A13+J$3-MIN(Loss_w)&lt;=Hi_c+0.000000001),1,0)</f>
        <v>1</v>
      </c>
      <c r="K13" s="14" t="n">
        <f aca="false">IF(AND(Alpha_keep*$A13+K$3-MAX(Loss_w)&gt;=Lo_c-0.000000001,Alpha_keep*$A13+K$3-MIN(Loss_w)&lt;=Hi_c+0.000000001),1,0)</f>
        <v>1</v>
      </c>
      <c r="L13" s="14" t="n">
        <f aca="false">IF(AND(Alpha_keep*$A13+L$3-MAX(Loss_w)&gt;=Lo_c-0.000000001,Alpha_keep*$A13+L$3-MIN(Loss_w)&lt;=Hi_c+0.000000001),1,0)</f>
        <v>1</v>
      </c>
      <c r="M13" s="14" t="n">
        <f aca="false">IF(AND(Alpha_keep*$A13+M$3-MAX(Loss_w)&gt;=Lo_c-0.000000001,Alpha_keep*$A13+M$3-MIN(Loss_w)&lt;=Hi_c+0.000000001),1,0)</f>
        <v>1</v>
      </c>
      <c r="N13" s="14" t="n">
        <f aca="false">IF(C13=1,IF(OR(Alpha_keep*$A13+N$3&gt;=Floor_c-0.000000001,AND($B13=0,N$3&gt;=Cap_h-0.000000001)),1,0),0)</f>
        <v>0</v>
      </c>
      <c r="O13" s="14" t="n">
        <f aca="false">IF(D13=1,IF(OR(Alpha_keep*$A13+O$3&gt;=Floor_c-0.000000001,AND($B13=0,O$3&gt;=Cap_h-0.000000001)),1,0),0)</f>
        <v>0</v>
      </c>
      <c r="P13" s="14" t="n">
        <f aca="false">IF(E13=1,IF(OR(Alpha_keep*$A13+P$3&gt;=Floor_c-0.000000001,AND($B13=0,P$3&gt;=Cap_h-0.000000001)),1,0),0)</f>
        <v>0</v>
      </c>
      <c r="Q13" s="14" t="n">
        <f aca="false">IF(F13=1,IF(OR(Alpha_keep*$A13+Q$3&gt;=Floor_c-0.000000001,AND($B13=0,Q$3&gt;=Cap_h-0.000000001)),1,0),0)</f>
        <v>0</v>
      </c>
      <c r="R13" s="14" t="n">
        <f aca="false">IF(G13=1,IF(OR(Alpha_keep*$A13+R$3&gt;=Floor_c-0.000000001,AND($B13=0,R$3&gt;=Cap_h-0.000000001)),1,0),0)</f>
        <v>0</v>
      </c>
      <c r="S13" s="14" t="n">
        <f aca="false">IF(H13=1,IF(OR(Alpha_keep*$A13+S$3&gt;=Floor_c-0.000000001,AND($B13=0,S$3&gt;=Cap_h-0.000000001)),1,0),0)</f>
        <v>0</v>
      </c>
      <c r="T13" s="14" t="n">
        <f aca="false">IF(I13=1,IF(OR(Alpha_keep*$A13+T$3&gt;=Floor_c-0.000000001,AND($B13=0,T$3&gt;=Cap_h-0.000000001)),1,0),0)</f>
        <v>0</v>
      </c>
      <c r="U13" s="14" t="n">
        <f aca="false">IF(J13=1,IF(OR(Alpha_keep*$A13+U$3&gt;=Floor_c-0.000000001,AND($B13=0,U$3&gt;=Cap_h-0.000000001)),1,0),0)</f>
        <v>0</v>
      </c>
      <c r="V13" s="14" t="n">
        <f aca="false">IF(K13=1,IF(OR(Alpha_keep*$A13+V$3&gt;=Floor_c-0.000000001,AND($B13=0,V$3&gt;=Cap_h-0.000000001)),1,0),0)</f>
        <v>0</v>
      </c>
      <c r="W13" s="14" t="n">
        <f aca="false">IF(L13=1,IF(OR(Alpha_keep*$A13+W$3&gt;=Floor_c-0.000000001,AND($B13=0,W$3&gt;=Cap_h-0.000000001)),1,0),0)</f>
        <v>0</v>
      </c>
      <c r="X13" s="14" t="n">
        <f aca="false">IF(M13=1,IF(OR(Alpha_keep*$A13+X$3&gt;=Floor_c-0.000000001,AND($B13=0,X$3&gt;=Cap_h-0.000000001)),1,0),0)</f>
        <v>1</v>
      </c>
      <c r="Y13" s="14" t="n">
        <f aca="false">SUM(C13:M13)</f>
        <v>9</v>
      </c>
      <c r="Z13" s="14" t="n">
        <f aca="false">SUM(N13:X13)</f>
        <v>1</v>
      </c>
      <c r="AA13" s="12" t="n">
        <f aca="false">INDEX($C$3:$M$3,MATCH(1,C13:M13,0))</f>
        <v>0.5</v>
      </c>
      <c r="AB13" s="12" t="n">
        <f aca="false">INDEX($N$3:$X$3,MATCH(1,N13:X13,0))+(Z13-1)*Step_h</f>
        <v>2.5</v>
      </c>
    </row>
    <row r="14" customFormat="false" ht="15" hidden="false" customHeight="false" outlineLevel="0" collapsed="false">
      <c r="A14" s="12" t="n">
        <f aca="false">A13+Step_c</f>
        <v>32.25</v>
      </c>
      <c r="B14" s="14" t="n">
        <f aca="false">IF(SUMPRODUCT((Alpha_keep*$A14+$C$3:$M$3&gt;=Floor_c-0.000000001)*(C14:M14))&gt;0,1,0)</f>
        <v>0</v>
      </c>
      <c r="C14" s="14" t="n">
        <f aca="false">IF(AND(Alpha_keep*$A14+C$3-MAX(Loss_w)&gt;=Lo_c-0.000000001,Alpha_keep*$A14+C$3-MIN(Loss_w)&lt;=Hi_c+0.000000001),1,0)</f>
        <v>0</v>
      </c>
      <c r="D14" s="14" t="n">
        <f aca="false">IF(AND(Alpha_keep*$A14+D$3-MAX(Loss_w)&gt;=Lo_c-0.000000001,Alpha_keep*$A14+D$3-MIN(Loss_w)&lt;=Hi_c+0.000000001),1,0)</f>
        <v>1</v>
      </c>
      <c r="E14" s="14" t="n">
        <f aca="false">IF(AND(Alpha_keep*$A14+E$3-MAX(Loss_w)&gt;=Lo_c-0.000000001,Alpha_keep*$A14+E$3-MIN(Loss_w)&lt;=Hi_c+0.000000001),1,0)</f>
        <v>1</v>
      </c>
      <c r="F14" s="14" t="n">
        <f aca="false">IF(AND(Alpha_keep*$A14+F$3-MAX(Loss_w)&gt;=Lo_c-0.000000001,Alpha_keep*$A14+F$3-MIN(Loss_w)&lt;=Hi_c+0.000000001),1,0)</f>
        <v>1</v>
      </c>
      <c r="G14" s="14" t="n">
        <f aca="false">IF(AND(Alpha_keep*$A14+G$3-MAX(Loss_w)&gt;=Lo_c-0.000000001,Alpha_keep*$A14+G$3-MIN(Loss_w)&lt;=Hi_c+0.000000001),1,0)</f>
        <v>1</v>
      </c>
      <c r="H14" s="14" t="n">
        <f aca="false">IF(AND(Alpha_keep*$A14+H$3-MAX(Loss_w)&gt;=Lo_c-0.000000001,Alpha_keep*$A14+H$3-MIN(Loss_w)&lt;=Hi_c+0.000000001),1,0)</f>
        <v>1</v>
      </c>
      <c r="I14" s="14" t="n">
        <f aca="false">IF(AND(Alpha_keep*$A14+I$3-MAX(Loss_w)&gt;=Lo_c-0.000000001,Alpha_keep*$A14+I$3-MIN(Loss_w)&lt;=Hi_c+0.000000001),1,0)</f>
        <v>1</v>
      </c>
      <c r="J14" s="14" t="n">
        <f aca="false">IF(AND(Alpha_keep*$A14+J$3-MAX(Loss_w)&gt;=Lo_c-0.000000001,Alpha_keep*$A14+J$3-MIN(Loss_w)&lt;=Hi_c+0.000000001),1,0)</f>
        <v>1</v>
      </c>
      <c r="K14" s="14" t="n">
        <f aca="false">IF(AND(Alpha_keep*$A14+K$3-MAX(Loss_w)&gt;=Lo_c-0.000000001,Alpha_keep*$A14+K$3-MIN(Loss_w)&lt;=Hi_c+0.000000001),1,0)</f>
        <v>1</v>
      </c>
      <c r="L14" s="14" t="n">
        <f aca="false">IF(AND(Alpha_keep*$A14+L$3-MAX(Loss_w)&gt;=Lo_c-0.000000001,Alpha_keep*$A14+L$3-MIN(Loss_w)&lt;=Hi_c+0.000000001),1,0)</f>
        <v>1</v>
      </c>
      <c r="M14" s="14" t="n">
        <f aca="false">IF(AND(Alpha_keep*$A14+M$3-MAX(Loss_w)&gt;=Lo_c-0.000000001,Alpha_keep*$A14+M$3-MIN(Loss_w)&lt;=Hi_c+0.000000001),1,0)</f>
        <v>1</v>
      </c>
      <c r="N14" s="14" t="n">
        <f aca="false">IF(C14=1,IF(OR(Alpha_keep*$A14+N$3&gt;=Floor_c-0.000000001,AND($B14=0,N$3&gt;=Cap_h-0.000000001)),1,0),0)</f>
        <v>0</v>
      </c>
      <c r="O14" s="14" t="n">
        <f aca="false">IF(D14=1,IF(OR(Alpha_keep*$A14+O$3&gt;=Floor_c-0.000000001,AND($B14=0,O$3&gt;=Cap_h-0.000000001)),1,0),0)</f>
        <v>0</v>
      </c>
      <c r="P14" s="14" t="n">
        <f aca="false">IF(E14=1,IF(OR(Alpha_keep*$A14+P$3&gt;=Floor_c-0.000000001,AND($B14=0,P$3&gt;=Cap_h-0.000000001)),1,0),0)</f>
        <v>0</v>
      </c>
      <c r="Q14" s="14" t="n">
        <f aca="false">IF(F14=1,IF(OR(Alpha_keep*$A14+Q$3&gt;=Floor_c-0.000000001,AND($B14=0,Q$3&gt;=Cap_h-0.000000001)),1,0),0)</f>
        <v>0</v>
      </c>
      <c r="R14" s="14" t="n">
        <f aca="false">IF(G14=1,IF(OR(Alpha_keep*$A14+R$3&gt;=Floor_c-0.000000001,AND($B14=0,R$3&gt;=Cap_h-0.000000001)),1,0),0)</f>
        <v>0</v>
      </c>
      <c r="S14" s="14" t="n">
        <f aca="false">IF(H14=1,IF(OR(Alpha_keep*$A14+S$3&gt;=Floor_c-0.000000001,AND($B14=0,S$3&gt;=Cap_h-0.000000001)),1,0),0)</f>
        <v>0</v>
      </c>
      <c r="T14" s="14" t="n">
        <f aca="false">IF(I14=1,IF(OR(Alpha_keep*$A14+T$3&gt;=Floor_c-0.000000001,AND($B14=0,T$3&gt;=Cap_h-0.000000001)),1,0),0)</f>
        <v>0</v>
      </c>
      <c r="U14" s="14" t="n">
        <f aca="false">IF(J14=1,IF(OR(Alpha_keep*$A14+U$3&gt;=Floor_c-0.000000001,AND($B14=0,U$3&gt;=Cap_h-0.000000001)),1,0),0)</f>
        <v>0</v>
      </c>
      <c r="V14" s="14" t="n">
        <f aca="false">IF(K14=1,IF(OR(Alpha_keep*$A14+V$3&gt;=Floor_c-0.000000001,AND($B14=0,V$3&gt;=Cap_h-0.000000001)),1,0),0)</f>
        <v>0</v>
      </c>
      <c r="W14" s="14" t="n">
        <f aca="false">IF(L14=1,IF(OR(Alpha_keep*$A14+W$3&gt;=Floor_c-0.000000001,AND($B14=0,W$3&gt;=Cap_h-0.000000001)),1,0),0)</f>
        <v>0</v>
      </c>
      <c r="X14" s="14" t="n">
        <f aca="false">IF(M14=1,IF(OR(Alpha_keep*$A14+X$3&gt;=Floor_c-0.000000001,AND($B14=0,X$3&gt;=Cap_h-0.000000001)),1,0),0)</f>
        <v>1</v>
      </c>
      <c r="Y14" s="14" t="n">
        <f aca="false">SUM(C14:M14)</f>
        <v>10</v>
      </c>
      <c r="Z14" s="14" t="n">
        <f aca="false">SUM(N14:X14)</f>
        <v>1</v>
      </c>
      <c r="AA14" s="12" t="n">
        <f aca="false">INDEX($C$3:$M$3,MATCH(1,C14:M14,0))</f>
        <v>0.25</v>
      </c>
      <c r="AB14" s="12" t="n">
        <f aca="false">INDEX($N$3:$X$3,MATCH(1,N14:X14,0))+(Z14-1)*Step_h</f>
        <v>2.5</v>
      </c>
    </row>
    <row r="15" customFormat="false" ht="15" hidden="false" customHeight="false" outlineLevel="0" collapsed="false">
      <c r="A15" s="12" t="n">
        <f aca="false">A14+Step_c</f>
        <v>32.5</v>
      </c>
      <c r="B15" s="14" t="n">
        <f aca="false">IF(SUMPRODUCT((Alpha_keep*$A15+$C$3:$M$3&gt;=Floor_c-0.000000001)*(C15:M15))&gt;0,1,0)</f>
        <v>0</v>
      </c>
      <c r="C15" s="14" t="n">
        <f aca="false">IF(AND(Alpha_keep*$A15+C$3-MAX(Loss_w)&gt;=Lo_c-0.000000001,Alpha_keep*$A15+C$3-MIN(Loss_w)&lt;=Hi_c+0.000000001),1,0)</f>
        <v>1</v>
      </c>
      <c r="D15" s="14" t="n">
        <f aca="false">IF(AND(Alpha_keep*$A15+D$3-MAX(Loss_w)&gt;=Lo_c-0.000000001,Alpha_keep*$A15+D$3-MIN(Loss_w)&lt;=Hi_c+0.000000001),1,0)</f>
        <v>1</v>
      </c>
      <c r="E15" s="14" t="n">
        <f aca="false">IF(AND(Alpha_keep*$A15+E$3-MAX(Loss_w)&gt;=Lo_c-0.000000001,Alpha_keep*$A15+E$3-MIN(Loss_w)&lt;=Hi_c+0.000000001),1,0)</f>
        <v>1</v>
      </c>
      <c r="F15" s="14" t="n">
        <f aca="false">IF(AND(Alpha_keep*$A15+F$3-MAX(Loss_w)&gt;=Lo_c-0.000000001,Alpha_keep*$A15+F$3-MIN(Loss_w)&lt;=Hi_c+0.000000001),1,0)</f>
        <v>1</v>
      </c>
      <c r="G15" s="14" t="n">
        <f aca="false">IF(AND(Alpha_keep*$A15+G$3-MAX(Loss_w)&gt;=Lo_c-0.000000001,Alpha_keep*$A15+G$3-MIN(Loss_w)&lt;=Hi_c+0.000000001),1,0)</f>
        <v>1</v>
      </c>
      <c r="H15" s="14" t="n">
        <f aca="false">IF(AND(Alpha_keep*$A15+H$3-MAX(Loss_w)&gt;=Lo_c-0.000000001,Alpha_keep*$A15+H$3-MIN(Loss_w)&lt;=Hi_c+0.000000001),1,0)</f>
        <v>1</v>
      </c>
      <c r="I15" s="14" t="n">
        <f aca="false">IF(AND(Alpha_keep*$A15+I$3-MAX(Loss_w)&gt;=Lo_c-0.000000001,Alpha_keep*$A15+I$3-MIN(Loss_w)&lt;=Hi_c+0.000000001),1,0)</f>
        <v>1</v>
      </c>
      <c r="J15" s="14" t="n">
        <f aca="false">IF(AND(Alpha_keep*$A15+J$3-MAX(Loss_w)&gt;=Lo_c-0.000000001,Alpha_keep*$A15+J$3-MIN(Loss_w)&lt;=Hi_c+0.000000001),1,0)</f>
        <v>1</v>
      </c>
      <c r="K15" s="14" t="n">
        <f aca="false">IF(AND(Alpha_keep*$A15+K$3-MAX(Loss_w)&gt;=Lo_c-0.000000001,Alpha_keep*$A15+K$3-MIN(Loss_w)&lt;=Hi_c+0.000000001),1,0)</f>
        <v>1</v>
      </c>
      <c r="L15" s="14" t="n">
        <f aca="false">IF(AND(Alpha_keep*$A15+L$3-MAX(Loss_w)&gt;=Lo_c-0.000000001,Alpha_keep*$A15+L$3-MIN(Loss_w)&lt;=Hi_c+0.000000001),1,0)</f>
        <v>1</v>
      </c>
      <c r="M15" s="14" t="n">
        <f aca="false">IF(AND(Alpha_keep*$A15+M$3-MAX(Loss_w)&gt;=Lo_c-0.000000001,Alpha_keep*$A15+M$3-MIN(Loss_w)&lt;=Hi_c+0.000000001),1,0)</f>
        <v>1</v>
      </c>
      <c r="N15" s="14" t="n">
        <f aca="false">IF(C15=1,IF(OR(Alpha_keep*$A15+N$3&gt;=Floor_c-0.000000001,AND($B15=0,N$3&gt;=Cap_h-0.000000001)),1,0),0)</f>
        <v>0</v>
      </c>
      <c r="O15" s="14" t="n">
        <f aca="false">IF(D15=1,IF(OR(Alpha_keep*$A15+O$3&gt;=Floor_c-0.000000001,AND($B15=0,O$3&gt;=Cap_h-0.000000001)),1,0),0)</f>
        <v>0</v>
      </c>
      <c r="P15" s="14" t="n">
        <f aca="false">IF(E15=1,IF(OR(Alpha_keep*$A15+P$3&gt;=Floor_c-0.000000001,AND($B15=0,P$3&gt;=Cap_h-0.000000001)),1,0),0)</f>
        <v>0</v>
      </c>
      <c r="Q15" s="14" t="n">
        <f aca="false">IF(F15=1,IF(OR(Alpha_keep*$A15+Q$3&gt;=Floor_c-0.000000001,AND($B15=0,Q$3&gt;=Cap_h-0.000000001)),1,0),0)</f>
        <v>0</v>
      </c>
      <c r="R15" s="14" t="n">
        <f aca="false">IF(G15=1,IF(OR(Alpha_keep*$A15+R$3&gt;=Floor_c-0.000000001,AND($B15=0,R$3&gt;=Cap_h-0.000000001)),1,0),0)</f>
        <v>0</v>
      </c>
      <c r="S15" s="14" t="n">
        <f aca="false">IF(H15=1,IF(OR(Alpha_keep*$A15+S$3&gt;=Floor_c-0.000000001,AND($B15=0,S$3&gt;=Cap_h-0.000000001)),1,0),0)</f>
        <v>0</v>
      </c>
      <c r="T15" s="14" t="n">
        <f aca="false">IF(I15=1,IF(OR(Alpha_keep*$A15+T$3&gt;=Floor_c-0.000000001,AND($B15=0,T$3&gt;=Cap_h-0.000000001)),1,0),0)</f>
        <v>0</v>
      </c>
      <c r="U15" s="14" t="n">
        <f aca="false">IF(J15=1,IF(OR(Alpha_keep*$A15+U$3&gt;=Floor_c-0.000000001,AND($B15=0,U$3&gt;=Cap_h-0.000000001)),1,0),0)</f>
        <v>0</v>
      </c>
      <c r="V15" s="14" t="n">
        <f aca="false">IF(K15=1,IF(OR(Alpha_keep*$A15+V$3&gt;=Floor_c-0.000000001,AND($B15=0,V$3&gt;=Cap_h-0.000000001)),1,0),0)</f>
        <v>0</v>
      </c>
      <c r="W15" s="14" t="n">
        <f aca="false">IF(L15=1,IF(OR(Alpha_keep*$A15+W$3&gt;=Floor_c-0.000000001,AND($B15=0,W$3&gt;=Cap_h-0.000000001)),1,0),0)</f>
        <v>0</v>
      </c>
      <c r="X15" s="14" t="n">
        <f aca="false">IF(M15=1,IF(OR(Alpha_keep*$A15+X$3&gt;=Floor_c-0.000000001,AND($B15=0,X$3&gt;=Cap_h-0.000000001)),1,0),0)</f>
        <v>1</v>
      </c>
      <c r="Y15" s="14" t="n">
        <f aca="false">SUM(C15:M15)</f>
        <v>11</v>
      </c>
      <c r="Z15" s="14" t="n">
        <f aca="false">SUM(N15:X15)</f>
        <v>1</v>
      </c>
      <c r="AA15" s="12" t="n">
        <f aca="false">INDEX($C$3:$M$3,MATCH(1,C15:M15,0))</f>
        <v>0</v>
      </c>
      <c r="AB15" s="12" t="n">
        <f aca="false">INDEX($N$3:$X$3,MATCH(1,N15:X15,0))+(Z15-1)*Step_h</f>
        <v>2.5</v>
      </c>
    </row>
    <row r="16" customFormat="false" ht="15" hidden="false" customHeight="false" outlineLevel="0" collapsed="false">
      <c r="A16" s="12" t="n">
        <f aca="false">A15+Step_c</f>
        <v>32.75</v>
      </c>
      <c r="B16" s="14" t="n">
        <f aca="false">IF(SUMPRODUCT((Alpha_keep*$A16+$C$3:$M$3&gt;=Floor_c-0.000000001)*(C16:M16))&gt;0,1,0)</f>
        <v>0</v>
      </c>
      <c r="C16" s="14" t="n">
        <f aca="false">IF(AND(Alpha_keep*$A16+C$3-MAX(Loss_w)&gt;=Lo_c-0.000000001,Alpha_keep*$A16+C$3-MIN(Loss_w)&lt;=Hi_c+0.000000001),1,0)</f>
        <v>1</v>
      </c>
      <c r="D16" s="14" t="n">
        <f aca="false">IF(AND(Alpha_keep*$A16+D$3-MAX(Loss_w)&gt;=Lo_c-0.000000001,Alpha_keep*$A16+D$3-MIN(Loss_w)&lt;=Hi_c+0.000000001),1,0)</f>
        <v>1</v>
      </c>
      <c r="E16" s="14" t="n">
        <f aca="false">IF(AND(Alpha_keep*$A16+E$3-MAX(Loss_w)&gt;=Lo_c-0.000000001,Alpha_keep*$A16+E$3-MIN(Loss_w)&lt;=Hi_c+0.000000001),1,0)</f>
        <v>1</v>
      </c>
      <c r="F16" s="14" t="n">
        <f aca="false">IF(AND(Alpha_keep*$A16+F$3-MAX(Loss_w)&gt;=Lo_c-0.000000001,Alpha_keep*$A16+F$3-MIN(Loss_w)&lt;=Hi_c+0.000000001),1,0)</f>
        <v>1</v>
      </c>
      <c r="G16" s="14" t="n">
        <f aca="false">IF(AND(Alpha_keep*$A16+G$3-MAX(Loss_w)&gt;=Lo_c-0.000000001,Alpha_keep*$A16+G$3-MIN(Loss_w)&lt;=Hi_c+0.000000001),1,0)</f>
        <v>1</v>
      </c>
      <c r="H16" s="14" t="n">
        <f aca="false">IF(AND(Alpha_keep*$A16+H$3-MAX(Loss_w)&gt;=Lo_c-0.000000001,Alpha_keep*$A16+H$3-MIN(Loss_w)&lt;=Hi_c+0.000000001),1,0)</f>
        <v>1</v>
      </c>
      <c r="I16" s="14" t="n">
        <f aca="false">IF(AND(Alpha_keep*$A16+I$3-MAX(Loss_w)&gt;=Lo_c-0.000000001,Alpha_keep*$A16+I$3-MIN(Loss_w)&lt;=Hi_c+0.000000001),1,0)</f>
        <v>1</v>
      </c>
      <c r="J16" s="14" t="n">
        <f aca="false">IF(AND(Alpha_keep*$A16+J$3-MAX(Loss_w)&gt;=Lo_c-0.000000001,Alpha_keep*$A16+J$3-MIN(Loss_w)&lt;=Hi_c+0.000000001),1,0)</f>
        <v>1</v>
      </c>
      <c r="K16" s="14" t="n">
        <f aca="false">IF(AND(Alpha_keep*$A16+K$3-MAX(Loss_w)&gt;=Lo_c-0.000000001,Alpha_keep*$A16+K$3-MIN(Loss_w)&lt;=Hi_c+0.000000001),1,0)</f>
        <v>1</v>
      </c>
      <c r="L16" s="14" t="n">
        <f aca="false">IF(AND(Alpha_keep*$A16+L$3-MAX(Loss_w)&gt;=Lo_c-0.000000001,Alpha_keep*$A16+L$3-MIN(Loss_w)&lt;=Hi_c+0.000000001),1,0)</f>
        <v>1</v>
      </c>
      <c r="M16" s="14" t="n">
        <f aca="false">IF(AND(Alpha_keep*$A16+M$3-MAX(Loss_w)&gt;=Lo_c-0.000000001,Alpha_keep*$A16+M$3-MIN(Loss_w)&lt;=Hi_c+0.000000001),1,0)</f>
        <v>1</v>
      </c>
      <c r="N16" s="14" t="n">
        <f aca="false">IF(C16=1,IF(OR(Alpha_keep*$A16+N$3&gt;=Floor_c-0.000000001,AND($B16=0,N$3&gt;=Cap_h-0.000000001)),1,0),0)</f>
        <v>0</v>
      </c>
      <c r="O16" s="14" t="n">
        <f aca="false">IF(D16=1,IF(OR(Alpha_keep*$A16+O$3&gt;=Floor_c-0.000000001,AND($B16=0,O$3&gt;=Cap_h-0.000000001)),1,0),0)</f>
        <v>0</v>
      </c>
      <c r="P16" s="14" t="n">
        <f aca="false">IF(E16=1,IF(OR(Alpha_keep*$A16+P$3&gt;=Floor_c-0.000000001,AND($B16=0,P$3&gt;=Cap_h-0.000000001)),1,0),0)</f>
        <v>0</v>
      </c>
      <c r="Q16" s="14" t="n">
        <f aca="false">IF(F16=1,IF(OR(Alpha_keep*$A16+Q$3&gt;=Floor_c-0.000000001,AND($B16=0,Q$3&gt;=Cap_h-0.000000001)),1,0),0)</f>
        <v>0</v>
      </c>
      <c r="R16" s="14" t="n">
        <f aca="false">IF(G16=1,IF(OR(Alpha_keep*$A16+R$3&gt;=Floor_c-0.000000001,AND($B16=0,R$3&gt;=Cap_h-0.000000001)),1,0),0)</f>
        <v>0</v>
      </c>
      <c r="S16" s="14" t="n">
        <f aca="false">IF(H16=1,IF(OR(Alpha_keep*$A16+S$3&gt;=Floor_c-0.000000001,AND($B16=0,S$3&gt;=Cap_h-0.000000001)),1,0),0)</f>
        <v>0</v>
      </c>
      <c r="T16" s="14" t="n">
        <f aca="false">IF(I16=1,IF(OR(Alpha_keep*$A16+T$3&gt;=Floor_c-0.000000001,AND($B16=0,T$3&gt;=Cap_h-0.000000001)),1,0),0)</f>
        <v>0</v>
      </c>
      <c r="U16" s="14" t="n">
        <f aca="false">IF(J16=1,IF(OR(Alpha_keep*$A16+U$3&gt;=Floor_c-0.000000001,AND($B16=0,U$3&gt;=Cap_h-0.000000001)),1,0),0)</f>
        <v>0</v>
      </c>
      <c r="V16" s="14" t="n">
        <f aca="false">IF(K16=1,IF(OR(Alpha_keep*$A16+V$3&gt;=Floor_c-0.000000001,AND($B16=0,V$3&gt;=Cap_h-0.000000001)),1,0),0)</f>
        <v>0</v>
      </c>
      <c r="W16" s="14" t="n">
        <f aca="false">IF(L16=1,IF(OR(Alpha_keep*$A16+W$3&gt;=Floor_c-0.000000001,AND($B16=0,W$3&gt;=Cap_h-0.000000001)),1,0),0)</f>
        <v>0</v>
      </c>
      <c r="X16" s="14" t="n">
        <f aca="false">IF(M16=1,IF(OR(Alpha_keep*$A16+X$3&gt;=Floor_c-0.000000001,AND($B16=0,X$3&gt;=Cap_h-0.000000001)),1,0),0)</f>
        <v>1</v>
      </c>
      <c r="Y16" s="14" t="n">
        <f aca="false">SUM(C16:M16)</f>
        <v>11</v>
      </c>
      <c r="Z16" s="14" t="n">
        <f aca="false">SUM(N16:X16)</f>
        <v>1</v>
      </c>
      <c r="AA16" s="12" t="n">
        <f aca="false">INDEX($C$3:$M$3,MATCH(1,C16:M16,0))</f>
        <v>0</v>
      </c>
      <c r="AB16" s="12" t="n">
        <f aca="false">INDEX($N$3:$X$3,MATCH(1,N16:X16,0))+(Z16-1)*Step_h</f>
        <v>2.5</v>
      </c>
    </row>
    <row r="17" customFormat="false" ht="15" hidden="false" customHeight="false" outlineLevel="0" collapsed="false">
      <c r="A17" s="12" t="n">
        <f aca="false">A16+Step_c</f>
        <v>33</v>
      </c>
      <c r="B17" s="14" t="n">
        <f aca="false">IF(SUMPRODUCT((Alpha_keep*$A17+$C$3:$M$3&gt;=Floor_c-0.000000001)*(C17:M17))&gt;0,1,0)</f>
        <v>0</v>
      </c>
      <c r="C17" s="14" t="n">
        <f aca="false">IF(AND(Alpha_keep*$A17+C$3-MAX(Loss_w)&gt;=Lo_c-0.000000001,Alpha_keep*$A17+C$3-MIN(Loss_w)&lt;=Hi_c+0.000000001),1,0)</f>
        <v>1</v>
      </c>
      <c r="D17" s="14" t="n">
        <f aca="false">IF(AND(Alpha_keep*$A17+D$3-MAX(Loss_w)&gt;=Lo_c-0.000000001,Alpha_keep*$A17+D$3-MIN(Loss_w)&lt;=Hi_c+0.000000001),1,0)</f>
        <v>1</v>
      </c>
      <c r="E17" s="14" t="n">
        <f aca="false">IF(AND(Alpha_keep*$A17+E$3-MAX(Loss_w)&gt;=Lo_c-0.000000001,Alpha_keep*$A17+E$3-MIN(Loss_w)&lt;=Hi_c+0.000000001),1,0)</f>
        <v>1</v>
      </c>
      <c r="F17" s="14" t="n">
        <f aca="false">IF(AND(Alpha_keep*$A17+F$3-MAX(Loss_w)&gt;=Lo_c-0.000000001,Alpha_keep*$A17+F$3-MIN(Loss_w)&lt;=Hi_c+0.000000001),1,0)</f>
        <v>1</v>
      </c>
      <c r="G17" s="14" t="n">
        <f aca="false">IF(AND(Alpha_keep*$A17+G$3-MAX(Loss_w)&gt;=Lo_c-0.000000001,Alpha_keep*$A17+G$3-MIN(Loss_w)&lt;=Hi_c+0.000000001),1,0)</f>
        <v>1</v>
      </c>
      <c r="H17" s="14" t="n">
        <f aca="false">IF(AND(Alpha_keep*$A17+H$3-MAX(Loss_w)&gt;=Lo_c-0.000000001,Alpha_keep*$A17+H$3-MIN(Loss_w)&lt;=Hi_c+0.000000001),1,0)</f>
        <v>1</v>
      </c>
      <c r="I17" s="14" t="n">
        <f aca="false">IF(AND(Alpha_keep*$A17+I$3-MAX(Loss_w)&gt;=Lo_c-0.000000001,Alpha_keep*$A17+I$3-MIN(Loss_w)&lt;=Hi_c+0.000000001),1,0)</f>
        <v>1</v>
      </c>
      <c r="J17" s="14" t="n">
        <f aca="false">IF(AND(Alpha_keep*$A17+J$3-MAX(Loss_w)&gt;=Lo_c-0.000000001,Alpha_keep*$A17+J$3-MIN(Loss_w)&lt;=Hi_c+0.000000001),1,0)</f>
        <v>1</v>
      </c>
      <c r="K17" s="14" t="n">
        <f aca="false">IF(AND(Alpha_keep*$A17+K$3-MAX(Loss_w)&gt;=Lo_c-0.000000001,Alpha_keep*$A17+K$3-MIN(Loss_w)&lt;=Hi_c+0.000000001),1,0)</f>
        <v>1</v>
      </c>
      <c r="L17" s="14" t="n">
        <f aca="false">IF(AND(Alpha_keep*$A17+L$3-MAX(Loss_w)&gt;=Lo_c-0.000000001,Alpha_keep*$A17+L$3-MIN(Loss_w)&lt;=Hi_c+0.000000001),1,0)</f>
        <v>1</v>
      </c>
      <c r="M17" s="14" t="n">
        <f aca="false">IF(AND(Alpha_keep*$A17+M$3-MAX(Loss_w)&gt;=Lo_c-0.000000001,Alpha_keep*$A17+M$3-MIN(Loss_w)&lt;=Hi_c+0.000000001),1,0)</f>
        <v>1</v>
      </c>
      <c r="N17" s="14" t="n">
        <f aca="false">IF(C17=1,IF(OR(Alpha_keep*$A17+N$3&gt;=Floor_c-0.000000001,AND($B17=0,N$3&gt;=Cap_h-0.000000001)),1,0),0)</f>
        <v>0</v>
      </c>
      <c r="O17" s="14" t="n">
        <f aca="false">IF(D17=1,IF(OR(Alpha_keep*$A17+O$3&gt;=Floor_c-0.000000001,AND($B17=0,O$3&gt;=Cap_h-0.000000001)),1,0),0)</f>
        <v>0</v>
      </c>
      <c r="P17" s="14" t="n">
        <f aca="false">IF(E17=1,IF(OR(Alpha_keep*$A17+P$3&gt;=Floor_c-0.000000001,AND($B17=0,P$3&gt;=Cap_h-0.000000001)),1,0),0)</f>
        <v>0</v>
      </c>
      <c r="Q17" s="14" t="n">
        <f aca="false">IF(F17=1,IF(OR(Alpha_keep*$A17+Q$3&gt;=Floor_c-0.000000001,AND($B17=0,Q$3&gt;=Cap_h-0.000000001)),1,0),0)</f>
        <v>0</v>
      </c>
      <c r="R17" s="14" t="n">
        <f aca="false">IF(G17=1,IF(OR(Alpha_keep*$A17+R$3&gt;=Floor_c-0.000000001,AND($B17=0,R$3&gt;=Cap_h-0.000000001)),1,0),0)</f>
        <v>0</v>
      </c>
      <c r="S17" s="14" t="n">
        <f aca="false">IF(H17=1,IF(OR(Alpha_keep*$A17+S$3&gt;=Floor_c-0.000000001,AND($B17=0,S$3&gt;=Cap_h-0.000000001)),1,0),0)</f>
        <v>0</v>
      </c>
      <c r="T17" s="14" t="n">
        <f aca="false">IF(I17=1,IF(OR(Alpha_keep*$A17+T$3&gt;=Floor_c-0.000000001,AND($B17=0,T$3&gt;=Cap_h-0.000000001)),1,0),0)</f>
        <v>0</v>
      </c>
      <c r="U17" s="14" t="n">
        <f aca="false">IF(J17=1,IF(OR(Alpha_keep*$A17+U$3&gt;=Floor_c-0.000000001,AND($B17=0,U$3&gt;=Cap_h-0.000000001)),1,0),0)</f>
        <v>0</v>
      </c>
      <c r="V17" s="14" t="n">
        <f aca="false">IF(K17=1,IF(OR(Alpha_keep*$A17+V$3&gt;=Floor_c-0.000000001,AND($B17=0,V$3&gt;=Cap_h-0.000000001)),1,0),0)</f>
        <v>0</v>
      </c>
      <c r="W17" s="14" t="n">
        <f aca="false">IF(L17=1,IF(OR(Alpha_keep*$A17+W$3&gt;=Floor_c-0.000000001,AND($B17=0,W$3&gt;=Cap_h-0.000000001)),1,0),0)</f>
        <v>0</v>
      </c>
      <c r="X17" s="14" t="n">
        <f aca="false">IF(M17=1,IF(OR(Alpha_keep*$A17+X$3&gt;=Floor_c-0.000000001,AND($B17=0,X$3&gt;=Cap_h-0.000000001)),1,0),0)</f>
        <v>1</v>
      </c>
      <c r="Y17" s="14" t="n">
        <f aca="false">SUM(C17:M17)</f>
        <v>11</v>
      </c>
      <c r="Z17" s="14" t="n">
        <f aca="false">SUM(N17:X17)</f>
        <v>1</v>
      </c>
      <c r="AA17" s="12" t="n">
        <f aca="false">INDEX($C$3:$M$3,MATCH(1,C17:M17,0))</f>
        <v>0</v>
      </c>
      <c r="AB17" s="12" t="n">
        <f aca="false">INDEX($N$3:$X$3,MATCH(1,N17:X17,0))+(Z17-1)*Step_h</f>
        <v>2.5</v>
      </c>
    </row>
    <row r="18" customFormat="false" ht="15" hidden="false" customHeight="false" outlineLevel="0" collapsed="false">
      <c r="A18" s="12" t="n">
        <f aca="false">A17+Step_c</f>
        <v>33.25</v>
      </c>
      <c r="B18" s="14" t="n">
        <f aca="false">IF(SUMPRODUCT((Alpha_keep*$A18+$C$3:$M$3&gt;=Floor_c-0.000000001)*(C18:M18))&gt;0,1,0)</f>
        <v>0</v>
      </c>
      <c r="C18" s="14" t="n">
        <f aca="false">IF(AND(Alpha_keep*$A18+C$3-MAX(Loss_w)&gt;=Lo_c-0.000000001,Alpha_keep*$A18+C$3-MIN(Loss_w)&lt;=Hi_c+0.000000001),1,0)</f>
        <v>1</v>
      </c>
      <c r="D18" s="14" t="n">
        <f aca="false">IF(AND(Alpha_keep*$A18+D$3-MAX(Loss_w)&gt;=Lo_c-0.000000001,Alpha_keep*$A18+D$3-MIN(Loss_w)&lt;=Hi_c+0.000000001),1,0)</f>
        <v>1</v>
      </c>
      <c r="E18" s="14" t="n">
        <f aca="false">IF(AND(Alpha_keep*$A18+E$3-MAX(Loss_w)&gt;=Lo_c-0.000000001,Alpha_keep*$A18+E$3-MIN(Loss_w)&lt;=Hi_c+0.000000001),1,0)</f>
        <v>1</v>
      </c>
      <c r="F18" s="14" t="n">
        <f aca="false">IF(AND(Alpha_keep*$A18+F$3-MAX(Loss_w)&gt;=Lo_c-0.000000001,Alpha_keep*$A18+F$3-MIN(Loss_w)&lt;=Hi_c+0.000000001),1,0)</f>
        <v>1</v>
      </c>
      <c r="G18" s="14" t="n">
        <f aca="false">IF(AND(Alpha_keep*$A18+G$3-MAX(Loss_w)&gt;=Lo_c-0.000000001,Alpha_keep*$A18+G$3-MIN(Loss_w)&lt;=Hi_c+0.000000001),1,0)</f>
        <v>1</v>
      </c>
      <c r="H18" s="14" t="n">
        <f aca="false">IF(AND(Alpha_keep*$A18+H$3-MAX(Loss_w)&gt;=Lo_c-0.000000001,Alpha_keep*$A18+H$3-MIN(Loss_w)&lt;=Hi_c+0.000000001),1,0)</f>
        <v>1</v>
      </c>
      <c r="I18" s="14" t="n">
        <f aca="false">IF(AND(Alpha_keep*$A18+I$3-MAX(Loss_w)&gt;=Lo_c-0.000000001,Alpha_keep*$A18+I$3-MIN(Loss_w)&lt;=Hi_c+0.000000001),1,0)</f>
        <v>1</v>
      </c>
      <c r="J18" s="14" t="n">
        <f aca="false">IF(AND(Alpha_keep*$A18+J$3-MAX(Loss_w)&gt;=Lo_c-0.000000001,Alpha_keep*$A18+J$3-MIN(Loss_w)&lt;=Hi_c+0.000000001),1,0)</f>
        <v>1</v>
      </c>
      <c r="K18" s="14" t="n">
        <f aca="false">IF(AND(Alpha_keep*$A18+K$3-MAX(Loss_w)&gt;=Lo_c-0.000000001,Alpha_keep*$A18+K$3-MIN(Loss_w)&lt;=Hi_c+0.000000001),1,0)</f>
        <v>1</v>
      </c>
      <c r="L18" s="14" t="n">
        <f aca="false">IF(AND(Alpha_keep*$A18+L$3-MAX(Loss_w)&gt;=Lo_c-0.000000001,Alpha_keep*$A18+L$3-MIN(Loss_w)&lt;=Hi_c+0.000000001),1,0)</f>
        <v>1</v>
      </c>
      <c r="M18" s="14" t="n">
        <f aca="false">IF(AND(Alpha_keep*$A18+M$3-MAX(Loss_w)&gt;=Lo_c-0.000000001,Alpha_keep*$A18+M$3-MIN(Loss_w)&lt;=Hi_c+0.000000001),1,0)</f>
        <v>1</v>
      </c>
      <c r="N18" s="14" t="n">
        <f aca="false">IF(C18=1,IF(OR(Alpha_keep*$A18+N$3&gt;=Floor_c-0.000000001,AND($B18=0,N$3&gt;=Cap_h-0.000000001)),1,0),0)</f>
        <v>0</v>
      </c>
      <c r="O18" s="14" t="n">
        <f aca="false">IF(D18=1,IF(OR(Alpha_keep*$A18+O$3&gt;=Floor_c-0.000000001,AND($B18=0,O$3&gt;=Cap_h-0.000000001)),1,0),0)</f>
        <v>0</v>
      </c>
      <c r="P18" s="14" t="n">
        <f aca="false">IF(E18=1,IF(OR(Alpha_keep*$A18+P$3&gt;=Floor_c-0.000000001,AND($B18=0,P$3&gt;=Cap_h-0.000000001)),1,0),0)</f>
        <v>0</v>
      </c>
      <c r="Q18" s="14" t="n">
        <f aca="false">IF(F18=1,IF(OR(Alpha_keep*$A18+Q$3&gt;=Floor_c-0.000000001,AND($B18=0,Q$3&gt;=Cap_h-0.000000001)),1,0),0)</f>
        <v>0</v>
      </c>
      <c r="R18" s="14" t="n">
        <f aca="false">IF(G18=1,IF(OR(Alpha_keep*$A18+R$3&gt;=Floor_c-0.000000001,AND($B18=0,R$3&gt;=Cap_h-0.000000001)),1,0),0)</f>
        <v>0</v>
      </c>
      <c r="S18" s="14" t="n">
        <f aca="false">IF(H18=1,IF(OR(Alpha_keep*$A18+S$3&gt;=Floor_c-0.000000001,AND($B18=0,S$3&gt;=Cap_h-0.000000001)),1,0),0)</f>
        <v>0</v>
      </c>
      <c r="T18" s="14" t="n">
        <f aca="false">IF(I18=1,IF(OR(Alpha_keep*$A18+T$3&gt;=Floor_c-0.000000001,AND($B18=0,T$3&gt;=Cap_h-0.000000001)),1,0),0)</f>
        <v>0</v>
      </c>
      <c r="U18" s="14" t="n">
        <f aca="false">IF(J18=1,IF(OR(Alpha_keep*$A18+U$3&gt;=Floor_c-0.000000001,AND($B18=0,U$3&gt;=Cap_h-0.000000001)),1,0),0)</f>
        <v>0</v>
      </c>
      <c r="V18" s="14" t="n">
        <f aca="false">IF(K18=1,IF(OR(Alpha_keep*$A18+V$3&gt;=Floor_c-0.000000001,AND($B18=0,V$3&gt;=Cap_h-0.000000001)),1,0),0)</f>
        <v>0</v>
      </c>
      <c r="W18" s="14" t="n">
        <f aca="false">IF(L18=1,IF(OR(Alpha_keep*$A18+W$3&gt;=Floor_c-0.000000001,AND($B18=0,W$3&gt;=Cap_h-0.000000001)),1,0),0)</f>
        <v>0</v>
      </c>
      <c r="X18" s="14" t="n">
        <f aca="false">IF(M18=1,IF(OR(Alpha_keep*$A18+X$3&gt;=Floor_c-0.000000001,AND($B18=0,X$3&gt;=Cap_h-0.000000001)),1,0),0)</f>
        <v>1</v>
      </c>
      <c r="Y18" s="14" t="n">
        <f aca="false">SUM(C18:M18)</f>
        <v>11</v>
      </c>
      <c r="Z18" s="14" t="n">
        <f aca="false">SUM(N18:X18)</f>
        <v>1</v>
      </c>
      <c r="AA18" s="12" t="n">
        <f aca="false">INDEX($C$3:$M$3,MATCH(1,C18:M18,0))</f>
        <v>0</v>
      </c>
      <c r="AB18" s="12" t="n">
        <f aca="false">INDEX($N$3:$X$3,MATCH(1,N18:X18,0))+(Z18-1)*Step_h</f>
        <v>2.5</v>
      </c>
    </row>
    <row r="19" customFormat="false" ht="15" hidden="false" customHeight="false" outlineLevel="0" collapsed="false">
      <c r="A19" s="12" t="n">
        <f aca="false">A18+Step_c</f>
        <v>33.5</v>
      </c>
      <c r="B19" s="14" t="n">
        <f aca="false">IF(SUMPRODUCT((Alpha_keep*$A19+$C$3:$M$3&gt;=Floor_c-0.000000001)*(C19:M19))&gt;0,1,0)</f>
        <v>0</v>
      </c>
      <c r="C19" s="14" t="n">
        <f aca="false">IF(AND(Alpha_keep*$A19+C$3-MAX(Loss_w)&gt;=Lo_c-0.000000001,Alpha_keep*$A19+C$3-MIN(Loss_w)&lt;=Hi_c+0.000000001),1,0)</f>
        <v>1</v>
      </c>
      <c r="D19" s="14" t="n">
        <f aca="false">IF(AND(Alpha_keep*$A19+D$3-MAX(Loss_w)&gt;=Lo_c-0.000000001,Alpha_keep*$A19+D$3-MIN(Loss_w)&lt;=Hi_c+0.000000001),1,0)</f>
        <v>1</v>
      </c>
      <c r="E19" s="14" t="n">
        <f aca="false">IF(AND(Alpha_keep*$A19+E$3-MAX(Loss_w)&gt;=Lo_c-0.000000001,Alpha_keep*$A19+E$3-MIN(Loss_w)&lt;=Hi_c+0.000000001),1,0)</f>
        <v>1</v>
      </c>
      <c r="F19" s="14" t="n">
        <f aca="false">IF(AND(Alpha_keep*$A19+F$3-MAX(Loss_w)&gt;=Lo_c-0.000000001,Alpha_keep*$A19+F$3-MIN(Loss_w)&lt;=Hi_c+0.000000001),1,0)</f>
        <v>1</v>
      </c>
      <c r="G19" s="14" t="n">
        <f aca="false">IF(AND(Alpha_keep*$A19+G$3-MAX(Loss_w)&gt;=Lo_c-0.000000001,Alpha_keep*$A19+G$3-MIN(Loss_w)&lt;=Hi_c+0.000000001),1,0)</f>
        <v>1</v>
      </c>
      <c r="H19" s="14" t="n">
        <f aca="false">IF(AND(Alpha_keep*$A19+H$3-MAX(Loss_w)&gt;=Lo_c-0.000000001,Alpha_keep*$A19+H$3-MIN(Loss_w)&lt;=Hi_c+0.000000001),1,0)</f>
        <v>1</v>
      </c>
      <c r="I19" s="14" t="n">
        <f aca="false">IF(AND(Alpha_keep*$A19+I$3-MAX(Loss_w)&gt;=Lo_c-0.000000001,Alpha_keep*$A19+I$3-MIN(Loss_w)&lt;=Hi_c+0.000000001),1,0)</f>
        <v>1</v>
      </c>
      <c r="J19" s="14" t="n">
        <f aca="false">IF(AND(Alpha_keep*$A19+J$3-MAX(Loss_w)&gt;=Lo_c-0.000000001,Alpha_keep*$A19+J$3-MIN(Loss_w)&lt;=Hi_c+0.000000001),1,0)</f>
        <v>1</v>
      </c>
      <c r="K19" s="14" t="n">
        <f aca="false">IF(AND(Alpha_keep*$A19+K$3-MAX(Loss_w)&gt;=Lo_c-0.000000001,Alpha_keep*$A19+K$3-MIN(Loss_w)&lt;=Hi_c+0.000000001),1,0)</f>
        <v>1</v>
      </c>
      <c r="L19" s="14" t="n">
        <f aca="false">IF(AND(Alpha_keep*$A19+L$3-MAX(Loss_w)&gt;=Lo_c-0.000000001,Alpha_keep*$A19+L$3-MIN(Loss_w)&lt;=Hi_c+0.000000001),1,0)</f>
        <v>1</v>
      </c>
      <c r="M19" s="14" t="n">
        <f aca="false">IF(AND(Alpha_keep*$A19+M$3-MAX(Loss_w)&gt;=Lo_c-0.000000001,Alpha_keep*$A19+M$3-MIN(Loss_w)&lt;=Hi_c+0.000000001),1,0)</f>
        <v>1</v>
      </c>
      <c r="N19" s="14" t="n">
        <f aca="false">IF(C19=1,IF(OR(Alpha_keep*$A19+N$3&gt;=Floor_c-0.000000001,AND($B19=0,N$3&gt;=Cap_h-0.000000001)),1,0),0)</f>
        <v>0</v>
      </c>
      <c r="O19" s="14" t="n">
        <f aca="false">IF(D19=1,IF(OR(Alpha_keep*$A19+O$3&gt;=Floor_c-0.000000001,AND($B19=0,O$3&gt;=Cap_h-0.000000001)),1,0),0)</f>
        <v>0</v>
      </c>
      <c r="P19" s="14" t="n">
        <f aca="false">IF(E19=1,IF(OR(Alpha_keep*$A19+P$3&gt;=Floor_c-0.000000001,AND($B19=0,P$3&gt;=Cap_h-0.000000001)),1,0),0)</f>
        <v>0</v>
      </c>
      <c r="Q19" s="14" t="n">
        <f aca="false">IF(F19=1,IF(OR(Alpha_keep*$A19+Q$3&gt;=Floor_c-0.000000001,AND($B19=0,Q$3&gt;=Cap_h-0.000000001)),1,0),0)</f>
        <v>0</v>
      </c>
      <c r="R19" s="14" t="n">
        <f aca="false">IF(G19=1,IF(OR(Alpha_keep*$A19+R$3&gt;=Floor_c-0.000000001,AND($B19=0,R$3&gt;=Cap_h-0.000000001)),1,0),0)</f>
        <v>0</v>
      </c>
      <c r="S19" s="14" t="n">
        <f aca="false">IF(H19=1,IF(OR(Alpha_keep*$A19+S$3&gt;=Floor_c-0.000000001,AND($B19=0,S$3&gt;=Cap_h-0.000000001)),1,0),0)</f>
        <v>0</v>
      </c>
      <c r="T19" s="14" t="n">
        <f aca="false">IF(I19=1,IF(OR(Alpha_keep*$A19+T$3&gt;=Floor_c-0.000000001,AND($B19=0,T$3&gt;=Cap_h-0.000000001)),1,0),0)</f>
        <v>0</v>
      </c>
      <c r="U19" s="14" t="n">
        <f aca="false">IF(J19=1,IF(OR(Alpha_keep*$A19+U$3&gt;=Floor_c-0.000000001,AND($B19=0,U$3&gt;=Cap_h-0.000000001)),1,0),0)</f>
        <v>0</v>
      </c>
      <c r="V19" s="14" t="n">
        <f aca="false">IF(K19=1,IF(OR(Alpha_keep*$A19+V$3&gt;=Floor_c-0.000000001,AND($B19=0,V$3&gt;=Cap_h-0.000000001)),1,0),0)</f>
        <v>0</v>
      </c>
      <c r="W19" s="14" t="n">
        <f aca="false">IF(L19=1,IF(OR(Alpha_keep*$A19+W$3&gt;=Floor_c-0.000000001,AND($B19=0,W$3&gt;=Cap_h-0.000000001)),1,0),0)</f>
        <v>0</v>
      </c>
      <c r="X19" s="14" t="n">
        <f aca="false">IF(M19=1,IF(OR(Alpha_keep*$A19+X$3&gt;=Floor_c-0.000000001,AND($B19=0,X$3&gt;=Cap_h-0.000000001)),1,0),0)</f>
        <v>1</v>
      </c>
      <c r="Y19" s="14" t="n">
        <f aca="false">SUM(C19:M19)</f>
        <v>11</v>
      </c>
      <c r="Z19" s="14" t="n">
        <f aca="false">SUM(N19:X19)</f>
        <v>1</v>
      </c>
      <c r="AA19" s="12" t="n">
        <f aca="false">INDEX($C$3:$M$3,MATCH(1,C19:M19,0))</f>
        <v>0</v>
      </c>
      <c r="AB19" s="12" t="n">
        <f aca="false">INDEX($N$3:$X$3,MATCH(1,N19:X19,0))+(Z19-1)*Step_h</f>
        <v>2.5</v>
      </c>
    </row>
    <row r="20" customFormat="false" ht="15" hidden="false" customHeight="false" outlineLevel="0" collapsed="false">
      <c r="A20" s="12" t="n">
        <f aca="false">A19+Step_c</f>
        <v>33.75</v>
      </c>
      <c r="B20" s="14" t="n">
        <f aca="false">IF(SUMPRODUCT((Alpha_keep*$A20+$C$3:$M$3&gt;=Floor_c-0.000000001)*(C20:M20))&gt;0,1,0)</f>
        <v>0</v>
      </c>
      <c r="C20" s="14" t="n">
        <f aca="false">IF(AND(Alpha_keep*$A20+C$3-MAX(Loss_w)&gt;=Lo_c-0.000000001,Alpha_keep*$A20+C$3-MIN(Loss_w)&lt;=Hi_c+0.000000001),1,0)</f>
        <v>1</v>
      </c>
      <c r="D20" s="14" t="n">
        <f aca="false">IF(AND(Alpha_keep*$A20+D$3-MAX(Loss_w)&gt;=Lo_c-0.000000001,Alpha_keep*$A20+D$3-MIN(Loss_w)&lt;=Hi_c+0.000000001),1,0)</f>
        <v>1</v>
      </c>
      <c r="E20" s="14" t="n">
        <f aca="false">IF(AND(Alpha_keep*$A20+E$3-MAX(Loss_w)&gt;=Lo_c-0.000000001,Alpha_keep*$A20+E$3-MIN(Loss_w)&lt;=Hi_c+0.000000001),1,0)</f>
        <v>1</v>
      </c>
      <c r="F20" s="14" t="n">
        <f aca="false">IF(AND(Alpha_keep*$A20+F$3-MAX(Loss_w)&gt;=Lo_c-0.000000001,Alpha_keep*$A20+F$3-MIN(Loss_w)&lt;=Hi_c+0.000000001),1,0)</f>
        <v>1</v>
      </c>
      <c r="G20" s="14" t="n">
        <f aca="false">IF(AND(Alpha_keep*$A20+G$3-MAX(Loss_w)&gt;=Lo_c-0.000000001,Alpha_keep*$A20+G$3-MIN(Loss_w)&lt;=Hi_c+0.000000001),1,0)</f>
        <v>1</v>
      </c>
      <c r="H20" s="14" t="n">
        <f aca="false">IF(AND(Alpha_keep*$A20+H$3-MAX(Loss_w)&gt;=Lo_c-0.000000001,Alpha_keep*$A20+H$3-MIN(Loss_w)&lt;=Hi_c+0.000000001),1,0)</f>
        <v>1</v>
      </c>
      <c r="I20" s="14" t="n">
        <f aca="false">IF(AND(Alpha_keep*$A20+I$3-MAX(Loss_w)&gt;=Lo_c-0.000000001,Alpha_keep*$A20+I$3-MIN(Loss_w)&lt;=Hi_c+0.000000001),1,0)</f>
        <v>1</v>
      </c>
      <c r="J20" s="14" t="n">
        <f aca="false">IF(AND(Alpha_keep*$A20+J$3-MAX(Loss_w)&gt;=Lo_c-0.000000001,Alpha_keep*$A20+J$3-MIN(Loss_w)&lt;=Hi_c+0.000000001),1,0)</f>
        <v>1</v>
      </c>
      <c r="K20" s="14" t="n">
        <f aca="false">IF(AND(Alpha_keep*$A20+K$3-MAX(Loss_w)&gt;=Lo_c-0.000000001,Alpha_keep*$A20+K$3-MIN(Loss_w)&lt;=Hi_c+0.000000001),1,0)</f>
        <v>1</v>
      </c>
      <c r="L20" s="14" t="n">
        <f aca="false">IF(AND(Alpha_keep*$A20+L$3-MAX(Loss_w)&gt;=Lo_c-0.000000001,Alpha_keep*$A20+L$3-MIN(Loss_w)&lt;=Hi_c+0.000000001),1,0)</f>
        <v>1</v>
      </c>
      <c r="M20" s="14" t="n">
        <f aca="false">IF(AND(Alpha_keep*$A20+M$3-MAX(Loss_w)&gt;=Lo_c-0.000000001,Alpha_keep*$A20+M$3-MIN(Loss_w)&lt;=Hi_c+0.000000001),1,0)</f>
        <v>1</v>
      </c>
      <c r="N20" s="14" t="n">
        <f aca="false">IF(C20=1,IF(OR(Alpha_keep*$A20+N$3&gt;=Floor_c-0.000000001,AND($B20=0,N$3&gt;=Cap_h-0.000000001)),1,0),0)</f>
        <v>0</v>
      </c>
      <c r="O20" s="14" t="n">
        <f aca="false">IF(D20=1,IF(OR(Alpha_keep*$A20+O$3&gt;=Floor_c-0.000000001,AND($B20=0,O$3&gt;=Cap_h-0.000000001)),1,0),0)</f>
        <v>0</v>
      </c>
      <c r="P20" s="14" t="n">
        <f aca="false">IF(E20=1,IF(OR(Alpha_keep*$A20+P$3&gt;=Floor_c-0.000000001,AND($B20=0,P$3&gt;=Cap_h-0.000000001)),1,0),0)</f>
        <v>0</v>
      </c>
      <c r="Q20" s="14" t="n">
        <f aca="false">IF(F20=1,IF(OR(Alpha_keep*$A20+Q$3&gt;=Floor_c-0.000000001,AND($B20=0,Q$3&gt;=Cap_h-0.000000001)),1,0),0)</f>
        <v>0</v>
      </c>
      <c r="R20" s="14" t="n">
        <f aca="false">IF(G20=1,IF(OR(Alpha_keep*$A20+R$3&gt;=Floor_c-0.000000001,AND($B20=0,R$3&gt;=Cap_h-0.000000001)),1,0),0)</f>
        <v>0</v>
      </c>
      <c r="S20" s="14" t="n">
        <f aca="false">IF(H20=1,IF(OR(Alpha_keep*$A20+S$3&gt;=Floor_c-0.000000001,AND($B20=0,S$3&gt;=Cap_h-0.000000001)),1,0),0)</f>
        <v>0</v>
      </c>
      <c r="T20" s="14" t="n">
        <f aca="false">IF(I20=1,IF(OR(Alpha_keep*$A20+T$3&gt;=Floor_c-0.000000001,AND($B20=0,T$3&gt;=Cap_h-0.000000001)),1,0),0)</f>
        <v>0</v>
      </c>
      <c r="U20" s="14" t="n">
        <f aca="false">IF(J20=1,IF(OR(Alpha_keep*$A20+U$3&gt;=Floor_c-0.000000001,AND($B20=0,U$3&gt;=Cap_h-0.000000001)),1,0),0)</f>
        <v>0</v>
      </c>
      <c r="V20" s="14" t="n">
        <f aca="false">IF(K20=1,IF(OR(Alpha_keep*$A20+V$3&gt;=Floor_c-0.000000001,AND($B20=0,V$3&gt;=Cap_h-0.000000001)),1,0),0)</f>
        <v>0</v>
      </c>
      <c r="W20" s="14" t="n">
        <f aca="false">IF(L20=1,IF(OR(Alpha_keep*$A20+W$3&gt;=Floor_c-0.000000001,AND($B20=0,W$3&gt;=Cap_h-0.000000001)),1,0),0)</f>
        <v>0</v>
      </c>
      <c r="X20" s="14" t="n">
        <f aca="false">IF(M20=1,IF(OR(Alpha_keep*$A20+X$3&gt;=Floor_c-0.000000001,AND($B20=0,X$3&gt;=Cap_h-0.000000001)),1,0),0)</f>
        <v>1</v>
      </c>
      <c r="Y20" s="14" t="n">
        <f aca="false">SUM(C20:M20)</f>
        <v>11</v>
      </c>
      <c r="Z20" s="14" t="n">
        <f aca="false">SUM(N20:X20)</f>
        <v>1</v>
      </c>
      <c r="AA20" s="12" t="n">
        <f aca="false">INDEX($C$3:$M$3,MATCH(1,C20:M20,0))</f>
        <v>0</v>
      </c>
      <c r="AB20" s="12" t="n">
        <f aca="false">INDEX($N$3:$X$3,MATCH(1,N20:X20,0))+(Z20-1)*Step_h</f>
        <v>2.5</v>
      </c>
    </row>
    <row r="21" customFormat="false" ht="15" hidden="false" customHeight="false" outlineLevel="0" collapsed="false">
      <c r="A21" s="12" t="n">
        <f aca="false">A20+Step_c</f>
        <v>34</v>
      </c>
      <c r="B21" s="14" t="n">
        <f aca="false">IF(SUMPRODUCT((Alpha_keep*$A21+$C$3:$M$3&gt;=Floor_c-0.000000001)*(C21:M21))&gt;0,1,0)</f>
        <v>0</v>
      </c>
      <c r="C21" s="14" t="n">
        <f aca="false">IF(AND(Alpha_keep*$A21+C$3-MAX(Loss_w)&gt;=Lo_c-0.000000001,Alpha_keep*$A21+C$3-MIN(Loss_w)&lt;=Hi_c+0.000000001),1,0)</f>
        <v>1</v>
      </c>
      <c r="D21" s="14" t="n">
        <f aca="false">IF(AND(Alpha_keep*$A21+D$3-MAX(Loss_w)&gt;=Lo_c-0.000000001,Alpha_keep*$A21+D$3-MIN(Loss_w)&lt;=Hi_c+0.000000001),1,0)</f>
        <v>1</v>
      </c>
      <c r="E21" s="14" t="n">
        <f aca="false">IF(AND(Alpha_keep*$A21+E$3-MAX(Loss_w)&gt;=Lo_c-0.000000001,Alpha_keep*$A21+E$3-MIN(Loss_w)&lt;=Hi_c+0.000000001),1,0)</f>
        <v>1</v>
      </c>
      <c r="F21" s="14" t="n">
        <f aca="false">IF(AND(Alpha_keep*$A21+F$3-MAX(Loss_w)&gt;=Lo_c-0.000000001,Alpha_keep*$A21+F$3-MIN(Loss_w)&lt;=Hi_c+0.000000001),1,0)</f>
        <v>1</v>
      </c>
      <c r="G21" s="14" t="n">
        <f aca="false">IF(AND(Alpha_keep*$A21+G$3-MAX(Loss_w)&gt;=Lo_c-0.000000001,Alpha_keep*$A21+G$3-MIN(Loss_w)&lt;=Hi_c+0.000000001),1,0)</f>
        <v>1</v>
      </c>
      <c r="H21" s="14" t="n">
        <f aca="false">IF(AND(Alpha_keep*$A21+H$3-MAX(Loss_w)&gt;=Lo_c-0.000000001,Alpha_keep*$A21+H$3-MIN(Loss_w)&lt;=Hi_c+0.000000001),1,0)</f>
        <v>1</v>
      </c>
      <c r="I21" s="14" t="n">
        <f aca="false">IF(AND(Alpha_keep*$A21+I$3-MAX(Loss_w)&gt;=Lo_c-0.000000001,Alpha_keep*$A21+I$3-MIN(Loss_w)&lt;=Hi_c+0.000000001),1,0)</f>
        <v>1</v>
      </c>
      <c r="J21" s="14" t="n">
        <f aca="false">IF(AND(Alpha_keep*$A21+J$3-MAX(Loss_w)&gt;=Lo_c-0.000000001,Alpha_keep*$A21+J$3-MIN(Loss_w)&lt;=Hi_c+0.000000001),1,0)</f>
        <v>1</v>
      </c>
      <c r="K21" s="14" t="n">
        <f aca="false">IF(AND(Alpha_keep*$A21+K$3-MAX(Loss_w)&gt;=Lo_c-0.000000001,Alpha_keep*$A21+K$3-MIN(Loss_w)&lt;=Hi_c+0.000000001),1,0)</f>
        <v>1</v>
      </c>
      <c r="L21" s="14" t="n">
        <f aca="false">IF(AND(Alpha_keep*$A21+L$3-MAX(Loss_w)&gt;=Lo_c-0.000000001,Alpha_keep*$A21+L$3-MIN(Loss_w)&lt;=Hi_c+0.000000001),1,0)</f>
        <v>1</v>
      </c>
      <c r="M21" s="14" t="n">
        <f aca="false">IF(AND(Alpha_keep*$A21+M$3-MAX(Loss_w)&gt;=Lo_c-0.000000001,Alpha_keep*$A21+M$3-MIN(Loss_w)&lt;=Hi_c+0.000000001),1,0)</f>
        <v>1</v>
      </c>
      <c r="N21" s="14" t="n">
        <f aca="false">IF(C21=1,IF(OR(Alpha_keep*$A21+N$3&gt;=Floor_c-0.000000001,AND($B21=0,N$3&gt;=Cap_h-0.000000001)),1,0),0)</f>
        <v>0</v>
      </c>
      <c r="O21" s="14" t="n">
        <f aca="false">IF(D21=1,IF(OR(Alpha_keep*$A21+O$3&gt;=Floor_c-0.000000001,AND($B21=0,O$3&gt;=Cap_h-0.000000001)),1,0),0)</f>
        <v>0</v>
      </c>
      <c r="P21" s="14" t="n">
        <f aca="false">IF(E21=1,IF(OR(Alpha_keep*$A21+P$3&gt;=Floor_c-0.000000001,AND($B21=0,P$3&gt;=Cap_h-0.000000001)),1,0),0)</f>
        <v>0</v>
      </c>
      <c r="Q21" s="14" t="n">
        <f aca="false">IF(F21=1,IF(OR(Alpha_keep*$A21+Q$3&gt;=Floor_c-0.000000001,AND($B21=0,Q$3&gt;=Cap_h-0.000000001)),1,0),0)</f>
        <v>0</v>
      </c>
      <c r="R21" s="14" t="n">
        <f aca="false">IF(G21=1,IF(OR(Alpha_keep*$A21+R$3&gt;=Floor_c-0.000000001,AND($B21=0,R$3&gt;=Cap_h-0.000000001)),1,0),0)</f>
        <v>0</v>
      </c>
      <c r="S21" s="14" t="n">
        <f aca="false">IF(H21=1,IF(OR(Alpha_keep*$A21+S$3&gt;=Floor_c-0.000000001,AND($B21=0,S$3&gt;=Cap_h-0.000000001)),1,0),0)</f>
        <v>0</v>
      </c>
      <c r="T21" s="14" t="n">
        <f aca="false">IF(I21=1,IF(OR(Alpha_keep*$A21+T$3&gt;=Floor_c-0.000000001,AND($B21=0,T$3&gt;=Cap_h-0.000000001)),1,0),0)</f>
        <v>0</v>
      </c>
      <c r="U21" s="14" t="n">
        <f aca="false">IF(J21=1,IF(OR(Alpha_keep*$A21+U$3&gt;=Floor_c-0.000000001,AND($B21=0,U$3&gt;=Cap_h-0.000000001)),1,0),0)</f>
        <v>0</v>
      </c>
      <c r="V21" s="14" t="n">
        <f aca="false">IF(K21=1,IF(OR(Alpha_keep*$A21+V$3&gt;=Floor_c-0.000000001,AND($B21=0,V$3&gt;=Cap_h-0.000000001)),1,0),0)</f>
        <v>0</v>
      </c>
      <c r="W21" s="14" t="n">
        <f aca="false">IF(L21=1,IF(OR(Alpha_keep*$A21+W$3&gt;=Floor_c-0.000000001,AND($B21=0,W$3&gt;=Cap_h-0.000000001)),1,0),0)</f>
        <v>0</v>
      </c>
      <c r="X21" s="14" t="n">
        <f aca="false">IF(M21=1,IF(OR(Alpha_keep*$A21+X$3&gt;=Floor_c-0.000000001,AND($B21=0,X$3&gt;=Cap_h-0.000000001)),1,0),0)</f>
        <v>1</v>
      </c>
      <c r="Y21" s="14" t="n">
        <f aca="false">SUM(C21:M21)</f>
        <v>11</v>
      </c>
      <c r="Z21" s="14" t="n">
        <f aca="false">SUM(N21:X21)</f>
        <v>1</v>
      </c>
      <c r="AA21" s="12" t="n">
        <f aca="false">INDEX($C$3:$M$3,MATCH(1,C21:M21,0))</f>
        <v>0</v>
      </c>
      <c r="AB21" s="12" t="n">
        <f aca="false">INDEX($N$3:$X$3,MATCH(1,N21:X21,0))+(Z21-1)*Step_h</f>
        <v>2.5</v>
      </c>
    </row>
    <row r="22" customFormat="false" ht="15" hidden="false" customHeight="false" outlineLevel="0" collapsed="false">
      <c r="A22" s="12" t="n">
        <f aca="false">A21+Step_c</f>
        <v>34.25</v>
      </c>
      <c r="B22" s="14" t="n">
        <f aca="false">IF(SUMPRODUCT((Alpha_keep*$A22+$C$3:$M$3&gt;=Floor_c-0.000000001)*(C22:M22))&gt;0,1,0)</f>
        <v>0</v>
      </c>
      <c r="C22" s="14" t="n">
        <f aca="false">IF(AND(Alpha_keep*$A22+C$3-MAX(Loss_w)&gt;=Lo_c-0.000000001,Alpha_keep*$A22+C$3-MIN(Loss_w)&lt;=Hi_c+0.000000001),1,0)</f>
        <v>1</v>
      </c>
      <c r="D22" s="14" t="n">
        <f aca="false">IF(AND(Alpha_keep*$A22+D$3-MAX(Loss_w)&gt;=Lo_c-0.000000001,Alpha_keep*$A22+D$3-MIN(Loss_w)&lt;=Hi_c+0.000000001),1,0)</f>
        <v>1</v>
      </c>
      <c r="E22" s="14" t="n">
        <f aca="false">IF(AND(Alpha_keep*$A22+E$3-MAX(Loss_w)&gt;=Lo_c-0.000000001,Alpha_keep*$A22+E$3-MIN(Loss_w)&lt;=Hi_c+0.000000001),1,0)</f>
        <v>1</v>
      </c>
      <c r="F22" s="14" t="n">
        <f aca="false">IF(AND(Alpha_keep*$A22+F$3-MAX(Loss_w)&gt;=Lo_c-0.000000001,Alpha_keep*$A22+F$3-MIN(Loss_w)&lt;=Hi_c+0.000000001),1,0)</f>
        <v>1</v>
      </c>
      <c r="G22" s="14" t="n">
        <f aca="false">IF(AND(Alpha_keep*$A22+G$3-MAX(Loss_w)&gt;=Lo_c-0.000000001,Alpha_keep*$A22+G$3-MIN(Loss_w)&lt;=Hi_c+0.000000001),1,0)</f>
        <v>1</v>
      </c>
      <c r="H22" s="14" t="n">
        <f aca="false">IF(AND(Alpha_keep*$A22+H$3-MAX(Loss_w)&gt;=Lo_c-0.000000001,Alpha_keep*$A22+H$3-MIN(Loss_w)&lt;=Hi_c+0.000000001),1,0)</f>
        <v>1</v>
      </c>
      <c r="I22" s="14" t="n">
        <f aca="false">IF(AND(Alpha_keep*$A22+I$3-MAX(Loss_w)&gt;=Lo_c-0.000000001,Alpha_keep*$A22+I$3-MIN(Loss_w)&lt;=Hi_c+0.000000001),1,0)</f>
        <v>1</v>
      </c>
      <c r="J22" s="14" t="n">
        <f aca="false">IF(AND(Alpha_keep*$A22+J$3-MAX(Loss_w)&gt;=Lo_c-0.000000001,Alpha_keep*$A22+J$3-MIN(Loss_w)&lt;=Hi_c+0.000000001),1,0)</f>
        <v>1</v>
      </c>
      <c r="K22" s="14" t="n">
        <f aca="false">IF(AND(Alpha_keep*$A22+K$3-MAX(Loss_w)&gt;=Lo_c-0.000000001,Alpha_keep*$A22+K$3-MIN(Loss_w)&lt;=Hi_c+0.000000001),1,0)</f>
        <v>1</v>
      </c>
      <c r="L22" s="14" t="n">
        <f aca="false">IF(AND(Alpha_keep*$A22+L$3-MAX(Loss_w)&gt;=Lo_c-0.000000001,Alpha_keep*$A22+L$3-MIN(Loss_w)&lt;=Hi_c+0.000000001),1,0)</f>
        <v>1</v>
      </c>
      <c r="M22" s="14" t="n">
        <f aca="false">IF(AND(Alpha_keep*$A22+M$3-MAX(Loss_w)&gt;=Lo_c-0.000000001,Alpha_keep*$A22+M$3-MIN(Loss_w)&lt;=Hi_c+0.000000001),1,0)</f>
        <v>1</v>
      </c>
      <c r="N22" s="14" t="n">
        <f aca="false">IF(C22=1,IF(OR(Alpha_keep*$A22+N$3&gt;=Floor_c-0.000000001,AND($B22=0,N$3&gt;=Cap_h-0.000000001)),1,0),0)</f>
        <v>0</v>
      </c>
      <c r="O22" s="14" t="n">
        <f aca="false">IF(D22=1,IF(OR(Alpha_keep*$A22+O$3&gt;=Floor_c-0.000000001,AND($B22=0,O$3&gt;=Cap_h-0.000000001)),1,0),0)</f>
        <v>0</v>
      </c>
      <c r="P22" s="14" t="n">
        <f aca="false">IF(E22=1,IF(OR(Alpha_keep*$A22+P$3&gt;=Floor_c-0.000000001,AND($B22=0,P$3&gt;=Cap_h-0.000000001)),1,0),0)</f>
        <v>0</v>
      </c>
      <c r="Q22" s="14" t="n">
        <f aca="false">IF(F22=1,IF(OR(Alpha_keep*$A22+Q$3&gt;=Floor_c-0.000000001,AND($B22=0,Q$3&gt;=Cap_h-0.000000001)),1,0),0)</f>
        <v>0</v>
      </c>
      <c r="R22" s="14" t="n">
        <f aca="false">IF(G22=1,IF(OR(Alpha_keep*$A22+R$3&gt;=Floor_c-0.000000001,AND($B22=0,R$3&gt;=Cap_h-0.000000001)),1,0),0)</f>
        <v>0</v>
      </c>
      <c r="S22" s="14" t="n">
        <f aca="false">IF(H22=1,IF(OR(Alpha_keep*$A22+S$3&gt;=Floor_c-0.000000001,AND($B22=0,S$3&gt;=Cap_h-0.000000001)),1,0),0)</f>
        <v>0</v>
      </c>
      <c r="T22" s="14" t="n">
        <f aca="false">IF(I22=1,IF(OR(Alpha_keep*$A22+T$3&gt;=Floor_c-0.000000001,AND($B22=0,T$3&gt;=Cap_h-0.000000001)),1,0),0)</f>
        <v>0</v>
      </c>
      <c r="U22" s="14" t="n">
        <f aca="false">IF(J22=1,IF(OR(Alpha_keep*$A22+U$3&gt;=Floor_c-0.000000001,AND($B22=0,U$3&gt;=Cap_h-0.000000001)),1,0),0)</f>
        <v>0</v>
      </c>
      <c r="V22" s="14" t="n">
        <f aca="false">IF(K22=1,IF(OR(Alpha_keep*$A22+V$3&gt;=Floor_c-0.000000001,AND($B22=0,V$3&gt;=Cap_h-0.000000001)),1,0),0)</f>
        <v>0</v>
      </c>
      <c r="W22" s="14" t="n">
        <f aca="false">IF(L22=1,IF(OR(Alpha_keep*$A22+W$3&gt;=Floor_c-0.000000001,AND($B22=0,W$3&gt;=Cap_h-0.000000001)),1,0),0)</f>
        <v>0</v>
      </c>
      <c r="X22" s="14" t="n">
        <f aca="false">IF(M22=1,IF(OR(Alpha_keep*$A22+X$3&gt;=Floor_c-0.000000001,AND($B22=0,X$3&gt;=Cap_h-0.000000001)),1,0),0)</f>
        <v>1</v>
      </c>
      <c r="Y22" s="14" t="n">
        <f aca="false">SUM(C22:M22)</f>
        <v>11</v>
      </c>
      <c r="Z22" s="14" t="n">
        <f aca="false">SUM(N22:X22)</f>
        <v>1</v>
      </c>
      <c r="AA22" s="12" t="n">
        <f aca="false">INDEX($C$3:$M$3,MATCH(1,C22:M22,0))</f>
        <v>0</v>
      </c>
      <c r="AB22" s="12" t="n">
        <f aca="false">INDEX($N$3:$X$3,MATCH(1,N22:X22,0))+(Z22-1)*Step_h</f>
        <v>2.5</v>
      </c>
    </row>
    <row r="23" customFormat="false" ht="15" hidden="false" customHeight="false" outlineLevel="0" collapsed="false">
      <c r="A23" s="12" t="n">
        <f aca="false">A22+Step_c</f>
        <v>34.5</v>
      </c>
      <c r="B23" s="14" t="n">
        <f aca="false">IF(SUMPRODUCT((Alpha_keep*$A23+$C$3:$M$3&gt;=Floor_c-0.000000001)*(C23:M23))&gt;0,1,0)</f>
        <v>0</v>
      </c>
      <c r="C23" s="14" t="n">
        <f aca="false">IF(AND(Alpha_keep*$A23+C$3-MAX(Loss_w)&gt;=Lo_c-0.000000001,Alpha_keep*$A23+C$3-MIN(Loss_w)&lt;=Hi_c+0.000000001),1,0)</f>
        <v>1</v>
      </c>
      <c r="D23" s="14" t="n">
        <f aca="false">IF(AND(Alpha_keep*$A23+D$3-MAX(Loss_w)&gt;=Lo_c-0.000000001,Alpha_keep*$A23+D$3-MIN(Loss_w)&lt;=Hi_c+0.000000001),1,0)</f>
        <v>1</v>
      </c>
      <c r="E23" s="14" t="n">
        <f aca="false">IF(AND(Alpha_keep*$A23+E$3-MAX(Loss_w)&gt;=Lo_c-0.000000001,Alpha_keep*$A23+E$3-MIN(Loss_w)&lt;=Hi_c+0.000000001),1,0)</f>
        <v>1</v>
      </c>
      <c r="F23" s="14" t="n">
        <f aca="false">IF(AND(Alpha_keep*$A23+F$3-MAX(Loss_w)&gt;=Lo_c-0.000000001,Alpha_keep*$A23+F$3-MIN(Loss_w)&lt;=Hi_c+0.000000001),1,0)</f>
        <v>1</v>
      </c>
      <c r="G23" s="14" t="n">
        <f aca="false">IF(AND(Alpha_keep*$A23+G$3-MAX(Loss_w)&gt;=Lo_c-0.000000001,Alpha_keep*$A23+G$3-MIN(Loss_w)&lt;=Hi_c+0.000000001),1,0)</f>
        <v>1</v>
      </c>
      <c r="H23" s="14" t="n">
        <f aca="false">IF(AND(Alpha_keep*$A23+H$3-MAX(Loss_w)&gt;=Lo_c-0.000000001,Alpha_keep*$A23+H$3-MIN(Loss_w)&lt;=Hi_c+0.000000001),1,0)</f>
        <v>1</v>
      </c>
      <c r="I23" s="14" t="n">
        <f aca="false">IF(AND(Alpha_keep*$A23+I$3-MAX(Loss_w)&gt;=Lo_c-0.000000001,Alpha_keep*$A23+I$3-MIN(Loss_w)&lt;=Hi_c+0.000000001),1,0)</f>
        <v>1</v>
      </c>
      <c r="J23" s="14" t="n">
        <f aca="false">IF(AND(Alpha_keep*$A23+J$3-MAX(Loss_w)&gt;=Lo_c-0.000000001,Alpha_keep*$A23+J$3-MIN(Loss_w)&lt;=Hi_c+0.000000001),1,0)</f>
        <v>1</v>
      </c>
      <c r="K23" s="14" t="n">
        <f aca="false">IF(AND(Alpha_keep*$A23+K$3-MAX(Loss_w)&gt;=Lo_c-0.000000001,Alpha_keep*$A23+K$3-MIN(Loss_w)&lt;=Hi_c+0.000000001),1,0)</f>
        <v>1</v>
      </c>
      <c r="L23" s="14" t="n">
        <f aca="false">IF(AND(Alpha_keep*$A23+L$3-MAX(Loss_w)&gt;=Lo_c-0.000000001,Alpha_keep*$A23+L$3-MIN(Loss_w)&lt;=Hi_c+0.000000001),1,0)</f>
        <v>1</v>
      </c>
      <c r="M23" s="14" t="n">
        <f aca="false">IF(AND(Alpha_keep*$A23+M$3-MAX(Loss_w)&gt;=Lo_c-0.000000001,Alpha_keep*$A23+M$3-MIN(Loss_w)&lt;=Hi_c+0.000000001),1,0)</f>
        <v>1</v>
      </c>
      <c r="N23" s="14" t="n">
        <f aca="false">IF(C23=1,IF(OR(Alpha_keep*$A23+N$3&gt;=Floor_c-0.000000001,AND($B23=0,N$3&gt;=Cap_h-0.000000001)),1,0),0)</f>
        <v>0</v>
      </c>
      <c r="O23" s="14" t="n">
        <f aca="false">IF(D23=1,IF(OR(Alpha_keep*$A23+O$3&gt;=Floor_c-0.000000001,AND($B23=0,O$3&gt;=Cap_h-0.000000001)),1,0),0)</f>
        <v>0</v>
      </c>
      <c r="P23" s="14" t="n">
        <f aca="false">IF(E23=1,IF(OR(Alpha_keep*$A23+P$3&gt;=Floor_c-0.000000001,AND($B23=0,P$3&gt;=Cap_h-0.000000001)),1,0),0)</f>
        <v>0</v>
      </c>
      <c r="Q23" s="14" t="n">
        <f aca="false">IF(F23=1,IF(OR(Alpha_keep*$A23+Q$3&gt;=Floor_c-0.000000001,AND($B23=0,Q$3&gt;=Cap_h-0.000000001)),1,0),0)</f>
        <v>0</v>
      </c>
      <c r="R23" s="14" t="n">
        <f aca="false">IF(G23=1,IF(OR(Alpha_keep*$A23+R$3&gt;=Floor_c-0.000000001,AND($B23=0,R$3&gt;=Cap_h-0.000000001)),1,0),0)</f>
        <v>0</v>
      </c>
      <c r="S23" s="14" t="n">
        <f aca="false">IF(H23=1,IF(OR(Alpha_keep*$A23+S$3&gt;=Floor_c-0.000000001,AND($B23=0,S$3&gt;=Cap_h-0.000000001)),1,0),0)</f>
        <v>0</v>
      </c>
      <c r="T23" s="14" t="n">
        <f aca="false">IF(I23=1,IF(OR(Alpha_keep*$A23+T$3&gt;=Floor_c-0.000000001,AND($B23=0,T$3&gt;=Cap_h-0.000000001)),1,0),0)</f>
        <v>0</v>
      </c>
      <c r="U23" s="14" t="n">
        <f aca="false">IF(J23=1,IF(OR(Alpha_keep*$A23+U$3&gt;=Floor_c-0.000000001,AND($B23=0,U$3&gt;=Cap_h-0.000000001)),1,0),0)</f>
        <v>0</v>
      </c>
      <c r="V23" s="14" t="n">
        <f aca="false">IF(K23=1,IF(OR(Alpha_keep*$A23+V$3&gt;=Floor_c-0.000000001,AND($B23=0,V$3&gt;=Cap_h-0.000000001)),1,0),0)</f>
        <v>0</v>
      </c>
      <c r="W23" s="14" t="n">
        <f aca="false">IF(L23=1,IF(OR(Alpha_keep*$A23+W$3&gt;=Floor_c-0.000000001,AND($B23=0,W$3&gt;=Cap_h-0.000000001)),1,0),0)</f>
        <v>0</v>
      </c>
      <c r="X23" s="14" t="n">
        <f aca="false">IF(M23=1,IF(OR(Alpha_keep*$A23+X$3&gt;=Floor_c-0.000000001,AND($B23=0,X$3&gt;=Cap_h-0.000000001)),1,0),0)</f>
        <v>1</v>
      </c>
      <c r="Y23" s="14" t="n">
        <f aca="false">SUM(C23:M23)</f>
        <v>11</v>
      </c>
      <c r="Z23" s="14" t="n">
        <f aca="false">SUM(N23:X23)</f>
        <v>1</v>
      </c>
      <c r="AA23" s="12" t="n">
        <f aca="false">INDEX($C$3:$M$3,MATCH(1,C23:M23,0))</f>
        <v>0</v>
      </c>
      <c r="AB23" s="12" t="n">
        <f aca="false">INDEX($N$3:$X$3,MATCH(1,N23:X23,0))+(Z23-1)*Step_h</f>
        <v>2.5</v>
      </c>
    </row>
    <row r="24" customFormat="false" ht="15" hidden="false" customHeight="false" outlineLevel="0" collapsed="false">
      <c r="A24" s="12" t="n">
        <f aca="false">A23+Step_c</f>
        <v>34.75</v>
      </c>
      <c r="B24" s="14" t="n">
        <f aca="false">IF(SUMPRODUCT((Alpha_keep*$A24+$C$3:$M$3&gt;=Floor_c-0.000000001)*(C24:M24))&gt;0,1,0)</f>
        <v>0</v>
      </c>
      <c r="C24" s="14" t="n">
        <f aca="false">IF(AND(Alpha_keep*$A24+C$3-MAX(Loss_w)&gt;=Lo_c-0.000000001,Alpha_keep*$A24+C$3-MIN(Loss_w)&lt;=Hi_c+0.000000001),1,0)</f>
        <v>1</v>
      </c>
      <c r="D24" s="14" t="n">
        <f aca="false">IF(AND(Alpha_keep*$A24+D$3-MAX(Loss_w)&gt;=Lo_c-0.000000001,Alpha_keep*$A24+D$3-MIN(Loss_w)&lt;=Hi_c+0.000000001),1,0)</f>
        <v>1</v>
      </c>
      <c r="E24" s="14" t="n">
        <f aca="false">IF(AND(Alpha_keep*$A24+E$3-MAX(Loss_w)&gt;=Lo_c-0.000000001,Alpha_keep*$A24+E$3-MIN(Loss_w)&lt;=Hi_c+0.000000001),1,0)</f>
        <v>1</v>
      </c>
      <c r="F24" s="14" t="n">
        <f aca="false">IF(AND(Alpha_keep*$A24+F$3-MAX(Loss_w)&gt;=Lo_c-0.000000001,Alpha_keep*$A24+F$3-MIN(Loss_w)&lt;=Hi_c+0.000000001),1,0)</f>
        <v>1</v>
      </c>
      <c r="G24" s="14" t="n">
        <f aca="false">IF(AND(Alpha_keep*$A24+G$3-MAX(Loss_w)&gt;=Lo_c-0.000000001,Alpha_keep*$A24+G$3-MIN(Loss_w)&lt;=Hi_c+0.000000001),1,0)</f>
        <v>1</v>
      </c>
      <c r="H24" s="14" t="n">
        <f aca="false">IF(AND(Alpha_keep*$A24+H$3-MAX(Loss_w)&gt;=Lo_c-0.000000001,Alpha_keep*$A24+H$3-MIN(Loss_w)&lt;=Hi_c+0.000000001),1,0)</f>
        <v>1</v>
      </c>
      <c r="I24" s="14" t="n">
        <f aca="false">IF(AND(Alpha_keep*$A24+I$3-MAX(Loss_w)&gt;=Lo_c-0.000000001,Alpha_keep*$A24+I$3-MIN(Loss_w)&lt;=Hi_c+0.000000001),1,0)</f>
        <v>1</v>
      </c>
      <c r="J24" s="14" t="n">
        <f aca="false">IF(AND(Alpha_keep*$A24+J$3-MAX(Loss_w)&gt;=Lo_c-0.000000001,Alpha_keep*$A24+J$3-MIN(Loss_w)&lt;=Hi_c+0.000000001),1,0)</f>
        <v>1</v>
      </c>
      <c r="K24" s="14" t="n">
        <f aca="false">IF(AND(Alpha_keep*$A24+K$3-MAX(Loss_w)&gt;=Lo_c-0.000000001,Alpha_keep*$A24+K$3-MIN(Loss_w)&lt;=Hi_c+0.000000001),1,0)</f>
        <v>1</v>
      </c>
      <c r="L24" s="14" t="n">
        <f aca="false">IF(AND(Alpha_keep*$A24+L$3-MAX(Loss_w)&gt;=Lo_c-0.000000001,Alpha_keep*$A24+L$3-MIN(Loss_w)&lt;=Hi_c+0.000000001),1,0)</f>
        <v>1</v>
      </c>
      <c r="M24" s="14" t="n">
        <f aca="false">IF(AND(Alpha_keep*$A24+M$3-MAX(Loss_w)&gt;=Lo_c-0.000000001,Alpha_keep*$A24+M$3-MIN(Loss_w)&lt;=Hi_c+0.000000001),1,0)</f>
        <v>1</v>
      </c>
      <c r="N24" s="14" t="n">
        <f aca="false">IF(C24=1,IF(OR(Alpha_keep*$A24+N$3&gt;=Floor_c-0.000000001,AND($B24=0,N$3&gt;=Cap_h-0.000000001)),1,0),0)</f>
        <v>0</v>
      </c>
      <c r="O24" s="14" t="n">
        <f aca="false">IF(D24=1,IF(OR(Alpha_keep*$A24+O$3&gt;=Floor_c-0.000000001,AND($B24=0,O$3&gt;=Cap_h-0.000000001)),1,0),0)</f>
        <v>0</v>
      </c>
      <c r="P24" s="14" t="n">
        <f aca="false">IF(E24=1,IF(OR(Alpha_keep*$A24+P$3&gt;=Floor_c-0.000000001,AND($B24=0,P$3&gt;=Cap_h-0.000000001)),1,0),0)</f>
        <v>0</v>
      </c>
      <c r="Q24" s="14" t="n">
        <f aca="false">IF(F24=1,IF(OR(Alpha_keep*$A24+Q$3&gt;=Floor_c-0.000000001,AND($B24=0,Q$3&gt;=Cap_h-0.000000001)),1,0),0)</f>
        <v>0</v>
      </c>
      <c r="R24" s="14" t="n">
        <f aca="false">IF(G24=1,IF(OR(Alpha_keep*$A24+R$3&gt;=Floor_c-0.000000001,AND($B24=0,R$3&gt;=Cap_h-0.000000001)),1,0),0)</f>
        <v>0</v>
      </c>
      <c r="S24" s="14" t="n">
        <f aca="false">IF(H24=1,IF(OR(Alpha_keep*$A24+S$3&gt;=Floor_c-0.000000001,AND($B24=0,S$3&gt;=Cap_h-0.000000001)),1,0),0)</f>
        <v>0</v>
      </c>
      <c r="T24" s="14" t="n">
        <f aca="false">IF(I24=1,IF(OR(Alpha_keep*$A24+T$3&gt;=Floor_c-0.000000001,AND($B24=0,T$3&gt;=Cap_h-0.000000001)),1,0),0)</f>
        <v>0</v>
      </c>
      <c r="U24" s="14" t="n">
        <f aca="false">IF(J24=1,IF(OR(Alpha_keep*$A24+U$3&gt;=Floor_c-0.000000001,AND($B24=0,U$3&gt;=Cap_h-0.000000001)),1,0),0)</f>
        <v>0</v>
      </c>
      <c r="V24" s="14" t="n">
        <f aca="false">IF(K24=1,IF(OR(Alpha_keep*$A24+V$3&gt;=Floor_c-0.000000001,AND($B24=0,V$3&gt;=Cap_h-0.000000001)),1,0),0)</f>
        <v>0</v>
      </c>
      <c r="W24" s="14" t="n">
        <f aca="false">IF(L24=1,IF(OR(Alpha_keep*$A24+W$3&gt;=Floor_c-0.000000001,AND($B24=0,W$3&gt;=Cap_h-0.000000001)),1,0),0)</f>
        <v>0</v>
      </c>
      <c r="X24" s="14" t="n">
        <f aca="false">IF(M24=1,IF(OR(Alpha_keep*$A24+X$3&gt;=Floor_c-0.000000001,AND($B24=0,X$3&gt;=Cap_h-0.000000001)),1,0),0)</f>
        <v>1</v>
      </c>
      <c r="Y24" s="14" t="n">
        <f aca="false">SUM(C24:M24)</f>
        <v>11</v>
      </c>
      <c r="Z24" s="14" t="n">
        <f aca="false">SUM(N24:X24)</f>
        <v>1</v>
      </c>
      <c r="AA24" s="12" t="n">
        <f aca="false">INDEX($C$3:$M$3,MATCH(1,C24:M24,0))</f>
        <v>0</v>
      </c>
      <c r="AB24" s="12" t="n">
        <f aca="false">INDEX($N$3:$X$3,MATCH(1,N24:X24,0))+(Z24-1)*Step_h</f>
        <v>2.5</v>
      </c>
    </row>
    <row r="25" customFormat="false" ht="15" hidden="false" customHeight="false" outlineLevel="0" collapsed="false">
      <c r="A25" s="12" t="n">
        <f aca="false">A24+Step_c</f>
        <v>35</v>
      </c>
      <c r="B25" s="14" t="n">
        <f aca="false">IF(SUMPRODUCT((Alpha_keep*$A25+$C$3:$M$3&gt;=Floor_c-0.000000001)*(C25:M25))&gt;0,1,0)</f>
        <v>0</v>
      </c>
      <c r="C25" s="14" t="n">
        <f aca="false">IF(AND(Alpha_keep*$A25+C$3-MAX(Loss_w)&gt;=Lo_c-0.000000001,Alpha_keep*$A25+C$3-MIN(Loss_w)&lt;=Hi_c+0.000000001),1,0)</f>
        <v>1</v>
      </c>
      <c r="D25" s="14" t="n">
        <f aca="false">IF(AND(Alpha_keep*$A25+D$3-MAX(Loss_w)&gt;=Lo_c-0.000000001,Alpha_keep*$A25+D$3-MIN(Loss_w)&lt;=Hi_c+0.000000001),1,0)</f>
        <v>1</v>
      </c>
      <c r="E25" s="14" t="n">
        <f aca="false">IF(AND(Alpha_keep*$A25+E$3-MAX(Loss_w)&gt;=Lo_c-0.000000001,Alpha_keep*$A25+E$3-MIN(Loss_w)&lt;=Hi_c+0.000000001),1,0)</f>
        <v>1</v>
      </c>
      <c r="F25" s="14" t="n">
        <f aca="false">IF(AND(Alpha_keep*$A25+F$3-MAX(Loss_w)&gt;=Lo_c-0.000000001,Alpha_keep*$A25+F$3-MIN(Loss_w)&lt;=Hi_c+0.000000001),1,0)</f>
        <v>1</v>
      </c>
      <c r="G25" s="14" t="n">
        <f aca="false">IF(AND(Alpha_keep*$A25+G$3-MAX(Loss_w)&gt;=Lo_c-0.000000001,Alpha_keep*$A25+G$3-MIN(Loss_w)&lt;=Hi_c+0.000000001),1,0)</f>
        <v>1</v>
      </c>
      <c r="H25" s="14" t="n">
        <f aca="false">IF(AND(Alpha_keep*$A25+H$3-MAX(Loss_w)&gt;=Lo_c-0.000000001,Alpha_keep*$A25+H$3-MIN(Loss_w)&lt;=Hi_c+0.000000001),1,0)</f>
        <v>1</v>
      </c>
      <c r="I25" s="14" t="n">
        <f aca="false">IF(AND(Alpha_keep*$A25+I$3-MAX(Loss_w)&gt;=Lo_c-0.000000001,Alpha_keep*$A25+I$3-MIN(Loss_w)&lt;=Hi_c+0.000000001),1,0)</f>
        <v>1</v>
      </c>
      <c r="J25" s="14" t="n">
        <f aca="false">IF(AND(Alpha_keep*$A25+J$3-MAX(Loss_w)&gt;=Lo_c-0.000000001,Alpha_keep*$A25+J$3-MIN(Loss_w)&lt;=Hi_c+0.000000001),1,0)</f>
        <v>1</v>
      </c>
      <c r="K25" s="14" t="n">
        <f aca="false">IF(AND(Alpha_keep*$A25+K$3-MAX(Loss_w)&gt;=Lo_c-0.000000001,Alpha_keep*$A25+K$3-MIN(Loss_w)&lt;=Hi_c+0.000000001),1,0)</f>
        <v>1</v>
      </c>
      <c r="L25" s="14" t="n">
        <f aca="false">IF(AND(Alpha_keep*$A25+L$3-MAX(Loss_w)&gt;=Lo_c-0.000000001,Alpha_keep*$A25+L$3-MIN(Loss_w)&lt;=Hi_c+0.000000001),1,0)</f>
        <v>1</v>
      </c>
      <c r="M25" s="14" t="n">
        <f aca="false">IF(AND(Alpha_keep*$A25+M$3-MAX(Loss_w)&gt;=Lo_c-0.000000001,Alpha_keep*$A25+M$3-MIN(Loss_w)&lt;=Hi_c+0.000000001),1,0)</f>
        <v>1</v>
      </c>
      <c r="N25" s="14" t="n">
        <f aca="false">IF(C25=1,IF(OR(Alpha_keep*$A25+N$3&gt;=Floor_c-0.000000001,AND($B25=0,N$3&gt;=Cap_h-0.000000001)),1,0),0)</f>
        <v>0</v>
      </c>
      <c r="O25" s="14" t="n">
        <f aca="false">IF(D25=1,IF(OR(Alpha_keep*$A25+O$3&gt;=Floor_c-0.000000001,AND($B25=0,O$3&gt;=Cap_h-0.000000001)),1,0),0)</f>
        <v>0</v>
      </c>
      <c r="P25" s="14" t="n">
        <f aca="false">IF(E25=1,IF(OR(Alpha_keep*$A25+P$3&gt;=Floor_c-0.000000001,AND($B25=0,P$3&gt;=Cap_h-0.000000001)),1,0),0)</f>
        <v>0</v>
      </c>
      <c r="Q25" s="14" t="n">
        <f aca="false">IF(F25=1,IF(OR(Alpha_keep*$A25+Q$3&gt;=Floor_c-0.000000001,AND($B25=0,Q$3&gt;=Cap_h-0.000000001)),1,0),0)</f>
        <v>0</v>
      </c>
      <c r="R25" s="14" t="n">
        <f aca="false">IF(G25=1,IF(OR(Alpha_keep*$A25+R$3&gt;=Floor_c-0.000000001,AND($B25=0,R$3&gt;=Cap_h-0.000000001)),1,0),0)</f>
        <v>0</v>
      </c>
      <c r="S25" s="14" t="n">
        <f aca="false">IF(H25=1,IF(OR(Alpha_keep*$A25+S$3&gt;=Floor_c-0.000000001,AND($B25=0,S$3&gt;=Cap_h-0.000000001)),1,0),0)</f>
        <v>0</v>
      </c>
      <c r="T25" s="14" t="n">
        <f aca="false">IF(I25=1,IF(OR(Alpha_keep*$A25+T$3&gt;=Floor_c-0.000000001,AND($B25=0,T$3&gt;=Cap_h-0.000000001)),1,0),0)</f>
        <v>0</v>
      </c>
      <c r="U25" s="14" t="n">
        <f aca="false">IF(J25=1,IF(OR(Alpha_keep*$A25+U$3&gt;=Floor_c-0.000000001,AND($B25=0,U$3&gt;=Cap_h-0.000000001)),1,0),0)</f>
        <v>0</v>
      </c>
      <c r="V25" s="14" t="n">
        <f aca="false">IF(K25=1,IF(OR(Alpha_keep*$A25+V$3&gt;=Floor_c-0.000000001,AND($B25=0,V$3&gt;=Cap_h-0.000000001)),1,0),0)</f>
        <v>0</v>
      </c>
      <c r="W25" s="14" t="n">
        <f aca="false">IF(L25=1,IF(OR(Alpha_keep*$A25+W$3&gt;=Floor_c-0.000000001,AND($B25=0,W$3&gt;=Cap_h-0.000000001)),1,0),0)</f>
        <v>0</v>
      </c>
      <c r="X25" s="14" t="n">
        <f aca="false">IF(M25=1,IF(OR(Alpha_keep*$A25+X$3&gt;=Floor_c-0.000000001,AND($B25=0,X$3&gt;=Cap_h-0.000000001)),1,0),0)</f>
        <v>1</v>
      </c>
      <c r="Y25" s="14" t="n">
        <f aca="false">SUM(C25:M25)</f>
        <v>11</v>
      </c>
      <c r="Z25" s="14" t="n">
        <f aca="false">SUM(N25:X25)</f>
        <v>1</v>
      </c>
      <c r="AA25" s="12" t="n">
        <f aca="false">INDEX($C$3:$M$3,MATCH(1,C25:M25,0))</f>
        <v>0</v>
      </c>
      <c r="AB25" s="12" t="n">
        <f aca="false">INDEX($N$3:$X$3,MATCH(1,N25:X25,0))+(Z25-1)*Step_h</f>
        <v>2.5</v>
      </c>
    </row>
    <row r="26" customFormat="false" ht="15" hidden="false" customHeight="false" outlineLevel="0" collapsed="false">
      <c r="A26" s="12" t="n">
        <f aca="false">A25+Step_c</f>
        <v>35.25</v>
      </c>
      <c r="B26" s="14" t="n">
        <f aca="false">IF(SUMPRODUCT((Alpha_keep*$A26+$C$3:$M$3&gt;=Floor_c-0.000000001)*(C26:M26))&gt;0,1,0)</f>
        <v>0</v>
      </c>
      <c r="C26" s="14" t="n">
        <f aca="false">IF(AND(Alpha_keep*$A26+C$3-MAX(Loss_w)&gt;=Lo_c-0.000000001,Alpha_keep*$A26+C$3-MIN(Loss_w)&lt;=Hi_c+0.000000001),1,0)</f>
        <v>1</v>
      </c>
      <c r="D26" s="14" t="n">
        <f aca="false">IF(AND(Alpha_keep*$A26+D$3-MAX(Loss_w)&gt;=Lo_c-0.000000001,Alpha_keep*$A26+D$3-MIN(Loss_w)&lt;=Hi_c+0.000000001),1,0)</f>
        <v>1</v>
      </c>
      <c r="E26" s="14" t="n">
        <f aca="false">IF(AND(Alpha_keep*$A26+E$3-MAX(Loss_w)&gt;=Lo_c-0.000000001,Alpha_keep*$A26+E$3-MIN(Loss_w)&lt;=Hi_c+0.000000001),1,0)</f>
        <v>1</v>
      </c>
      <c r="F26" s="14" t="n">
        <f aca="false">IF(AND(Alpha_keep*$A26+F$3-MAX(Loss_w)&gt;=Lo_c-0.000000001,Alpha_keep*$A26+F$3-MIN(Loss_w)&lt;=Hi_c+0.000000001),1,0)</f>
        <v>1</v>
      </c>
      <c r="G26" s="14" t="n">
        <f aca="false">IF(AND(Alpha_keep*$A26+G$3-MAX(Loss_w)&gt;=Lo_c-0.000000001,Alpha_keep*$A26+G$3-MIN(Loss_w)&lt;=Hi_c+0.000000001),1,0)</f>
        <v>1</v>
      </c>
      <c r="H26" s="14" t="n">
        <f aca="false">IF(AND(Alpha_keep*$A26+H$3-MAX(Loss_w)&gt;=Lo_c-0.000000001,Alpha_keep*$A26+H$3-MIN(Loss_w)&lt;=Hi_c+0.000000001),1,0)</f>
        <v>1</v>
      </c>
      <c r="I26" s="14" t="n">
        <f aca="false">IF(AND(Alpha_keep*$A26+I$3-MAX(Loss_w)&gt;=Lo_c-0.000000001,Alpha_keep*$A26+I$3-MIN(Loss_w)&lt;=Hi_c+0.000000001),1,0)</f>
        <v>1</v>
      </c>
      <c r="J26" s="14" t="n">
        <f aca="false">IF(AND(Alpha_keep*$A26+J$3-MAX(Loss_w)&gt;=Lo_c-0.000000001,Alpha_keep*$A26+J$3-MIN(Loss_w)&lt;=Hi_c+0.000000001),1,0)</f>
        <v>1</v>
      </c>
      <c r="K26" s="14" t="n">
        <f aca="false">IF(AND(Alpha_keep*$A26+K$3-MAX(Loss_w)&gt;=Lo_c-0.000000001,Alpha_keep*$A26+K$3-MIN(Loss_w)&lt;=Hi_c+0.000000001),1,0)</f>
        <v>1</v>
      </c>
      <c r="L26" s="14" t="n">
        <f aca="false">IF(AND(Alpha_keep*$A26+L$3-MAX(Loss_w)&gt;=Lo_c-0.000000001,Alpha_keep*$A26+L$3-MIN(Loss_w)&lt;=Hi_c+0.000000001),1,0)</f>
        <v>1</v>
      </c>
      <c r="M26" s="14" t="n">
        <f aca="false">IF(AND(Alpha_keep*$A26+M$3-MAX(Loss_w)&gt;=Lo_c-0.000000001,Alpha_keep*$A26+M$3-MIN(Loss_w)&lt;=Hi_c+0.000000001),1,0)</f>
        <v>1</v>
      </c>
      <c r="N26" s="14" t="n">
        <f aca="false">IF(C26=1,IF(OR(Alpha_keep*$A26+N$3&gt;=Floor_c-0.000000001,AND($B26=0,N$3&gt;=Cap_h-0.000000001)),1,0),0)</f>
        <v>0</v>
      </c>
      <c r="O26" s="14" t="n">
        <f aca="false">IF(D26=1,IF(OR(Alpha_keep*$A26+O$3&gt;=Floor_c-0.000000001,AND($B26=0,O$3&gt;=Cap_h-0.000000001)),1,0),0)</f>
        <v>0</v>
      </c>
      <c r="P26" s="14" t="n">
        <f aca="false">IF(E26=1,IF(OR(Alpha_keep*$A26+P$3&gt;=Floor_c-0.000000001,AND($B26=0,P$3&gt;=Cap_h-0.000000001)),1,0),0)</f>
        <v>0</v>
      </c>
      <c r="Q26" s="14" t="n">
        <f aca="false">IF(F26=1,IF(OR(Alpha_keep*$A26+Q$3&gt;=Floor_c-0.000000001,AND($B26=0,Q$3&gt;=Cap_h-0.000000001)),1,0),0)</f>
        <v>0</v>
      </c>
      <c r="R26" s="14" t="n">
        <f aca="false">IF(G26=1,IF(OR(Alpha_keep*$A26+R$3&gt;=Floor_c-0.000000001,AND($B26=0,R$3&gt;=Cap_h-0.000000001)),1,0),0)</f>
        <v>0</v>
      </c>
      <c r="S26" s="14" t="n">
        <f aca="false">IF(H26=1,IF(OR(Alpha_keep*$A26+S$3&gt;=Floor_c-0.000000001,AND($B26=0,S$3&gt;=Cap_h-0.000000001)),1,0),0)</f>
        <v>0</v>
      </c>
      <c r="T26" s="14" t="n">
        <f aca="false">IF(I26=1,IF(OR(Alpha_keep*$A26+T$3&gt;=Floor_c-0.000000001,AND($B26=0,T$3&gt;=Cap_h-0.000000001)),1,0),0)</f>
        <v>0</v>
      </c>
      <c r="U26" s="14" t="n">
        <f aca="false">IF(J26=1,IF(OR(Alpha_keep*$A26+U$3&gt;=Floor_c-0.000000001,AND($B26=0,U$3&gt;=Cap_h-0.000000001)),1,0),0)</f>
        <v>0</v>
      </c>
      <c r="V26" s="14" t="n">
        <f aca="false">IF(K26=1,IF(OR(Alpha_keep*$A26+V$3&gt;=Floor_c-0.000000001,AND($B26=0,V$3&gt;=Cap_h-0.000000001)),1,0),0)</f>
        <v>0</v>
      </c>
      <c r="W26" s="14" t="n">
        <f aca="false">IF(L26=1,IF(OR(Alpha_keep*$A26+W$3&gt;=Floor_c-0.000000001,AND($B26=0,W$3&gt;=Cap_h-0.000000001)),1,0),0)</f>
        <v>0</v>
      </c>
      <c r="X26" s="14" t="n">
        <f aca="false">IF(M26=1,IF(OR(Alpha_keep*$A26+X$3&gt;=Floor_c-0.000000001,AND($B26=0,X$3&gt;=Cap_h-0.000000001)),1,0),0)</f>
        <v>1</v>
      </c>
      <c r="Y26" s="14" t="n">
        <f aca="false">SUM(C26:M26)</f>
        <v>11</v>
      </c>
      <c r="Z26" s="14" t="n">
        <f aca="false">SUM(N26:X26)</f>
        <v>1</v>
      </c>
      <c r="AA26" s="12" t="n">
        <f aca="false">INDEX($C$3:$M$3,MATCH(1,C26:M26,0))</f>
        <v>0</v>
      </c>
      <c r="AB26" s="12" t="n">
        <f aca="false">INDEX($N$3:$X$3,MATCH(1,N26:X26,0))+(Z26-1)*Step_h</f>
        <v>2.5</v>
      </c>
    </row>
    <row r="27" customFormat="false" ht="15" hidden="false" customHeight="false" outlineLevel="0" collapsed="false">
      <c r="A27" s="12" t="n">
        <f aca="false">A26+Step_c</f>
        <v>35.5</v>
      </c>
      <c r="B27" s="14" t="n">
        <f aca="false">IF(SUMPRODUCT((Alpha_keep*$A27+$C$3:$M$3&gt;=Floor_c-0.000000001)*(C27:M27))&gt;0,1,0)</f>
        <v>0</v>
      </c>
      <c r="C27" s="14" t="n">
        <f aca="false">IF(AND(Alpha_keep*$A27+C$3-MAX(Loss_w)&gt;=Lo_c-0.000000001,Alpha_keep*$A27+C$3-MIN(Loss_w)&lt;=Hi_c+0.000000001),1,0)</f>
        <v>1</v>
      </c>
      <c r="D27" s="14" t="n">
        <f aca="false">IF(AND(Alpha_keep*$A27+D$3-MAX(Loss_w)&gt;=Lo_c-0.000000001,Alpha_keep*$A27+D$3-MIN(Loss_w)&lt;=Hi_c+0.000000001),1,0)</f>
        <v>1</v>
      </c>
      <c r="E27" s="14" t="n">
        <f aca="false">IF(AND(Alpha_keep*$A27+E$3-MAX(Loss_w)&gt;=Lo_c-0.000000001,Alpha_keep*$A27+E$3-MIN(Loss_w)&lt;=Hi_c+0.000000001),1,0)</f>
        <v>1</v>
      </c>
      <c r="F27" s="14" t="n">
        <f aca="false">IF(AND(Alpha_keep*$A27+F$3-MAX(Loss_w)&gt;=Lo_c-0.000000001,Alpha_keep*$A27+F$3-MIN(Loss_w)&lt;=Hi_c+0.000000001),1,0)</f>
        <v>1</v>
      </c>
      <c r="G27" s="14" t="n">
        <f aca="false">IF(AND(Alpha_keep*$A27+G$3-MAX(Loss_w)&gt;=Lo_c-0.000000001,Alpha_keep*$A27+G$3-MIN(Loss_w)&lt;=Hi_c+0.000000001),1,0)</f>
        <v>1</v>
      </c>
      <c r="H27" s="14" t="n">
        <f aca="false">IF(AND(Alpha_keep*$A27+H$3-MAX(Loss_w)&gt;=Lo_c-0.000000001,Alpha_keep*$A27+H$3-MIN(Loss_w)&lt;=Hi_c+0.000000001),1,0)</f>
        <v>1</v>
      </c>
      <c r="I27" s="14" t="n">
        <f aca="false">IF(AND(Alpha_keep*$A27+I$3-MAX(Loss_w)&gt;=Lo_c-0.000000001,Alpha_keep*$A27+I$3-MIN(Loss_w)&lt;=Hi_c+0.000000001),1,0)</f>
        <v>1</v>
      </c>
      <c r="J27" s="14" t="n">
        <f aca="false">IF(AND(Alpha_keep*$A27+J$3-MAX(Loss_w)&gt;=Lo_c-0.000000001,Alpha_keep*$A27+J$3-MIN(Loss_w)&lt;=Hi_c+0.000000001),1,0)</f>
        <v>1</v>
      </c>
      <c r="K27" s="14" t="n">
        <f aca="false">IF(AND(Alpha_keep*$A27+K$3-MAX(Loss_w)&gt;=Lo_c-0.000000001,Alpha_keep*$A27+K$3-MIN(Loss_w)&lt;=Hi_c+0.000000001),1,0)</f>
        <v>1</v>
      </c>
      <c r="L27" s="14" t="n">
        <f aca="false">IF(AND(Alpha_keep*$A27+L$3-MAX(Loss_w)&gt;=Lo_c-0.000000001,Alpha_keep*$A27+L$3-MIN(Loss_w)&lt;=Hi_c+0.000000001),1,0)</f>
        <v>1</v>
      </c>
      <c r="M27" s="14" t="n">
        <f aca="false">IF(AND(Alpha_keep*$A27+M$3-MAX(Loss_w)&gt;=Lo_c-0.000000001,Alpha_keep*$A27+M$3-MIN(Loss_w)&lt;=Hi_c+0.000000001),1,0)</f>
        <v>1</v>
      </c>
      <c r="N27" s="14" t="n">
        <f aca="false">IF(C27=1,IF(OR(Alpha_keep*$A27+N$3&gt;=Floor_c-0.000000001,AND($B27=0,N$3&gt;=Cap_h-0.000000001)),1,0),0)</f>
        <v>0</v>
      </c>
      <c r="O27" s="14" t="n">
        <f aca="false">IF(D27=1,IF(OR(Alpha_keep*$A27+O$3&gt;=Floor_c-0.000000001,AND($B27=0,O$3&gt;=Cap_h-0.000000001)),1,0),0)</f>
        <v>0</v>
      </c>
      <c r="P27" s="14" t="n">
        <f aca="false">IF(E27=1,IF(OR(Alpha_keep*$A27+P$3&gt;=Floor_c-0.000000001,AND($B27=0,P$3&gt;=Cap_h-0.000000001)),1,0),0)</f>
        <v>0</v>
      </c>
      <c r="Q27" s="14" t="n">
        <f aca="false">IF(F27=1,IF(OR(Alpha_keep*$A27+Q$3&gt;=Floor_c-0.000000001,AND($B27=0,Q$3&gt;=Cap_h-0.000000001)),1,0),0)</f>
        <v>0</v>
      </c>
      <c r="R27" s="14" t="n">
        <f aca="false">IF(G27=1,IF(OR(Alpha_keep*$A27+R$3&gt;=Floor_c-0.000000001,AND($B27=0,R$3&gt;=Cap_h-0.000000001)),1,0),0)</f>
        <v>0</v>
      </c>
      <c r="S27" s="14" t="n">
        <f aca="false">IF(H27=1,IF(OR(Alpha_keep*$A27+S$3&gt;=Floor_c-0.000000001,AND($B27=0,S$3&gt;=Cap_h-0.000000001)),1,0),0)</f>
        <v>0</v>
      </c>
      <c r="T27" s="14" t="n">
        <f aca="false">IF(I27=1,IF(OR(Alpha_keep*$A27+T$3&gt;=Floor_c-0.000000001,AND($B27=0,T$3&gt;=Cap_h-0.000000001)),1,0),0)</f>
        <v>0</v>
      </c>
      <c r="U27" s="14" t="n">
        <f aca="false">IF(J27=1,IF(OR(Alpha_keep*$A27+U$3&gt;=Floor_c-0.000000001,AND($B27=0,U$3&gt;=Cap_h-0.000000001)),1,0),0)</f>
        <v>0</v>
      </c>
      <c r="V27" s="14" t="n">
        <f aca="false">IF(K27=1,IF(OR(Alpha_keep*$A27+V$3&gt;=Floor_c-0.000000001,AND($B27=0,V$3&gt;=Cap_h-0.000000001)),1,0),0)</f>
        <v>0</v>
      </c>
      <c r="W27" s="14" t="n">
        <f aca="false">IF(L27=1,IF(OR(Alpha_keep*$A27+W$3&gt;=Floor_c-0.000000001,AND($B27=0,W$3&gt;=Cap_h-0.000000001)),1,0),0)</f>
        <v>0</v>
      </c>
      <c r="X27" s="14" t="n">
        <f aca="false">IF(M27=1,IF(OR(Alpha_keep*$A27+X$3&gt;=Floor_c-0.000000001,AND($B27=0,X$3&gt;=Cap_h-0.000000001)),1,0),0)</f>
        <v>1</v>
      </c>
      <c r="Y27" s="14" t="n">
        <f aca="false">SUM(C27:M27)</f>
        <v>11</v>
      </c>
      <c r="Z27" s="14" t="n">
        <f aca="false">SUM(N27:X27)</f>
        <v>1</v>
      </c>
      <c r="AA27" s="12" t="n">
        <f aca="false">INDEX($C$3:$M$3,MATCH(1,C27:M27,0))</f>
        <v>0</v>
      </c>
      <c r="AB27" s="12" t="n">
        <f aca="false">INDEX($N$3:$X$3,MATCH(1,N27:X27,0))+(Z27-1)*Step_h</f>
        <v>2.5</v>
      </c>
    </row>
    <row r="28" customFormat="false" ht="15" hidden="false" customHeight="false" outlineLevel="0" collapsed="false">
      <c r="A28" s="12" t="n">
        <f aca="false">A27+Step_c</f>
        <v>35.75</v>
      </c>
      <c r="B28" s="14" t="n">
        <f aca="false">IF(SUMPRODUCT((Alpha_keep*$A28+$C$3:$M$3&gt;=Floor_c-0.000000001)*(C28:M28))&gt;0,1,0)</f>
        <v>0</v>
      </c>
      <c r="C28" s="14" t="n">
        <f aca="false">IF(AND(Alpha_keep*$A28+C$3-MAX(Loss_w)&gt;=Lo_c-0.000000001,Alpha_keep*$A28+C$3-MIN(Loss_w)&lt;=Hi_c+0.000000001),1,0)</f>
        <v>1</v>
      </c>
      <c r="D28" s="14" t="n">
        <f aca="false">IF(AND(Alpha_keep*$A28+D$3-MAX(Loss_w)&gt;=Lo_c-0.000000001,Alpha_keep*$A28+D$3-MIN(Loss_w)&lt;=Hi_c+0.000000001),1,0)</f>
        <v>1</v>
      </c>
      <c r="E28" s="14" t="n">
        <f aca="false">IF(AND(Alpha_keep*$A28+E$3-MAX(Loss_w)&gt;=Lo_c-0.000000001,Alpha_keep*$A28+E$3-MIN(Loss_w)&lt;=Hi_c+0.000000001),1,0)</f>
        <v>1</v>
      </c>
      <c r="F28" s="14" t="n">
        <f aca="false">IF(AND(Alpha_keep*$A28+F$3-MAX(Loss_w)&gt;=Lo_c-0.000000001,Alpha_keep*$A28+F$3-MIN(Loss_w)&lt;=Hi_c+0.000000001),1,0)</f>
        <v>1</v>
      </c>
      <c r="G28" s="14" t="n">
        <f aca="false">IF(AND(Alpha_keep*$A28+G$3-MAX(Loss_w)&gt;=Lo_c-0.000000001,Alpha_keep*$A28+G$3-MIN(Loss_w)&lt;=Hi_c+0.000000001),1,0)</f>
        <v>1</v>
      </c>
      <c r="H28" s="14" t="n">
        <f aca="false">IF(AND(Alpha_keep*$A28+H$3-MAX(Loss_w)&gt;=Lo_c-0.000000001,Alpha_keep*$A28+H$3-MIN(Loss_w)&lt;=Hi_c+0.000000001),1,0)</f>
        <v>1</v>
      </c>
      <c r="I28" s="14" t="n">
        <f aca="false">IF(AND(Alpha_keep*$A28+I$3-MAX(Loss_w)&gt;=Lo_c-0.000000001,Alpha_keep*$A28+I$3-MIN(Loss_w)&lt;=Hi_c+0.000000001),1,0)</f>
        <v>1</v>
      </c>
      <c r="J28" s="14" t="n">
        <f aca="false">IF(AND(Alpha_keep*$A28+J$3-MAX(Loss_w)&gt;=Lo_c-0.000000001,Alpha_keep*$A28+J$3-MIN(Loss_w)&lt;=Hi_c+0.000000001),1,0)</f>
        <v>1</v>
      </c>
      <c r="K28" s="14" t="n">
        <f aca="false">IF(AND(Alpha_keep*$A28+K$3-MAX(Loss_w)&gt;=Lo_c-0.000000001,Alpha_keep*$A28+K$3-MIN(Loss_w)&lt;=Hi_c+0.000000001),1,0)</f>
        <v>1</v>
      </c>
      <c r="L28" s="14" t="n">
        <f aca="false">IF(AND(Alpha_keep*$A28+L$3-MAX(Loss_w)&gt;=Lo_c-0.000000001,Alpha_keep*$A28+L$3-MIN(Loss_w)&lt;=Hi_c+0.000000001),1,0)</f>
        <v>1</v>
      </c>
      <c r="M28" s="14" t="n">
        <f aca="false">IF(AND(Alpha_keep*$A28+M$3-MAX(Loss_w)&gt;=Lo_c-0.000000001,Alpha_keep*$A28+M$3-MIN(Loss_w)&lt;=Hi_c+0.000000001),1,0)</f>
        <v>1</v>
      </c>
      <c r="N28" s="14" t="n">
        <f aca="false">IF(C28=1,IF(OR(Alpha_keep*$A28+N$3&gt;=Floor_c-0.000000001,AND($B28=0,N$3&gt;=Cap_h-0.000000001)),1,0),0)</f>
        <v>0</v>
      </c>
      <c r="O28" s="14" t="n">
        <f aca="false">IF(D28=1,IF(OR(Alpha_keep*$A28+O$3&gt;=Floor_c-0.000000001,AND($B28=0,O$3&gt;=Cap_h-0.000000001)),1,0),0)</f>
        <v>0</v>
      </c>
      <c r="P28" s="14" t="n">
        <f aca="false">IF(E28=1,IF(OR(Alpha_keep*$A28+P$3&gt;=Floor_c-0.000000001,AND($B28=0,P$3&gt;=Cap_h-0.000000001)),1,0),0)</f>
        <v>0</v>
      </c>
      <c r="Q28" s="14" t="n">
        <f aca="false">IF(F28=1,IF(OR(Alpha_keep*$A28+Q$3&gt;=Floor_c-0.000000001,AND($B28=0,Q$3&gt;=Cap_h-0.000000001)),1,0),0)</f>
        <v>0</v>
      </c>
      <c r="R28" s="14" t="n">
        <f aca="false">IF(G28=1,IF(OR(Alpha_keep*$A28+R$3&gt;=Floor_c-0.000000001,AND($B28=0,R$3&gt;=Cap_h-0.000000001)),1,0),0)</f>
        <v>0</v>
      </c>
      <c r="S28" s="14" t="n">
        <f aca="false">IF(H28=1,IF(OR(Alpha_keep*$A28+S$3&gt;=Floor_c-0.000000001,AND($B28=0,S$3&gt;=Cap_h-0.000000001)),1,0),0)</f>
        <v>0</v>
      </c>
      <c r="T28" s="14" t="n">
        <f aca="false">IF(I28=1,IF(OR(Alpha_keep*$A28+T$3&gt;=Floor_c-0.000000001,AND($B28=0,T$3&gt;=Cap_h-0.000000001)),1,0),0)</f>
        <v>0</v>
      </c>
      <c r="U28" s="14" t="n">
        <f aca="false">IF(J28=1,IF(OR(Alpha_keep*$A28+U$3&gt;=Floor_c-0.000000001,AND($B28=0,U$3&gt;=Cap_h-0.000000001)),1,0),0)</f>
        <v>0</v>
      </c>
      <c r="V28" s="14" t="n">
        <f aca="false">IF(K28=1,IF(OR(Alpha_keep*$A28+V$3&gt;=Floor_c-0.000000001,AND($B28=0,V$3&gt;=Cap_h-0.000000001)),1,0),0)</f>
        <v>0</v>
      </c>
      <c r="W28" s="14" t="n">
        <f aca="false">IF(L28=1,IF(OR(Alpha_keep*$A28+W$3&gt;=Floor_c-0.000000001,AND($B28=0,W$3&gt;=Cap_h-0.000000001)),1,0),0)</f>
        <v>0</v>
      </c>
      <c r="X28" s="14" t="n">
        <f aca="false">IF(M28=1,IF(OR(Alpha_keep*$A28+X$3&gt;=Floor_c-0.000000001,AND($B28=0,X$3&gt;=Cap_h-0.000000001)),1,0),0)</f>
        <v>1</v>
      </c>
      <c r="Y28" s="14" t="n">
        <f aca="false">SUM(C28:M28)</f>
        <v>11</v>
      </c>
      <c r="Z28" s="14" t="n">
        <f aca="false">SUM(N28:X28)</f>
        <v>1</v>
      </c>
      <c r="AA28" s="12" t="n">
        <f aca="false">INDEX($C$3:$M$3,MATCH(1,C28:M28,0))</f>
        <v>0</v>
      </c>
      <c r="AB28" s="12" t="n">
        <f aca="false">INDEX($N$3:$X$3,MATCH(1,N28:X28,0))+(Z28-1)*Step_h</f>
        <v>2.5</v>
      </c>
    </row>
    <row r="29" customFormat="false" ht="15" hidden="false" customHeight="false" outlineLevel="0" collapsed="false">
      <c r="A29" s="12" t="n">
        <f aca="false">A28+Step_c</f>
        <v>36</v>
      </c>
      <c r="B29" s="14" t="n">
        <f aca="false">IF(SUMPRODUCT((Alpha_keep*$A29+$C$3:$M$3&gt;=Floor_c-0.000000001)*(C29:M29))&gt;0,1,0)</f>
        <v>0</v>
      </c>
      <c r="C29" s="14" t="n">
        <f aca="false">IF(AND(Alpha_keep*$A29+C$3-MAX(Loss_w)&gt;=Lo_c-0.000000001,Alpha_keep*$A29+C$3-MIN(Loss_w)&lt;=Hi_c+0.000000001),1,0)</f>
        <v>1</v>
      </c>
      <c r="D29" s="14" t="n">
        <f aca="false">IF(AND(Alpha_keep*$A29+D$3-MAX(Loss_w)&gt;=Lo_c-0.000000001,Alpha_keep*$A29+D$3-MIN(Loss_w)&lt;=Hi_c+0.000000001),1,0)</f>
        <v>1</v>
      </c>
      <c r="E29" s="14" t="n">
        <f aca="false">IF(AND(Alpha_keep*$A29+E$3-MAX(Loss_w)&gt;=Lo_c-0.000000001,Alpha_keep*$A29+E$3-MIN(Loss_w)&lt;=Hi_c+0.000000001),1,0)</f>
        <v>1</v>
      </c>
      <c r="F29" s="14" t="n">
        <f aca="false">IF(AND(Alpha_keep*$A29+F$3-MAX(Loss_w)&gt;=Lo_c-0.000000001,Alpha_keep*$A29+F$3-MIN(Loss_w)&lt;=Hi_c+0.000000001),1,0)</f>
        <v>1</v>
      </c>
      <c r="G29" s="14" t="n">
        <f aca="false">IF(AND(Alpha_keep*$A29+G$3-MAX(Loss_w)&gt;=Lo_c-0.000000001,Alpha_keep*$A29+G$3-MIN(Loss_w)&lt;=Hi_c+0.000000001),1,0)</f>
        <v>1</v>
      </c>
      <c r="H29" s="14" t="n">
        <f aca="false">IF(AND(Alpha_keep*$A29+H$3-MAX(Loss_w)&gt;=Lo_c-0.000000001,Alpha_keep*$A29+H$3-MIN(Loss_w)&lt;=Hi_c+0.000000001),1,0)</f>
        <v>1</v>
      </c>
      <c r="I29" s="14" t="n">
        <f aca="false">IF(AND(Alpha_keep*$A29+I$3-MAX(Loss_w)&gt;=Lo_c-0.000000001,Alpha_keep*$A29+I$3-MIN(Loss_w)&lt;=Hi_c+0.000000001),1,0)</f>
        <v>1</v>
      </c>
      <c r="J29" s="14" t="n">
        <f aca="false">IF(AND(Alpha_keep*$A29+J$3-MAX(Loss_w)&gt;=Lo_c-0.000000001,Alpha_keep*$A29+J$3-MIN(Loss_w)&lt;=Hi_c+0.000000001),1,0)</f>
        <v>1</v>
      </c>
      <c r="K29" s="14" t="n">
        <f aca="false">IF(AND(Alpha_keep*$A29+K$3-MAX(Loss_w)&gt;=Lo_c-0.000000001,Alpha_keep*$A29+K$3-MIN(Loss_w)&lt;=Hi_c+0.000000001),1,0)</f>
        <v>1</v>
      </c>
      <c r="L29" s="14" t="n">
        <f aca="false">IF(AND(Alpha_keep*$A29+L$3-MAX(Loss_w)&gt;=Lo_c-0.000000001,Alpha_keep*$A29+L$3-MIN(Loss_w)&lt;=Hi_c+0.000000001),1,0)</f>
        <v>1</v>
      </c>
      <c r="M29" s="14" t="n">
        <f aca="false">IF(AND(Alpha_keep*$A29+M$3-MAX(Loss_w)&gt;=Lo_c-0.000000001,Alpha_keep*$A29+M$3-MIN(Loss_w)&lt;=Hi_c+0.000000001),1,0)</f>
        <v>1</v>
      </c>
      <c r="N29" s="14" t="n">
        <f aca="false">IF(C29=1,IF(OR(Alpha_keep*$A29+N$3&gt;=Floor_c-0.000000001,AND($B29=0,N$3&gt;=Cap_h-0.000000001)),1,0),0)</f>
        <v>0</v>
      </c>
      <c r="O29" s="14" t="n">
        <f aca="false">IF(D29=1,IF(OR(Alpha_keep*$A29+O$3&gt;=Floor_c-0.000000001,AND($B29=0,O$3&gt;=Cap_h-0.000000001)),1,0),0)</f>
        <v>0</v>
      </c>
      <c r="P29" s="14" t="n">
        <f aca="false">IF(E29=1,IF(OR(Alpha_keep*$A29+P$3&gt;=Floor_c-0.000000001,AND($B29=0,P$3&gt;=Cap_h-0.000000001)),1,0),0)</f>
        <v>0</v>
      </c>
      <c r="Q29" s="14" t="n">
        <f aca="false">IF(F29=1,IF(OR(Alpha_keep*$A29+Q$3&gt;=Floor_c-0.000000001,AND($B29=0,Q$3&gt;=Cap_h-0.000000001)),1,0),0)</f>
        <v>0</v>
      </c>
      <c r="R29" s="14" t="n">
        <f aca="false">IF(G29=1,IF(OR(Alpha_keep*$A29+R$3&gt;=Floor_c-0.000000001,AND($B29=0,R$3&gt;=Cap_h-0.000000001)),1,0),0)</f>
        <v>0</v>
      </c>
      <c r="S29" s="14" t="n">
        <f aca="false">IF(H29=1,IF(OR(Alpha_keep*$A29+S$3&gt;=Floor_c-0.000000001,AND($B29=0,S$3&gt;=Cap_h-0.000000001)),1,0),0)</f>
        <v>0</v>
      </c>
      <c r="T29" s="14" t="n">
        <f aca="false">IF(I29=1,IF(OR(Alpha_keep*$A29+T$3&gt;=Floor_c-0.000000001,AND($B29=0,T$3&gt;=Cap_h-0.000000001)),1,0),0)</f>
        <v>0</v>
      </c>
      <c r="U29" s="14" t="n">
        <f aca="false">IF(J29=1,IF(OR(Alpha_keep*$A29+U$3&gt;=Floor_c-0.000000001,AND($B29=0,U$3&gt;=Cap_h-0.000000001)),1,0),0)</f>
        <v>0</v>
      </c>
      <c r="V29" s="14" t="n">
        <f aca="false">IF(K29=1,IF(OR(Alpha_keep*$A29+V$3&gt;=Floor_c-0.000000001,AND($B29=0,V$3&gt;=Cap_h-0.000000001)),1,0),0)</f>
        <v>0</v>
      </c>
      <c r="W29" s="14" t="n">
        <f aca="false">IF(L29=1,IF(OR(Alpha_keep*$A29+W$3&gt;=Floor_c-0.000000001,AND($B29=0,W$3&gt;=Cap_h-0.000000001)),1,0),0)</f>
        <v>0</v>
      </c>
      <c r="X29" s="14" t="n">
        <f aca="false">IF(M29=1,IF(OR(Alpha_keep*$A29+X$3&gt;=Floor_c-0.000000001,AND($B29=0,X$3&gt;=Cap_h-0.000000001)),1,0),0)</f>
        <v>1</v>
      </c>
      <c r="Y29" s="14" t="n">
        <f aca="false">SUM(C29:M29)</f>
        <v>11</v>
      </c>
      <c r="Z29" s="14" t="n">
        <f aca="false">SUM(N29:X29)</f>
        <v>1</v>
      </c>
      <c r="AA29" s="12" t="n">
        <f aca="false">INDEX($C$3:$M$3,MATCH(1,C29:M29,0))</f>
        <v>0</v>
      </c>
      <c r="AB29" s="12" t="n">
        <f aca="false">INDEX($N$3:$X$3,MATCH(1,N29:X29,0))+(Z29-1)*Step_h</f>
        <v>2.5</v>
      </c>
    </row>
    <row r="30" customFormat="false" ht="15" hidden="false" customHeight="false" outlineLevel="0" collapsed="false">
      <c r="A30" s="12" t="n">
        <f aca="false">A29+Step_c</f>
        <v>36.25</v>
      </c>
      <c r="B30" s="14" t="n">
        <f aca="false">IF(SUMPRODUCT((Alpha_keep*$A30+$C$3:$M$3&gt;=Floor_c-0.000000001)*(C30:M30))&gt;0,1,0)</f>
        <v>0</v>
      </c>
      <c r="C30" s="14" t="n">
        <f aca="false">IF(AND(Alpha_keep*$A30+C$3-MAX(Loss_w)&gt;=Lo_c-0.000000001,Alpha_keep*$A30+C$3-MIN(Loss_w)&lt;=Hi_c+0.000000001),1,0)</f>
        <v>1</v>
      </c>
      <c r="D30" s="14" t="n">
        <f aca="false">IF(AND(Alpha_keep*$A30+D$3-MAX(Loss_w)&gt;=Lo_c-0.000000001,Alpha_keep*$A30+D$3-MIN(Loss_w)&lt;=Hi_c+0.000000001),1,0)</f>
        <v>1</v>
      </c>
      <c r="E30" s="14" t="n">
        <f aca="false">IF(AND(Alpha_keep*$A30+E$3-MAX(Loss_w)&gt;=Lo_c-0.000000001,Alpha_keep*$A30+E$3-MIN(Loss_w)&lt;=Hi_c+0.000000001),1,0)</f>
        <v>1</v>
      </c>
      <c r="F30" s="14" t="n">
        <f aca="false">IF(AND(Alpha_keep*$A30+F$3-MAX(Loss_w)&gt;=Lo_c-0.000000001,Alpha_keep*$A30+F$3-MIN(Loss_w)&lt;=Hi_c+0.000000001),1,0)</f>
        <v>1</v>
      </c>
      <c r="G30" s="14" t="n">
        <f aca="false">IF(AND(Alpha_keep*$A30+G$3-MAX(Loss_w)&gt;=Lo_c-0.000000001,Alpha_keep*$A30+G$3-MIN(Loss_w)&lt;=Hi_c+0.000000001),1,0)</f>
        <v>1</v>
      </c>
      <c r="H30" s="14" t="n">
        <f aca="false">IF(AND(Alpha_keep*$A30+H$3-MAX(Loss_w)&gt;=Lo_c-0.000000001,Alpha_keep*$A30+H$3-MIN(Loss_w)&lt;=Hi_c+0.000000001),1,0)</f>
        <v>1</v>
      </c>
      <c r="I30" s="14" t="n">
        <f aca="false">IF(AND(Alpha_keep*$A30+I$3-MAX(Loss_w)&gt;=Lo_c-0.000000001,Alpha_keep*$A30+I$3-MIN(Loss_w)&lt;=Hi_c+0.000000001),1,0)</f>
        <v>1</v>
      </c>
      <c r="J30" s="14" t="n">
        <f aca="false">IF(AND(Alpha_keep*$A30+J$3-MAX(Loss_w)&gt;=Lo_c-0.000000001,Alpha_keep*$A30+J$3-MIN(Loss_w)&lt;=Hi_c+0.000000001),1,0)</f>
        <v>1</v>
      </c>
      <c r="K30" s="14" t="n">
        <f aca="false">IF(AND(Alpha_keep*$A30+K$3-MAX(Loss_w)&gt;=Lo_c-0.000000001,Alpha_keep*$A30+K$3-MIN(Loss_w)&lt;=Hi_c+0.000000001),1,0)</f>
        <v>1</v>
      </c>
      <c r="L30" s="14" t="n">
        <f aca="false">IF(AND(Alpha_keep*$A30+L$3-MAX(Loss_w)&gt;=Lo_c-0.000000001,Alpha_keep*$A30+L$3-MIN(Loss_w)&lt;=Hi_c+0.000000001),1,0)</f>
        <v>1</v>
      </c>
      <c r="M30" s="14" t="n">
        <f aca="false">IF(AND(Alpha_keep*$A30+M$3-MAX(Loss_w)&gt;=Lo_c-0.000000001,Alpha_keep*$A30+M$3-MIN(Loss_w)&lt;=Hi_c+0.000000001),1,0)</f>
        <v>1</v>
      </c>
      <c r="N30" s="14" t="n">
        <f aca="false">IF(C30=1,IF(OR(Alpha_keep*$A30+N$3&gt;=Floor_c-0.000000001,AND($B30=0,N$3&gt;=Cap_h-0.000000001)),1,0),0)</f>
        <v>0</v>
      </c>
      <c r="O30" s="14" t="n">
        <f aca="false">IF(D30=1,IF(OR(Alpha_keep*$A30+O$3&gt;=Floor_c-0.000000001,AND($B30=0,O$3&gt;=Cap_h-0.000000001)),1,0),0)</f>
        <v>0</v>
      </c>
      <c r="P30" s="14" t="n">
        <f aca="false">IF(E30=1,IF(OR(Alpha_keep*$A30+P$3&gt;=Floor_c-0.000000001,AND($B30=0,P$3&gt;=Cap_h-0.000000001)),1,0),0)</f>
        <v>0</v>
      </c>
      <c r="Q30" s="14" t="n">
        <f aca="false">IF(F30=1,IF(OR(Alpha_keep*$A30+Q$3&gt;=Floor_c-0.000000001,AND($B30=0,Q$3&gt;=Cap_h-0.000000001)),1,0),0)</f>
        <v>0</v>
      </c>
      <c r="R30" s="14" t="n">
        <f aca="false">IF(G30=1,IF(OR(Alpha_keep*$A30+R$3&gt;=Floor_c-0.000000001,AND($B30=0,R$3&gt;=Cap_h-0.000000001)),1,0),0)</f>
        <v>0</v>
      </c>
      <c r="S30" s="14" t="n">
        <f aca="false">IF(H30=1,IF(OR(Alpha_keep*$A30+S$3&gt;=Floor_c-0.000000001,AND($B30=0,S$3&gt;=Cap_h-0.000000001)),1,0),0)</f>
        <v>0</v>
      </c>
      <c r="T30" s="14" t="n">
        <f aca="false">IF(I30=1,IF(OR(Alpha_keep*$A30+T$3&gt;=Floor_c-0.000000001,AND($B30=0,T$3&gt;=Cap_h-0.000000001)),1,0),0)</f>
        <v>0</v>
      </c>
      <c r="U30" s="14" t="n">
        <f aca="false">IF(J30=1,IF(OR(Alpha_keep*$A30+U$3&gt;=Floor_c-0.000000001,AND($B30=0,U$3&gt;=Cap_h-0.000000001)),1,0),0)</f>
        <v>0</v>
      </c>
      <c r="V30" s="14" t="n">
        <f aca="false">IF(K30=1,IF(OR(Alpha_keep*$A30+V$3&gt;=Floor_c-0.000000001,AND($B30=0,V$3&gt;=Cap_h-0.000000001)),1,0),0)</f>
        <v>0</v>
      </c>
      <c r="W30" s="14" t="n">
        <f aca="false">IF(L30=1,IF(OR(Alpha_keep*$A30+W$3&gt;=Floor_c-0.000000001,AND($B30=0,W$3&gt;=Cap_h-0.000000001)),1,0),0)</f>
        <v>0</v>
      </c>
      <c r="X30" s="14" t="n">
        <f aca="false">IF(M30=1,IF(OR(Alpha_keep*$A30+X$3&gt;=Floor_c-0.000000001,AND($B30=0,X$3&gt;=Cap_h-0.000000001)),1,0),0)</f>
        <v>1</v>
      </c>
      <c r="Y30" s="14" t="n">
        <f aca="false">SUM(C30:M30)</f>
        <v>11</v>
      </c>
      <c r="Z30" s="14" t="n">
        <f aca="false">SUM(N30:X30)</f>
        <v>1</v>
      </c>
      <c r="AA30" s="12" t="n">
        <f aca="false">INDEX($C$3:$M$3,MATCH(1,C30:M30,0))</f>
        <v>0</v>
      </c>
      <c r="AB30" s="12" t="n">
        <f aca="false">INDEX($N$3:$X$3,MATCH(1,N30:X30,0))+(Z30-1)*Step_h</f>
        <v>2.5</v>
      </c>
    </row>
    <row r="31" customFormat="false" ht="15" hidden="false" customHeight="false" outlineLevel="0" collapsed="false">
      <c r="A31" s="12" t="n">
        <f aca="false">A30+Step_c</f>
        <v>36.5</v>
      </c>
      <c r="B31" s="14" t="n">
        <f aca="false">IF(SUMPRODUCT((Alpha_keep*$A31+$C$3:$M$3&gt;=Floor_c-0.000000001)*(C31:M31))&gt;0,1,0)</f>
        <v>0</v>
      </c>
      <c r="C31" s="14" t="n">
        <f aca="false">IF(AND(Alpha_keep*$A31+C$3-MAX(Loss_w)&gt;=Lo_c-0.000000001,Alpha_keep*$A31+C$3-MIN(Loss_w)&lt;=Hi_c+0.000000001),1,0)</f>
        <v>1</v>
      </c>
      <c r="D31" s="14" t="n">
        <f aca="false">IF(AND(Alpha_keep*$A31+D$3-MAX(Loss_w)&gt;=Lo_c-0.000000001,Alpha_keep*$A31+D$3-MIN(Loss_w)&lt;=Hi_c+0.000000001),1,0)</f>
        <v>1</v>
      </c>
      <c r="E31" s="14" t="n">
        <f aca="false">IF(AND(Alpha_keep*$A31+E$3-MAX(Loss_w)&gt;=Lo_c-0.000000001,Alpha_keep*$A31+E$3-MIN(Loss_w)&lt;=Hi_c+0.000000001),1,0)</f>
        <v>1</v>
      </c>
      <c r="F31" s="14" t="n">
        <f aca="false">IF(AND(Alpha_keep*$A31+F$3-MAX(Loss_w)&gt;=Lo_c-0.000000001,Alpha_keep*$A31+F$3-MIN(Loss_w)&lt;=Hi_c+0.000000001),1,0)</f>
        <v>1</v>
      </c>
      <c r="G31" s="14" t="n">
        <f aca="false">IF(AND(Alpha_keep*$A31+G$3-MAX(Loss_w)&gt;=Lo_c-0.000000001,Alpha_keep*$A31+G$3-MIN(Loss_w)&lt;=Hi_c+0.000000001),1,0)</f>
        <v>1</v>
      </c>
      <c r="H31" s="14" t="n">
        <f aca="false">IF(AND(Alpha_keep*$A31+H$3-MAX(Loss_w)&gt;=Lo_c-0.000000001,Alpha_keep*$A31+H$3-MIN(Loss_w)&lt;=Hi_c+0.000000001),1,0)</f>
        <v>1</v>
      </c>
      <c r="I31" s="14" t="n">
        <f aca="false">IF(AND(Alpha_keep*$A31+I$3-MAX(Loss_w)&gt;=Lo_c-0.000000001,Alpha_keep*$A31+I$3-MIN(Loss_w)&lt;=Hi_c+0.000000001),1,0)</f>
        <v>1</v>
      </c>
      <c r="J31" s="14" t="n">
        <f aca="false">IF(AND(Alpha_keep*$A31+J$3-MAX(Loss_w)&gt;=Lo_c-0.000000001,Alpha_keep*$A31+J$3-MIN(Loss_w)&lt;=Hi_c+0.000000001),1,0)</f>
        <v>1</v>
      </c>
      <c r="K31" s="14" t="n">
        <f aca="false">IF(AND(Alpha_keep*$A31+K$3-MAX(Loss_w)&gt;=Lo_c-0.000000001,Alpha_keep*$A31+K$3-MIN(Loss_w)&lt;=Hi_c+0.000000001),1,0)</f>
        <v>1</v>
      </c>
      <c r="L31" s="14" t="n">
        <f aca="false">IF(AND(Alpha_keep*$A31+L$3-MAX(Loss_w)&gt;=Lo_c-0.000000001,Alpha_keep*$A31+L$3-MIN(Loss_w)&lt;=Hi_c+0.000000001),1,0)</f>
        <v>1</v>
      </c>
      <c r="M31" s="14" t="n">
        <f aca="false">IF(AND(Alpha_keep*$A31+M$3-MAX(Loss_w)&gt;=Lo_c-0.000000001,Alpha_keep*$A31+M$3-MIN(Loss_w)&lt;=Hi_c+0.000000001),1,0)</f>
        <v>1</v>
      </c>
      <c r="N31" s="14" t="n">
        <f aca="false">IF(C31=1,IF(OR(Alpha_keep*$A31+N$3&gt;=Floor_c-0.000000001,AND($B31=0,N$3&gt;=Cap_h-0.000000001)),1,0),0)</f>
        <v>0</v>
      </c>
      <c r="O31" s="14" t="n">
        <f aca="false">IF(D31=1,IF(OR(Alpha_keep*$A31+O$3&gt;=Floor_c-0.000000001,AND($B31=0,O$3&gt;=Cap_h-0.000000001)),1,0),0)</f>
        <v>0</v>
      </c>
      <c r="P31" s="14" t="n">
        <f aca="false">IF(E31=1,IF(OR(Alpha_keep*$A31+P$3&gt;=Floor_c-0.000000001,AND($B31=0,P$3&gt;=Cap_h-0.000000001)),1,0),0)</f>
        <v>0</v>
      </c>
      <c r="Q31" s="14" t="n">
        <f aca="false">IF(F31=1,IF(OR(Alpha_keep*$A31+Q$3&gt;=Floor_c-0.000000001,AND($B31=0,Q$3&gt;=Cap_h-0.000000001)),1,0),0)</f>
        <v>0</v>
      </c>
      <c r="R31" s="14" t="n">
        <f aca="false">IF(G31=1,IF(OR(Alpha_keep*$A31+R$3&gt;=Floor_c-0.000000001,AND($B31=0,R$3&gt;=Cap_h-0.000000001)),1,0),0)</f>
        <v>0</v>
      </c>
      <c r="S31" s="14" t="n">
        <f aca="false">IF(H31=1,IF(OR(Alpha_keep*$A31+S$3&gt;=Floor_c-0.000000001,AND($B31=0,S$3&gt;=Cap_h-0.000000001)),1,0),0)</f>
        <v>0</v>
      </c>
      <c r="T31" s="14" t="n">
        <f aca="false">IF(I31=1,IF(OR(Alpha_keep*$A31+T$3&gt;=Floor_c-0.000000001,AND($B31=0,T$3&gt;=Cap_h-0.000000001)),1,0),0)</f>
        <v>0</v>
      </c>
      <c r="U31" s="14" t="n">
        <f aca="false">IF(J31=1,IF(OR(Alpha_keep*$A31+U$3&gt;=Floor_c-0.000000001,AND($B31=0,U$3&gt;=Cap_h-0.000000001)),1,0),0)</f>
        <v>0</v>
      </c>
      <c r="V31" s="14" t="n">
        <f aca="false">IF(K31=1,IF(OR(Alpha_keep*$A31+V$3&gt;=Floor_c-0.000000001,AND($B31=0,V$3&gt;=Cap_h-0.000000001)),1,0),0)</f>
        <v>0</v>
      </c>
      <c r="W31" s="14" t="n">
        <f aca="false">IF(L31=1,IF(OR(Alpha_keep*$A31+W$3&gt;=Floor_c-0.000000001,AND($B31=0,W$3&gt;=Cap_h-0.000000001)),1,0),0)</f>
        <v>0</v>
      </c>
      <c r="X31" s="14" t="n">
        <f aca="false">IF(M31=1,IF(OR(Alpha_keep*$A31+X$3&gt;=Floor_c-0.000000001,AND($B31=0,X$3&gt;=Cap_h-0.000000001)),1,0),0)</f>
        <v>1</v>
      </c>
      <c r="Y31" s="14" t="n">
        <f aca="false">SUM(C31:M31)</f>
        <v>11</v>
      </c>
      <c r="Z31" s="14" t="n">
        <f aca="false">SUM(N31:X31)</f>
        <v>1</v>
      </c>
      <c r="AA31" s="12" t="n">
        <f aca="false">INDEX($C$3:$M$3,MATCH(1,C31:M31,0))</f>
        <v>0</v>
      </c>
      <c r="AB31" s="12" t="n">
        <f aca="false">INDEX($N$3:$X$3,MATCH(1,N31:X31,0))+(Z31-1)*Step_h</f>
        <v>2.5</v>
      </c>
    </row>
    <row r="32" customFormat="false" ht="15" hidden="false" customHeight="false" outlineLevel="0" collapsed="false">
      <c r="A32" s="12" t="n">
        <f aca="false">A31+Step_c</f>
        <v>36.75</v>
      </c>
      <c r="B32" s="14" t="n">
        <f aca="false">IF(SUMPRODUCT((Alpha_keep*$A32+$C$3:$M$3&gt;=Floor_c-0.000000001)*(C32:M32))&gt;0,1,0)</f>
        <v>0</v>
      </c>
      <c r="C32" s="14" t="n">
        <f aca="false">IF(AND(Alpha_keep*$A32+C$3-MAX(Loss_w)&gt;=Lo_c-0.000000001,Alpha_keep*$A32+C$3-MIN(Loss_w)&lt;=Hi_c+0.000000001),1,0)</f>
        <v>1</v>
      </c>
      <c r="D32" s="14" t="n">
        <f aca="false">IF(AND(Alpha_keep*$A32+D$3-MAX(Loss_w)&gt;=Lo_c-0.000000001,Alpha_keep*$A32+D$3-MIN(Loss_w)&lt;=Hi_c+0.000000001),1,0)</f>
        <v>1</v>
      </c>
      <c r="E32" s="14" t="n">
        <f aca="false">IF(AND(Alpha_keep*$A32+E$3-MAX(Loss_w)&gt;=Lo_c-0.000000001,Alpha_keep*$A32+E$3-MIN(Loss_w)&lt;=Hi_c+0.000000001),1,0)</f>
        <v>1</v>
      </c>
      <c r="F32" s="14" t="n">
        <f aca="false">IF(AND(Alpha_keep*$A32+F$3-MAX(Loss_w)&gt;=Lo_c-0.000000001,Alpha_keep*$A32+F$3-MIN(Loss_w)&lt;=Hi_c+0.000000001),1,0)</f>
        <v>1</v>
      </c>
      <c r="G32" s="14" t="n">
        <f aca="false">IF(AND(Alpha_keep*$A32+G$3-MAX(Loss_w)&gt;=Lo_c-0.000000001,Alpha_keep*$A32+G$3-MIN(Loss_w)&lt;=Hi_c+0.000000001),1,0)</f>
        <v>1</v>
      </c>
      <c r="H32" s="14" t="n">
        <f aca="false">IF(AND(Alpha_keep*$A32+H$3-MAX(Loss_w)&gt;=Lo_c-0.000000001,Alpha_keep*$A32+H$3-MIN(Loss_w)&lt;=Hi_c+0.000000001),1,0)</f>
        <v>1</v>
      </c>
      <c r="I32" s="14" t="n">
        <f aca="false">IF(AND(Alpha_keep*$A32+I$3-MAX(Loss_w)&gt;=Lo_c-0.000000001,Alpha_keep*$A32+I$3-MIN(Loss_w)&lt;=Hi_c+0.000000001),1,0)</f>
        <v>1</v>
      </c>
      <c r="J32" s="14" t="n">
        <f aca="false">IF(AND(Alpha_keep*$A32+J$3-MAX(Loss_w)&gt;=Lo_c-0.000000001,Alpha_keep*$A32+J$3-MIN(Loss_w)&lt;=Hi_c+0.000000001),1,0)</f>
        <v>1</v>
      </c>
      <c r="K32" s="14" t="n">
        <f aca="false">IF(AND(Alpha_keep*$A32+K$3-MAX(Loss_w)&gt;=Lo_c-0.000000001,Alpha_keep*$A32+K$3-MIN(Loss_w)&lt;=Hi_c+0.000000001),1,0)</f>
        <v>1</v>
      </c>
      <c r="L32" s="14" t="n">
        <f aca="false">IF(AND(Alpha_keep*$A32+L$3-MAX(Loss_w)&gt;=Lo_c-0.000000001,Alpha_keep*$A32+L$3-MIN(Loss_w)&lt;=Hi_c+0.000000001),1,0)</f>
        <v>1</v>
      </c>
      <c r="M32" s="14" t="n">
        <f aca="false">IF(AND(Alpha_keep*$A32+M$3-MAX(Loss_w)&gt;=Lo_c-0.000000001,Alpha_keep*$A32+M$3-MIN(Loss_w)&lt;=Hi_c+0.000000001),1,0)</f>
        <v>1</v>
      </c>
      <c r="N32" s="14" t="n">
        <f aca="false">IF(C32=1,IF(OR(Alpha_keep*$A32+N$3&gt;=Floor_c-0.000000001,AND($B32=0,N$3&gt;=Cap_h-0.000000001)),1,0),0)</f>
        <v>0</v>
      </c>
      <c r="O32" s="14" t="n">
        <f aca="false">IF(D32=1,IF(OR(Alpha_keep*$A32+O$3&gt;=Floor_c-0.000000001,AND($B32=0,O$3&gt;=Cap_h-0.000000001)),1,0),0)</f>
        <v>0</v>
      </c>
      <c r="P32" s="14" t="n">
        <f aca="false">IF(E32=1,IF(OR(Alpha_keep*$A32+P$3&gt;=Floor_c-0.000000001,AND($B32=0,P$3&gt;=Cap_h-0.000000001)),1,0),0)</f>
        <v>0</v>
      </c>
      <c r="Q32" s="14" t="n">
        <f aca="false">IF(F32=1,IF(OR(Alpha_keep*$A32+Q$3&gt;=Floor_c-0.000000001,AND($B32=0,Q$3&gt;=Cap_h-0.000000001)),1,0),0)</f>
        <v>0</v>
      </c>
      <c r="R32" s="14" t="n">
        <f aca="false">IF(G32=1,IF(OR(Alpha_keep*$A32+R$3&gt;=Floor_c-0.000000001,AND($B32=0,R$3&gt;=Cap_h-0.000000001)),1,0),0)</f>
        <v>0</v>
      </c>
      <c r="S32" s="14" t="n">
        <f aca="false">IF(H32=1,IF(OR(Alpha_keep*$A32+S$3&gt;=Floor_c-0.000000001,AND($B32=0,S$3&gt;=Cap_h-0.000000001)),1,0),0)</f>
        <v>0</v>
      </c>
      <c r="T32" s="14" t="n">
        <f aca="false">IF(I32=1,IF(OR(Alpha_keep*$A32+T$3&gt;=Floor_c-0.000000001,AND($B32=0,T$3&gt;=Cap_h-0.000000001)),1,0),0)</f>
        <v>0</v>
      </c>
      <c r="U32" s="14" t="n">
        <f aca="false">IF(J32=1,IF(OR(Alpha_keep*$A32+U$3&gt;=Floor_c-0.000000001,AND($B32=0,U$3&gt;=Cap_h-0.000000001)),1,0),0)</f>
        <v>0</v>
      </c>
      <c r="V32" s="14" t="n">
        <f aca="false">IF(K32=1,IF(OR(Alpha_keep*$A32+V$3&gt;=Floor_c-0.000000001,AND($B32=0,V$3&gt;=Cap_h-0.000000001)),1,0),0)</f>
        <v>0</v>
      </c>
      <c r="W32" s="14" t="n">
        <f aca="false">IF(L32=1,IF(OR(Alpha_keep*$A32+W$3&gt;=Floor_c-0.000000001,AND($B32=0,W$3&gt;=Cap_h-0.000000001)),1,0),0)</f>
        <v>0</v>
      </c>
      <c r="X32" s="14" t="n">
        <f aca="false">IF(M32=1,IF(OR(Alpha_keep*$A32+X$3&gt;=Floor_c-0.000000001,AND($B32=0,X$3&gt;=Cap_h-0.000000001)),1,0),0)</f>
        <v>1</v>
      </c>
      <c r="Y32" s="14" t="n">
        <f aca="false">SUM(C32:M32)</f>
        <v>11</v>
      </c>
      <c r="Z32" s="14" t="n">
        <f aca="false">SUM(N32:X32)</f>
        <v>1</v>
      </c>
      <c r="AA32" s="12" t="n">
        <f aca="false">INDEX($C$3:$M$3,MATCH(1,C32:M32,0))</f>
        <v>0</v>
      </c>
      <c r="AB32" s="12" t="n">
        <f aca="false">INDEX($N$3:$X$3,MATCH(1,N32:X32,0))+(Z32-1)*Step_h</f>
        <v>2.5</v>
      </c>
    </row>
    <row r="33" customFormat="false" ht="15" hidden="false" customHeight="false" outlineLevel="0" collapsed="false">
      <c r="A33" s="12" t="n">
        <f aca="false">A32+Step_c</f>
        <v>37</v>
      </c>
      <c r="B33" s="14" t="n">
        <f aca="false">IF(SUMPRODUCT((Alpha_keep*$A33+$C$3:$M$3&gt;=Floor_c-0.000000001)*(C33:M33))&gt;0,1,0)</f>
        <v>0</v>
      </c>
      <c r="C33" s="14" t="n">
        <f aca="false">IF(AND(Alpha_keep*$A33+C$3-MAX(Loss_w)&gt;=Lo_c-0.000000001,Alpha_keep*$A33+C$3-MIN(Loss_w)&lt;=Hi_c+0.000000001),1,0)</f>
        <v>1</v>
      </c>
      <c r="D33" s="14" t="n">
        <f aca="false">IF(AND(Alpha_keep*$A33+D$3-MAX(Loss_w)&gt;=Lo_c-0.000000001,Alpha_keep*$A33+D$3-MIN(Loss_w)&lt;=Hi_c+0.000000001),1,0)</f>
        <v>1</v>
      </c>
      <c r="E33" s="14" t="n">
        <f aca="false">IF(AND(Alpha_keep*$A33+E$3-MAX(Loss_w)&gt;=Lo_c-0.000000001,Alpha_keep*$A33+E$3-MIN(Loss_w)&lt;=Hi_c+0.000000001),1,0)</f>
        <v>1</v>
      </c>
      <c r="F33" s="14" t="n">
        <f aca="false">IF(AND(Alpha_keep*$A33+F$3-MAX(Loss_w)&gt;=Lo_c-0.000000001,Alpha_keep*$A33+F$3-MIN(Loss_w)&lt;=Hi_c+0.000000001),1,0)</f>
        <v>1</v>
      </c>
      <c r="G33" s="14" t="n">
        <f aca="false">IF(AND(Alpha_keep*$A33+G$3-MAX(Loss_w)&gt;=Lo_c-0.000000001,Alpha_keep*$A33+G$3-MIN(Loss_w)&lt;=Hi_c+0.000000001),1,0)</f>
        <v>1</v>
      </c>
      <c r="H33" s="14" t="n">
        <f aca="false">IF(AND(Alpha_keep*$A33+H$3-MAX(Loss_w)&gt;=Lo_c-0.000000001,Alpha_keep*$A33+H$3-MIN(Loss_w)&lt;=Hi_c+0.000000001),1,0)</f>
        <v>1</v>
      </c>
      <c r="I33" s="14" t="n">
        <f aca="false">IF(AND(Alpha_keep*$A33+I$3-MAX(Loss_w)&gt;=Lo_c-0.000000001,Alpha_keep*$A33+I$3-MIN(Loss_w)&lt;=Hi_c+0.000000001),1,0)</f>
        <v>1</v>
      </c>
      <c r="J33" s="14" t="n">
        <f aca="false">IF(AND(Alpha_keep*$A33+J$3-MAX(Loss_w)&gt;=Lo_c-0.000000001,Alpha_keep*$A33+J$3-MIN(Loss_w)&lt;=Hi_c+0.000000001),1,0)</f>
        <v>1</v>
      </c>
      <c r="K33" s="14" t="n">
        <f aca="false">IF(AND(Alpha_keep*$A33+K$3-MAX(Loss_w)&gt;=Lo_c-0.000000001,Alpha_keep*$A33+K$3-MIN(Loss_w)&lt;=Hi_c+0.000000001),1,0)</f>
        <v>1</v>
      </c>
      <c r="L33" s="14" t="n">
        <f aca="false">IF(AND(Alpha_keep*$A33+L$3-MAX(Loss_w)&gt;=Lo_c-0.000000001,Alpha_keep*$A33+L$3-MIN(Loss_w)&lt;=Hi_c+0.000000001),1,0)</f>
        <v>1</v>
      </c>
      <c r="M33" s="14" t="n">
        <f aca="false">IF(AND(Alpha_keep*$A33+M$3-MAX(Loss_w)&gt;=Lo_c-0.000000001,Alpha_keep*$A33+M$3-MIN(Loss_w)&lt;=Hi_c+0.000000001),1,0)</f>
        <v>1</v>
      </c>
      <c r="N33" s="14" t="n">
        <f aca="false">IF(C33=1,IF(OR(Alpha_keep*$A33+N$3&gt;=Floor_c-0.000000001,AND($B33=0,N$3&gt;=Cap_h-0.000000001)),1,0),0)</f>
        <v>0</v>
      </c>
      <c r="O33" s="14" t="n">
        <f aca="false">IF(D33=1,IF(OR(Alpha_keep*$A33+O$3&gt;=Floor_c-0.000000001,AND($B33=0,O$3&gt;=Cap_h-0.000000001)),1,0),0)</f>
        <v>0</v>
      </c>
      <c r="P33" s="14" t="n">
        <f aca="false">IF(E33=1,IF(OR(Alpha_keep*$A33+P$3&gt;=Floor_c-0.000000001,AND($B33=0,P$3&gt;=Cap_h-0.000000001)),1,0),0)</f>
        <v>0</v>
      </c>
      <c r="Q33" s="14" t="n">
        <f aca="false">IF(F33=1,IF(OR(Alpha_keep*$A33+Q$3&gt;=Floor_c-0.000000001,AND($B33=0,Q$3&gt;=Cap_h-0.000000001)),1,0),0)</f>
        <v>0</v>
      </c>
      <c r="R33" s="14" t="n">
        <f aca="false">IF(G33=1,IF(OR(Alpha_keep*$A33+R$3&gt;=Floor_c-0.000000001,AND($B33=0,R$3&gt;=Cap_h-0.000000001)),1,0),0)</f>
        <v>0</v>
      </c>
      <c r="S33" s="14" t="n">
        <f aca="false">IF(H33=1,IF(OR(Alpha_keep*$A33+S$3&gt;=Floor_c-0.000000001,AND($B33=0,S$3&gt;=Cap_h-0.000000001)),1,0),0)</f>
        <v>0</v>
      </c>
      <c r="T33" s="14" t="n">
        <f aca="false">IF(I33=1,IF(OR(Alpha_keep*$A33+T$3&gt;=Floor_c-0.000000001,AND($B33=0,T$3&gt;=Cap_h-0.000000001)),1,0),0)</f>
        <v>0</v>
      </c>
      <c r="U33" s="14" t="n">
        <f aca="false">IF(J33=1,IF(OR(Alpha_keep*$A33+U$3&gt;=Floor_c-0.000000001,AND($B33=0,U$3&gt;=Cap_h-0.000000001)),1,0),0)</f>
        <v>0</v>
      </c>
      <c r="V33" s="14" t="n">
        <f aca="false">IF(K33=1,IF(OR(Alpha_keep*$A33+V$3&gt;=Floor_c-0.000000001,AND($B33=0,V$3&gt;=Cap_h-0.000000001)),1,0),0)</f>
        <v>0</v>
      </c>
      <c r="W33" s="14" t="n">
        <f aca="false">IF(L33=1,IF(OR(Alpha_keep*$A33+W$3&gt;=Floor_c-0.000000001,AND($B33=0,W$3&gt;=Cap_h-0.000000001)),1,0),0)</f>
        <v>0</v>
      </c>
      <c r="X33" s="14" t="n">
        <f aca="false">IF(M33=1,IF(OR(Alpha_keep*$A33+X$3&gt;=Floor_c-0.000000001,AND($B33=0,X$3&gt;=Cap_h-0.000000001)),1,0),0)</f>
        <v>1</v>
      </c>
      <c r="Y33" s="14" t="n">
        <f aca="false">SUM(C33:M33)</f>
        <v>11</v>
      </c>
      <c r="Z33" s="14" t="n">
        <f aca="false">SUM(N33:X33)</f>
        <v>1</v>
      </c>
      <c r="AA33" s="12" t="n">
        <f aca="false">INDEX($C$3:$M$3,MATCH(1,C33:M33,0))</f>
        <v>0</v>
      </c>
      <c r="AB33" s="12" t="n">
        <f aca="false">INDEX($N$3:$X$3,MATCH(1,N33:X33,0))+(Z33-1)*Step_h</f>
        <v>2.5</v>
      </c>
    </row>
    <row r="34" customFormat="false" ht="15" hidden="false" customHeight="false" outlineLevel="0" collapsed="false">
      <c r="A34" s="12" t="n">
        <f aca="false">A33+Step_c</f>
        <v>37.25</v>
      </c>
      <c r="B34" s="14" t="n">
        <f aca="false">IF(SUMPRODUCT((Alpha_keep*$A34+$C$3:$M$3&gt;=Floor_c-0.000000001)*(C34:M34))&gt;0,1,0)</f>
        <v>0</v>
      </c>
      <c r="C34" s="14" t="n">
        <f aca="false">IF(AND(Alpha_keep*$A34+C$3-MAX(Loss_w)&gt;=Lo_c-0.000000001,Alpha_keep*$A34+C$3-MIN(Loss_w)&lt;=Hi_c+0.000000001),1,0)</f>
        <v>1</v>
      </c>
      <c r="D34" s="14" t="n">
        <f aca="false">IF(AND(Alpha_keep*$A34+D$3-MAX(Loss_w)&gt;=Lo_c-0.000000001,Alpha_keep*$A34+D$3-MIN(Loss_w)&lt;=Hi_c+0.000000001),1,0)</f>
        <v>1</v>
      </c>
      <c r="E34" s="14" t="n">
        <f aca="false">IF(AND(Alpha_keep*$A34+E$3-MAX(Loss_w)&gt;=Lo_c-0.000000001,Alpha_keep*$A34+E$3-MIN(Loss_w)&lt;=Hi_c+0.000000001),1,0)</f>
        <v>1</v>
      </c>
      <c r="F34" s="14" t="n">
        <f aca="false">IF(AND(Alpha_keep*$A34+F$3-MAX(Loss_w)&gt;=Lo_c-0.000000001,Alpha_keep*$A34+F$3-MIN(Loss_w)&lt;=Hi_c+0.000000001),1,0)</f>
        <v>1</v>
      </c>
      <c r="G34" s="14" t="n">
        <f aca="false">IF(AND(Alpha_keep*$A34+G$3-MAX(Loss_w)&gt;=Lo_c-0.000000001,Alpha_keep*$A34+G$3-MIN(Loss_w)&lt;=Hi_c+0.000000001),1,0)</f>
        <v>1</v>
      </c>
      <c r="H34" s="14" t="n">
        <f aca="false">IF(AND(Alpha_keep*$A34+H$3-MAX(Loss_w)&gt;=Lo_c-0.000000001,Alpha_keep*$A34+H$3-MIN(Loss_w)&lt;=Hi_c+0.000000001),1,0)</f>
        <v>1</v>
      </c>
      <c r="I34" s="14" t="n">
        <f aca="false">IF(AND(Alpha_keep*$A34+I$3-MAX(Loss_w)&gt;=Lo_c-0.000000001,Alpha_keep*$A34+I$3-MIN(Loss_w)&lt;=Hi_c+0.000000001),1,0)</f>
        <v>1</v>
      </c>
      <c r="J34" s="14" t="n">
        <f aca="false">IF(AND(Alpha_keep*$A34+J$3-MAX(Loss_w)&gt;=Lo_c-0.000000001,Alpha_keep*$A34+J$3-MIN(Loss_w)&lt;=Hi_c+0.000000001),1,0)</f>
        <v>1</v>
      </c>
      <c r="K34" s="14" t="n">
        <f aca="false">IF(AND(Alpha_keep*$A34+K$3-MAX(Loss_w)&gt;=Lo_c-0.000000001,Alpha_keep*$A34+K$3-MIN(Loss_w)&lt;=Hi_c+0.000000001),1,0)</f>
        <v>1</v>
      </c>
      <c r="L34" s="14" t="n">
        <f aca="false">IF(AND(Alpha_keep*$A34+L$3-MAX(Loss_w)&gt;=Lo_c-0.000000001,Alpha_keep*$A34+L$3-MIN(Loss_w)&lt;=Hi_c+0.000000001),1,0)</f>
        <v>1</v>
      </c>
      <c r="M34" s="14" t="n">
        <f aca="false">IF(AND(Alpha_keep*$A34+M$3-MAX(Loss_w)&gt;=Lo_c-0.000000001,Alpha_keep*$A34+M$3-MIN(Loss_w)&lt;=Hi_c+0.000000001),1,0)</f>
        <v>1</v>
      </c>
      <c r="N34" s="14" t="n">
        <f aca="false">IF(C34=1,IF(OR(Alpha_keep*$A34+N$3&gt;=Floor_c-0.000000001,AND($B34=0,N$3&gt;=Cap_h-0.000000001)),1,0),0)</f>
        <v>0</v>
      </c>
      <c r="O34" s="14" t="n">
        <f aca="false">IF(D34=1,IF(OR(Alpha_keep*$A34+O$3&gt;=Floor_c-0.000000001,AND($B34=0,O$3&gt;=Cap_h-0.000000001)),1,0),0)</f>
        <v>0</v>
      </c>
      <c r="P34" s="14" t="n">
        <f aca="false">IF(E34=1,IF(OR(Alpha_keep*$A34+P$3&gt;=Floor_c-0.000000001,AND($B34=0,P$3&gt;=Cap_h-0.000000001)),1,0),0)</f>
        <v>0</v>
      </c>
      <c r="Q34" s="14" t="n">
        <f aca="false">IF(F34=1,IF(OR(Alpha_keep*$A34+Q$3&gt;=Floor_c-0.000000001,AND($B34=0,Q$3&gt;=Cap_h-0.000000001)),1,0),0)</f>
        <v>0</v>
      </c>
      <c r="R34" s="14" t="n">
        <f aca="false">IF(G34=1,IF(OR(Alpha_keep*$A34+R$3&gt;=Floor_c-0.000000001,AND($B34=0,R$3&gt;=Cap_h-0.000000001)),1,0),0)</f>
        <v>0</v>
      </c>
      <c r="S34" s="14" t="n">
        <f aca="false">IF(H34=1,IF(OR(Alpha_keep*$A34+S$3&gt;=Floor_c-0.000000001,AND($B34=0,S$3&gt;=Cap_h-0.000000001)),1,0),0)</f>
        <v>0</v>
      </c>
      <c r="T34" s="14" t="n">
        <f aca="false">IF(I34=1,IF(OR(Alpha_keep*$A34+T$3&gt;=Floor_c-0.000000001,AND($B34=0,T$3&gt;=Cap_h-0.000000001)),1,0),0)</f>
        <v>0</v>
      </c>
      <c r="U34" s="14" t="n">
        <f aca="false">IF(J34=1,IF(OR(Alpha_keep*$A34+U$3&gt;=Floor_c-0.000000001,AND($B34=0,U$3&gt;=Cap_h-0.000000001)),1,0),0)</f>
        <v>0</v>
      </c>
      <c r="V34" s="14" t="n">
        <f aca="false">IF(K34=1,IF(OR(Alpha_keep*$A34+V$3&gt;=Floor_c-0.000000001,AND($B34=0,V$3&gt;=Cap_h-0.000000001)),1,0),0)</f>
        <v>0</v>
      </c>
      <c r="W34" s="14" t="n">
        <f aca="false">IF(L34=1,IF(OR(Alpha_keep*$A34+W$3&gt;=Floor_c-0.000000001,AND($B34=0,W$3&gt;=Cap_h-0.000000001)),1,0),0)</f>
        <v>0</v>
      </c>
      <c r="X34" s="14" t="n">
        <f aca="false">IF(M34=1,IF(OR(Alpha_keep*$A34+X$3&gt;=Floor_c-0.000000001,AND($B34=0,X$3&gt;=Cap_h-0.000000001)),1,0),0)</f>
        <v>1</v>
      </c>
      <c r="Y34" s="14" t="n">
        <f aca="false">SUM(C34:M34)</f>
        <v>11</v>
      </c>
      <c r="Z34" s="14" t="n">
        <f aca="false">SUM(N34:X34)</f>
        <v>1</v>
      </c>
      <c r="AA34" s="12" t="n">
        <f aca="false">INDEX($C$3:$M$3,MATCH(1,C34:M34,0))</f>
        <v>0</v>
      </c>
      <c r="AB34" s="12" t="n">
        <f aca="false">INDEX($N$3:$X$3,MATCH(1,N34:X34,0))+(Z34-1)*Step_h</f>
        <v>2.5</v>
      </c>
    </row>
    <row r="35" customFormat="false" ht="15" hidden="false" customHeight="false" outlineLevel="0" collapsed="false">
      <c r="A35" s="12" t="n">
        <f aca="false">A34+Step_c</f>
        <v>37.5</v>
      </c>
      <c r="B35" s="14" t="n">
        <f aca="false">IF(SUMPRODUCT((Alpha_keep*$A35+$C$3:$M$3&gt;=Floor_c-0.000000001)*(C35:M35))&gt;0,1,0)</f>
        <v>0</v>
      </c>
      <c r="C35" s="14" t="n">
        <f aca="false">IF(AND(Alpha_keep*$A35+C$3-MAX(Loss_w)&gt;=Lo_c-0.000000001,Alpha_keep*$A35+C$3-MIN(Loss_w)&lt;=Hi_c+0.000000001),1,0)</f>
        <v>1</v>
      </c>
      <c r="D35" s="14" t="n">
        <f aca="false">IF(AND(Alpha_keep*$A35+D$3-MAX(Loss_w)&gt;=Lo_c-0.000000001,Alpha_keep*$A35+D$3-MIN(Loss_w)&lt;=Hi_c+0.000000001),1,0)</f>
        <v>1</v>
      </c>
      <c r="E35" s="14" t="n">
        <f aca="false">IF(AND(Alpha_keep*$A35+E$3-MAX(Loss_w)&gt;=Lo_c-0.000000001,Alpha_keep*$A35+E$3-MIN(Loss_w)&lt;=Hi_c+0.000000001),1,0)</f>
        <v>1</v>
      </c>
      <c r="F35" s="14" t="n">
        <f aca="false">IF(AND(Alpha_keep*$A35+F$3-MAX(Loss_w)&gt;=Lo_c-0.000000001,Alpha_keep*$A35+F$3-MIN(Loss_w)&lt;=Hi_c+0.000000001),1,0)</f>
        <v>1</v>
      </c>
      <c r="G35" s="14" t="n">
        <f aca="false">IF(AND(Alpha_keep*$A35+G$3-MAX(Loss_w)&gt;=Lo_c-0.000000001,Alpha_keep*$A35+G$3-MIN(Loss_w)&lt;=Hi_c+0.000000001),1,0)</f>
        <v>1</v>
      </c>
      <c r="H35" s="14" t="n">
        <f aca="false">IF(AND(Alpha_keep*$A35+H$3-MAX(Loss_w)&gt;=Lo_c-0.000000001,Alpha_keep*$A35+H$3-MIN(Loss_w)&lt;=Hi_c+0.000000001),1,0)</f>
        <v>1</v>
      </c>
      <c r="I35" s="14" t="n">
        <f aca="false">IF(AND(Alpha_keep*$A35+I$3-MAX(Loss_w)&gt;=Lo_c-0.000000001,Alpha_keep*$A35+I$3-MIN(Loss_w)&lt;=Hi_c+0.000000001),1,0)</f>
        <v>1</v>
      </c>
      <c r="J35" s="14" t="n">
        <f aca="false">IF(AND(Alpha_keep*$A35+J$3-MAX(Loss_w)&gt;=Lo_c-0.000000001,Alpha_keep*$A35+J$3-MIN(Loss_w)&lt;=Hi_c+0.000000001),1,0)</f>
        <v>1</v>
      </c>
      <c r="K35" s="14" t="n">
        <f aca="false">IF(AND(Alpha_keep*$A35+K$3-MAX(Loss_w)&gt;=Lo_c-0.000000001,Alpha_keep*$A35+K$3-MIN(Loss_w)&lt;=Hi_c+0.000000001),1,0)</f>
        <v>1</v>
      </c>
      <c r="L35" s="14" t="n">
        <f aca="false">IF(AND(Alpha_keep*$A35+L$3-MAX(Loss_w)&gt;=Lo_c-0.000000001,Alpha_keep*$A35+L$3-MIN(Loss_w)&lt;=Hi_c+0.000000001),1,0)</f>
        <v>1</v>
      </c>
      <c r="M35" s="14" t="n">
        <f aca="false">IF(AND(Alpha_keep*$A35+M$3-MAX(Loss_w)&gt;=Lo_c-0.000000001,Alpha_keep*$A35+M$3-MIN(Loss_w)&lt;=Hi_c+0.000000001),1,0)</f>
        <v>1</v>
      </c>
      <c r="N35" s="14" t="n">
        <f aca="false">IF(C35=1,IF(OR(Alpha_keep*$A35+N$3&gt;=Floor_c-0.000000001,AND($B35=0,N$3&gt;=Cap_h-0.000000001)),1,0),0)</f>
        <v>0</v>
      </c>
      <c r="O35" s="14" t="n">
        <f aca="false">IF(D35=1,IF(OR(Alpha_keep*$A35+O$3&gt;=Floor_c-0.000000001,AND($B35=0,O$3&gt;=Cap_h-0.000000001)),1,0),0)</f>
        <v>0</v>
      </c>
      <c r="P35" s="14" t="n">
        <f aca="false">IF(E35=1,IF(OR(Alpha_keep*$A35+P$3&gt;=Floor_c-0.000000001,AND($B35=0,P$3&gt;=Cap_h-0.000000001)),1,0),0)</f>
        <v>0</v>
      </c>
      <c r="Q35" s="14" t="n">
        <f aca="false">IF(F35=1,IF(OR(Alpha_keep*$A35+Q$3&gt;=Floor_c-0.000000001,AND($B35=0,Q$3&gt;=Cap_h-0.000000001)),1,0),0)</f>
        <v>0</v>
      </c>
      <c r="R35" s="14" t="n">
        <f aca="false">IF(G35=1,IF(OR(Alpha_keep*$A35+R$3&gt;=Floor_c-0.000000001,AND($B35=0,R$3&gt;=Cap_h-0.000000001)),1,0),0)</f>
        <v>0</v>
      </c>
      <c r="S35" s="14" t="n">
        <f aca="false">IF(H35=1,IF(OR(Alpha_keep*$A35+S$3&gt;=Floor_c-0.000000001,AND($B35=0,S$3&gt;=Cap_h-0.000000001)),1,0),0)</f>
        <v>0</v>
      </c>
      <c r="T35" s="14" t="n">
        <f aca="false">IF(I35=1,IF(OR(Alpha_keep*$A35+T$3&gt;=Floor_c-0.000000001,AND($B35=0,T$3&gt;=Cap_h-0.000000001)),1,0),0)</f>
        <v>0</v>
      </c>
      <c r="U35" s="14" t="n">
        <f aca="false">IF(J35=1,IF(OR(Alpha_keep*$A35+U$3&gt;=Floor_c-0.000000001,AND($B35=0,U$3&gt;=Cap_h-0.000000001)),1,0),0)</f>
        <v>0</v>
      </c>
      <c r="V35" s="14" t="n">
        <f aca="false">IF(K35=1,IF(OR(Alpha_keep*$A35+V$3&gt;=Floor_c-0.000000001,AND($B35=0,V$3&gt;=Cap_h-0.000000001)),1,0),0)</f>
        <v>0</v>
      </c>
      <c r="W35" s="14" t="n">
        <f aca="false">IF(L35=1,IF(OR(Alpha_keep*$A35+W$3&gt;=Floor_c-0.000000001,AND($B35=0,W$3&gt;=Cap_h-0.000000001)),1,0),0)</f>
        <v>0</v>
      </c>
      <c r="X35" s="14" t="n">
        <f aca="false">IF(M35=1,IF(OR(Alpha_keep*$A35+X$3&gt;=Floor_c-0.000000001,AND($B35=0,X$3&gt;=Cap_h-0.000000001)),1,0),0)</f>
        <v>1</v>
      </c>
      <c r="Y35" s="14" t="n">
        <f aca="false">SUM(C35:M35)</f>
        <v>11</v>
      </c>
      <c r="Z35" s="14" t="n">
        <f aca="false">SUM(N35:X35)</f>
        <v>1</v>
      </c>
      <c r="AA35" s="12" t="n">
        <f aca="false">INDEX($C$3:$M$3,MATCH(1,C35:M35,0))</f>
        <v>0</v>
      </c>
      <c r="AB35" s="12" t="n">
        <f aca="false">INDEX($N$3:$X$3,MATCH(1,N35:X35,0))+(Z35-1)*Step_h</f>
        <v>2.5</v>
      </c>
    </row>
    <row r="36" customFormat="false" ht="15" hidden="false" customHeight="false" outlineLevel="0" collapsed="false">
      <c r="A36" s="12" t="n">
        <f aca="false">A35+Step_c</f>
        <v>37.75</v>
      </c>
      <c r="B36" s="14" t="n">
        <f aca="false">IF(SUMPRODUCT((Alpha_keep*$A36+$C$3:$M$3&gt;=Floor_c-0.000000001)*(C36:M36))&gt;0,1,0)</f>
        <v>0</v>
      </c>
      <c r="C36" s="14" t="n">
        <f aca="false">IF(AND(Alpha_keep*$A36+C$3-MAX(Loss_w)&gt;=Lo_c-0.000000001,Alpha_keep*$A36+C$3-MIN(Loss_w)&lt;=Hi_c+0.000000001),1,0)</f>
        <v>1</v>
      </c>
      <c r="D36" s="14" t="n">
        <f aca="false">IF(AND(Alpha_keep*$A36+D$3-MAX(Loss_w)&gt;=Lo_c-0.000000001,Alpha_keep*$A36+D$3-MIN(Loss_w)&lt;=Hi_c+0.000000001),1,0)</f>
        <v>1</v>
      </c>
      <c r="E36" s="14" t="n">
        <f aca="false">IF(AND(Alpha_keep*$A36+E$3-MAX(Loss_w)&gt;=Lo_c-0.000000001,Alpha_keep*$A36+E$3-MIN(Loss_w)&lt;=Hi_c+0.000000001),1,0)</f>
        <v>1</v>
      </c>
      <c r="F36" s="14" t="n">
        <f aca="false">IF(AND(Alpha_keep*$A36+F$3-MAX(Loss_w)&gt;=Lo_c-0.000000001,Alpha_keep*$A36+F$3-MIN(Loss_w)&lt;=Hi_c+0.000000001),1,0)</f>
        <v>1</v>
      </c>
      <c r="G36" s="14" t="n">
        <f aca="false">IF(AND(Alpha_keep*$A36+G$3-MAX(Loss_w)&gt;=Lo_c-0.000000001,Alpha_keep*$A36+G$3-MIN(Loss_w)&lt;=Hi_c+0.000000001),1,0)</f>
        <v>1</v>
      </c>
      <c r="H36" s="14" t="n">
        <f aca="false">IF(AND(Alpha_keep*$A36+H$3-MAX(Loss_w)&gt;=Lo_c-0.000000001,Alpha_keep*$A36+H$3-MIN(Loss_w)&lt;=Hi_c+0.000000001),1,0)</f>
        <v>1</v>
      </c>
      <c r="I36" s="14" t="n">
        <f aca="false">IF(AND(Alpha_keep*$A36+I$3-MAX(Loss_w)&gt;=Lo_c-0.000000001,Alpha_keep*$A36+I$3-MIN(Loss_w)&lt;=Hi_c+0.000000001),1,0)</f>
        <v>1</v>
      </c>
      <c r="J36" s="14" t="n">
        <f aca="false">IF(AND(Alpha_keep*$A36+J$3-MAX(Loss_w)&gt;=Lo_c-0.000000001,Alpha_keep*$A36+J$3-MIN(Loss_w)&lt;=Hi_c+0.000000001),1,0)</f>
        <v>1</v>
      </c>
      <c r="K36" s="14" t="n">
        <f aca="false">IF(AND(Alpha_keep*$A36+K$3-MAX(Loss_w)&gt;=Lo_c-0.000000001,Alpha_keep*$A36+K$3-MIN(Loss_w)&lt;=Hi_c+0.000000001),1,0)</f>
        <v>1</v>
      </c>
      <c r="L36" s="14" t="n">
        <f aca="false">IF(AND(Alpha_keep*$A36+L$3-MAX(Loss_w)&gt;=Lo_c-0.000000001,Alpha_keep*$A36+L$3-MIN(Loss_w)&lt;=Hi_c+0.000000001),1,0)</f>
        <v>1</v>
      </c>
      <c r="M36" s="14" t="n">
        <f aca="false">IF(AND(Alpha_keep*$A36+M$3-MAX(Loss_w)&gt;=Lo_c-0.000000001,Alpha_keep*$A36+M$3-MIN(Loss_w)&lt;=Hi_c+0.000000001),1,0)</f>
        <v>1</v>
      </c>
      <c r="N36" s="14" t="n">
        <f aca="false">IF(C36=1,IF(OR(Alpha_keep*$A36+N$3&gt;=Floor_c-0.000000001,AND($B36=0,N$3&gt;=Cap_h-0.000000001)),1,0),0)</f>
        <v>0</v>
      </c>
      <c r="O36" s="14" t="n">
        <f aca="false">IF(D36=1,IF(OR(Alpha_keep*$A36+O$3&gt;=Floor_c-0.000000001,AND($B36=0,O$3&gt;=Cap_h-0.000000001)),1,0),0)</f>
        <v>0</v>
      </c>
      <c r="P36" s="14" t="n">
        <f aca="false">IF(E36=1,IF(OR(Alpha_keep*$A36+P$3&gt;=Floor_c-0.000000001,AND($B36=0,P$3&gt;=Cap_h-0.000000001)),1,0),0)</f>
        <v>0</v>
      </c>
      <c r="Q36" s="14" t="n">
        <f aca="false">IF(F36=1,IF(OR(Alpha_keep*$A36+Q$3&gt;=Floor_c-0.000000001,AND($B36=0,Q$3&gt;=Cap_h-0.000000001)),1,0),0)</f>
        <v>0</v>
      </c>
      <c r="R36" s="14" t="n">
        <f aca="false">IF(G36=1,IF(OR(Alpha_keep*$A36+R$3&gt;=Floor_c-0.000000001,AND($B36=0,R$3&gt;=Cap_h-0.000000001)),1,0),0)</f>
        <v>0</v>
      </c>
      <c r="S36" s="14" t="n">
        <f aca="false">IF(H36=1,IF(OR(Alpha_keep*$A36+S$3&gt;=Floor_c-0.000000001,AND($B36=0,S$3&gt;=Cap_h-0.000000001)),1,0),0)</f>
        <v>0</v>
      </c>
      <c r="T36" s="14" t="n">
        <f aca="false">IF(I36=1,IF(OR(Alpha_keep*$A36+T$3&gt;=Floor_c-0.000000001,AND($B36=0,T$3&gt;=Cap_h-0.000000001)),1,0),0)</f>
        <v>0</v>
      </c>
      <c r="U36" s="14" t="n">
        <f aca="false">IF(J36=1,IF(OR(Alpha_keep*$A36+U$3&gt;=Floor_c-0.000000001,AND($B36=0,U$3&gt;=Cap_h-0.000000001)),1,0),0)</f>
        <v>0</v>
      </c>
      <c r="V36" s="14" t="n">
        <f aca="false">IF(K36=1,IF(OR(Alpha_keep*$A36+V$3&gt;=Floor_c-0.000000001,AND($B36=0,V$3&gt;=Cap_h-0.000000001)),1,0),0)</f>
        <v>0</v>
      </c>
      <c r="W36" s="14" t="n">
        <f aca="false">IF(L36=1,IF(OR(Alpha_keep*$A36+W$3&gt;=Floor_c-0.000000001,AND($B36=0,W$3&gt;=Cap_h-0.000000001)),1,0),0)</f>
        <v>0</v>
      </c>
      <c r="X36" s="14" t="n">
        <f aca="false">IF(M36=1,IF(OR(Alpha_keep*$A36+X$3&gt;=Floor_c-0.000000001,AND($B36=0,X$3&gt;=Cap_h-0.000000001)),1,0),0)</f>
        <v>1</v>
      </c>
      <c r="Y36" s="14" t="n">
        <f aca="false">SUM(C36:M36)</f>
        <v>11</v>
      </c>
      <c r="Z36" s="14" t="n">
        <f aca="false">SUM(N36:X36)</f>
        <v>1</v>
      </c>
      <c r="AA36" s="12" t="n">
        <f aca="false">INDEX($C$3:$M$3,MATCH(1,C36:M36,0))</f>
        <v>0</v>
      </c>
      <c r="AB36" s="12" t="n">
        <f aca="false">INDEX($N$3:$X$3,MATCH(1,N36:X36,0))+(Z36-1)*Step_h</f>
        <v>2.5</v>
      </c>
    </row>
    <row r="37" customFormat="false" ht="15" hidden="false" customHeight="false" outlineLevel="0" collapsed="false">
      <c r="A37" s="12" t="n">
        <f aca="false">A36+Step_c</f>
        <v>38</v>
      </c>
      <c r="B37" s="14" t="n">
        <f aca="false">IF(SUMPRODUCT((Alpha_keep*$A37+$C$3:$M$3&gt;=Floor_c-0.000000001)*(C37:M37))&gt;0,1,0)</f>
        <v>0</v>
      </c>
      <c r="C37" s="14" t="n">
        <f aca="false">IF(AND(Alpha_keep*$A37+C$3-MAX(Loss_w)&gt;=Lo_c-0.000000001,Alpha_keep*$A37+C$3-MIN(Loss_w)&lt;=Hi_c+0.000000001),1,0)</f>
        <v>1</v>
      </c>
      <c r="D37" s="14" t="n">
        <f aca="false">IF(AND(Alpha_keep*$A37+D$3-MAX(Loss_w)&gt;=Lo_c-0.000000001,Alpha_keep*$A37+D$3-MIN(Loss_w)&lt;=Hi_c+0.000000001),1,0)</f>
        <v>1</v>
      </c>
      <c r="E37" s="14" t="n">
        <f aca="false">IF(AND(Alpha_keep*$A37+E$3-MAX(Loss_w)&gt;=Lo_c-0.000000001,Alpha_keep*$A37+E$3-MIN(Loss_w)&lt;=Hi_c+0.000000001),1,0)</f>
        <v>1</v>
      </c>
      <c r="F37" s="14" t="n">
        <f aca="false">IF(AND(Alpha_keep*$A37+F$3-MAX(Loss_w)&gt;=Lo_c-0.000000001,Alpha_keep*$A37+F$3-MIN(Loss_w)&lt;=Hi_c+0.000000001),1,0)</f>
        <v>1</v>
      </c>
      <c r="G37" s="14" t="n">
        <f aca="false">IF(AND(Alpha_keep*$A37+G$3-MAX(Loss_w)&gt;=Lo_c-0.000000001,Alpha_keep*$A37+G$3-MIN(Loss_w)&lt;=Hi_c+0.000000001),1,0)</f>
        <v>1</v>
      </c>
      <c r="H37" s="14" t="n">
        <f aca="false">IF(AND(Alpha_keep*$A37+H$3-MAX(Loss_w)&gt;=Lo_c-0.000000001,Alpha_keep*$A37+H$3-MIN(Loss_w)&lt;=Hi_c+0.000000001),1,0)</f>
        <v>1</v>
      </c>
      <c r="I37" s="14" t="n">
        <f aca="false">IF(AND(Alpha_keep*$A37+I$3-MAX(Loss_w)&gt;=Lo_c-0.000000001,Alpha_keep*$A37+I$3-MIN(Loss_w)&lt;=Hi_c+0.000000001),1,0)</f>
        <v>1</v>
      </c>
      <c r="J37" s="14" t="n">
        <f aca="false">IF(AND(Alpha_keep*$A37+J$3-MAX(Loss_w)&gt;=Lo_c-0.000000001,Alpha_keep*$A37+J$3-MIN(Loss_w)&lt;=Hi_c+0.000000001),1,0)</f>
        <v>1</v>
      </c>
      <c r="K37" s="14" t="n">
        <f aca="false">IF(AND(Alpha_keep*$A37+K$3-MAX(Loss_w)&gt;=Lo_c-0.000000001,Alpha_keep*$A37+K$3-MIN(Loss_w)&lt;=Hi_c+0.000000001),1,0)</f>
        <v>1</v>
      </c>
      <c r="L37" s="14" t="n">
        <f aca="false">IF(AND(Alpha_keep*$A37+L$3-MAX(Loss_w)&gt;=Lo_c-0.000000001,Alpha_keep*$A37+L$3-MIN(Loss_w)&lt;=Hi_c+0.000000001),1,0)</f>
        <v>1</v>
      </c>
      <c r="M37" s="14" t="n">
        <f aca="false">IF(AND(Alpha_keep*$A37+M$3-MAX(Loss_w)&gt;=Lo_c-0.000000001,Alpha_keep*$A37+M$3-MIN(Loss_w)&lt;=Hi_c+0.000000001),1,0)</f>
        <v>1</v>
      </c>
      <c r="N37" s="14" t="n">
        <f aca="false">IF(C37=1,IF(OR(Alpha_keep*$A37+N$3&gt;=Floor_c-0.000000001,AND($B37=0,N$3&gt;=Cap_h-0.000000001)),1,0),0)</f>
        <v>0</v>
      </c>
      <c r="O37" s="14" t="n">
        <f aca="false">IF(D37=1,IF(OR(Alpha_keep*$A37+O$3&gt;=Floor_c-0.000000001,AND($B37=0,O$3&gt;=Cap_h-0.000000001)),1,0),0)</f>
        <v>0</v>
      </c>
      <c r="P37" s="14" t="n">
        <f aca="false">IF(E37=1,IF(OR(Alpha_keep*$A37+P$3&gt;=Floor_c-0.000000001,AND($B37=0,P$3&gt;=Cap_h-0.000000001)),1,0),0)</f>
        <v>0</v>
      </c>
      <c r="Q37" s="14" t="n">
        <f aca="false">IF(F37=1,IF(OR(Alpha_keep*$A37+Q$3&gt;=Floor_c-0.000000001,AND($B37=0,Q$3&gt;=Cap_h-0.000000001)),1,0),0)</f>
        <v>0</v>
      </c>
      <c r="R37" s="14" t="n">
        <f aca="false">IF(G37=1,IF(OR(Alpha_keep*$A37+R$3&gt;=Floor_c-0.000000001,AND($B37=0,R$3&gt;=Cap_h-0.000000001)),1,0),0)</f>
        <v>0</v>
      </c>
      <c r="S37" s="14" t="n">
        <f aca="false">IF(H37=1,IF(OR(Alpha_keep*$A37+S$3&gt;=Floor_c-0.000000001,AND($B37=0,S$3&gt;=Cap_h-0.000000001)),1,0),0)</f>
        <v>0</v>
      </c>
      <c r="T37" s="14" t="n">
        <f aca="false">IF(I37=1,IF(OR(Alpha_keep*$A37+T$3&gt;=Floor_c-0.000000001,AND($B37=0,T$3&gt;=Cap_h-0.000000001)),1,0),0)</f>
        <v>0</v>
      </c>
      <c r="U37" s="14" t="n">
        <f aca="false">IF(J37=1,IF(OR(Alpha_keep*$A37+U$3&gt;=Floor_c-0.000000001,AND($B37=0,U$3&gt;=Cap_h-0.000000001)),1,0),0)</f>
        <v>0</v>
      </c>
      <c r="V37" s="14" t="n">
        <f aca="false">IF(K37=1,IF(OR(Alpha_keep*$A37+V$3&gt;=Floor_c-0.000000001,AND($B37=0,V$3&gt;=Cap_h-0.000000001)),1,0),0)</f>
        <v>0</v>
      </c>
      <c r="W37" s="14" t="n">
        <f aca="false">IF(L37=1,IF(OR(Alpha_keep*$A37+W$3&gt;=Floor_c-0.000000001,AND($B37=0,W$3&gt;=Cap_h-0.000000001)),1,0),0)</f>
        <v>0</v>
      </c>
      <c r="X37" s="14" t="n">
        <f aca="false">IF(M37=1,IF(OR(Alpha_keep*$A37+X$3&gt;=Floor_c-0.000000001,AND($B37=0,X$3&gt;=Cap_h-0.000000001)),1,0),0)</f>
        <v>1</v>
      </c>
      <c r="Y37" s="14" t="n">
        <f aca="false">SUM(C37:M37)</f>
        <v>11</v>
      </c>
      <c r="Z37" s="14" t="n">
        <f aca="false">SUM(N37:X37)</f>
        <v>1</v>
      </c>
      <c r="AA37" s="12" t="n">
        <f aca="false">INDEX($C$3:$M$3,MATCH(1,C37:M37,0))</f>
        <v>0</v>
      </c>
      <c r="AB37" s="12" t="n">
        <f aca="false">INDEX($N$3:$X$3,MATCH(1,N37:X37,0))+(Z37-1)*Step_h</f>
        <v>2.5</v>
      </c>
    </row>
    <row r="38" customFormat="false" ht="15" hidden="false" customHeight="false" outlineLevel="0" collapsed="false">
      <c r="A38" s="12" t="n">
        <f aca="false">A37+Step_c</f>
        <v>38.25</v>
      </c>
      <c r="B38" s="14" t="n">
        <f aca="false">IF(SUMPRODUCT((Alpha_keep*$A38+$C$3:$M$3&gt;=Floor_c-0.000000001)*(C38:M38))&gt;0,1,0)</f>
        <v>0</v>
      </c>
      <c r="C38" s="14" t="n">
        <f aca="false">IF(AND(Alpha_keep*$A38+C$3-MAX(Loss_w)&gt;=Lo_c-0.000000001,Alpha_keep*$A38+C$3-MIN(Loss_w)&lt;=Hi_c+0.000000001),1,0)</f>
        <v>1</v>
      </c>
      <c r="D38" s="14" t="n">
        <f aca="false">IF(AND(Alpha_keep*$A38+D$3-MAX(Loss_w)&gt;=Lo_c-0.000000001,Alpha_keep*$A38+D$3-MIN(Loss_w)&lt;=Hi_c+0.000000001),1,0)</f>
        <v>1</v>
      </c>
      <c r="E38" s="14" t="n">
        <f aca="false">IF(AND(Alpha_keep*$A38+E$3-MAX(Loss_w)&gt;=Lo_c-0.000000001,Alpha_keep*$A38+E$3-MIN(Loss_w)&lt;=Hi_c+0.000000001),1,0)</f>
        <v>1</v>
      </c>
      <c r="F38" s="14" t="n">
        <f aca="false">IF(AND(Alpha_keep*$A38+F$3-MAX(Loss_w)&gt;=Lo_c-0.000000001,Alpha_keep*$A38+F$3-MIN(Loss_w)&lt;=Hi_c+0.000000001),1,0)</f>
        <v>1</v>
      </c>
      <c r="G38" s="14" t="n">
        <f aca="false">IF(AND(Alpha_keep*$A38+G$3-MAX(Loss_w)&gt;=Lo_c-0.000000001,Alpha_keep*$A38+G$3-MIN(Loss_w)&lt;=Hi_c+0.000000001),1,0)</f>
        <v>1</v>
      </c>
      <c r="H38" s="14" t="n">
        <f aca="false">IF(AND(Alpha_keep*$A38+H$3-MAX(Loss_w)&gt;=Lo_c-0.000000001,Alpha_keep*$A38+H$3-MIN(Loss_w)&lt;=Hi_c+0.000000001),1,0)</f>
        <v>1</v>
      </c>
      <c r="I38" s="14" t="n">
        <f aca="false">IF(AND(Alpha_keep*$A38+I$3-MAX(Loss_w)&gt;=Lo_c-0.000000001,Alpha_keep*$A38+I$3-MIN(Loss_w)&lt;=Hi_c+0.000000001),1,0)</f>
        <v>1</v>
      </c>
      <c r="J38" s="14" t="n">
        <f aca="false">IF(AND(Alpha_keep*$A38+J$3-MAX(Loss_w)&gt;=Lo_c-0.000000001,Alpha_keep*$A38+J$3-MIN(Loss_w)&lt;=Hi_c+0.000000001),1,0)</f>
        <v>1</v>
      </c>
      <c r="K38" s="14" t="n">
        <f aca="false">IF(AND(Alpha_keep*$A38+K$3-MAX(Loss_w)&gt;=Lo_c-0.000000001,Alpha_keep*$A38+K$3-MIN(Loss_w)&lt;=Hi_c+0.000000001),1,0)</f>
        <v>1</v>
      </c>
      <c r="L38" s="14" t="n">
        <f aca="false">IF(AND(Alpha_keep*$A38+L$3-MAX(Loss_w)&gt;=Lo_c-0.000000001,Alpha_keep*$A38+L$3-MIN(Loss_w)&lt;=Hi_c+0.000000001),1,0)</f>
        <v>1</v>
      </c>
      <c r="M38" s="14" t="n">
        <f aca="false">IF(AND(Alpha_keep*$A38+M$3-MAX(Loss_w)&gt;=Lo_c-0.000000001,Alpha_keep*$A38+M$3-MIN(Loss_w)&lt;=Hi_c+0.000000001),1,0)</f>
        <v>1</v>
      </c>
      <c r="N38" s="14" t="n">
        <f aca="false">IF(C38=1,IF(OR(Alpha_keep*$A38+N$3&gt;=Floor_c-0.000000001,AND($B38=0,N$3&gt;=Cap_h-0.000000001)),1,0),0)</f>
        <v>0</v>
      </c>
      <c r="O38" s="14" t="n">
        <f aca="false">IF(D38=1,IF(OR(Alpha_keep*$A38+O$3&gt;=Floor_c-0.000000001,AND($B38=0,O$3&gt;=Cap_h-0.000000001)),1,0),0)</f>
        <v>0</v>
      </c>
      <c r="P38" s="14" t="n">
        <f aca="false">IF(E38=1,IF(OR(Alpha_keep*$A38+P$3&gt;=Floor_c-0.000000001,AND($B38=0,P$3&gt;=Cap_h-0.000000001)),1,0),0)</f>
        <v>0</v>
      </c>
      <c r="Q38" s="14" t="n">
        <f aca="false">IF(F38=1,IF(OR(Alpha_keep*$A38+Q$3&gt;=Floor_c-0.000000001,AND($B38=0,Q$3&gt;=Cap_h-0.000000001)),1,0),0)</f>
        <v>0</v>
      </c>
      <c r="R38" s="14" t="n">
        <f aca="false">IF(G38=1,IF(OR(Alpha_keep*$A38+R$3&gt;=Floor_c-0.000000001,AND($B38=0,R$3&gt;=Cap_h-0.000000001)),1,0),0)</f>
        <v>0</v>
      </c>
      <c r="S38" s="14" t="n">
        <f aca="false">IF(H38=1,IF(OR(Alpha_keep*$A38+S$3&gt;=Floor_c-0.000000001,AND($B38=0,S$3&gt;=Cap_h-0.000000001)),1,0),0)</f>
        <v>0</v>
      </c>
      <c r="T38" s="14" t="n">
        <f aca="false">IF(I38=1,IF(OR(Alpha_keep*$A38+T$3&gt;=Floor_c-0.000000001,AND($B38=0,T$3&gt;=Cap_h-0.000000001)),1,0),0)</f>
        <v>0</v>
      </c>
      <c r="U38" s="14" t="n">
        <f aca="false">IF(J38=1,IF(OR(Alpha_keep*$A38+U$3&gt;=Floor_c-0.000000001,AND($B38=0,U$3&gt;=Cap_h-0.000000001)),1,0),0)</f>
        <v>0</v>
      </c>
      <c r="V38" s="14" t="n">
        <f aca="false">IF(K38=1,IF(OR(Alpha_keep*$A38+V$3&gt;=Floor_c-0.000000001,AND($B38=0,V$3&gt;=Cap_h-0.000000001)),1,0),0)</f>
        <v>0</v>
      </c>
      <c r="W38" s="14" t="n">
        <f aca="false">IF(L38=1,IF(OR(Alpha_keep*$A38+W$3&gt;=Floor_c-0.000000001,AND($B38=0,W$3&gt;=Cap_h-0.000000001)),1,0),0)</f>
        <v>0</v>
      </c>
      <c r="X38" s="14" t="n">
        <f aca="false">IF(M38=1,IF(OR(Alpha_keep*$A38+X$3&gt;=Floor_c-0.000000001,AND($B38=0,X$3&gt;=Cap_h-0.000000001)),1,0),0)</f>
        <v>1</v>
      </c>
      <c r="Y38" s="14" t="n">
        <f aca="false">SUM(C38:M38)</f>
        <v>11</v>
      </c>
      <c r="Z38" s="14" t="n">
        <f aca="false">SUM(N38:X38)</f>
        <v>1</v>
      </c>
      <c r="AA38" s="12" t="n">
        <f aca="false">INDEX($C$3:$M$3,MATCH(1,C38:M38,0))</f>
        <v>0</v>
      </c>
      <c r="AB38" s="12" t="n">
        <f aca="false">INDEX($N$3:$X$3,MATCH(1,N38:X38,0))+(Z38-1)*Step_h</f>
        <v>2.5</v>
      </c>
    </row>
    <row r="39" customFormat="false" ht="15" hidden="false" customHeight="false" outlineLevel="0" collapsed="false">
      <c r="A39" s="12" t="n">
        <f aca="false">A38+Step_c</f>
        <v>38.5</v>
      </c>
      <c r="B39" s="14" t="n">
        <f aca="false">IF(SUMPRODUCT((Alpha_keep*$A39+$C$3:$M$3&gt;=Floor_c-0.000000001)*(C39:M39))&gt;0,1,0)</f>
        <v>0</v>
      </c>
      <c r="C39" s="14" t="n">
        <f aca="false">IF(AND(Alpha_keep*$A39+C$3-MAX(Loss_w)&gt;=Lo_c-0.000000001,Alpha_keep*$A39+C$3-MIN(Loss_w)&lt;=Hi_c+0.000000001),1,0)</f>
        <v>1</v>
      </c>
      <c r="D39" s="14" t="n">
        <f aca="false">IF(AND(Alpha_keep*$A39+D$3-MAX(Loss_w)&gt;=Lo_c-0.000000001,Alpha_keep*$A39+D$3-MIN(Loss_w)&lt;=Hi_c+0.000000001),1,0)</f>
        <v>1</v>
      </c>
      <c r="E39" s="14" t="n">
        <f aca="false">IF(AND(Alpha_keep*$A39+E$3-MAX(Loss_w)&gt;=Lo_c-0.000000001,Alpha_keep*$A39+E$3-MIN(Loss_w)&lt;=Hi_c+0.000000001),1,0)</f>
        <v>1</v>
      </c>
      <c r="F39" s="14" t="n">
        <f aca="false">IF(AND(Alpha_keep*$A39+F$3-MAX(Loss_w)&gt;=Lo_c-0.000000001,Alpha_keep*$A39+F$3-MIN(Loss_w)&lt;=Hi_c+0.000000001),1,0)</f>
        <v>1</v>
      </c>
      <c r="G39" s="14" t="n">
        <f aca="false">IF(AND(Alpha_keep*$A39+G$3-MAX(Loss_w)&gt;=Lo_c-0.000000001,Alpha_keep*$A39+G$3-MIN(Loss_w)&lt;=Hi_c+0.000000001),1,0)</f>
        <v>1</v>
      </c>
      <c r="H39" s="14" t="n">
        <f aca="false">IF(AND(Alpha_keep*$A39+H$3-MAX(Loss_w)&gt;=Lo_c-0.000000001,Alpha_keep*$A39+H$3-MIN(Loss_w)&lt;=Hi_c+0.000000001),1,0)</f>
        <v>1</v>
      </c>
      <c r="I39" s="14" t="n">
        <f aca="false">IF(AND(Alpha_keep*$A39+I$3-MAX(Loss_w)&gt;=Lo_c-0.000000001,Alpha_keep*$A39+I$3-MIN(Loss_w)&lt;=Hi_c+0.000000001),1,0)</f>
        <v>1</v>
      </c>
      <c r="J39" s="14" t="n">
        <f aca="false">IF(AND(Alpha_keep*$A39+J$3-MAX(Loss_w)&gt;=Lo_c-0.000000001,Alpha_keep*$A39+J$3-MIN(Loss_w)&lt;=Hi_c+0.000000001),1,0)</f>
        <v>1</v>
      </c>
      <c r="K39" s="14" t="n">
        <f aca="false">IF(AND(Alpha_keep*$A39+K$3-MAX(Loss_w)&gt;=Lo_c-0.000000001,Alpha_keep*$A39+K$3-MIN(Loss_w)&lt;=Hi_c+0.000000001),1,0)</f>
        <v>1</v>
      </c>
      <c r="L39" s="14" t="n">
        <f aca="false">IF(AND(Alpha_keep*$A39+L$3-MAX(Loss_w)&gt;=Lo_c-0.000000001,Alpha_keep*$A39+L$3-MIN(Loss_w)&lt;=Hi_c+0.000000001),1,0)</f>
        <v>1</v>
      </c>
      <c r="M39" s="14" t="n">
        <f aca="false">IF(AND(Alpha_keep*$A39+M$3-MAX(Loss_w)&gt;=Lo_c-0.000000001,Alpha_keep*$A39+M$3-MIN(Loss_w)&lt;=Hi_c+0.000000001),1,0)</f>
        <v>1</v>
      </c>
      <c r="N39" s="14" t="n">
        <f aca="false">IF(C39=1,IF(OR(Alpha_keep*$A39+N$3&gt;=Floor_c-0.000000001,AND($B39=0,N$3&gt;=Cap_h-0.000000001)),1,0),0)</f>
        <v>0</v>
      </c>
      <c r="O39" s="14" t="n">
        <f aca="false">IF(D39=1,IF(OR(Alpha_keep*$A39+O$3&gt;=Floor_c-0.000000001,AND($B39=0,O$3&gt;=Cap_h-0.000000001)),1,0),0)</f>
        <v>0</v>
      </c>
      <c r="P39" s="14" t="n">
        <f aca="false">IF(E39=1,IF(OR(Alpha_keep*$A39+P$3&gt;=Floor_c-0.000000001,AND($B39=0,P$3&gt;=Cap_h-0.000000001)),1,0),0)</f>
        <v>0</v>
      </c>
      <c r="Q39" s="14" t="n">
        <f aca="false">IF(F39=1,IF(OR(Alpha_keep*$A39+Q$3&gt;=Floor_c-0.000000001,AND($B39=0,Q$3&gt;=Cap_h-0.000000001)),1,0),0)</f>
        <v>0</v>
      </c>
      <c r="R39" s="14" t="n">
        <f aca="false">IF(G39=1,IF(OR(Alpha_keep*$A39+R$3&gt;=Floor_c-0.000000001,AND($B39=0,R$3&gt;=Cap_h-0.000000001)),1,0),0)</f>
        <v>0</v>
      </c>
      <c r="S39" s="14" t="n">
        <f aca="false">IF(H39=1,IF(OR(Alpha_keep*$A39+S$3&gt;=Floor_c-0.000000001,AND($B39=0,S$3&gt;=Cap_h-0.000000001)),1,0),0)</f>
        <v>0</v>
      </c>
      <c r="T39" s="14" t="n">
        <f aca="false">IF(I39=1,IF(OR(Alpha_keep*$A39+T$3&gt;=Floor_c-0.000000001,AND($B39=0,T$3&gt;=Cap_h-0.000000001)),1,0),0)</f>
        <v>0</v>
      </c>
      <c r="U39" s="14" t="n">
        <f aca="false">IF(J39=1,IF(OR(Alpha_keep*$A39+U$3&gt;=Floor_c-0.000000001,AND($B39=0,U$3&gt;=Cap_h-0.000000001)),1,0),0)</f>
        <v>0</v>
      </c>
      <c r="V39" s="14" t="n">
        <f aca="false">IF(K39=1,IF(OR(Alpha_keep*$A39+V$3&gt;=Floor_c-0.000000001,AND($B39=0,V$3&gt;=Cap_h-0.000000001)),1,0),0)</f>
        <v>0</v>
      </c>
      <c r="W39" s="14" t="n">
        <f aca="false">IF(L39=1,IF(OR(Alpha_keep*$A39+W$3&gt;=Floor_c-0.000000001,AND($B39=0,W$3&gt;=Cap_h-0.000000001)),1,0),0)</f>
        <v>0</v>
      </c>
      <c r="X39" s="14" t="n">
        <f aca="false">IF(M39=1,IF(OR(Alpha_keep*$A39+X$3&gt;=Floor_c-0.000000001,AND($B39=0,X$3&gt;=Cap_h-0.000000001)),1,0),0)</f>
        <v>1</v>
      </c>
      <c r="Y39" s="14" t="n">
        <f aca="false">SUM(C39:M39)</f>
        <v>11</v>
      </c>
      <c r="Z39" s="14" t="n">
        <f aca="false">SUM(N39:X39)</f>
        <v>1</v>
      </c>
      <c r="AA39" s="12" t="n">
        <f aca="false">INDEX($C$3:$M$3,MATCH(1,C39:M39,0))</f>
        <v>0</v>
      </c>
      <c r="AB39" s="12" t="n">
        <f aca="false">INDEX($N$3:$X$3,MATCH(1,N39:X39,0))+(Z39-1)*Step_h</f>
        <v>2.5</v>
      </c>
    </row>
    <row r="40" customFormat="false" ht="15" hidden="false" customHeight="false" outlineLevel="0" collapsed="false">
      <c r="A40" s="12" t="n">
        <f aca="false">A39+Step_c</f>
        <v>38.75</v>
      </c>
      <c r="B40" s="14" t="n">
        <f aca="false">IF(SUMPRODUCT((Alpha_keep*$A40+$C$3:$M$3&gt;=Floor_c-0.000000001)*(C40:M40))&gt;0,1,0)</f>
        <v>0</v>
      </c>
      <c r="C40" s="14" t="n">
        <f aca="false">IF(AND(Alpha_keep*$A40+C$3-MAX(Loss_w)&gt;=Lo_c-0.000000001,Alpha_keep*$A40+C$3-MIN(Loss_w)&lt;=Hi_c+0.000000001),1,0)</f>
        <v>1</v>
      </c>
      <c r="D40" s="14" t="n">
        <f aca="false">IF(AND(Alpha_keep*$A40+D$3-MAX(Loss_w)&gt;=Lo_c-0.000000001,Alpha_keep*$A40+D$3-MIN(Loss_w)&lt;=Hi_c+0.000000001),1,0)</f>
        <v>1</v>
      </c>
      <c r="E40" s="14" t="n">
        <f aca="false">IF(AND(Alpha_keep*$A40+E$3-MAX(Loss_w)&gt;=Lo_c-0.000000001,Alpha_keep*$A40+E$3-MIN(Loss_w)&lt;=Hi_c+0.000000001),1,0)</f>
        <v>1</v>
      </c>
      <c r="F40" s="14" t="n">
        <f aca="false">IF(AND(Alpha_keep*$A40+F$3-MAX(Loss_w)&gt;=Lo_c-0.000000001,Alpha_keep*$A40+F$3-MIN(Loss_w)&lt;=Hi_c+0.000000001),1,0)</f>
        <v>1</v>
      </c>
      <c r="G40" s="14" t="n">
        <f aca="false">IF(AND(Alpha_keep*$A40+G$3-MAX(Loss_w)&gt;=Lo_c-0.000000001,Alpha_keep*$A40+G$3-MIN(Loss_w)&lt;=Hi_c+0.000000001),1,0)</f>
        <v>1</v>
      </c>
      <c r="H40" s="14" t="n">
        <f aca="false">IF(AND(Alpha_keep*$A40+H$3-MAX(Loss_w)&gt;=Lo_c-0.000000001,Alpha_keep*$A40+H$3-MIN(Loss_w)&lt;=Hi_c+0.000000001),1,0)</f>
        <v>1</v>
      </c>
      <c r="I40" s="14" t="n">
        <f aca="false">IF(AND(Alpha_keep*$A40+I$3-MAX(Loss_w)&gt;=Lo_c-0.000000001,Alpha_keep*$A40+I$3-MIN(Loss_w)&lt;=Hi_c+0.000000001),1,0)</f>
        <v>1</v>
      </c>
      <c r="J40" s="14" t="n">
        <f aca="false">IF(AND(Alpha_keep*$A40+J$3-MAX(Loss_w)&gt;=Lo_c-0.000000001,Alpha_keep*$A40+J$3-MIN(Loss_w)&lt;=Hi_c+0.000000001),1,0)</f>
        <v>1</v>
      </c>
      <c r="K40" s="14" t="n">
        <f aca="false">IF(AND(Alpha_keep*$A40+K$3-MAX(Loss_w)&gt;=Lo_c-0.000000001,Alpha_keep*$A40+K$3-MIN(Loss_w)&lt;=Hi_c+0.000000001),1,0)</f>
        <v>1</v>
      </c>
      <c r="L40" s="14" t="n">
        <f aca="false">IF(AND(Alpha_keep*$A40+L$3-MAX(Loss_w)&gt;=Lo_c-0.000000001,Alpha_keep*$A40+L$3-MIN(Loss_w)&lt;=Hi_c+0.000000001),1,0)</f>
        <v>1</v>
      </c>
      <c r="M40" s="14" t="n">
        <f aca="false">IF(AND(Alpha_keep*$A40+M$3-MAX(Loss_w)&gt;=Lo_c-0.000000001,Alpha_keep*$A40+M$3-MIN(Loss_w)&lt;=Hi_c+0.000000001),1,0)</f>
        <v>1</v>
      </c>
      <c r="N40" s="14" t="n">
        <f aca="false">IF(C40=1,IF(OR(Alpha_keep*$A40+N$3&gt;=Floor_c-0.000000001,AND($B40=0,N$3&gt;=Cap_h-0.000000001)),1,0),0)</f>
        <v>0</v>
      </c>
      <c r="O40" s="14" t="n">
        <f aca="false">IF(D40=1,IF(OR(Alpha_keep*$A40+O$3&gt;=Floor_c-0.000000001,AND($B40=0,O$3&gt;=Cap_h-0.000000001)),1,0),0)</f>
        <v>0</v>
      </c>
      <c r="P40" s="14" t="n">
        <f aca="false">IF(E40=1,IF(OR(Alpha_keep*$A40+P$3&gt;=Floor_c-0.000000001,AND($B40=0,P$3&gt;=Cap_h-0.000000001)),1,0),0)</f>
        <v>0</v>
      </c>
      <c r="Q40" s="14" t="n">
        <f aca="false">IF(F40=1,IF(OR(Alpha_keep*$A40+Q$3&gt;=Floor_c-0.000000001,AND($B40=0,Q$3&gt;=Cap_h-0.000000001)),1,0),0)</f>
        <v>0</v>
      </c>
      <c r="R40" s="14" t="n">
        <f aca="false">IF(G40=1,IF(OR(Alpha_keep*$A40+R$3&gt;=Floor_c-0.000000001,AND($B40=0,R$3&gt;=Cap_h-0.000000001)),1,0),0)</f>
        <v>0</v>
      </c>
      <c r="S40" s="14" t="n">
        <f aca="false">IF(H40=1,IF(OR(Alpha_keep*$A40+S$3&gt;=Floor_c-0.000000001,AND($B40=0,S$3&gt;=Cap_h-0.000000001)),1,0),0)</f>
        <v>0</v>
      </c>
      <c r="T40" s="14" t="n">
        <f aca="false">IF(I40=1,IF(OR(Alpha_keep*$A40+T$3&gt;=Floor_c-0.000000001,AND($B40=0,T$3&gt;=Cap_h-0.000000001)),1,0),0)</f>
        <v>0</v>
      </c>
      <c r="U40" s="14" t="n">
        <f aca="false">IF(J40=1,IF(OR(Alpha_keep*$A40+U$3&gt;=Floor_c-0.000000001,AND($B40=0,U$3&gt;=Cap_h-0.000000001)),1,0),0)</f>
        <v>0</v>
      </c>
      <c r="V40" s="14" t="n">
        <f aca="false">IF(K40=1,IF(OR(Alpha_keep*$A40+V$3&gt;=Floor_c-0.000000001,AND($B40=0,V$3&gt;=Cap_h-0.000000001)),1,0),0)</f>
        <v>0</v>
      </c>
      <c r="W40" s="14" t="n">
        <f aca="false">IF(L40=1,IF(OR(Alpha_keep*$A40+W$3&gt;=Floor_c-0.000000001,AND($B40=0,W$3&gt;=Cap_h-0.000000001)),1,0),0)</f>
        <v>0</v>
      </c>
      <c r="X40" s="14" t="n">
        <f aca="false">IF(M40=1,IF(OR(Alpha_keep*$A40+X$3&gt;=Floor_c-0.000000001,AND($B40=0,X$3&gt;=Cap_h-0.000000001)),1,0),0)</f>
        <v>1</v>
      </c>
      <c r="Y40" s="14" t="n">
        <f aca="false">SUM(C40:M40)</f>
        <v>11</v>
      </c>
      <c r="Z40" s="14" t="n">
        <f aca="false">SUM(N40:X40)</f>
        <v>1</v>
      </c>
      <c r="AA40" s="12" t="n">
        <f aca="false">INDEX($C$3:$M$3,MATCH(1,C40:M40,0))</f>
        <v>0</v>
      </c>
      <c r="AB40" s="12" t="n">
        <f aca="false">INDEX($N$3:$X$3,MATCH(1,N40:X40,0))+(Z40-1)*Step_h</f>
        <v>2.5</v>
      </c>
    </row>
    <row r="41" customFormat="false" ht="15" hidden="false" customHeight="false" outlineLevel="0" collapsed="false">
      <c r="A41" s="12" t="n">
        <f aca="false">A40+Step_c</f>
        <v>39</v>
      </c>
      <c r="B41" s="14" t="n">
        <f aca="false">IF(SUMPRODUCT((Alpha_keep*$A41+$C$3:$M$3&gt;=Floor_c-0.000000001)*(C41:M41))&gt;0,1,0)</f>
        <v>0</v>
      </c>
      <c r="C41" s="14" t="n">
        <f aca="false">IF(AND(Alpha_keep*$A41+C$3-MAX(Loss_w)&gt;=Lo_c-0.000000001,Alpha_keep*$A41+C$3-MIN(Loss_w)&lt;=Hi_c+0.000000001),1,0)</f>
        <v>1</v>
      </c>
      <c r="D41" s="14" t="n">
        <f aca="false">IF(AND(Alpha_keep*$A41+D$3-MAX(Loss_w)&gt;=Lo_c-0.000000001,Alpha_keep*$A41+D$3-MIN(Loss_w)&lt;=Hi_c+0.000000001),1,0)</f>
        <v>1</v>
      </c>
      <c r="E41" s="14" t="n">
        <f aca="false">IF(AND(Alpha_keep*$A41+E$3-MAX(Loss_w)&gt;=Lo_c-0.000000001,Alpha_keep*$A41+E$3-MIN(Loss_w)&lt;=Hi_c+0.000000001),1,0)</f>
        <v>1</v>
      </c>
      <c r="F41" s="14" t="n">
        <f aca="false">IF(AND(Alpha_keep*$A41+F$3-MAX(Loss_w)&gt;=Lo_c-0.000000001,Alpha_keep*$A41+F$3-MIN(Loss_w)&lt;=Hi_c+0.000000001),1,0)</f>
        <v>1</v>
      </c>
      <c r="G41" s="14" t="n">
        <f aca="false">IF(AND(Alpha_keep*$A41+G$3-MAX(Loss_w)&gt;=Lo_c-0.000000001,Alpha_keep*$A41+G$3-MIN(Loss_w)&lt;=Hi_c+0.000000001),1,0)</f>
        <v>1</v>
      </c>
      <c r="H41" s="14" t="n">
        <f aca="false">IF(AND(Alpha_keep*$A41+H$3-MAX(Loss_w)&gt;=Lo_c-0.000000001,Alpha_keep*$A41+H$3-MIN(Loss_w)&lt;=Hi_c+0.000000001),1,0)</f>
        <v>1</v>
      </c>
      <c r="I41" s="14" t="n">
        <f aca="false">IF(AND(Alpha_keep*$A41+I$3-MAX(Loss_w)&gt;=Lo_c-0.000000001,Alpha_keep*$A41+I$3-MIN(Loss_w)&lt;=Hi_c+0.000000001),1,0)</f>
        <v>1</v>
      </c>
      <c r="J41" s="14" t="n">
        <f aca="false">IF(AND(Alpha_keep*$A41+J$3-MAX(Loss_w)&gt;=Lo_c-0.000000001,Alpha_keep*$A41+J$3-MIN(Loss_w)&lt;=Hi_c+0.000000001),1,0)</f>
        <v>1</v>
      </c>
      <c r="K41" s="14" t="n">
        <f aca="false">IF(AND(Alpha_keep*$A41+K$3-MAX(Loss_w)&gt;=Lo_c-0.000000001,Alpha_keep*$A41+K$3-MIN(Loss_w)&lt;=Hi_c+0.000000001),1,0)</f>
        <v>1</v>
      </c>
      <c r="L41" s="14" t="n">
        <f aca="false">IF(AND(Alpha_keep*$A41+L$3-MAX(Loss_w)&gt;=Lo_c-0.000000001,Alpha_keep*$A41+L$3-MIN(Loss_w)&lt;=Hi_c+0.000000001),1,0)</f>
        <v>1</v>
      </c>
      <c r="M41" s="14" t="n">
        <f aca="false">IF(AND(Alpha_keep*$A41+M$3-MAX(Loss_w)&gt;=Lo_c-0.000000001,Alpha_keep*$A41+M$3-MIN(Loss_w)&lt;=Hi_c+0.000000001),1,0)</f>
        <v>1</v>
      </c>
      <c r="N41" s="14" t="n">
        <f aca="false">IF(C41=1,IF(OR(Alpha_keep*$A41+N$3&gt;=Floor_c-0.000000001,AND($B41=0,N$3&gt;=Cap_h-0.000000001)),1,0),0)</f>
        <v>0</v>
      </c>
      <c r="O41" s="14" t="n">
        <f aca="false">IF(D41=1,IF(OR(Alpha_keep*$A41+O$3&gt;=Floor_c-0.000000001,AND($B41=0,O$3&gt;=Cap_h-0.000000001)),1,0),0)</f>
        <v>0</v>
      </c>
      <c r="P41" s="14" t="n">
        <f aca="false">IF(E41=1,IF(OR(Alpha_keep*$A41+P$3&gt;=Floor_c-0.000000001,AND($B41=0,P$3&gt;=Cap_h-0.000000001)),1,0),0)</f>
        <v>0</v>
      </c>
      <c r="Q41" s="14" t="n">
        <f aca="false">IF(F41=1,IF(OR(Alpha_keep*$A41+Q$3&gt;=Floor_c-0.000000001,AND($B41=0,Q$3&gt;=Cap_h-0.000000001)),1,0),0)</f>
        <v>0</v>
      </c>
      <c r="R41" s="14" t="n">
        <f aca="false">IF(G41=1,IF(OR(Alpha_keep*$A41+R$3&gt;=Floor_c-0.000000001,AND($B41=0,R$3&gt;=Cap_h-0.000000001)),1,0),0)</f>
        <v>0</v>
      </c>
      <c r="S41" s="14" t="n">
        <f aca="false">IF(H41=1,IF(OR(Alpha_keep*$A41+S$3&gt;=Floor_c-0.000000001,AND($B41=0,S$3&gt;=Cap_h-0.000000001)),1,0),0)</f>
        <v>0</v>
      </c>
      <c r="T41" s="14" t="n">
        <f aca="false">IF(I41=1,IF(OR(Alpha_keep*$A41+T$3&gt;=Floor_c-0.000000001,AND($B41=0,T$3&gt;=Cap_h-0.000000001)),1,0),0)</f>
        <v>0</v>
      </c>
      <c r="U41" s="14" t="n">
        <f aca="false">IF(J41=1,IF(OR(Alpha_keep*$A41+U$3&gt;=Floor_c-0.000000001,AND($B41=0,U$3&gt;=Cap_h-0.000000001)),1,0),0)</f>
        <v>0</v>
      </c>
      <c r="V41" s="14" t="n">
        <f aca="false">IF(K41=1,IF(OR(Alpha_keep*$A41+V$3&gt;=Floor_c-0.000000001,AND($B41=0,V$3&gt;=Cap_h-0.000000001)),1,0),0)</f>
        <v>0</v>
      </c>
      <c r="W41" s="14" t="n">
        <f aca="false">IF(L41=1,IF(OR(Alpha_keep*$A41+W$3&gt;=Floor_c-0.000000001,AND($B41=0,W$3&gt;=Cap_h-0.000000001)),1,0),0)</f>
        <v>0</v>
      </c>
      <c r="X41" s="14" t="n">
        <f aca="false">IF(M41=1,IF(OR(Alpha_keep*$A41+X$3&gt;=Floor_c-0.000000001,AND($B41=0,X$3&gt;=Cap_h-0.000000001)),1,0),0)</f>
        <v>1</v>
      </c>
      <c r="Y41" s="14" t="n">
        <f aca="false">SUM(C41:M41)</f>
        <v>11</v>
      </c>
      <c r="Z41" s="14" t="n">
        <f aca="false">SUM(N41:X41)</f>
        <v>1</v>
      </c>
      <c r="AA41" s="12" t="n">
        <f aca="false">INDEX($C$3:$M$3,MATCH(1,C41:M41,0))</f>
        <v>0</v>
      </c>
      <c r="AB41" s="12" t="n">
        <f aca="false">INDEX($N$3:$X$3,MATCH(1,N41:X41,0))+(Z41-1)*Step_h</f>
        <v>2.5</v>
      </c>
    </row>
    <row r="42" customFormat="false" ht="15" hidden="false" customHeight="false" outlineLevel="0" collapsed="false">
      <c r="A42" s="12" t="n">
        <f aca="false">A41+Step_c</f>
        <v>39.25</v>
      </c>
      <c r="B42" s="14" t="n">
        <f aca="false">IF(SUMPRODUCT((Alpha_keep*$A42+$C$3:$M$3&gt;=Floor_c-0.000000001)*(C42:M42))&gt;0,1,0)</f>
        <v>0</v>
      </c>
      <c r="C42" s="14" t="n">
        <f aca="false">IF(AND(Alpha_keep*$A42+C$3-MAX(Loss_w)&gt;=Lo_c-0.000000001,Alpha_keep*$A42+C$3-MIN(Loss_w)&lt;=Hi_c+0.000000001),1,0)</f>
        <v>1</v>
      </c>
      <c r="D42" s="14" t="n">
        <f aca="false">IF(AND(Alpha_keep*$A42+D$3-MAX(Loss_w)&gt;=Lo_c-0.000000001,Alpha_keep*$A42+D$3-MIN(Loss_w)&lt;=Hi_c+0.000000001),1,0)</f>
        <v>1</v>
      </c>
      <c r="E42" s="14" t="n">
        <f aca="false">IF(AND(Alpha_keep*$A42+E$3-MAX(Loss_w)&gt;=Lo_c-0.000000001,Alpha_keep*$A42+E$3-MIN(Loss_w)&lt;=Hi_c+0.000000001),1,0)</f>
        <v>1</v>
      </c>
      <c r="F42" s="14" t="n">
        <f aca="false">IF(AND(Alpha_keep*$A42+F$3-MAX(Loss_w)&gt;=Lo_c-0.000000001,Alpha_keep*$A42+F$3-MIN(Loss_w)&lt;=Hi_c+0.000000001),1,0)</f>
        <v>1</v>
      </c>
      <c r="G42" s="14" t="n">
        <f aca="false">IF(AND(Alpha_keep*$A42+G$3-MAX(Loss_w)&gt;=Lo_c-0.000000001,Alpha_keep*$A42+G$3-MIN(Loss_w)&lt;=Hi_c+0.000000001),1,0)</f>
        <v>1</v>
      </c>
      <c r="H42" s="14" t="n">
        <f aca="false">IF(AND(Alpha_keep*$A42+H$3-MAX(Loss_w)&gt;=Lo_c-0.000000001,Alpha_keep*$A42+H$3-MIN(Loss_w)&lt;=Hi_c+0.000000001),1,0)</f>
        <v>1</v>
      </c>
      <c r="I42" s="14" t="n">
        <f aca="false">IF(AND(Alpha_keep*$A42+I$3-MAX(Loss_w)&gt;=Lo_c-0.000000001,Alpha_keep*$A42+I$3-MIN(Loss_w)&lt;=Hi_c+0.000000001),1,0)</f>
        <v>1</v>
      </c>
      <c r="J42" s="14" t="n">
        <f aca="false">IF(AND(Alpha_keep*$A42+J$3-MAX(Loss_w)&gt;=Lo_c-0.000000001,Alpha_keep*$A42+J$3-MIN(Loss_w)&lt;=Hi_c+0.000000001),1,0)</f>
        <v>1</v>
      </c>
      <c r="K42" s="14" t="n">
        <f aca="false">IF(AND(Alpha_keep*$A42+K$3-MAX(Loss_w)&gt;=Lo_c-0.000000001,Alpha_keep*$A42+K$3-MIN(Loss_w)&lt;=Hi_c+0.000000001),1,0)</f>
        <v>1</v>
      </c>
      <c r="L42" s="14" t="n">
        <f aca="false">IF(AND(Alpha_keep*$A42+L$3-MAX(Loss_w)&gt;=Lo_c-0.000000001,Alpha_keep*$A42+L$3-MIN(Loss_w)&lt;=Hi_c+0.000000001),1,0)</f>
        <v>1</v>
      </c>
      <c r="M42" s="14" t="n">
        <f aca="false">IF(AND(Alpha_keep*$A42+M$3-MAX(Loss_w)&gt;=Lo_c-0.000000001,Alpha_keep*$A42+M$3-MIN(Loss_w)&lt;=Hi_c+0.000000001),1,0)</f>
        <v>1</v>
      </c>
      <c r="N42" s="14" t="n">
        <f aca="false">IF(C42=1,IF(OR(Alpha_keep*$A42+N$3&gt;=Floor_c-0.000000001,AND($B42=0,N$3&gt;=Cap_h-0.000000001)),1,0),0)</f>
        <v>0</v>
      </c>
      <c r="O42" s="14" t="n">
        <f aca="false">IF(D42=1,IF(OR(Alpha_keep*$A42+O$3&gt;=Floor_c-0.000000001,AND($B42=0,O$3&gt;=Cap_h-0.000000001)),1,0),0)</f>
        <v>0</v>
      </c>
      <c r="P42" s="14" t="n">
        <f aca="false">IF(E42=1,IF(OR(Alpha_keep*$A42+P$3&gt;=Floor_c-0.000000001,AND($B42=0,P$3&gt;=Cap_h-0.000000001)),1,0),0)</f>
        <v>0</v>
      </c>
      <c r="Q42" s="14" t="n">
        <f aca="false">IF(F42=1,IF(OR(Alpha_keep*$A42+Q$3&gt;=Floor_c-0.000000001,AND($B42=0,Q$3&gt;=Cap_h-0.000000001)),1,0),0)</f>
        <v>0</v>
      </c>
      <c r="R42" s="14" t="n">
        <f aca="false">IF(G42=1,IF(OR(Alpha_keep*$A42+R$3&gt;=Floor_c-0.000000001,AND($B42=0,R$3&gt;=Cap_h-0.000000001)),1,0),0)</f>
        <v>0</v>
      </c>
      <c r="S42" s="14" t="n">
        <f aca="false">IF(H42=1,IF(OR(Alpha_keep*$A42+S$3&gt;=Floor_c-0.000000001,AND($B42=0,S$3&gt;=Cap_h-0.000000001)),1,0),0)</f>
        <v>0</v>
      </c>
      <c r="T42" s="14" t="n">
        <f aca="false">IF(I42=1,IF(OR(Alpha_keep*$A42+T$3&gt;=Floor_c-0.000000001,AND($B42=0,T$3&gt;=Cap_h-0.000000001)),1,0),0)</f>
        <v>0</v>
      </c>
      <c r="U42" s="14" t="n">
        <f aca="false">IF(J42=1,IF(OR(Alpha_keep*$A42+U$3&gt;=Floor_c-0.000000001,AND($B42=0,U$3&gt;=Cap_h-0.000000001)),1,0),0)</f>
        <v>0</v>
      </c>
      <c r="V42" s="14" t="n">
        <f aca="false">IF(K42=1,IF(OR(Alpha_keep*$A42+V$3&gt;=Floor_c-0.000000001,AND($B42=0,V$3&gt;=Cap_h-0.000000001)),1,0),0)</f>
        <v>0</v>
      </c>
      <c r="W42" s="14" t="n">
        <f aca="false">IF(L42=1,IF(OR(Alpha_keep*$A42+W$3&gt;=Floor_c-0.000000001,AND($B42=0,W$3&gt;=Cap_h-0.000000001)),1,0),0)</f>
        <v>0</v>
      </c>
      <c r="X42" s="14" t="n">
        <f aca="false">IF(M42=1,IF(OR(Alpha_keep*$A42+X$3&gt;=Floor_c-0.000000001,AND($B42=0,X$3&gt;=Cap_h-0.000000001)),1,0),0)</f>
        <v>1</v>
      </c>
      <c r="Y42" s="14" t="n">
        <f aca="false">SUM(C42:M42)</f>
        <v>11</v>
      </c>
      <c r="Z42" s="14" t="n">
        <f aca="false">SUM(N42:X42)</f>
        <v>1</v>
      </c>
      <c r="AA42" s="12" t="n">
        <f aca="false">INDEX($C$3:$M$3,MATCH(1,C42:M42,0))</f>
        <v>0</v>
      </c>
      <c r="AB42" s="12" t="n">
        <f aca="false">INDEX($N$3:$X$3,MATCH(1,N42:X42,0))+(Z42-1)*Step_h</f>
        <v>2.5</v>
      </c>
    </row>
    <row r="43" customFormat="false" ht="15" hidden="false" customHeight="false" outlineLevel="0" collapsed="false">
      <c r="A43" s="12" t="n">
        <f aca="false">A42+Step_c</f>
        <v>39.5</v>
      </c>
      <c r="B43" s="14" t="n">
        <f aca="false">IF(SUMPRODUCT((Alpha_keep*$A43+$C$3:$M$3&gt;=Floor_c-0.000000001)*(C43:M43))&gt;0,1,0)</f>
        <v>0</v>
      </c>
      <c r="C43" s="14" t="n">
        <f aca="false">IF(AND(Alpha_keep*$A43+C$3-MAX(Loss_w)&gt;=Lo_c-0.000000001,Alpha_keep*$A43+C$3-MIN(Loss_w)&lt;=Hi_c+0.000000001),1,0)</f>
        <v>1</v>
      </c>
      <c r="D43" s="14" t="n">
        <f aca="false">IF(AND(Alpha_keep*$A43+D$3-MAX(Loss_w)&gt;=Lo_c-0.000000001,Alpha_keep*$A43+D$3-MIN(Loss_w)&lt;=Hi_c+0.000000001),1,0)</f>
        <v>1</v>
      </c>
      <c r="E43" s="14" t="n">
        <f aca="false">IF(AND(Alpha_keep*$A43+E$3-MAX(Loss_w)&gt;=Lo_c-0.000000001,Alpha_keep*$A43+E$3-MIN(Loss_w)&lt;=Hi_c+0.000000001),1,0)</f>
        <v>1</v>
      </c>
      <c r="F43" s="14" t="n">
        <f aca="false">IF(AND(Alpha_keep*$A43+F$3-MAX(Loss_w)&gt;=Lo_c-0.000000001,Alpha_keep*$A43+F$3-MIN(Loss_w)&lt;=Hi_c+0.000000001),1,0)</f>
        <v>1</v>
      </c>
      <c r="G43" s="14" t="n">
        <f aca="false">IF(AND(Alpha_keep*$A43+G$3-MAX(Loss_w)&gt;=Lo_c-0.000000001,Alpha_keep*$A43+G$3-MIN(Loss_w)&lt;=Hi_c+0.000000001),1,0)</f>
        <v>1</v>
      </c>
      <c r="H43" s="14" t="n">
        <f aca="false">IF(AND(Alpha_keep*$A43+H$3-MAX(Loss_w)&gt;=Lo_c-0.000000001,Alpha_keep*$A43+H$3-MIN(Loss_w)&lt;=Hi_c+0.000000001),1,0)</f>
        <v>1</v>
      </c>
      <c r="I43" s="14" t="n">
        <f aca="false">IF(AND(Alpha_keep*$A43+I$3-MAX(Loss_w)&gt;=Lo_c-0.000000001,Alpha_keep*$A43+I$3-MIN(Loss_w)&lt;=Hi_c+0.000000001),1,0)</f>
        <v>1</v>
      </c>
      <c r="J43" s="14" t="n">
        <f aca="false">IF(AND(Alpha_keep*$A43+J$3-MAX(Loss_w)&gt;=Lo_c-0.000000001,Alpha_keep*$A43+J$3-MIN(Loss_w)&lt;=Hi_c+0.000000001),1,0)</f>
        <v>1</v>
      </c>
      <c r="K43" s="14" t="n">
        <f aca="false">IF(AND(Alpha_keep*$A43+K$3-MAX(Loss_w)&gt;=Lo_c-0.000000001,Alpha_keep*$A43+K$3-MIN(Loss_w)&lt;=Hi_c+0.000000001),1,0)</f>
        <v>1</v>
      </c>
      <c r="L43" s="14" t="n">
        <f aca="false">IF(AND(Alpha_keep*$A43+L$3-MAX(Loss_w)&gt;=Lo_c-0.000000001,Alpha_keep*$A43+L$3-MIN(Loss_w)&lt;=Hi_c+0.000000001),1,0)</f>
        <v>1</v>
      </c>
      <c r="M43" s="14" t="n">
        <f aca="false">IF(AND(Alpha_keep*$A43+M$3-MAX(Loss_w)&gt;=Lo_c-0.000000001,Alpha_keep*$A43+M$3-MIN(Loss_w)&lt;=Hi_c+0.000000001),1,0)</f>
        <v>1</v>
      </c>
      <c r="N43" s="14" t="n">
        <f aca="false">IF(C43=1,IF(OR(Alpha_keep*$A43+N$3&gt;=Floor_c-0.000000001,AND($B43=0,N$3&gt;=Cap_h-0.000000001)),1,0),0)</f>
        <v>0</v>
      </c>
      <c r="O43" s="14" t="n">
        <f aca="false">IF(D43=1,IF(OR(Alpha_keep*$A43+O$3&gt;=Floor_c-0.000000001,AND($B43=0,O$3&gt;=Cap_h-0.000000001)),1,0),0)</f>
        <v>0</v>
      </c>
      <c r="P43" s="14" t="n">
        <f aca="false">IF(E43=1,IF(OR(Alpha_keep*$A43+P$3&gt;=Floor_c-0.000000001,AND($B43=0,P$3&gt;=Cap_h-0.000000001)),1,0),0)</f>
        <v>0</v>
      </c>
      <c r="Q43" s="14" t="n">
        <f aca="false">IF(F43=1,IF(OR(Alpha_keep*$A43+Q$3&gt;=Floor_c-0.000000001,AND($B43=0,Q$3&gt;=Cap_h-0.000000001)),1,0),0)</f>
        <v>0</v>
      </c>
      <c r="R43" s="14" t="n">
        <f aca="false">IF(G43=1,IF(OR(Alpha_keep*$A43+R$3&gt;=Floor_c-0.000000001,AND($B43=0,R$3&gt;=Cap_h-0.000000001)),1,0),0)</f>
        <v>0</v>
      </c>
      <c r="S43" s="14" t="n">
        <f aca="false">IF(H43=1,IF(OR(Alpha_keep*$A43+S$3&gt;=Floor_c-0.000000001,AND($B43=0,S$3&gt;=Cap_h-0.000000001)),1,0),0)</f>
        <v>0</v>
      </c>
      <c r="T43" s="14" t="n">
        <f aca="false">IF(I43=1,IF(OR(Alpha_keep*$A43+T$3&gt;=Floor_c-0.000000001,AND($B43=0,T$3&gt;=Cap_h-0.000000001)),1,0),0)</f>
        <v>0</v>
      </c>
      <c r="U43" s="14" t="n">
        <f aca="false">IF(J43=1,IF(OR(Alpha_keep*$A43+U$3&gt;=Floor_c-0.000000001,AND($B43=0,U$3&gt;=Cap_h-0.000000001)),1,0),0)</f>
        <v>0</v>
      </c>
      <c r="V43" s="14" t="n">
        <f aca="false">IF(K43=1,IF(OR(Alpha_keep*$A43+V$3&gt;=Floor_c-0.000000001,AND($B43=0,V$3&gt;=Cap_h-0.000000001)),1,0),0)</f>
        <v>0</v>
      </c>
      <c r="W43" s="14" t="n">
        <f aca="false">IF(L43=1,IF(OR(Alpha_keep*$A43+W$3&gt;=Floor_c-0.000000001,AND($B43=0,W$3&gt;=Cap_h-0.000000001)),1,0),0)</f>
        <v>0</v>
      </c>
      <c r="X43" s="14" t="n">
        <f aca="false">IF(M43=1,IF(OR(Alpha_keep*$A43+X$3&gt;=Floor_c-0.000000001,AND($B43=0,X$3&gt;=Cap_h-0.000000001)),1,0),0)</f>
        <v>1</v>
      </c>
      <c r="Y43" s="14" t="n">
        <f aca="false">SUM(C43:M43)</f>
        <v>11</v>
      </c>
      <c r="Z43" s="14" t="n">
        <f aca="false">SUM(N43:X43)</f>
        <v>1</v>
      </c>
      <c r="AA43" s="12" t="n">
        <f aca="false">INDEX($C$3:$M$3,MATCH(1,C43:M43,0))</f>
        <v>0</v>
      </c>
      <c r="AB43" s="12" t="n">
        <f aca="false">INDEX($N$3:$X$3,MATCH(1,N43:X43,0))+(Z43-1)*Step_h</f>
        <v>2.5</v>
      </c>
    </row>
    <row r="44" customFormat="false" ht="15" hidden="false" customHeight="false" outlineLevel="0" collapsed="false">
      <c r="A44" s="12" t="n">
        <f aca="false">A43+Step_c</f>
        <v>39.75</v>
      </c>
      <c r="B44" s="14" t="n">
        <f aca="false">IF(SUMPRODUCT((Alpha_keep*$A44+$C$3:$M$3&gt;=Floor_c-0.000000001)*(C44:M44))&gt;0,1,0)</f>
        <v>0</v>
      </c>
      <c r="C44" s="14" t="n">
        <f aca="false">IF(AND(Alpha_keep*$A44+C$3-MAX(Loss_w)&gt;=Lo_c-0.000000001,Alpha_keep*$A44+C$3-MIN(Loss_w)&lt;=Hi_c+0.000000001),1,0)</f>
        <v>1</v>
      </c>
      <c r="D44" s="14" t="n">
        <f aca="false">IF(AND(Alpha_keep*$A44+D$3-MAX(Loss_w)&gt;=Lo_c-0.000000001,Alpha_keep*$A44+D$3-MIN(Loss_w)&lt;=Hi_c+0.000000001),1,0)</f>
        <v>1</v>
      </c>
      <c r="E44" s="14" t="n">
        <f aca="false">IF(AND(Alpha_keep*$A44+E$3-MAX(Loss_w)&gt;=Lo_c-0.000000001,Alpha_keep*$A44+E$3-MIN(Loss_w)&lt;=Hi_c+0.000000001),1,0)</f>
        <v>1</v>
      </c>
      <c r="F44" s="14" t="n">
        <f aca="false">IF(AND(Alpha_keep*$A44+F$3-MAX(Loss_w)&gt;=Lo_c-0.000000001,Alpha_keep*$A44+F$3-MIN(Loss_w)&lt;=Hi_c+0.000000001),1,0)</f>
        <v>1</v>
      </c>
      <c r="G44" s="14" t="n">
        <f aca="false">IF(AND(Alpha_keep*$A44+G$3-MAX(Loss_w)&gt;=Lo_c-0.000000001,Alpha_keep*$A44+G$3-MIN(Loss_w)&lt;=Hi_c+0.000000001),1,0)</f>
        <v>1</v>
      </c>
      <c r="H44" s="14" t="n">
        <f aca="false">IF(AND(Alpha_keep*$A44+H$3-MAX(Loss_w)&gt;=Lo_c-0.000000001,Alpha_keep*$A44+H$3-MIN(Loss_w)&lt;=Hi_c+0.000000001),1,0)</f>
        <v>1</v>
      </c>
      <c r="I44" s="14" t="n">
        <f aca="false">IF(AND(Alpha_keep*$A44+I$3-MAX(Loss_w)&gt;=Lo_c-0.000000001,Alpha_keep*$A44+I$3-MIN(Loss_w)&lt;=Hi_c+0.000000001),1,0)</f>
        <v>1</v>
      </c>
      <c r="J44" s="14" t="n">
        <f aca="false">IF(AND(Alpha_keep*$A44+J$3-MAX(Loss_w)&gt;=Lo_c-0.000000001,Alpha_keep*$A44+J$3-MIN(Loss_w)&lt;=Hi_c+0.000000001),1,0)</f>
        <v>1</v>
      </c>
      <c r="K44" s="14" t="n">
        <f aca="false">IF(AND(Alpha_keep*$A44+K$3-MAX(Loss_w)&gt;=Lo_c-0.000000001,Alpha_keep*$A44+K$3-MIN(Loss_w)&lt;=Hi_c+0.000000001),1,0)</f>
        <v>1</v>
      </c>
      <c r="L44" s="14" t="n">
        <f aca="false">IF(AND(Alpha_keep*$A44+L$3-MAX(Loss_w)&gt;=Lo_c-0.000000001,Alpha_keep*$A44+L$3-MIN(Loss_w)&lt;=Hi_c+0.000000001),1,0)</f>
        <v>1</v>
      </c>
      <c r="M44" s="14" t="n">
        <f aca="false">IF(AND(Alpha_keep*$A44+M$3-MAX(Loss_w)&gt;=Lo_c-0.000000001,Alpha_keep*$A44+M$3-MIN(Loss_w)&lt;=Hi_c+0.000000001),1,0)</f>
        <v>1</v>
      </c>
      <c r="N44" s="14" t="n">
        <f aca="false">IF(C44=1,IF(OR(Alpha_keep*$A44+N$3&gt;=Floor_c-0.000000001,AND($B44=0,N$3&gt;=Cap_h-0.000000001)),1,0),0)</f>
        <v>0</v>
      </c>
      <c r="O44" s="14" t="n">
        <f aca="false">IF(D44=1,IF(OR(Alpha_keep*$A44+O$3&gt;=Floor_c-0.000000001,AND($B44=0,O$3&gt;=Cap_h-0.000000001)),1,0),0)</f>
        <v>0</v>
      </c>
      <c r="P44" s="14" t="n">
        <f aca="false">IF(E44=1,IF(OR(Alpha_keep*$A44+P$3&gt;=Floor_c-0.000000001,AND($B44=0,P$3&gt;=Cap_h-0.000000001)),1,0),0)</f>
        <v>0</v>
      </c>
      <c r="Q44" s="14" t="n">
        <f aca="false">IF(F44=1,IF(OR(Alpha_keep*$A44+Q$3&gt;=Floor_c-0.000000001,AND($B44=0,Q$3&gt;=Cap_h-0.000000001)),1,0),0)</f>
        <v>0</v>
      </c>
      <c r="R44" s="14" t="n">
        <f aca="false">IF(G44=1,IF(OR(Alpha_keep*$A44+R$3&gt;=Floor_c-0.000000001,AND($B44=0,R$3&gt;=Cap_h-0.000000001)),1,0),0)</f>
        <v>0</v>
      </c>
      <c r="S44" s="14" t="n">
        <f aca="false">IF(H44=1,IF(OR(Alpha_keep*$A44+S$3&gt;=Floor_c-0.000000001,AND($B44=0,S$3&gt;=Cap_h-0.000000001)),1,0),0)</f>
        <v>0</v>
      </c>
      <c r="T44" s="14" t="n">
        <f aca="false">IF(I44=1,IF(OR(Alpha_keep*$A44+T$3&gt;=Floor_c-0.000000001,AND($B44=0,T$3&gt;=Cap_h-0.000000001)),1,0),0)</f>
        <v>0</v>
      </c>
      <c r="U44" s="14" t="n">
        <f aca="false">IF(J44=1,IF(OR(Alpha_keep*$A44+U$3&gt;=Floor_c-0.000000001,AND($B44=0,U$3&gt;=Cap_h-0.000000001)),1,0),0)</f>
        <v>0</v>
      </c>
      <c r="V44" s="14" t="n">
        <f aca="false">IF(K44=1,IF(OR(Alpha_keep*$A44+V$3&gt;=Floor_c-0.000000001,AND($B44=0,V$3&gt;=Cap_h-0.000000001)),1,0),0)</f>
        <v>0</v>
      </c>
      <c r="W44" s="14" t="n">
        <f aca="false">IF(L44=1,IF(OR(Alpha_keep*$A44+W$3&gt;=Floor_c-0.000000001,AND($B44=0,W$3&gt;=Cap_h-0.000000001)),1,0),0)</f>
        <v>0</v>
      </c>
      <c r="X44" s="14" t="n">
        <f aca="false">IF(M44=1,IF(OR(Alpha_keep*$A44+X$3&gt;=Floor_c-0.000000001,AND($B44=0,X$3&gt;=Cap_h-0.000000001)),1,0),0)</f>
        <v>1</v>
      </c>
      <c r="Y44" s="14" t="n">
        <f aca="false">SUM(C44:M44)</f>
        <v>11</v>
      </c>
      <c r="Z44" s="14" t="n">
        <f aca="false">SUM(N44:X44)</f>
        <v>1</v>
      </c>
      <c r="AA44" s="12" t="n">
        <f aca="false">INDEX($C$3:$M$3,MATCH(1,C44:M44,0))</f>
        <v>0</v>
      </c>
      <c r="AB44" s="12" t="n">
        <f aca="false">INDEX($N$3:$X$3,MATCH(1,N44:X44,0))+(Z44-1)*Step_h</f>
        <v>2.5</v>
      </c>
    </row>
    <row r="45" customFormat="false" ht="15" hidden="false" customHeight="false" outlineLevel="0" collapsed="false">
      <c r="A45" s="12" t="n">
        <f aca="false">A44+Step_c</f>
        <v>40</v>
      </c>
      <c r="B45" s="14" t="n">
        <f aca="false">IF(SUMPRODUCT((Alpha_keep*$A45+$C$3:$M$3&gt;=Floor_c-0.000000001)*(C45:M45))&gt;0,1,0)</f>
        <v>0</v>
      </c>
      <c r="C45" s="14" t="n">
        <f aca="false">IF(AND(Alpha_keep*$A45+C$3-MAX(Loss_w)&gt;=Lo_c-0.000000001,Alpha_keep*$A45+C$3-MIN(Loss_w)&lt;=Hi_c+0.000000001),1,0)</f>
        <v>1</v>
      </c>
      <c r="D45" s="14" t="n">
        <f aca="false">IF(AND(Alpha_keep*$A45+D$3-MAX(Loss_w)&gt;=Lo_c-0.000000001,Alpha_keep*$A45+D$3-MIN(Loss_w)&lt;=Hi_c+0.000000001),1,0)</f>
        <v>1</v>
      </c>
      <c r="E45" s="14" t="n">
        <f aca="false">IF(AND(Alpha_keep*$A45+E$3-MAX(Loss_w)&gt;=Lo_c-0.000000001,Alpha_keep*$A45+E$3-MIN(Loss_w)&lt;=Hi_c+0.000000001),1,0)</f>
        <v>1</v>
      </c>
      <c r="F45" s="14" t="n">
        <f aca="false">IF(AND(Alpha_keep*$A45+F$3-MAX(Loss_w)&gt;=Lo_c-0.000000001,Alpha_keep*$A45+F$3-MIN(Loss_w)&lt;=Hi_c+0.000000001),1,0)</f>
        <v>1</v>
      </c>
      <c r="G45" s="14" t="n">
        <f aca="false">IF(AND(Alpha_keep*$A45+G$3-MAX(Loss_w)&gt;=Lo_c-0.000000001,Alpha_keep*$A45+G$3-MIN(Loss_w)&lt;=Hi_c+0.000000001),1,0)</f>
        <v>1</v>
      </c>
      <c r="H45" s="14" t="n">
        <f aca="false">IF(AND(Alpha_keep*$A45+H$3-MAX(Loss_w)&gt;=Lo_c-0.000000001,Alpha_keep*$A45+H$3-MIN(Loss_w)&lt;=Hi_c+0.000000001),1,0)</f>
        <v>1</v>
      </c>
      <c r="I45" s="14" t="n">
        <f aca="false">IF(AND(Alpha_keep*$A45+I$3-MAX(Loss_w)&gt;=Lo_c-0.000000001,Alpha_keep*$A45+I$3-MIN(Loss_w)&lt;=Hi_c+0.000000001),1,0)</f>
        <v>1</v>
      </c>
      <c r="J45" s="14" t="n">
        <f aca="false">IF(AND(Alpha_keep*$A45+J$3-MAX(Loss_w)&gt;=Lo_c-0.000000001,Alpha_keep*$A45+J$3-MIN(Loss_w)&lt;=Hi_c+0.000000001),1,0)</f>
        <v>1</v>
      </c>
      <c r="K45" s="14" t="n">
        <f aca="false">IF(AND(Alpha_keep*$A45+K$3-MAX(Loss_w)&gt;=Lo_c-0.000000001,Alpha_keep*$A45+K$3-MIN(Loss_w)&lt;=Hi_c+0.000000001),1,0)</f>
        <v>1</v>
      </c>
      <c r="L45" s="14" t="n">
        <f aca="false">IF(AND(Alpha_keep*$A45+L$3-MAX(Loss_w)&gt;=Lo_c-0.000000001,Alpha_keep*$A45+L$3-MIN(Loss_w)&lt;=Hi_c+0.000000001),1,0)</f>
        <v>1</v>
      </c>
      <c r="M45" s="14" t="n">
        <f aca="false">IF(AND(Alpha_keep*$A45+M$3-MAX(Loss_w)&gt;=Lo_c-0.000000001,Alpha_keep*$A45+M$3-MIN(Loss_w)&lt;=Hi_c+0.000000001),1,0)</f>
        <v>1</v>
      </c>
      <c r="N45" s="14" t="n">
        <f aca="false">IF(C45=1,IF(OR(Alpha_keep*$A45+N$3&gt;=Floor_c-0.000000001,AND($B45=0,N$3&gt;=Cap_h-0.000000001)),1,0),0)</f>
        <v>0</v>
      </c>
      <c r="O45" s="14" t="n">
        <f aca="false">IF(D45=1,IF(OR(Alpha_keep*$A45+O$3&gt;=Floor_c-0.000000001,AND($B45=0,O$3&gt;=Cap_h-0.000000001)),1,0),0)</f>
        <v>0</v>
      </c>
      <c r="P45" s="14" t="n">
        <f aca="false">IF(E45=1,IF(OR(Alpha_keep*$A45+P$3&gt;=Floor_c-0.000000001,AND($B45=0,P$3&gt;=Cap_h-0.000000001)),1,0),0)</f>
        <v>0</v>
      </c>
      <c r="Q45" s="14" t="n">
        <f aca="false">IF(F45=1,IF(OR(Alpha_keep*$A45+Q$3&gt;=Floor_c-0.000000001,AND($B45=0,Q$3&gt;=Cap_h-0.000000001)),1,0),0)</f>
        <v>0</v>
      </c>
      <c r="R45" s="14" t="n">
        <f aca="false">IF(G45=1,IF(OR(Alpha_keep*$A45+R$3&gt;=Floor_c-0.000000001,AND($B45=0,R$3&gt;=Cap_h-0.000000001)),1,0),0)</f>
        <v>0</v>
      </c>
      <c r="S45" s="14" t="n">
        <f aca="false">IF(H45=1,IF(OR(Alpha_keep*$A45+S$3&gt;=Floor_c-0.000000001,AND($B45=0,S$3&gt;=Cap_h-0.000000001)),1,0),0)</f>
        <v>0</v>
      </c>
      <c r="T45" s="14" t="n">
        <f aca="false">IF(I45=1,IF(OR(Alpha_keep*$A45+T$3&gt;=Floor_c-0.000000001,AND($B45=0,T$3&gt;=Cap_h-0.000000001)),1,0),0)</f>
        <v>0</v>
      </c>
      <c r="U45" s="14" t="n">
        <f aca="false">IF(J45=1,IF(OR(Alpha_keep*$A45+U$3&gt;=Floor_c-0.000000001,AND($B45=0,U$3&gt;=Cap_h-0.000000001)),1,0),0)</f>
        <v>0</v>
      </c>
      <c r="V45" s="14" t="n">
        <f aca="false">IF(K45=1,IF(OR(Alpha_keep*$A45+V$3&gt;=Floor_c-0.000000001,AND($B45=0,V$3&gt;=Cap_h-0.000000001)),1,0),0)</f>
        <v>0</v>
      </c>
      <c r="W45" s="14" t="n">
        <f aca="false">IF(L45=1,IF(OR(Alpha_keep*$A45+W$3&gt;=Floor_c-0.000000001,AND($B45=0,W$3&gt;=Cap_h-0.000000001)),1,0),0)</f>
        <v>0</v>
      </c>
      <c r="X45" s="14" t="n">
        <f aca="false">IF(M45=1,IF(OR(Alpha_keep*$A45+X$3&gt;=Floor_c-0.000000001,AND($B45=0,X$3&gt;=Cap_h-0.000000001)),1,0),0)</f>
        <v>1</v>
      </c>
      <c r="Y45" s="14" t="n">
        <f aca="false">SUM(C45:M45)</f>
        <v>11</v>
      </c>
      <c r="Z45" s="14" t="n">
        <f aca="false">SUM(N45:X45)</f>
        <v>1</v>
      </c>
      <c r="AA45" s="12" t="n">
        <f aca="false">INDEX($C$3:$M$3,MATCH(1,C45:M45,0))</f>
        <v>0</v>
      </c>
      <c r="AB45" s="12" t="n">
        <f aca="false">INDEX($N$3:$X$3,MATCH(1,N45:X45,0))+(Z45-1)*Step_h</f>
        <v>2.5</v>
      </c>
    </row>
    <row r="46" customFormat="false" ht="15" hidden="false" customHeight="false" outlineLevel="0" collapsed="false">
      <c r="A46" s="12" t="n">
        <f aca="false">A45+Step_c</f>
        <v>40.25</v>
      </c>
      <c r="B46" s="14" t="n">
        <f aca="false">IF(SUMPRODUCT((Alpha_keep*$A46+$C$3:$M$3&gt;=Floor_c-0.000000001)*(C46:M46))&gt;0,1,0)</f>
        <v>0</v>
      </c>
      <c r="C46" s="14" t="n">
        <f aca="false">IF(AND(Alpha_keep*$A46+C$3-MAX(Loss_w)&gt;=Lo_c-0.000000001,Alpha_keep*$A46+C$3-MIN(Loss_w)&lt;=Hi_c+0.000000001),1,0)</f>
        <v>1</v>
      </c>
      <c r="D46" s="14" t="n">
        <f aca="false">IF(AND(Alpha_keep*$A46+D$3-MAX(Loss_w)&gt;=Lo_c-0.000000001,Alpha_keep*$A46+D$3-MIN(Loss_w)&lt;=Hi_c+0.000000001),1,0)</f>
        <v>1</v>
      </c>
      <c r="E46" s="14" t="n">
        <f aca="false">IF(AND(Alpha_keep*$A46+E$3-MAX(Loss_w)&gt;=Lo_c-0.000000001,Alpha_keep*$A46+E$3-MIN(Loss_w)&lt;=Hi_c+0.000000001),1,0)</f>
        <v>1</v>
      </c>
      <c r="F46" s="14" t="n">
        <f aca="false">IF(AND(Alpha_keep*$A46+F$3-MAX(Loss_w)&gt;=Lo_c-0.000000001,Alpha_keep*$A46+F$3-MIN(Loss_w)&lt;=Hi_c+0.000000001),1,0)</f>
        <v>1</v>
      </c>
      <c r="G46" s="14" t="n">
        <f aca="false">IF(AND(Alpha_keep*$A46+G$3-MAX(Loss_w)&gt;=Lo_c-0.000000001,Alpha_keep*$A46+G$3-MIN(Loss_w)&lt;=Hi_c+0.000000001),1,0)</f>
        <v>1</v>
      </c>
      <c r="H46" s="14" t="n">
        <f aca="false">IF(AND(Alpha_keep*$A46+H$3-MAX(Loss_w)&gt;=Lo_c-0.000000001,Alpha_keep*$A46+H$3-MIN(Loss_w)&lt;=Hi_c+0.000000001),1,0)</f>
        <v>1</v>
      </c>
      <c r="I46" s="14" t="n">
        <f aca="false">IF(AND(Alpha_keep*$A46+I$3-MAX(Loss_w)&gt;=Lo_c-0.000000001,Alpha_keep*$A46+I$3-MIN(Loss_w)&lt;=Hi_c+0.000000001),1,0)</f>
        <v>1</v>
      </c>
      <c r="J46" s="14" t="n">
        <f aca="false">IF(AND(Alpha_keep*$A46+J$3-MAX(Loss_w)&gt;=Lo_c-0.000000001,Alpha_keep*$A46+J$3-MIN(Loss_w)&lt;=Hi_c+0.000000001),1,0)</f>
        <v>1</v>
      </c>
      <c r="K46" s="14" t="n">
        <f aca="false">IF(AND(Alpha_keep*$A46+K$3-MAX(Loss_w)&gt;=Lo_c-0.000000001,Alpha_keep*$A46+K$3-MIN(Loss_w)&lt;=Hi_c+0.000000001),1,0)</f>
        <v>1</v>
      </c>
      <c r="L46" s="14" t="n">
        <f aca="false">IF(AND(Alpha_keep*$A46+L$3-MAX(Loss_w)&gt;=Lo_c-0.000000001,Alpha_keep*$A46+L$3-MIN(Loss_w)&lt;=Hi_c+0.000000001),1,0)</f>
        <v>1</v>
      </c>
      <c r="M46" s="14" t="n">
        <f aca="false">IF(AND(Alpha_keep*$A46+M$3-MAX(Loss_w)&gt;=Lo_c-0.000000001,Alpha_keep*$A46+M$3-MIN(Loss_w)&lt;=Hi_c+0.000000001),1,0)</f>
        <v>1</v>
      </c>
      <c r="N46" s="14" t="n">
        <f aca="false">IF(C46=1,IF(OR(Alpha_keep*$A46+N$3&gt;=Floor_c-0.000000001,AND($B46=0,N$3&gt;=Cap_h-0.000000001)),1,0),0)</f>
        <v>0</v>
      </c>
      <c r="O46" s="14" t="n">
        <f aca="false">IF(D46=1,IF(OR(Alpha_keep*$A46+O$3&gt;=Floor_c-0.000000001,AND($B46=0,O$3&gt;=Cap_h-0.000000001)),1,0),0)</f>
        <v>0</v>
      </c>
      <c r="P46" s="14" t="n">
        <f aca="false">IF(E46=1,IF(OR(Alpha_keep*$A46+P$3&gt;=Floor_c-0.000000001,AND($B46=0,P$3&gt;=Cap_h-0.000000001)),1,0),0)</f>
        <v>0</v>
      </c>
      <c r="Q46" s="14" t="n">
        <f aca="false">IF(F46=1,IF(OR(Alpha_keep*$A46+Q$3&gt;=Floor_c-0.000000001,AND($B46=0,Q$3&gt;=Cap_h-0.000000001)),1,0),0)</f>
        <v>0</v>
      </c>
      <c r="R46" s="14" t="n">
        <f aca="false">IF(G46=1,IF(OR(Alpha_keep*$A46+R$3&gt;=Floor_c-0.000000001,AND($B46=0,R$3&gt;=Cap_h-0.000000001)),1,0),0)</f>
        <v>0</v>
      </c>
      <c r="S46" s="14" t="n">
        <f aca="false">IF(H46=1,IF(OR(Alpha_keep*$A46+S$3&gt;=Floor_c-0.000000001,AND($B46=0,S$3&gt;=Cap_h-0.000000001)),1,0),0)</f>
        <v>0</v>
      </c>
      <c r="T46" s="14" t="n">
        <f aca="false">IF(I46=1,IF(OR(Alpha_keep*$A46+T$3&gt;=Floor_c-0.000000001,AND($B46=0,T$3&gt;=Cap_h-0.000000001)),1,0),0)</f>
        <v>0</v>
      </c>
      <c r="U46" s="14" t="n">
        <f aca="false">IF(J46=1,IF(OR(Alpha_keep*$A46+U$3&gt;=Floor_c-0.000000001,AND($B46=0,U$3&gt;=Cap_h-0.000000001)),1,0),0)</f>
        <v>0</v>
      </c>
      <c r="V46" s="14" t="n">
        <f aca="false">IF(K46=1,IF(OR(Alpha_keep*$A46+V$3&gt;=Floor_c-0.000000001,AND($B46=0,V$3&gt;=Cap_h-0.000000001)),1,0),0)</f>
        <v>0</v>
      </c>
      <c r="W46" s="14" t="n">
        <f aca="false">IF(L46=1,IF(OR(Alpha_keep*$A46+W$3&gt;=Floor_c-0.000000001,AND($B46=0,W$3&gt;=Cap_h-0.000000001)),1,0),0)</f>
        <v>0</v>
      </c>
      <c r="X46" s="14" t="n">
        <f aca="false">IF(M46=1,IF(OR(Alpha_keep*$A46+X$3&gt;=Floor_c-0.000000001,AND($B46=0,X$3&gt;=Cap_h-0.000000001)),1,0),0)</f>
        <v>1</v>
      </c>
      <c r="Y46" s="14" t="n">
        <f aca="false">SUM(C46:M46)</f>
        <v>11</v>
      </c>
      <c r="Z46" s="14" t="n">
        <f aca="false">SUM(N46:X46)</f>
        <v>1</v>
      </c>
      <c r="AA46" s="12" t="n">
        <f aca="false">INDEX($C$3:$M$3,MATCH(1,C46:M46,0))</f>
        <v>0</v>
      </c>
      <c r="AB46" s="12" t="n">
        <f aca="false">INDEX($N$3:$X$3,MATCH(1,N46:X46,0))+(Z46-1)*Step_h</f>
        <v>2.5</v>
      </c>
    </row>
    <row r="47" customFormat="false" ht="15" hidden="false" customHeight="false" outlineLevel="0" collapsed="false">
      <c r="A47" s="12" t="n">
        <f aca="false">A46+Step_c</f>
        <v>40.5</v>
      </c>
      <c r="B47" s="14" t="n">
        <f aca="false">IF(SUMPRODUCT((Alpha_keep*$A47+$C$3:$M$3&gt;=Floor_c-0.000000001)*(C47:M47))&gt;0,1,0)</f>
        <v>0</v>
      </c>
      <c r="C47" s="14" t="n">
        <f aca="false">IF(AND(Alpha_keep*$A47+C$3-MAX(Loss_w)&gt;=Lo_c-0.000000001,Alpha_keep*$A47+C$3-MIN(Loss_w)&lt;=Hi_c+0.000000001),1,0)</f>
        <v>1</v>
      </c>
      <c r="D47" s="14" t="n">
        <f aca="false">IF(AND(Alpha_keep*$A47+D$3-MAX(Loss_w)&gt;=Lo_c-0.000000001,Alpha_keep*$A47+D$3-MIN(Loss_w)&lt;=Hi_c+0.000000001),1,0)</f>
        <v>1</v>
      </c>
      <c r="E47" s="14" t="n">
        <f aca="false">IF(AND(Alpha_keep*$A47+E$3-MAX(Loss_w)&gt;=Lo_c-0.000000001,Alpha_keep*$A47+E$3-MIN(Loss_w)&lt;=Hi_c+0.000000001),1,0)</f>
        <v>1</v>
      </c>
      <c r="F47" s="14" t="n">
        <f aca="false">IF(AND(Alpha_keep*$A47+F$3-MAX(Loss_w)&gt;=Lo_c-0.000000001,Alpha_keep*$A47+F$3-MIN(Loss_w)&lt;=Hi_c+0.000000001),1,0)</f>
        <v>1</v>
      </c>
      <c r="G47" s="14" t="n">
        <f aca="false">IF(AND(Alpha_keep*$A47+G$3-MAX(Loss_w)&gt;=Lo_c-0.000000001,Alpha_keep*$A47+G$3-MIN(Loss_w)&lt;=Hi_c+0.000000001),1,0)</f>
        <v>1</v>
      </c>
      <c r="H47" s="14" t="n">
        <f aca="false">IF(AND(Alpha_keep*$A47+H$3-MAX(Loss_w)&gt;=Lo_c-0.000000001,Alpha_keep*$A47+H$3-MIN(Loss_w)&lt;=Hi_c+0.000000001),1,0)</f>
        <v>1</v>
      </c>
      <c r="I47" s="14" t="n">
        <f aca="false">IF(AND(Alpha_keep*$A47+I$3-MAX(Loss_w)&gt;=Lo_c-0.000000001,Alpha_keep*$A47+I$3-MIN(Loss_w)&lt;=Hi_c+0.000000001),1,0)</f>
        <v>1</v>
      </c>
      <c r="J47" s="14" t="n">
        <f aca="false">IF(AND(Alpha_keep*$A47+J$3-MAX(Loss_w)&gt;=Lo_c-0.000000001,Alpha_keep*$A47+J$3-MIN(Loss_w)&lt;=Hi_c+0.000000001),1,0)</f>
        <v>1</v>
      </c>
      <c r="K47" s="14" t="n">
        <f aca="false">IF(AND(Alpha_keep*$A47+K$3-MAX(Loss_w)&gt;=Lo_c-0.000000001,Alpha_keep*$A47+K$3-MIN(Loss_w)&lt;=Hi_c+0.000000001),1,0)</f>
        <v>1</v>
      </c>
      <c r="L47" s="14" t="n">
        <f aca="false">IF(AND(Alpha_keep*$A47+L$3-MAX(Loss_w)&gt;=Lo_c-0.000000001,Alpha_keep*$A47+L$3-MIN(Loss_w)&lt;=Hi_c+0.000000001),1,0)</f>
        <v>1</v>
      </c>
      <c r="M47" s="14" t="n">
        <f aca="false">IF(AND(Alpha_keep*$A47+M$3-MAX(Loss_w)&gt;=Lo_c-0.000000001,Alpha_keep*$A47+M$3-MIN(Loss_w)&lt;=Hi_c+0.000000001),1,0)</f>
        <v>1</v>
      </c>
      <c r="N47" s="14" t="n">
        <f aca="false">IF(C47=1,IF(OR(Alpha_keep*$A47+N$3&gt;=Floor_c-0.000000001,AND($B47=0,N$3&gt;=Cap_h-0.000000001)),1,0),0)</f>
        <v>0</v>
      </c>
      <c r="O47" s="14" t="n">
        <f aca="false">IF(D47=1,IF(OR(Alpha_keep*$A47+O$3&gt;=Floor_c-0.000000001,AND($B47=0,O$3&gt;=Cap_h-0.000000001)),1,0),0)</f>
        <v>0</v>
      </c>
      <c r="P47" s="14" t="n">
        <f aca="false">IF(E47=1,IF(OR(Alpha_keep*$A47+P$3&gt;=Floor_c-0.000000001,AND($B47=0,P$3&gt;=Cap_h-0.000000001)),1,0),0)</f>
        <v>0</v>
      </c>
      <c r="Q47" s="14" t="n">
        <f aca="false">IF(F47=1,IF(OR(Alpha_keep*$A47+Q$3&gt;=Floor_c-0.000000001,AND($B47=0,Q$3&gt;=Cap_h-0.000000001)),1,0),0)</f>
        <v>0</v>
      </c>
      <c r="R47" s="14" t="n">
        <f aca="false">IF(G47=1,IF(OR(Alpha_keep*$A47+R$3&gt;=Floor_c-0.000000001,AND($B47=0,R$3&gt;=Cap_h-0.000000001)),1,0),0)</f>
        <v>0</v>
      </c>
      <c r="S47" s="14" t="n">
        <f aca="false">IF(H47=1,IF(OR(Alpha_keep*$A47+S$3&gt;=Floor_c-0.000000001,AND($B47=0,S$3&gt;=Cap_h-0.000000001)),1,0),0)</f>
        <v>0</v>
      </c>
      <c r="T47" s="14" t="n">
        <f aca="false">IF(I47=1,IF(OR(Alpha_keep*$A47+T$3&gt;=Floor_c-0.000000001,AND($B47=0,T$3&gt;=Cap_h-0.000000001)),1,0),0)</f>
        <v>0</v>
      </c>
      <c r="U47" s="14" t="n">
        <f aca="false">IF(J47=1,IF(OR(Alpha_keep*$A47+U$3&gt;=Floor_c-0.000000001,AND($B47=0,U$3&gt;=Cap_h-0.000000001)),1,0),0)</f>
        <v>0</v>
      </c>
      <c r="V47" s="14" t="n">
        <f aca="false">IF(K47=1,IF(OR(Alpha_keep*$A47+V$3&gt;=Floor_c-0.000000001,AND($B47=0,V$3&gt;=Cap_h-0.000000001)),1,0),0)</f>
        <v>0</v>
      </c>
      <c r="W47" s="14" t="n">
        <f aca="false">IF(L47=1,IF(OR(Alpha_keep*$A47+W$3&gt;=Floor_c-0.000000001,AND($B47=0,W$3&gt;=Cap_h-0.000000001)),1,0),0)</f>
        <v>0</v>
      </c>
      <c r="X47" s="14" t="n">
        <f aca="false">IF(M47=1,IF(OR(Alpha_keep*$A47+X$3&gt;=Floor_c-0.000000001,AND($B47=0,X$3&gt;=Cap_h-0.000000001)),1,0),0)</f>
        <v>1</v>
      </c>
      <c r="Y47" s="14" t="n">
        <f aca="false">SUM(C47:M47)</f>
        <v>11</v>
      </c>
      <c r="Z47" s="14" t="n">
        <f aca="false">SUM(N47:X47)</f>
        <v>1</v>
      </c>
      <c r="AA47" s="12" t="n">
        <f aca="false">INDEX($C$3:$M$3,MATCH(1,C47:M47,0))</f>
        <v>0</v>
      </c>
      <c r="AB47" s="12" t="n">
        <f aca="false">INDEX($N$3:$X$3,MATCH(1,N47:X47,0))+(Z47-1)*Step_h</f>
        <v>2.5</v>
      </c>
    </row>
    <row r="48" customFormat="false" ht="15" hidden="false" customHeight="false" outlineLevel="0" collapsed="false">
      <c r="A48" s="12" t="n">
        <f aca="false">A47+Step_c</f>
        <v>40.75</v>
      </c>
      <c r="B48" s="14" t="n">
        <f aca="false">IF(SUMPRODUCT((Alpha_keep*$A48+$C$3:$M$3&gt;=Floor_c-0.000000001)*(C48:M48))&gt;0,1,0)</f>
        <v>0</v>
      </c>
      <c r="C48" s="14" t="n">
        <f aca="false">IF(AND(Alpha_keep*$A48+C$3-MAX(Loss_w)&gt;=Lo_c-0.000000001,Alpha_keep*$A48+C$3-MIN(Loss_w)&lt;=Hi_c+0.000000001),1,0)</f>
        <v>1</v>
      </c>
      <c r="D48" s="14" t="n">
        <f aca="false">IF(AND(Alpha_keep*$A48+D$3-MAX(Loss_w)&gt;=Lo_c-0.000000001,Alpha_keep*$A48+D$3-MIN(Loss_w)&lt;=Hi_c+0.000000001),1,0)</f>
        <v>1</v>
      </c>
      <c r="E48" s="14" t="n">
        <f aca="false">IF(AND(Alpha_keep*$A48+E$3-MAX(Loss_w)&gt;=Lo_c-0.000000001,Alpha_keep*$A48+E$3-MIN(Loss_w)&lt;=Hi_c+0.000000001),1,0)</f>
        <v>1</v>
      </c>
      <c r="F48" s="14" t="n">
        <f aca="false">IF(AND(Alpha_keep*$A48+F$3-MAX(Loss_w)&gt;=Lo_c-0.000000001,Alpha_keep*$A48+F$3-MIN(Loss_w)&lt;=Hi_c+0.000000001),1,0)</f>
        <v>1</v>
      </c>
      <c r="G48" s="14" t="n">
        <f aca="false">IF(AND(Alpha_keep*$A48+G$3-MAX(Loss_w)&gt;=Lo_c-0.000000001,Alpha_keep*$A48+G$3-MIN(Loss_w)&lt;=Hi_c+0.000000001),1,0)</f>
        <v>1</v>
      </c>
      <c r="H48" s="14" t="n">
        <f aca="false">IF(AND(Alpha_keep*$A48+H$3-MAX(Loss_w)&gt;=Lo_c-0.000000001,Alpha_keep*$A48+H$3-MIN(Loss_w)&lt;=Hi_c+0.000000001),1,0)</f>
        <v>1</v>
      </c>
      <c r="I48" s="14" t="n">
        <f aca="false">IF(AND(Alpha_keep*$A48+I$3-MAX(Loss_w)&gt;=Lo_c-0.000000001,Alpha_keep*$A48+I$3-MIN(Loss_w)&lt;=Hi_c+0.000000001),1,0)</f>
        <v>1</v>
      </c>
      <c r="J48" s="14" t="n">
        <f aca="false">IF(AND(Alpha_keep*$A48+J$3-MAX(Loss_w)&gt;=Lo_c-0.000000001,Alpha_keep*$A48+J$3-MIN(Loss_w)&lt;=Hi_c+0.000000001),1,0)</f>
        <v>1</v>
      </c>
      <c r="K48" s="14" t="n">
        <f aca="false">IF(AND(Alpha_keep*$A48+K$3-MAX(Loss_w)&gt;=Lo_c-0.000000001,Alpha_keep*$A48+K$3-MIN(Loss_w)&lt;=Hi_c+0.000000001),1,0)</f>
        <v>1</v>
      </c>
      <c r="L48" s="14" t="n">
        <f aca="false">IF(AND(Alpha_keep*$A48+L$3-MAX(Loss_w)&gt;=Lo_c-0.000000001,Alpha_keep*$A48+L$3-MIN(Loss_w)&lt;=Hi_c+0.000000001),1,0)</f>
        <v>1</v>
      </c>
      <c r="M48" s="14" t="n">
        <f aca="false">IF(AND(Alpha_keep*$A48+M$3-MAX(Loss_w)&gt;=Lo_c-0.000000001,Alpha_keep*$A48+M$3-MIN(Loss_w)&lt;=Hi_c+0.000000001),1,0)</f>
        <v>1</v>
      </c>
      <c r="N48" s="14" t="n">
        <f aca="false">IF(C48=1,IF(OR(Alpha_keep*$A48+N$3&gt;=Floor_c-0.000000001,AND($B48=0,N$3&gt;=Cap_h-0.000000001)),1,0),0)</f>
        <v>0</v>
      </c>
      <c r="O48" s="14" t="n">
        <f aca="false">IF(D48=1,IF(OR(Alpha_keep*$A48+O$3&gt;=Floor_c-0.000000001,AND($B48=0,O$3&gt;=Cap_h-0.000000001)),1,0),0)</f>
        <v>0</v>
      </c>
      <c r="P48" s="14" t="n">
        <f aca="false">IF(E48=1,IF(OR(Alpha_keep*$A48+P$3&gt;=Floor_c-0.000000001,AND($B48=0,P$3&gt;=Cap_h-0.000000001)),1,0),0)</f>
        <v>0</v>
      </c>
      <c r="Q48" s="14" t="n">
        <f aca="false">IF(F48=1,IF(OR(Alpha_keep*$A48+Q$3&gt;=Floor_c-0.000000001,AND($B48=0,Q$3&gt;=Cap_h-0.000000001)),1,0),0)</f>
        <v>0</v>
      </c>
      <c r="R48" s="14" t="n">
        <f aca="false">IF(G48=1,IF(OR(Alpha_keep*$A48+R$3&gt;=Floor_c-0.000000001,AND($B48=0,R$3&gt;=Cap_h-0.000000001)),1,0),0)</f>
        <v>0</v>
      </c>
      <c r="S48" s="14" t="n">
        <f aca="false">IF(H48=1,IF(OR(Alpha_keep*$A48+S$3&gt;=Floor_c-0.000000001,AND($B48=0,S$3&gt;=Cap_h-0.000000001)),1,0),0)</f>
        <v>0</v>
      </c>
      <c r="T48" s="14" t="n">
        <f aca="false">IF(I48=1,IF(OR(Alpha_keep*$A48+T$3&gt;=Floor_c-0.000000001,AND($B48=0,T$3&gt;=Cap_h-0.000000001)),1,0),0)</f>
        <v>0</v>
      </c>
      <c r="U48" s="14" t="n">
        <f aca="false">IF(J48=1,IF(OR(Alpha_keep*$A48+U$3&gt;=Floor_c-0.000000001,AND($B48=0,U$3&gt;=Cap_h-0.000000001)),1,0),0)</f>
        <v>0</v>
      </c>
      <c r="V48" s="14" t="n">
        <f aca="false">IF(K48=1,IF(OR(Alpha_keep*$A48+V$3&gt;=Floor_c-0.000000001,AND($B48=0,V$3&gt;=Cap_h-0.000000001)),1,0),0)</f>
        <v>0</v>
      </c>
      <c r="W48" s="14" t="n">
        <f aca="false">IF(L48=1,IF(OR(Alpha_keep*$A48+W$3&gt;=Floor_c-0.000000001,AND($B48=0,W$3&gt;=Cap_h-0.000000001)),1,0),0)</f>
        <v>0</v>
      </c>
      <c r="X48" s="14" t="n">
        <f aca="false">IF(M48=1,IF(OR(Alpha_keep*$A48+X$3&gt;=Floor_c-0.000000001,AND($B48=0,X$3&gt;=Cap_h-0.000000001)),1,0),0)</f>
        <v>1</v>
      </c>
      <c r="Y48" s="14" t="n">
        <f aca="false">SUM(C48:M48)</f>
        <v>11</v>
      </c>
      <c r="Z48" s="14" t="n">
        <f aca="false">SUM(N48:X48)</f>
        <v>1</v>
      </c>
      <c r="AA48" s="12" t="n">
        <f aca="false">INDEX($C$3:$M$3,MATCH(1,C48:M48,0))</f>
        <v>0</v>
      </c>
      <c r="AB48" s="12" t="n">
        <f aca="false">INDEX($N$3:$X$3,MATCH(1,N48:X48,0))+(Z48-1)*Step_h</f>
        <v>2.5</v>
      </c>
    </row>
    <row r="49" customFormat="false" ht="15" hidden="false" customHeight="false" outlineLevel="0" collapsed="false">
      <c r="A49" s="12" t="n">
        <f aca="false">A48+Step_c</f>
        <v>41</v>
      </c>
      <c r="B49" s="14" t="n">
        <f aca="false">IF(SUMPRODUCT((Alpha_keep*$A49+$C$3:$M$3&gt;=Floor_c-0.000000001)*(C49:M49))&gt;0,1,0)</f>
        <v>0</v>
      </c>
      <c r="C49" s="14" t="n">
        <f aca="false">IF(AND(Alpha_keep*$A49+C$3-MAX(Loss_w)&gt;=Lo_c-0.000000001,Alpha_keep*$A49+C$3-MIN(Loss_w)&lt;=Hi_c+0.000000001),1,0)</f>
        <v>1</v>
      </c>
      <c r="D49" s="14" t="n">
        <f aca="false">IF(AND(Alpha_keep*$A49+D$3-MAX(Loss_w)&gt;=Lo_c-0.000000001,Alpha_keep*$A49+D$3-MIN(Loss_w)&lt;=Hi_c+0.000000001),1,0)</f>
        <v>1</v>
      </c>
      <c r="E49" s="14" t="n">
        <f aca="false">IF(AND(Alpha_keep*$A49+E$3-MAX(Loss_w)&gt;=Lo_c-0.000000001,Alpha_keep*$A49+E$3-MIN(Loss_w)&lt;=Hi_c+0.000000001),1,0)</f>
        <v>1</v>
      </c>
      <c r="F49" s="14" t="n">
        <f aca="false">IF(AND(Alpha_keep*$A49+F$3-MAX(Loss_w)&gt;=Lo_c-0.000000001,Alpha_keep*$A49+F$3-MIN(Loss_w)&lt;=Hi_c+0.000000001),1,0)</f>
        <v>1</v>
      </c>
      <c r="G49" s="14" t="n">
        <f aca="false">IF(AND(Alpha_keep*$A49+G$3-MAX(Loss_w)&gt;=Lo_c-0.000000001,Alpha_keep*$A49+G$3-MIN(Loss_w)&lt;=Hi_c+0.000000001),1,0)</f>
        <v>1</v>
      </c>
      <c r="H49" s="14" t="n">
        <f aca="false">IF(AND(Alpha_keep*$A49+H$3-MAX(Loss_w)&gt;=Lo_c-0.000000001,Alpha_keep*$A49+H$3-MIN(Loss_w)&lt;=Hi_c+0.000000001),1,0)</f>
        <v>1</v>
      </c>
      <c r="I49" s="14" t="n">
        <f aca="false">IF(AND(Alpha_keep*$A49+I$3-MAX(Loss_w)&gt;=Lo_c-0.000000001,Alpha_keep*$A49+I$3-MIN(Loss_w)&lt;=Hi_c+0.000000001),1,0)</f>
        <v>1</v>
      </c>
      <c r="J49" s="14" t="n">
        <f aca="false">IF(AND(Alpha_keep*$A49+J$3-MAX(Loss_w)&gt;=Lo_c-0.000000001,Alpha_keep*$A49+J$3-MIN(Loss_w)&lt;=Hi_c+0.000000001),1,0)</f>
        <v>1</v>
      </c>
      <c r="K49" s="14" t="n">
        <f aca="false">IF(AND(Alpha_keep*$A49+K$3-MAX(Loss_w)&gt;=Lo_c-0.000000001,Alpha_keep*$A49+K$3-MIN(Loss_w)&lt;=Hi_c+0.000000001),1,0)</f>
        <v>1</v>
      </c>
      <c r="L49" s="14" t="n">
        <f aca="false">IF(AND(Alpha_keep*$A49+L$3-MAX(Loss_w)&gt;=Lo_c-0.000000001,Alpha_keep*$A49+L$3-MIN(Loss_w)&lt;=Hi_c+0.000000001),1,0)</f>
        <v>1</v>
      </c>
      <c r="M49" s="14" t="n">
        <f aca="false">IF(AND(Alpha_keep*$A49+M$3-MAX(Loss_w)&gt;=Lo_c-0.000000001,Alpha_keep*$A49+M$3-MIN(Loss_w)&lt;=Hi_c+0.000000001),1,0)</f>
        <v>1</v>
      </c>
      <c r="N49" s="14" t="n">
        <f aca="false">IF(C49=1,IF(OR(Alpha_keep*$A49+N$3&gt;=Floor_c-0.000000001,AND($B49=0,N$3&gt;=Cap_h-0.000000001)),1,0),0)</f>
        <v>0</v>
      </c>
      <c r="O49" s="14" t="n">
        <f aca="false">IF(D49=1,IF(OR(Alpha_keep*$A49+O$3&gt;=Floor_c-0.000000001,AND($B49=0,O$3&gt;=Cap_h-0.000000001)),1,0),0)</f>
        <v>0</v>
      </c>
      <c r="P49" s="14" t="n">
        <f aca="false">IF(E49=1,IF(OR(Alpha_keep*$A49+P$3&gt;=Floor_c-0.000000001,AND($B49=0,P$3&gt;=Cap_h-0.000000001)),1,0),0)</f>
        <v>0</v>
      </c>
      <c r="Q49" s="14" t="n">
        <f aca="false">IF(F49=1,IF(OR(Alpha_keep*$A49+Q$3&gt;=Floor_c-0.000000001,AND($B49=0,Q$3&gt;=Cap_h-0.000000001)),1,0),0)</f>
        <v>0</v>
      </c>
      <c r="R49" s="14" t="n">
        <f aca="false">IF(G49=1,IF(OR(Alpha_keep*$A49+R$3&gt;=Floor_c-0.000000001,AND($B49=0,R$3&gt;=Cap_h-0.000000001)),1,0),0)</f>
        <v>0</v>
      </c>
      <c r="S49" s="14" t="n">
        <f aca="false">IF(H49=1,IF(OR(Alpha_keep*$A49+S$3&gt;=Floor_c-0.000000001,AND($B49=0,S$3&gt;=Cap_h-0.000000001)),1,0),0)</f>
        <v>0</v>
      </c>
      <c r="T49" s="14" t="n">
        <f aca="false">IF(I49=1,IF(OR(Alpha_keep*$A49+T$3&gt;=Floor_c-0.000000001,AND($B49=0,T$3&gt;=Cap_h-0.000000001)),1,0),0)</f>
        <v>0</v>
      </c>
      <c r="U49" s="14" t="n">
        <f aca="false">IF(J49=1,IF(OR(Alpha_keep*$A49+U$3&gt;=Floor_c-0.000000001,AND($B49=0,U$3&gt;=Cap_h-0.000000001)),1,0),0)</f>
        <v>0</v>
      </c>
      <c r="V49" s="14" t="n">
        <f aca="false">IF(K49=1,IF(OR(Alpha_keep*$A49+V$3&gt;=Floor_c-0.000000001,AND($B49=0,V$3&gt;=Cap_h-0.000000001)),1,0),0)</f>
        <v>0</v>
      </c>
      <c r="W49" s="14" t="n">
        <f aca="false">IF(L49=1,IF(OR(Alpha_keep*$A49+W$3&gt;=Floor_c-0.000000001,AND($B49=0,W$3&gt;=Cap_h-0.000000001)),1,0),0)</f>
        <v>0</v>
      </c>
      <c r="X49" s="14" t="n">
        <f aca="false">IF(M49=1,IF(OR(Alpha_keep*$A49+X$3&gt;=Floor_c-0.000000001,AND($B49=0,X$3&gt;=Cap_h-0.000000001)),1,0),0)</f>
        <v>1</v>
      </c>
      <c r="Y49" s="14" t="n">
        <f aca="false">SUM(C49:M49)</f>
        <v>11</v>
      </c>
      <c r="Z49" s="14" t="n">
        <f aca="false">SUM(N49:X49)</f>
        <v>1</v>
      </c>
      <c r="AA49" s="12" t="n">
        <f aca="false">INDEX($C$3:$M$3,MATCH(1,C49:M49,0))</f>
        <v>0</v>
      </c>
      <c r="AB49" s="12" t="n">
        <f aca="false">INDEX($N$3:$X$3,MATCH(1,N49:X49,0))+(Z49-1)*Step_h</f>
        <v>2.5</v>
      </c>
    </row>
    <row r="50" customFormat="false" ht="15" hidden="false" customHeight="false" outlineLevel="0" collapsed="false">
      <c r="A50" s="12" t="n">
        <f aca="false">A49+Step_c</f>
        <v>41.25</v>
      </c>
      <c r="B50" s="14" t="n">
        <f aca="false">IF(SUMPRODUCT((Alpha_keep*$A50+$C$3:$M$3&gt;=Floor_c-0.000000001)*(C50:M50))&gt;0,1,0)</f>
        <v>0</v>
      </c>
      <c r="C50" s="14" t="n">
        <f aca="false">IF(AND(Alpha_keep*$A50+C$3-MAX(Loss_w)&gt;=Lo_c-0.000000001,Alpha_keep*$A50+C$3-MIN(Loss_w)&lt;=Hi_c+0.000000001),1,0)</f>
        <v>1</v>
      </c>
      <c r="D50" s="14" t="n">
        <f aca="false">IF(AND(Alpha_keep*$A50+D$3-MAX(Loss_w)&gt;=Lo_c-0.000000001,Alpha_keep*$A50+D$3-MIN(Loss_w)&lt;=Hi_c+0.000000001),1,0)</f>
        <v>1</v>
      </c>
      <c r="E50" s="14" t="n">
        <f aca="false">IF(AND(Alpha_keep*$A50+E$3-MAX(Loss_w)&gt;=Lo_c-0.000000001,Alpha_keep*$A50+E$3-MIN(Loss_w)&lt;=Hi_c+0.000000001),1,0)</f>
        <v>1</v>
      </c>
      <c r="F50" s="14" t="n">
        <f aca="false">IF(AND(Alpha_keep*$A50+F$3-MAX(Loss_w)&gt;=Lo_c-0.000000001,Alpha_keep*$A50+F$3-MIN(Loss_w)&lt;=Hi_c+0.000000001),1,0)</f>
        <v>1</v>
      </c>
      <c r="G50" s="14" t="n">
        <f aca="false">IF(AND(Alpha_keep*$A50+G$3-MAX(Loss_w)&gt;=Lo_c-0.000000001,Alpha_keep*$A50+G$3-MIN(Loss_w)&lt;=Hi_c+0.000000001),1,0)</f>
        <v>1</v>
      </c>
      <c r="H50" s="14" t="n">
        <f aca="false">IF(AND(Alpha_keep*$A50+H$3-MAX(Loss_w)&gt;=Lo_c-0.000000001,Alpha_keep*$A50+H$3-MIN(Loss_w)&lt;=Hi_c+0.000000001),1,0)</f>
        <v>1</v>
      </c>
      <c r="I50" s="14" t="n">
        <f aca="false">IF(AND(Alpha_keep*$A50+I$3-MAX(Loss_w)&gt;=Lo_c-0.000000001,Alpha_keep*$A50+I$3-MIN(Loss_w)&lt;=Hi_c+0.000000001),1,0)</f>
        <v>1</v>
      </c>
      <c r="J50" s="14" t="n">
        <f aca="false">IF(AND(Alpha_keep*$A50+J$3-MAX(Loss_w)&gt;=Lo_c-0.000000001,Alpha_keep*$A50+J$3-MIN(Loss_w)&lt;=Hi_c+0.000000001),1,0)</f>
        <v>1</v>
      </c>
      <c r="K50" s="14" t="n">
        <f aca="false">IF(AND(Alpha_keep*$A50+K$3-MAX(Loss_w)&gt;=Lo_c-0.000000001,Alpha_keep*$A50+K$3-MIN(Loss_w)&lt;=Hi_c+0.000000001),1,0)</f>
        <v>1</v>
      </c>
      <c r="L50" s="14" t="n">
        <f aca="false">IF(AND(Alpha_keep*$A50+L$3-MAX(Loss_w)&gt;=Lo_c-0.000000001,Alpha_keep*$A50+L$3-MIN(Loss_w)&lt;=Hi_c+0.000000001),1,0)</f>
        <v>1</v>
      </c>
      <c r="M50" s="14" t="n">
        <f aca="false">IF(AND(Alpha_keep*$A50+M$3-MAX(Loss_w)&gt;=Lo_c-0.000000001,Alpha_keep*$A50+M$3-MIN(Loss_w)&lt;=Hi_c+0.000000001),1,0)</f>
        <v>1</v>
      </c>
      <c r="N50" s="14" t="n">
        <f aca="false">IF(C50=1,IF(OR(Alpha_keep*$A50+N$3&gt;=Floor_c-0.000000001,AND($B50=0,N$3&gt;=Cap_h-0.000000001)),1,0),0)</f>
        <v>0</v>
      </c>
      <c r="O50" s="14" t="n">
        <f aca="false">IF(D50=1,IF(OR(Alpha_keep*$A50+O$3&gt;=Floor_c-0.000000001,AND($B50=0,O$3&gt;=Cap_h-0.000000001)),1,0),0)</f>
        <v>0</v>
      </c>
      <c r="P50" s="14" t="n">
        <f aca="false">IF(E50=1,IF(OR(Alpha_keep*$A50+P$3&gt;=Floor_c-0.000000001,AND($B50=0,P$3&gt;=Cap_h-0.000000001)),1,0),0)</f>
        <v>0</v>
      </c>
      <c r="Q50" s="14" t="n">
        <f aca="false">IF(F50=1,IF(OR(Alpha_keep*$A50+Q$3&gt;=Floor_c-0.000000001,AND($B50=0,Q$3&gt;=Cap_h-0.000000001)),1,0),0)</f>
        <v>0</v>
      </c>
      <c r="R50" s="14" t="n">
        <f aca="false">IF(G50=1,IF(OR(Alpha_keep*$A50+R$3&gt;=Floor_c-0.000000001,AND($B50=0,R$3&gt;=Cap_h-0.000000001)),1,0),0)</f>
        <v>0</v>
      </c>
      <c r="S50" s="14" t="n">
        <f aca="false">IF(H50=1,IF(OR(Alpha_keep*$A50+S$3&gt;=Floor_c-0.000000001,AND($B50=0,S$3&gt;=Cap_h-0.000000001)),1,0),0)</f>
        <v>0</v>
      </c>
      <c r="T50" s="14" t="n">
        <f aca="false">IF(I50=1,IF(OR(Alpha_keep*$A50+T$3&gt;=Floor_c-0.000000001,AND($B50=0,T$3&gt;=Cap_h-0.000000001)),1,0),0)</f>
        <v>0</v>
      </c>
      <c r="U50" s="14" t="n">
        <f aca="false">IF(J50=1,IF(OR(Alpha_keep*$A50+U$3&gt;=Floor_c-0.000000001,AND($B50=0,U$3&gt;=Cap_h-0.000000001)),1,0),0)</f>
        <v>0</v>
      </c>
      <c r="V50" s="14" t="n">
        <f aca="false">IF(K50=1,IF(OR(Alpha_keep*$A50+V$3&gt;=Floor_c-0.000000001,AND($B50=0,V$3&gt;=Cap_h-0.000000001)),1,0),0)</f>
        <v>0</v>
      </c>
      <c r="W50" s="14" t="n">
        <f aca="false">IF(L50=1,IF(OR(Alpha_keep*$A50+W$3&gt;=Floor_c-0.000000001,AND($B50=0,W$3&gt;=Cap_h-0.000000001)),1,0),0)</f>
        <v>0</v>
      </c>
      <c r="X50" s="14" t="n">
        <f aca="false">IF(M50=1,IF(OR(Alpha_keep*$A50+X$3&gt;=Floor_c-0.000000001,AND($B50=0,X$3&gt;=Cap_h-0.000000001)),1,0),0)</f>
        <v>1</v>
      </c>
      <c r="Y50" s="14" t="n">
        <f aca="false">SUM(C50:M50)</f>
        <v>11</v>
      </c>
      <c r="Z50" s="14" t="n">
        <f aca="false">SUM(N50:X50)</f>
        <v>1</v>
      </c>
      <c r="AA50" s="12" t="n">
        <f aca="false">INDEX($C$3:$M$3,MATCH(1,C50:M50,0))</f>
        <v>0</v>
      </c>
      <c r="AB50" s="12" t="n">
        <f aca="false">INDEX($N$3:$X$3,MATCH(1,N50:X50,0))+(Z50-1)*Step_h</f>
        <v>2.5</v>
      </c>
    </row>
    <row r="51" customFormat="false" ht="15" hidden="false" customHeight="false" outlineLevel="0" collapsed="false">
      <c r="A51" s="12" t="n">
        <f aca="false">A50+Step_c</f>
        <v>41.5</v>
      </c>
      <c r="B51" s="14" t="n">
        <f aca="false">IF(SUMPRODUCT((Alpha_keep*$A51+$C$3:$M$3&gt;=Floor_c-0.000000001)*(C51:M51))&gt;0,1,0)</f>
        <v>0</v>
      </c>
      <c r="C51" s="14" t="n">
        <f aca="false">IF(AND(Alpha_keep*$A51+C$3-MAX(Loss_w)&gt;=Lo_c-0.000000001,Alpha_keep*$A51+C$3-MIN(Loss_w)&lt;=Hi_c+0.000000001),1,0)</f>
        <v>1</v>
      </c>
      <c r="D51" s="14" t="n">
        <f aca="false">IF(AND(Alpha_keep*$A51+D$3-MAX(Loss_w)&gt;=Lo_c-0.000000001,Alpha_keep*$A51+D$3-MIN(Loss_w)&lt;=Hi_c+0.000000001),1,0)</f>
        <v>1</v>
      </c>
      <c r="E51" s="14" t="n">
        <f aca="false">IF(AND(Alpha_keep*$A51+E$3-MAX(Loss_w)&gt;=Lo_c-0.000000001,Alpha_keep*$A51+E$3-MIN(Loss_w)&lt;=Hi_c+0.000000001),1,0)</f>
        <v>1</v>
      </c>
      <c r="F51" s="14" t="n">
        <f aca="false">IF(AND(Alpha_keep*$A51+F$3-MAX(Loss_w)&gt;=Lo_c-0.000000001,Alpha_keep*$A51+F$3-MIN(Loss_w)&lt;=Hi_c+0.000000001),1,0)</f>
        <v>1</v>
      </c>
      <c r="G51" s="14" t="n">
        <f aca="false">IF(AND(Alpha_keep*$A51+G$3-MAX(Loss_w)&gt;=Lo_c-0.000000001,Alpha_keep*$A51+G$3-MIN(Loss_w)&lt;=Hi_c+0.000000001),1,0)</f>
        <v>1</v>
      </c>
      <c r="H51" s="14" t="n">
        <f aca="false">IF(AND(Alpha_keep*$A51+H$3-MAX(Loss_w)&gt;=Lo_c-0.000000001,Alpha_keep*$A51+H$3-MIN(Loss_w)&lt;=Hi_c+0.000000001),1,0)</f>
        <v>1</v>
      </c>
      <c r="I51" s="14" t="n">
        <f aca="false">IF(AND(Alpha_keep*$A51+I$3-MAX(Loss_w)&gt;=Lo_c-0.000000001,Alpha_keep*$A51+I$3-MIN(Loss_w)&lt;=Hi_c+0.000000001),1,0)</f>
        <v>1</v>
      </c>
      <c r="J51" s="14" t="n">
        <f aca="false">IF(AND(Alpha_keep*$A51+J$3-MAX(Loss_w)&gt;=Lo_c-0.000000001,Alpha_keep*$A51+J$3-MIN(Loss_w)&lt;=Hi_c+0.000000001),1,0)</f>
        <v>1</v>
      </c>
      <c r="K51" s="14" t="n">
        <f aca="false">IF(AND(Alpha_keep*$A51+K$3-MAX(Loss_w)&gt;=Lo_c-0.000000001,Alpha_keep*$A51+K$3-MIN(Loss_w)&lt;=Hi_c+0.000000001),1,0)</f>
        <v>1</v>
      </c>
      <c r="L51" s="14" t="n">
        <f aca="false">IF(AND(Alpha_keep*$A51+L$3-MAX(Loss_w)&gt;=Lo_c-0.000000001,Alpha_keep*$A51+L$3-MIN(Loss_w)&lt;=Hi_c+0.000000001),1,0)</f>
        <v>1</v>
      </c>
      <c r="M51" s="14" t="n">
        <f aca="false">IF(AND(Alpha_keep*$A51+M$3-MAX(Loss_w)&gt;=Lo_c-0.000000001,Alpha_keep*$A51+M$3-MIN(Loss_w)&lt;=Hi_c+0.000000001),1,0)</f>
        <v>1</v>
      </c>
      <c r="N51" s="14" t="n">
        <f aca="false">IF(C51=1,IF(OR(Alpha_keep*$A51+N$3&gt;=Floor_c-0.000000001,AND($B51=0,N$3&gt;=Cap_h-0.000000001)),1,0),0)</f>
        <v>0</v>
      </c>
      <c r="O51" s="14" t="n">
        <f aca="false">IF(D51=1,IF(OR(Alpha_keep*$A51+O$3&gt;=Floor_c-0.000000001,AND($B51=0,O$3&gt;=Cap_h-0.000000001)),1,0),0)</f>
        <v>0</v>
      </c>
      <c r="P51" s="14" t="n">
        <f aca="false">IF(E51=1,IF(OR(Alpha_keep*$A51+P$3&gt;=Floor_c-0.000000001,AND($B51=0,P$3&gt;=Cap_h-0.000000001)),1,0),0)</f>
        <v>0</v>
      </c>
      <c r="Q51" s="14" t="n">
        <f aca="false">IF(F51=1,IF(OR(Alpha_keep*$A51+Q$3&gt;=Floor_c-0.000000001,AND($B51=0,Q$3&gt;=Cap_h-0.000000001)),1,0),0)</f>
        <v>0</v>
      </c>
      <c r="R51" s="14" t="n">
        <f aca="false">IF(G51=1,IF(OR(Alpha_keep*$A51+R$3&gt;=Floor_c-0.000000001,AND($B51=0,R$3&gt;=Cap_h-0.000000001)),1,0),0)</f>
        <v>0</v>
      </c>
      <c r="S51" s="14" t="n">
        <f aca="false">IF(H51=1,IF(OR(Alpha_keep*$A51+S$3&gt;=Floor_c-0.000000001,AND($B51=0,S$3&gt;=Cap_h-0.000000001)),1,0),0)</f>
        <v>0</v>
      </c>
      <c r="T51" s="14" t="n">
        <f aca="false">IF(I51=1,IF(OR(Alpha_keep*$A51+T$3&gt;=Floor_c-0.000000001,AND($B51=0,T$3&gt;=Cap_h-0.000000001)),1,0),0)</f>
        <v>0</v>
      </c>
      <c r="U51" s="14" t="n">
        <f aca="false">IF(J51=1,IF(OR(Alpha_keep*$A51+U$3&gt;=Floor_c-0.000000001,AND($B51=0,U$3&gt;=Cap_h-0.000000001)),1,0),0)</f>
        <v>0</v>
      </c>
      <c r="V51" s="14" t="n">
        <f aca="false">IF(K51=1,IF(OR(Alpha_keep*$A51+V$3&gt;=Floor_c-0.000000001,AND($B51=0,V$3&gt;=Cap_h-0.000000001)),1,0),0)</f>
        <v>0</v>
      </c>
      <c r="W51" s="14" t="n">
        <f aca="false">IF(L51=1,IF(OR(Alpha_keep*$A51+W$3&gt;=Floor_c-0.000000001,AND($B51=0,W$3&gt;=Cap_h-0.000000001)),1,0),0)</f>
        <v>0</v>
      </c>
      <c r="X51" s="14" t="n">
        <f aca="false">IF(M51=1,IF(OR(Alpha_keep*$A51+X$3&gt;=Floor_c-0.000000001,AND($B51=0,X$3&gt;=Cap_h-0.000000001)),1,0),0)</f>
        <v>1</v>
      </c>
      <c r="Y51" s="14" t="n">
        <f aca="false">SUM(C51:M51)</f>
        <v>11</v>
      </c>
      <c r="Z51" s="14" t="n">
        <f aca="false">SUM(N51:X51)</f>
        <v>1</v>
      </c>
      <c r="AA51" s="12" t="n">
        <f aca="false">INDEX($C$3:$M$3,MATCH(1,C51:M51,0))</f>
        <v>0</v>
      </c>
      <c r="AB51" s="12" t="n">
        <f aca="false">INDEX($N$3:$X$3,MATCH(1,N51:X51,0))+(Z51-1)*Step_h</f>
        <v>2.5</v>
      </c>
    </row>
    <row r="52" customFormat="false" ht="15" hidden="false" customHeight="false" outlineLevel="0" collapsed="false">
      <c r="A52" s="12" t="n">
        <f aca="false">A51+Step_c</f>
        <v>41.75</v>
      </c>
      <c r="B52" s="14" t="n">
        <f aca="false">IF(SUMPRODUCT((Alpha_keep*$A52+$C$3:$M$3&gt;=Floor_c-0.000000001)*(C52:M52))&gt;0,1,0)</f>
        <v>0</v>
      </c>
      <c r="C52" s="14" t="n">
        <f aca="false">IF(AND(Alpha_keep*$A52+C$3-MAX(Loss_w)&gt;=Lo_c-0.000000001,Alpha_keep*$A52+C$3-MIN(Loss_w)&lt;=Hi_c+0.000000001),1,0)</f>
        <v>1</v>
      </c>
      <c r="D52" s="14" t="n">
        <f aca="false">IF(AND(Alpha_keep*$A52+D$3-MAX(Loss_w)&gt;=Lo_c-0.000000001,Alpha_keep*$A52+D$3-MIN(Loss_w)&lt;=Hi_c+0.000000001),1,0)</f>
        <v>1</v>
      </c>
      <c r="E52" s="14" t="n">
        <f aca="false">IF(AND(Alpha_keep*$A52+E$3-MAX(Loss_w)&gt;=Lo_c-0.000000001,Alpha_keep*$A52+E$3-MIN(Loss_w)&lt;=Hi_c+0.000000001),1,0)</f>
        <v>1</v>
      </c>
      <c r="F52" s="14" t="n">
        <f aca="false">IF(AND(Alpha_keep*$A52+F$3-MAX(Loss_w)&gt;=Lo_c-0.000000001,Alpha_keep*$A52+F$3-MIN(Loss_w)&lt;=Hi_c+0.000000001),1,0)</f>
        <v>1</v>
      </c>
      <c r="G52" s="14" t="n">
        <f aca="false">IF(AND(Alpha_keep*$A52+G$3-MAX(Loss_w)&gt;=Lo_c-0.000000001,Alpha_keep*$A52+G$3-MIN(Loss_w)&lt;=Hi_c+0.000000001),1,0)</f>
        <v>1</v>
      </c>
      <c r="H52" s="14" t="n">
        <f aca="false">IF(AND(Alpha_keep*$A52+H$3-MAX(Loss_w)&gt;=Lo_c-0.000000001,Alpha_keep*$A52+H$3-MIN(Loss_w)&lt;=Hi_c+0.000000001),1,0)</f>
        <v>1</v>
      </c>
      <c r="I52" s="14" t="n">
        <f aca="false">IF(AND(Alpha_keep*$A52+I$3-MAX(Loss_w)&gt;=Lo_c-0.000000001,Alpha_keep*$A52+I$3-MIN(Loss_w)&lt;=Hi_c+0.000000001),1,0)</f>
        <v>1</v>
      </c>
      <c r="J52" s="14" t="n">
        <f aca="false">IF(AND(Alpha_keep*$A52+J$3-MAX(Loss_w)&gt;=Lo_c-0.000000001,Alpha_keep*$A52+J$3-MIN(Loss_w)&lt;=Hi_c+0.000000001),1,0)</f>
        <v>1</v>
      </c>
      <c r="K52" s="14" t="n">
        <f aca="false">IF(AND(Alpha_keep*$A52+K$3-MAX(Loss_w)&gt;=Lo_c-0.000000001,Alpha_keep*$A52+K$3-MIN(Loss_w)&lt;=Hi_c+0.000000001),1,0)</f>
        <v>1</v>
      </c>
      <c r="L52" s="14" t="n">
        <f aca="false">IF(AND(Alpha_keep*$A52+L$3-MAX(Loss_w)&gt;=Lo_c-0.000000001,Alpha_keep*$A52+L$3-MIN(Loss_w)&lt;=Hi_c+0.000000001),1,0)</f>
        <v>1</v>
      </c>
      <c r="M52" s="14" t="n">
        <f aca="false">IF(AND(Alpha_keep*$A52+M$3-MAX(Loss_w)&gt;=Lo_c-0.000000001,Alpha_keep*$A52+M$3-MIN(Loss_w)&lt;=Hi_c+0.000000001),1,0)</f>
        <v>1</v>
      </c>
      <c r="N52" s="14" t="n">
        <f aca="false">IF(C52=1,IF(OR(Alpha_keep*$A52+N$3&gt;=Floor_c-0.000000001,AND($B52=0,N$3&gt;=Cap_h-0.000000001)),1,0),0)</f>
        <v>0</v>
      </c>
      <c r="O52" s="14" t="n">
        <f aca="false">IF(D52=1,IF(OR(Alpha_keep*$A52+O$3&gt;=Floor_c-0.000000001,AND($B52=0,O$3&gt;=Cap_h-0.000000001)),1,0),0)</f>
        <v>0</v>
      </c>
      <c r="P52" s="14" t="n">
        <f aca="false">IF(E52=1,IF(OR(Alpha_keep*$A52+P$3&gt;=Floor_c-0.000000001,AND($B52=0,P$3&gt;=Cap_h-0.000000001)),1,0),0)</f>
        <v>0</v>
      </c>
      <c r="Q52" s="14" t="n">
        <f aca="false">IF(F52=1,IF(OR(Alpha_keep*$A52+Q$3&gt;=Floor_c-0.000000001,AND($B52=0,Q$3&gt;=Cap_h-0.000000001)),1,0),0)</f>
        <v>0</v>
      </c>
      <c r="R52" s="14" t="n">
        <f aca="false">IF(G52=1,IF(OR(Alpha_keep*$A52+R$3&gt;=Floor_c-0.000000001,AND($B52=0,R$3&gt;=Cap_h-0.000000001)),1,0),0)</f>
        <v>0</v>
      </c>
      <c r="S52" s="14" t="n">
        <f aca="false">IF(H52=1,IF(OR(Alpha_keep*$A52+S$3&gt;=Floor_c-0.000000001,AND($B52=0,S$3&gt;=Cap_h-0.000000001)),1,0),0)</f>
        <v>0</v>
      </c>
      <c r="T52" s="14" t="n">
        <f aca="false">IF(I52=1,IF(OR(Alpha_keep*$A52+T$3&gt;=Floor_c-0.000000001,AND($B52=0,T$3&gt;=Cap_h-0.000000001)),1,0),0)</f>
        <v>0</v>
      </c>
      <c r="U52" s="14" t="n">
        <f aca="false">IF(J52=1,IF(OR(Alpha_keep*$A52+U$3&gt;=Floor_c-0.000000001,AND($B52=0,U$3&gt;=Cap_h-0.000000001)),1,0),0)</f>
        <v>0</v>
      </c>
      <c r="V52" s="14" t="n">
        <f aca="false">IF(K52=1,IF(OR(Alpha_keep*$A52+V$3&gt;=Floor_c-0.000000001,AND($B52=0,V$3&gt;=Cap_h-0.000000001)),1,0),0)</f>
        <v>0</v>
      </c>
      <c r="W52" s="14" t="n">
        <f aca="false">IF(L52=1,IF(OR(Alpha_keep*$A52+W$3&gt;=Floor_c-0.000000001,AND($B52=0,W$3&gt;=Cap_h-0.000000001)),1,0),0)</f>
        <v>0</v>
      </c>
      <c r="X52" s="14" t="n">
        <f aca="false">IF(M52=1,IF(OR(Alpha_keep*$A52+X$3&gt;=Floor_c-0.000000001,AND($B52=0,X$3&gt;=Cap_h-0.000000001)),1,0),0)</f>
        <v>1</v>
      </c>
      <c r="Y52" s="14" t="n">
        <f aca="false">SUM(C52:M52)</f>
        <v>11</v>
      </c>
      <c r="Z52" s="14" t="n">
        <f aca="false">SUM(N52:X52)</f>
        <v>1</v>
      </c>
      <c r="AA52" s="12" t="n">
        <f aca="false">INDEX($C$3:$M$3,MATCH(1,C52:M52,0))</f>
        <v>0</v>
      </c>
      <c r="AB52" s="12" t="n">
        <f aca="false">INDEX($N$3:$X$3,MATCH(1,N52:X52,0))+(Z52-1)*Step_h</f>
        <v>2.5</v>
      </c>
    </row>
    <row r="53" customFormat="false" ht="15" hidden="false" customHeight="false" outlineLevel="0" collapsed="false">
      <c r="A53" s="12" t="n">
        <f aca="false">A52+Step_c</f>
        <v>42</v>
      </c>
      <c r="B53" s="14" t="n">
        <f aca="false">IF(SUMPRODUCT((Alpha_keep*$A53+$C$3:$M$3&gt;=Floor_c-0.000000001)*(C53:M53))&gt;0,1,0)</f>
        <v>0</v>
      </c>
      <c r="C53" s="14" t="n">
        <f aca="false">IF(AND(Alpha_keep*$A53+C$3-MAX(Loss_w)&gt;=Lo_c-0.000000001,Alpha_keep*$A53+C$3-MIN(Loss_w)&lt;=Hi_c+0.000000001),1,0)</f>
        <v>1</v>
      </c>
      <c r="D53" s="14" t="n">
        <f aca="false">IF(AND(Alpha_keep*$A53+D$3-MAX(Loss_w)&gt;=Lo_c-0.000000001,Alpha_keep*$A53+D$3-MIN(Loss_w)&lt;=Hi_c+0.000000001),1,0)</f>
        <v>1</v>
      </c>
      <c r="E53" s="14" t="n">
        <f aca="false">IF(AND(Alpha_keep*$A53+E$3-MAX(Loss_w)&gt;=Lo_c-0.000000001,Alpha_keep*$A53+E$3-MIN(Loss_w)&lt;=Hi_c+0.000000001),1,0)</f>
        <v>1</v>
      </c>
      <c r="F53" s="14" t="n">
        <f aca="false">IF(AND(Alpha_keep*$A53+F$3-MAX(Loss_w)&gt;=Lo_c-0.000000001,Alpha_keep*$A53+F$3-MIN(Loss_w)&lt;=Hi_c+0.000000001),1,0)</f>
        <v>1</v>
      </c>
      <c r="G53" s="14" t="n">
        <f aca="false">IF(AND(Alpha_keep*$A53+G$3-MAX(Loss_w)&gt;=Lo_c-0.000000001,Alpha_keep*$A53+G$3-MIN(Loss_w)&lt;=Hi_c+0.000000001),1,0)</f>
        <v>1</v>
      </c>
      <c r="H53" s="14" t="n">
        <f aca="false">IF(AND(Alpha_keep*$A53+H$3-MAX(Loss_w)&gt;=Lo_c-0.000000001,Alpha_keep*$A53+H$3-MIN(Loss_w)&lt;=Hi_c+0.000000001),1,0)</f>
        <v>1</v>
      </c>
      <c r="I53" s="14" t="n">
        <f aca="false">IF(AND(Alpha_keep*$A53+I$3-MAX(Loss_w)&gt;=Lo_c-0.000000001,Alpha_keep*$A53+I$3-MIN(Loss_w)&lt;=Hi_c+0.000000001),1,0)</f>
        <v>1</v>
      </c>
      <c r="J53" s="14" t="n">
        <f aca="false">IF(AND(Alpha_keep*$A53+J$3-MAX(Loss_w)&gt;=Lo_c-0.000000001,Alpha_keep*$A53+J$3-MIN(Loss_w)&lt;=Hi_c+0.000000001),1,0)</f>
        <v>1</v>
      </c>
      <c r="K53" s="14" t="n">
        <f aca="false">IF(AND(Alpha_keep*$A53+K$3-MAX(Loss_w)&gt;=Lo_c-0.000000001,Alpha_keep*$A53+K$3-MIN(Loss_w)&lt;=Hi_c+0.000000001),1,0)</f>
        <v>1</v>
      </c>
      <c r="L53" s="14" t="n">
        <f aca="false">IF(AND(Alpha_keep*$A53+L$3-MAX(Loss_w)&gt;=Lo_c-0.000000001,Alpha_keep*$A53+L$3-MIN(Loss_w)&lt;=Hi_c+0.000000001),1,0)</f>
        <v>1</v>
      </c>
      <c r="M53" s="14" t="n">
        <f aca="false">IF(AND(Alpha_keep*$A53+M$3-MAX(Loss_w)&gt;=Lo_c-0.000000001,Alpha_keep*$A53+M$3-MIN(Loss_w)&lt;=Hi_c+0.000000001),1,0)</f>
        <v>1</v>
      </c>
      <c r="N53" s="14" t="n">
        <f aca="false">IF(C53=1,IF(OR(Alpha_keep*$A53+N$3&gt;=Floor_c-0.000000001,AND($B53=0,N$3&gt;=Cap_h-0.000000001)),1,0),0)</f>
        <v>0</v>
      </c>
      <c r="O53" s="14" t="n">
        <f aca="false">IF(D53=1,IF(OR(Alpha_keep*$A53+O$3&gt;=Floor_c-0.000000001,AND($B53=0,O$3&gt;=Cap_h-0.000000001)),1,0),0)</f>
        <v>0</v>
      </c>
      <c r="P53" s="14" t="n">
        <f aca="false">IF(E53=1,IF(OR(Alpha_keep*$A53+P$3&gt;=Floor_c-0.000000001,AND($B53=0,P$3&gt;=Cap_h-0.000000001)),1,0),0)</f>
        <v>0</v>
      </c>
      <c r="Q53" s="14" t="n">
        <f aca="false">IF(F53=1,IF(OR(Alpha_keep*$A53+Q$3&gt;=Floor_c-0.000000001,AND($B53=0,Q$3&gt;=Cap_h-0.000000001)),1,0),0)</f>
        <v>0</v>
      </c>
      <c r="R53" s="14" t="n">
        <f aca="false">IF(G53=1,IF(OR(Alpha_keep*$A53+R$3&gt;=Floor_c-0.000000001,AND($B53=0,R$3&gt;=Cap_h-0.000000001)),1,0),0)</f>
        <v>0</v>
      </c>
      <c r="S53" s="14" t="n">
        <f aca="false">IF(H53=1,IF(OR(Alpha_keep*$A53+S$3&gt;=Floor_c-0.000000001,AND($B53=0,S$3&gt;=Cap_h-0.000000001)),1,0),0)</f>
        <v>0</v>
      </c>
      <c r="T53" s="14" t="n">
        <f aca="false">IF(I53=1,IF(OR(Alpha_keep*$A53+T$3&gt;=Floor_c-0.000000001,AND($B53=0,T$3&gt;=Cap_h-0.000000001)),1,0),0)</f>
        <v>0</v>
      </c>
      <c r="U53" s="14" t="n">
        <f aca="false">IF(J53=1,IF(OR(Alpha_keep*$A53+U$3&gt;=Floor_c-0.000000001,AND($B53=0,U$3&gt;=Cap_h-0.000000001)),1,0),0)</f>
        <v>0</v>
      </c>
      <c r="V53" s="14" t="n">
        <f aca="false">IF(K53=1,IF(OR(Alpha_keep*$A53+V$3&gt;=Floor_c-0.000000001,AND($B53=0,V$3&gt;=Cap_h-0.000000001)),1,0),0)</f>
        <v>0</v>
      </c>
      <c r="W53" s="14" t="n">
        <f aca="false">IF(L53=1,IF(OR(Alpha_keep*$A53+W$3&gt;=Floor_c-0.000000001,AND($B53=0,W$3&gt;=Cap_h-0.000000001)),1,0),0)</f>
        <v>0</v>
      </c>
      <c r="X53" s="14" t="n">
        <f aca="false">IF(M53=1,IF(OR(Alpha_keep*$A53+X$3&gt;=Floor_c-0.000000001,AND($B53=0,X$3&gt;=Cap_h-0.000000001)),1,0),0)</f>
        <v>1</v>
      </c>
      <c r="Y53" s="14" t="n">
        <f aca="false">SUM(C53:M53)</f>
        <v>11</v>
      </c>
      <c r="Z53" s="14" t="n">
        <f aca="false">SUM(N53:X53)</f>
        <v>1</v>
      </c>
      <c r="AA53" s="12" t="n">
        <f aca="false">INDEX($C$3:$M$3,MATCH(1,C53:M53,0))</f>
        <v>0</v>
      </c>
      <c r="AB53" s="12" t="n">
        <f aca="false">INDEX($N$3:$X$3,MATCH(1,N53:X53,0))+(Z53-1)*Step_h</f>
        <v>2.5</v>
      </c>
    </row>
    <row r="54" customFormat="false" ht="15" hidden="false" customHeight="false" outlineLevel="0" collapsed="false">
      <c r="A54" s="12" t="n">
        <f aca="false">A53+Step_c</f>
        <v>42.25</v>
      </c>
      <c r="B54" s="14" t="n">
        <f aca="false">IF(SUMPRODUCT((Alpha_keep*$A54+$C$3:$M$3&gt;=Floor_c-0.000000001)*(C54:M54))&gt;0,1,0)</f>
        <v>0</v>
      </c>
      <c r="C54" s="14" t="n">
        <f aca="false">IF(AND(Alpha_keep*$A54+C$3-MAX(Loss_w)&gt;=Lo_c-0.000000001,Alpha_keep*$A54+C$3-MIN(Loss_w)&lt;=Hi_c+0.000000001),1,0)</f>
        <v>1</v>
      </c>
      <c r="D54" s="14" t="n">
        <f aca="false">IF(AND(Alpha_keep*$A54+D$3-MAX(Loss_w)&gt;=Lo_c-0.000000001,Alpha_keep*$A54+D$3-MIN(Loss_w)&lt;=Hi_c+0.000000001),1,0)</f>
        <v>1</v>
      </c>
      <c r="E54" s="14" t="n">
        <f aca="false">IF(AND(Alpha_keep*$A54+E$3-MAX(Loss_w)&gt;=Lo_c-0.000000001,Alpha_keep*$A54+E$3-MIN(Loss_w)&lt;=Hi_c+0.000000001),1,0)</f>
        <v>1</v>
      </c>
      <c r="F54" s="14" t="n">
        <f aca="false">IF(AND(Alpha_keep*$A54+F$3-MAX(Loss_w)&gt;=Lo_c-0.000000001,Alpha_keep*$A54+F$3-MIN(Loss_w)&lt;=Hi_c+0.000000001),1,0)</f>
        <v>1</v>
      </c>
      <c r="G54" s="14" t="n">
        <f aca="false">IF(AND(Alpha_keep*$A54+G$3-MAX(Loss_w)&gt;=Lo_c-0.000000001,Alpha_keep*$A54+G$3-MIN(Loss_w)&lt;=Hi_c+0.000000001),1,0)</f>
        <v>1</v>
      </c>
      <c r="H54" s="14" t="n">
        <f aca="false">IF(AND(Alpha_keep*$A54+H$3-MAX(Loss_w)&gt;=Lo_c-0.000000001,Alpha_keep*$A54+H$3-MIN(Loss_w)&lt;=Hi_c+0.000000001),1,0)</f>
        <v>1</v>
      </c>
      <c r="I54" s="14" t="n">
        <f aca="false">IF(AND(Alpha_keep*$A54+I$3-MAX(Loss_w)&gt;=Lo_c-0.000000001,Alpha_keep*$A54+I$3-MIN(Loss_w)&lt;=Hi_c+0.000000001),1,0)</f>
        <v>1</v>
      </c>
      <c r="J54" s="14" t="n">
        <f aca="false">IF(AND(Alpha_keep*$A54+J$3-MAX(Loss_w)&gt;=Lo_c-0.000000001,Alpha_keep*$A54+J$3-MIN(Loss_w)&lt;=Hi_c+0.000000001),1,0)</f>
        <v>1</v>
      </c>
      <c r="K54" s="14" t="n">
        <f aca="false">IF(AND(Alpha_keep*$A54+K$3-MAX(Loss_w)&gt;=Lo_c-0.000000001,Alpha_keep*$A54+K$3-MIN(Loss_w)&lt;=Hi_c+0.000000001),1,0)</f>
        <v>1</v>
      </c>
      <c r="L54" s="14" t="n">
        <f aca="false">IF(AND(Alpha_keep*$A54+L$3-MAX(Loss_w)&gt;=Lo_c-0.000000001,Alpha_keep*$A54+L$3-MIN(Loss_w)&lt;=Hi_c+0.000000001),1,0)</f>
        <v>1</v>
      </c>
      <c r="M54" s="14" t="n">
        <f aca="false">IF(AND(Alpha_keep*$A54+M$3-MAX(Loss_w)&gt;=Lo_c-0.000000001,Alpha_keep*$A54+M$3-MIN(Loss_w)&lt;=Hi_c+0.000000001),1,0)</f>
        <v>1</v>
      </c>
      <c r="N54" s="14" t="n">
        <f aca="false">IF(C54=1,IF(OR(Alpha_keep*$A54+N$3&gt;=Floor_c-0.000000001,AND($B54=0,N$3&gt;=Cap_h-0.000000001)),1,0),0)</f>
        <v>0</v>
      </c>
      <c r="O54" s="14" t="n">
        <f aca="false">IF(D54=1,IF(OR(Alpha_keep*$A54+O$3&gt;=Floor_c-0.000000001,AND($B54=0,O$3&gt;=Cap_h-0.000000001)),1,0),0)</f>
        <v>0</v>
      </c>
      <c r="P54" s="14" t="n">
        <f aca="false">IF(E54=1,IF(OR(Alpha_keep*$A54+P$3&gt;=Floor_c-0.000000001,AND($B54=0,P$3&gt;=Cap_h-0.000000001)),1,0),0)</f>
        <v>0</v>
      </c>
      <c r="Q54" s="14" t="n">
        <f aca="false">IF(F54=1,IF(OR(Alpha_keep*$A54+Q$3&gt;=Floor_c-0.000000001,AND($B54=0,Q$3&gt;=Cap_h-0.000000001)),1,0),0)</f>
        <v>0</v>
      </c>
      <c r="R54" s="14" t="n">
        <f aca="false">IF(G54=1,IF(OR(Alpha_keep*$A54+R$3&gt;=Floor_c-0.000000001,AND($B54=0,R$3&gt;=Cap_h-0.000000001)),1,0),0)</f>
        <v>0</v>
      </c>
      <c r="S54" s="14" t="n">
        <f aca="false">IF(H54=1,IF(OR(Alpha_keep*$A54+S$3&gt;=Floor_c-0.000000001,AND($B54=0,S$3&gt;=Cap_h-0.000000001)),1,0),0)</f>
        <v>0</v>
      </c>
      <c r="T54" s="14" t="n">
        <f aca="false">IF(I54=1,IF(OR(Alpha_keep*$A54+T$3&gt;=Floor_c-0.000000001,AND($B54=0,T$3&gt;=Cap_h-0.000000001)),1,0),0)</f>
        <v>0</v>
      </c>
      <c r="U54" s="14" t="n">
        <f aca="false">IF(J54=1,IF(OR(Alpha_keep*$A54+U$3&gt;=Floor_c-0.000000001,AND($B54=0,U$3&gt;=Cap_h-0.000000001)),1,0),0)</f>
        <v>0</v>
      </c>
      <c r="V54" s="14" t="n">
        <f aca="false">IF(K54=1,IF(OR(Alpha_keep*$A54+V$3&gt;=Floor_c-0.000000001,AND($B54=0,V$3&gt;=Cap_h-0.000000001)),1,0),0)</f>
        <v>0</v>
      </c>
      <c r="W54" s="14" t="n">
        <f aca="false">IF(L54=1,IF(OR(Alpha_keep*$A54+W$3&gt;=Floor_c-0.000000001,AND($B54=0,W$3&gt;=Cap_h-0.000000001)),1,0),0)</f>
        <v>0</v>
      </c>
      <c r="X54" s="14" t="n">
        <f aca="false">IF(M54=1,IF(OR(Alpha_keep*$A54+X$3&gt;=Floor_c-0.000000001,AND($B54=0,X$3&gt;=Cap_h-0.000000001)),1,0),0)</f>
        <v>1</v>
      </c>
      <c r="Y54" s="14" t="n">
        <f aca="false">SUM(C54:M54)</f>
        <v>11</v>
      </c>
      <c r="Z54" s="14" t="n">
        <f aca="false">SUM(N54:X54)</f>
        <v>1</v>
      </c>
      <c r="AA54" s="12" t="n">
        <f aca="false">INDEX($C$3:$M$3,MATCH(1,C54:M54,0))</f>
        <v>0</v>
      </c>
      <c r="AB54" s="12" t="n">
        <f aca="false">INDEX($N$3:$X$3,MATCH(1,N54:X54,0))+(Z54-1)*Step_h</f>
        <v>2.5</v>
      </c>
    </row>
    <row r="55" customFormat="false" ht="15" hidden="false" customHeight="false" outlineLevel="0" collapsed="false">
      <c r="A55" s="12" t="n">
        <f aca="false">A54+Step_c</f>
        <v>42.5</v>
      </c>
      <c r="B55" s="14" t="n">
        <f aca="false">IF(SUMPRODUCT((Alpha_keep*$A55+$C$3:$M$3&gt;=Floor_c-0.000000001)*(C55:M55))&gt;0,1,0)</f>
        <v>0</v>
      </c>
      <c r="C55" s="14" t="n">
        <f aca="false">IF(AND(Alpha_keep*$A55+C$3-MAX(Loss_w)&gt;=Lo_c-0.000000001,Alpha_keep*$A55+C$3-MIN(Loss_w)&lt;=Hi_c+0.000000001),1,0)</f>
        <v>1</v>
      </c>
      <c r="D55" s="14" t="n">
        <f aca="false">IF(AND(Alpha_keep*$A55+D$3-MAX(Loss_w)&gt;=Lo_c-0.000000001,Alpha_keep*$A55+D$3-MIN(Loss_w)&lt;=Hi_c+0.000000001),1,0)</f>
        <v>1</v>
      </c>
      <c r="E55" s="14" t="n">
        <f aca="false">IF(AND(Alpha_keep*$A55+E$3-MAX(Loss_w)&gt;=Lo_c-0.000000001,Alpha_keep*$A55+E$3-MIN(Loss_w)&lt;=Hi_c+0.000000001),1,0)</f>
        <v>1</v>
      </c>
      <c r="F55" s="14" t="n">
        <f aca="false">IF(AND(Alpha_keep*$A55+F$3-MAX(Loss_w)&gt;=Lo_c-0.000000001,Alpha_keep*$A55+F$3-MIN(Loss_w)&lt;=Hi_c+0.000000001),1,0)</f>
        <v>1</v>
      </c>
      <c r="G55" s="14" t="n">
        <f aca="false">IF(AND(Alpha_keep*$A55+G$3-MAX(Loss_w)&gt;=Lo_c-0.000000001,Alpha_keep*$A55+G$3-MIN(Loss_w)&lt;=Hi_c+0.000000001),1,0)</f>
        <v>1</v>
      </c>
      <c r="H55" s="14" t="n">
        <f aca="false">IF(AND(Alpha_keep*$A55+H$3-MAX(Loss_w)&gt;=Lo_c-0.000000001,Alpha_keep*$A55+H$3-MIN(Loss_w)&lt;=Hi_c+0.000000001),1,0)</f>
        <v>1</v>
      </c>
      <c r="I55" s="14" t="n">
        <f aca="false">IF(AND(Alpha_keep*$A55+I$3-MAX(Loss_w)&gt;=Lo_c-0.000000001,Alpha_keep*$A55+I$3-MIN(Loss_w)&lt;=Hi_c+0.000000001),1,0)</f>
        <v>1</v>
      </c>
      <c r="J55" s="14" t="n">
        <f aca="false">IF(AND(Alpha_keep*$A55+J$3-MAX(Loss_w)&gt;=Lo_c-0.000000001,Alpha_keep*$A55+J$3-MIN(Loss_w)&lt;=Hi_c+0.000000001),1,0)</f>
        <v>1</v>
      </c>
      <c r="K55" s="14" t="n">
        <f aca="false">IF(AND(Alpha_keep*$A55+K$3-MAX(Loss_w)&gt;=Lo_c-0.000000001,Alpha_keep*$A55+K$3-MIN(Loss_w)&lt;=Hi_c+0.000000001),1,0)</f>
        <v>1</v>
      </c>
      <c r="L55" s="14" t="n">
        <f aca="false">IF(AND(Alpha_keep*$A55+L$3-MAX(Loss_w)&gt;=Lo_c-0.000000001,Alpha_keep*$A55+L$3-MIN(Loss_w)&lt;=Hi_c+0.000000001),1,0)</f>
        <v>1</v>
      </c>
      <c r="M55" s="14" t="n">
        <f aca="false">IF(AND(Alpha_keep*$A55+M$3-MAX(Loss_w)&gt;=Lo_c-0.000000001,Alpha_keep*$A55+M$3-MIN(Loss_w)&lt;=Hi_c+0.000000001),1,0)</f>
        <v>1</v>
      </c>
      <c r="N55" s="14" t="n">
        <f aca="false">IF(C55=1,IF(OR(Alpha_keep*$A55+N$3&gt;=Floor_c-0.000000001,AND($B55=0,N$3&gt;=Cap_h-0.000000001)),1,0),0)</f>
        <v>0</v>
      </c>
      <c r="O55" s="14" t="n">
        <f aca="false">IF(D55=1,IF(OR(Alpha_keep*$A55+O$3&gt;=Floor_c-0.000000001,AND($B55=0,O$3&gt;=Cap_h-0.000000001)),1,0),0)</f>
        <v>0</v>
      </c>
      <c r="P55" s="14" t="n">
        <f aca="false">IF(E55=1,IF(OR(Alpha_keep*$A55+P$3&gt;=Floor_c-0.000000001,AND($B55=0,P$3&gt;=Cap_h-0.000000001)),1,0),0)</f>
        <v>0</v>
      </c>
      <c r="Q55" s="14" t="n">
        <f aca="false">IF(F55=1,IF(OR(Alpha_keep*$A55+Q$3&gt;=Floor_c-0.000000001,AND($B55=0,Q$3&gt;=Cap_h-0.000000001)),1,0),0)</f>
        <v>0</v>
      </c>
      <c r="R55" s="14" t="n">
        <f aca="false">IF(G55=1,IF(OR(Alpha_keep*$A55+R$3&gt;=Floor_c-0.000000001,AND($B55=0,R$3&gt;=Cap_h-0.000000001)),1,0),0)</f>
        <v>0</v>
      </c>
      <c r="S55" s="14" t="n">
        <f aca="false">IF(H55=1,IF(OR(Alpha_keep*$A55+S$3&gt;=Floor_c-0.000000001,AND($B55=0,S$3&gt;=Cap_h-0.000000001)),1,0),0)</f>
        <v>0</v>
      </c>
      <c r="T55" s="14" t="n">
        <f aca="false">IF(I55=1,IF(OR(Alpha_keep*$A55+T$3&gt;=Floor_c-0.000000001,AND($B55=0,T$3&gt;=Cap_h-0.000000001)),1,0),0)</f>
        <v>0</v>
      </c>
      <c r="U55" s="14" t="n">
        <f aca="false">IF(J55=1,IF(OR(Alpha_keep*$A55+U$3&gt;=Floor_c-0.000000001,AND($B55=0,U$3&gt;=Cap_h-0.000000001)),1,0),0)</f>
        <v>0</v>
      </c>
      <c r="V55" s="14" t="n">
        <f aca="false">IF(K55=1,IF(OR(Alpha_keep*$A55+V$3&gt;=Floor_c-0.000000001,AND($B55=0,V$3&gt;=Cap_h-0.000000001)),1,0),0)</f>
        <v>0</v>
      </c>
      <c r="W55" s="14" t="n">
        <f aca="false">IF(L55=1,IF(OR(Alpha_keep*$A55+W$3&gt;=Floor_c-0.000000001,AND($B55=0,W$3&gt;=Cap_h-0.000000001)),1,0),0)</f>
        <v>0</v>
      </c>
      <c r="X55" s="14" t="n">
        <f aca="false">IF(M55=1,IF(OR(Alpha_keep*$A55+X$3&gt;=Floor_c-0.000000001,AND($B55=0,X$3&gt;=Cap_h-0.000000001)),1,0),0)</f>
        <v>1</v>
      </c>
      <c r="Y55" s="14" t="n">
        <f aca="false">SUM(C55:M55)</f>
        <v>11</v>
      </c>
      <c r="Z55" s="14" t="n">
        <f aca="false">SUM(N55:X55)</f>
        <v>1</v>
      </c>
      <c r="AA55" s="12" t="n">
        <f aca="false">INDEX($C$3:$M$3,MATCH(1,C55:M55,0))</f>
        <v>0</v>
      </c>
      <c r="AB55" s="12" t="n">
        <f aca="false">INDEX($N$3:$X$3,MATCH(1,N55:X55,0))+(Z55-1)*Step_h</f>
        <v>2.5</v>
      </c>
    </row>
    <row r="56" customFormat="false" ht="15" hidden="false" customHeight="false" outlineLevel="0" collapsed="false">
      <c r="A56" s="12" t="n">
        <f aca="false">A55+Step_c</f>
        <v>42.75</v>
      </c>
      <c r="B56" s="14" t="n">
        <f aca="false">IF(SUMPRODUCT((Alpha_keep*$A56+$C$3:$M$3&gt;=Floor_c-0.000000001)*(C56:M56))&gt;0,1,0)</f>
        <v>0</v>
      </c>
      <c r="C56" s="14" t="n">
        <f aca="false">IF(AND(Alpha_keep*$A56+C$3-MAX(Loss_w)&gt;=Lo_c-0.000000001,Alpha_keep*$A56+C$3-MIN(Loss_w)&lt;=Hi_c+0.000000001),1,0)</f>
        <v>1</v>
      </c>
      <c r="D56" s="14" t="n">
        <f aca="false">IF(AND(Alpha_keep*$A56+D$3-MAX(Loss_w)&gt;=Lo_c-0.000000001,Alpha_keep*$A56+D$3-MIN(Loss_w)&lt;=Hi_c+0.000000001),1,0)</f>
        <v>1</v>
      </c>
      <c r="E56" s="14" t="n">
        <f aca="false">IF(AND(Alpha_keep*$A56+E$3-MAX(Loss_w)&gt;=Lo_c-0.000000001,Alpha_keep*$A56+E$3-MIN(Loss_w)&lt;=Hi_c+0.000000001),1,0)</f>
        <v>1</v>
      </c>
      <c r="F56" s="14" t="n">
        <f aca="false">IF(AND(Alpha_keep*$A56+F$3-MAX(Loss_w)&gt;=Lo_c-0.000000001,Alpha_keep*$A56+F$3-MIN(Loss_w)&lt;=Hi_c+0.000000001),1,0)</f>
        <v>1</v>
      </c>
      <c r="G56" s="14" t="n">
        <f aca="false">IF(AND(Alpha_keep*$A56+G$3-MAX(Loss_w)&gt;=Lo_c-0.000000001,Alpha_keep*$A56+G$3-MIN(Loss_w)&lt;=Hi_c+0.000000001),1,0)</f>
        <v>1</v>
      </c>
      <c r="H56" s="14" t="n">
        <f aca="false">IF(AND(Alpha_keep*$A56+H$3-MAX(Loss_w)&gt;=Lo_c-0.000000001,Alpha_keep*$A56+H$3-MIN(Loss_w)&lt;=Hi_c+0.000000001),1,0)</f>
        <v>1</v>
      </c>
      <c r="I56" s="14" t="n">
        <f aca="false">IF(AND(Alpha_keep*$A56+I$3-MAX(Loss_w)&gt;=Lo_c-0.000000001,Alpha_keep*$A56+I$3-MIN(Loss_w)&lt;=Hi_c+0.000000001),1,0)</f>
        <v>1</v>
      </c>
      <c r="J56" s="14" t="n">
        <f aca="false">IF(AND(Alpha_keep*$A56+J$3-MAX(Loss_w)&gt;=Lo_c-0.000000001,Alpha_keep*$A56+J$3-MIN(Loss_w)&lt;=Hi_c+0.000000001),1,0)</f>
        <v>1</v>
      </c>
      <c r="K56" s="14" t="n">
        <f aca="false">IF(AND(Alpha_keep*$A56+K$3-MAX(Loss_w)&gt;=Lo_c-0.000000001,Alpha_keep*$A56+K$3-MIN(Loss_w)&lt;=Hi_c+0.000000001),1,0)</f>
        <v>1</v>
      </c>
      <c r="L56" s="14" t="n">
        <f aca="false">IF(AND(Alpha_keep*$A56+L$3-MAX(Loss_w)&gt;=Lo_c-0.000000001,Alpha_keep*$A56+L$3-MIN(Loss_w)&lt;=Hi_c+0.000000001),1,0)</f>
        <v>1</v>
      </c>
      <c r="M56" s="14" t="n">
        <f aca="false">IF(AND(Alpha_keep*$A56+M$3-MAX(Loss_w)&gt;=Lo_c-0.000000001,Alpha_keep*$A56+M$3-MIN(Loss_w)&lt;=Hi_c+0.000000001),1,0)</f>
        <v>1</v>
      </c>
      <c r="N56" s="14" t="n">
        <f aca="false">IF(C56=1,IF(OR(Alpha_keep*$A56+N$3&gt;=Floor_c-0.000000001,AND($B56=0,N$3&gt;=Cap_h-0.000000001)),1,0),0)</f>
        <v>0</v>
      </c>
      <c r="O56" s="14" t="n">
        <f aca="false">IF(D56=1,IF(OR(Alpha_keep*$A56+O$3&gt;=Floor_c-0.000000001,AND($B56=0,O$3&gt;=Cap_h-0.000000001)),1,0),0)</f>
        <v>0</v>
      </c>
      <c r="P56" s="14" t="n">
        <f aca="false">IF(E56=1,IF(OR(Alpha_keep*$A56+P$3&gt;=Floor_c-0.000000001,AND($B56=0,P$3&gt;=Cap_h-0.000000001)),1,0),0)</f>
        <v>0</v>
      </c>
      <c r="Q56" s="14" t="n">
        <f aca="false">IF(F56=1,IF(OR(Alpha_keep*$A56+Q$3&gt;=Floor_c-0.000000001,AND($B56=0,Q$3&gt;=Cap_h-0.000000001)),1,0),0)</f>
        <v>0</v>
      </c>
      <c r="R56" s="14" t="n">
        <f aca="false">IF(G56=1,IF(OR(Alpha_keep*$A56+R$3&gt;=Floor_c-0.000000001,AND($B56=0,R$3&gt;=Cap_h-0.000000001)),1,0),0)</f>
        <v>0</v>
      </c>
      <c r="S56" s="14" t="n">
        <f aca="false">IF(H56=1,IF(OR(Alpha_keep*$A56+S$3&gt;=Floor_c-0.000000001,AND($B56=0,S$3&gt;=Cap_h-0.000000001)),1,0),0)</f>
        <v>0</v>
      </c>
      <c r="T56" s="14" t="n">
        <f aca="false">IF(I56=1,IF(OR(Alpha_keep*$A56+T$3&gt;=Floor_c-0.000000001,AND($B56=0,T$3&gt;=Cap_h-0.000000001)),1,0),0)</f>
        <v>0</v>
      </c>
      <c r="U56" s="14" t="n">
        <f aca="false">IF(J56=1,IF(OR(Alpha_keep*$A56+U$3&gt;=Floor_c-0.000000001,AND($B56=0,U$3&gt;=Cap_h-0.000000001)),1,0),0)</f>
        <v>0</v>
      </c>
      <c r="V56" s="14" t="n">
        <f aca="false">IF(K56=1,IF(OR(Alpha_keep*$A56+V$3&gt;=Floor_c-0.000000001,AND($B56=0,V$3&gt;=Cap_h-0.000000001)),1,0),0)</f>
        <v>0</v>
      </c>
      <c r="W56" s="14" t="n">
        <f aca="false">IF(L56=1,IF(OR(Alpha_keep*$A56+W$3&gt;=Floor_c-0.000000001,AND($B56=0,W$3&gt;=Cap_h-0.000000001)),1,0),0)</f>
        <v>0</v>
      </c>
      <c r="X56" s="14" t="n">
        <f aca="false">IF(M56=1,IF(OR(Alpha_keep*$A56+X$3&gt;=Floor_c-0.000000001,AND($B56=0,X$3&gt;=Cap_h-0.000000001)),1,0),0)</f>
        <v>1</v>
      </c>
      <c r="Y56" s="14" t="n">
        <f aca="false">SUM(C56:M56)</f>
        <v>11</v>
      </c>
      <c r="Z56" s="14" t="n">
        <f aca="false">SUM(N56:X56)</f>
        <v>1</v>
      </c>
      <c r="AA56" s="12" t="n">
        <f aca="false">INDEX($C$3:$M$3,MATCH(1,C56:M56,0))</f>
        <v>0</v>
      </c>
      <c r="AB56" s="12" t="n">
        <f aca="false">INDEX($N$3:$X$3,MATCH(1,N56:X56,0))+(Z56-1)*Step_h</f>
        <v>2.5</v>
      </c>
    </row>
    <row r="57" customFormat="false" ht="15" hidden="false" customHeight="false" outlineLevel="0" collapsed="false">
      <c r="A57" s="12" t="n">
        <f aca="false">A56+Step_c</f>
        <v>43</v>
      </c>
      <c r="B57" s="14" t="n">
        <f aca="false">IF(SUMPRODUCT((Alpha_keep*$A57+$C$3:$M$3&gt;=Floor_c-0.000000001)*(C57:M57))&gt;0,1,0)</f>
        <v>0</v>
      </c>
      <c r="C57" s="14" t="n">
        <f aca="false">IF(AND(Alpha_keep*$A57+C$3-MAX(Loss_w)&gt;=Lo_c-0.000000001,Alpha_keep*$A57+C$3-MIN(Loss_w)&lt;=Hi_c+0.000000001),1,0)</f>
        <v>1</v>
      </c>
      <c r="D57" s="14" t="n">
        <f aca="false">IF(AND(Alpha_keep*$A57+D$3-MAX(Loss_w)&gt;=Lo_c-0.000000001,Alpha_keep*$A57+D$3-MIN(Loss_w)&lt;=Hi_c+0.000000001),1,0)</f>
        <v>1</v>
      </c>
      <c r="E57" s="14" t="n">
        <f aca="false">IF(AND(Alpha_keep*$A57+E$3-MAX(Loss_w)&gt;=Lo_c-0.000000001,Alpha_keep*$A57+E$3-MIN(Loss_w)&lt;=Hi_c+0.000000001),1,0)</f>
        <v>1</v>
      </c>
      <c r="F57" s="14" t="n">
        <f aca="false">IF(AND(Alpha_keep*$A57+F$3-MAX(Loss_w)&gt;=Lo_c-0.000000001,Alpha_keep*$A57+F$3-MIN(Loss_w)&lt;=Hi_c+0.000000001),1,0)</f>
        <v>1</v>
      </c>
      <c r="G57" s="14" t="n">
        <f aca="false">IF(AND(Alpha_keep*$A57+G$3-MAX(Loss_w)&gt;=Lo_c-0.000000001,Alpha_keep*$A57+G$3-MIN(Loss_w)&lt;=Hi_c+0.000000001),1,0)</f>
        <v>1</v>
      </c>
      <c r="H57" s="14" t="n">
        <f aca="false">IF(AND(Alpha_keep*$A57+H$3-MAX(Loss_w)&gt;=Lo_c-0.000000001,Alpha_keep*$A57+H$3-MIN(Loss_w)&lt;=Hi_c+0.000000001),1,0)</f>
        <v>1</v>
      </c>
      <c r="I57" s="14" t="n">
        <f aca="false">IF(AND(Alpha_keep*$A57+I$3-MAX(Loss_w)&gt;=Lo_c-0.000000001,Alpha_keep*$A57+I$3-MIN(Loss_w)&lt;=Hi_c+0.000000001),1,0)</f>
        <v>1</v>
      </c>
      <c r="J57" s="14" t="n">
        <f aca="false">IF(AND(Alpha_keep*$A57+J$3-MAX(Loss_w)&gt;=Lo_c-0.000000001,Alpha_keep*$A57+J$3-MIN(Loss_w)&lt;=Hi_c+0.000000001),1,0)</f>
        <v>1</v>
      </c>
      <c r="K57" s="14" t="n">
        <f aca="false">IF(AND(Alpha_keep*$A57+K$3-MAX(Loss_w)&gt;=Lo_c-0.000000001,Alpha_keep*$A57+K$3-MIN(Loss_w)&lt;=Hi_c+0.000000001),1,0)</f>
        <v>1</v>
      </c>
      <c r="L57" s="14" t="n">
        <f aca="false">IF(AND(Alpha_keep*$A57+L$3-MAX(Loss_w)&gt;=Lo_c-0.000000001,Alpha_keep*$A57+L$3-MIN(Loss_w)&lt;=Hi_c+0.000000001),1,0)</f>
        <v>1</v>
      </c>
      <c r="M57" s="14" t="n">
        <f aca="false">IF(AND(Alpha_keep*$A57+M$3-MAX(Loss_w)&gt;=Lo_c-0.000000001,Alpha_keep*$A57+M$3-MIN(Loss_w)&lt;=Hi_c+0.000000001),1,0)</f>
        <v>1</v>
      </c>
      <c r="N57" s="14" t="n">
        <f aca="false">IF(C57=1,IF(OR(Alpha_keep*$A57+N$3&gt;=Floor_c-0.000000001,AND($B57=0,N$3&gt;=Cap_h-0.000000001)),1,0),0)</f>
        <v>0</v>
      </c>
      <c r="O57" s="14" t="n">
        <f aca="false">IF(D57=1,IF(OR(Alpha_keep*$A57+O$3&gt;=Floor_c-0.000000001,AND($B57=0,O$3&gt;=Cap_h-0.000000001)),1,0),0)</f>
        <v>0</v>
      </c>
      <c r="P57" s="14" t="n">
        <f aca="false">IF(E57=1,IF(OR(Alpha_keep*$A57+P$3&gt;=Floor_c-0.000000001,AND($B57=0,P$3&gt;=Cap_h-0.000000001)),1,0),0)</f>
        <v>0</v>
      </c>
      <c r="Q57" s="14" t="n">
        <f aca="false">IF(F57=1,IF(OR(Alpha_keep*$A57+Q$3&gt;=Floor_c-0.000000001,AND($B57=0,Q$3&gt;=Cap_h-0.000000001)),1,0),0)</f>
        <v>0</v>
      </c>
      <c r="R57" s="14" t="n">
        <f aca="false">IF(G57=1,IF(OR(Alpha_keep*$A57+R$3&gt;=Floor_c-0.000000001,AND($B57=0,R$3&gt;=Cap_h-0.000000001)),1,0),0)</f>
        <v>0</v>
      </c>
      <c r="S57" s="14" t="n">
        <f aca="false">IF(H57=1,IF(OR(Alpha_keep*$A57+S$3&gt;=Floor_c-0.000000001,AND($B57=0,S$3&gt;=Cap_h-0.000000001)),1,0),0)</f>
        <v>0</v>
      </c>
      <c r="T57" s="14" t="n">
        <f aca="false">IF(I57=1,IF(OR(Alpha_keep*$A57+T$3&gt;=Floor_c-0.000000001,AND($B57=0,T$3&gt;=Cap_h-0.000000001)),1,0),0)</f>
        <v>0</v>
      </c>
      <c r="U57" s="14" t="n">
        <f aca="false">IF(J57=1,IF(OR(Alpha_keep*$A57+U$3&gt;=Floor_c-0.000000001,AND($B57=0,U$3&gt;=Cap_h-0.000000001)),1,0),0)</f>
        <v>0</v>
      </c>
      <c r="V57" s="14" t="n">
        <f aca="false">IF(K57=1,IF(OR(Alpha_keep*$A57+V$3&gt;=Floor_c-0.000000001,AND($B57=0,V$3&gt;=Cap_h-0.000000001)),1,0),0)</f>
        <v>0</v>
      </c>
      <c r="W57" s="14" t="n">
        <f aca="false">IF(L57=1,IF(OR(Alpha_keep*$A57+W$3&gt;=Floor_c-0.000000001,AND($B57=0,W$3&gt;=Cap_h-0.000000001)),1,0),0)</f>
        <v>0</v>
      </c>
      <c r="X57" s="14" t="n">
        <f aca="false">IF(M57=1,IF(OR(Alpha_keep*$A57+X$3&gt;=Floor_c-0.000000001,AND($B57=0,X$3&gt;=Cap_h-0.000000001)),1,0),0)</f>
        <v>1</v>
      </c>
      <c r="Y57" s="14" t="n">
        <f aca="false">SUM(C57:M57)</f>
        <v>11</v>
      </c>
      <c r="Z57" s="14" t="n">
        <f aca="false">SUM(N57:X57)</f>
        <v>1</v>
      </c>
      <c r="AA57" s="12" t="n">
        <f aca="false">INDEX($C$3:$M$3,MATCH(1,C57:M57,0))</f>
        <v>0</v>
      </c>
      <c r="AB57" s="12" t="n">
        <f aca="false">INDEX($N$3:$X$3,MATCH(1,N57:X57,0))+(Z57-1)*Step_h</f>
        <v>2.5</v>
      </c>
    </row>
    <row r="58" customFormat="false" ht="15" hidden="false" customHeight="false" outlineLevel="0" collapsed="false">
      <c r="A58" s="12" t="n">
        <f aca="false">A57+Step_c</f>
        <v>43.25</v>
      </c>
      <c r="B58" s="14" t="n">
        <f aca="false">IF(SUMPRODUCT((Alpha_keep*$A58+$C$3:$M$3&gt;=Floor_c-0.000000001)*(C58:M58))&gt;0,1,0)</f>
        <v>0</v>
      </c>
      <c r="C58" s="14" t="n">
        <f aca="false">IF(AND(Alpha_keep*$A58+C$3-MAX(Loss_w)&gt;=Lo_c-0.000000001,Alpha_keep*$A58+C$3-MIN(Loss_w)&lt;=Hi_c+0.000000001),1,0)</f>
        <v>1</v>
      </c>
      <c r="D58" s="14" t="n">
        <f aca="false">IF(AND(Alpha_keep*$A58+D$3-MAX(Loss_w)&gt;=Lo_c-0.000000001,Alpha_keep*$A58+D$3-MIN(Loss_w)&lt;=Hi_c+0.000000001),1,0)</f>
        <v>1</v>
      </c>
      <c r="E58" s="14" t="n">
        <f aca="false">IF(AND(Alpha_keep*$A58+E$3-MAX(Loss_w)&gt;=Lo_c-0.000000001,Alpha_keep*$A58+E$3-MIN(Loss_w)&lt;=Hi_c+0.000000001),1,0)</f>
        <v>1</v>
      </c>
      <c r="F58" s="14" t="n">
        <f aca="false">IF(AND(Alpha_keep*$A58+F$3-MAX(Loss_w)&gt;=Lo_c-0.000000001,Alpha_keep*$A58+F$3-MIN(Loss_w)&lt;=Hi_c+0.000000001),1,0)</f>
        <v>1</v>
      </c>
      <c r="G58" s="14" t="n">
        <f aca="false">IF(AND(Alpha_keep*$A58+G$3-MAX(Loss_w)&gt;=Lo_c-0.000000001,Alpha_keep*$A58+G$3-MIN(Loss_w)&lt;=Hi_c+0.000000001),1,0)</f>
        <v>1</v>
      </c>
      <c r="H58" s="14" t="n">
        <f aca="false">IF(AND(Alpha_keep*$A58+H$3-MAX(Loss_w)&gt;=Lo_c-0.000000001,Alpha_keep*$A58+H$3-MIN(Loss_w)&lt;=Hi_c+0.000000001),1,0)</f>
        <v>1</v>
      </c>
      <c r="I58" s="14" t="n">
        <f aca="false">IF(AND(Alpha_keep*$A58+I$3-MAX(Loss_w)&gt;=Lo_c-0.000000001,Alpha_keep*$A58+I$3-MIN(Loss_w)&lt;=Hi_c+0.000000001),1,0)</f>
        <v>1</v>
      </c>
      <c r="J58" s="14" t="n">
        <f aca="false">IF(AND(Alpha_keep*$A58+J$3-MAX(Loss_w)&gt;=Lo_c-0.000000001,Alpha_keep*$A58+J$3-MIN(Loss_w)&lt;=Hi_c+0.000000001),1,0)</f>
        <v>1</v>
      </c>
      <c r="K58" s="14" t="n">
        <f aca="false">IF(AND(Alpha_keep*$A58+K$3-MAX(Loss_w)&gt;=Lo_c-0.000000001,Alpha_keep*$A58+K$3-MIN(Loss_w)&lt;=Hi_c+0.000000001),1,0)</f>
        <v>1</v>
      </c>
      <c r="L58" s="14" t="n">
        <f aca="false">IF(AND(Alpha_keep*$A58+L$3-MAX(Loss_w)&gt;=Lo_c-0.000000001,Alpha_keep*$A58+L$3-MIN(Loss_w)&lt;=Hi_c+0.000000001),1,0)</f>
        <v>1</v>
      </c>
      <c r="M58" s="14" t="n">
        <f aca="false">IF(AND(Alpha_keep*$A58+M$3-MAX(Loss_w)&gt;=Lo_c-0.000000001,Alpha_keep*$A58+M$3-MIN(Loss_w)&lt;=Hi_c+0.000000001),1,0)</f>
        <v>1</v>
      </c>
      <c r="N58" s="14" t="n">
        <f aca="false">IF(C58=1,IF(OR(Alpha_keep*$A58+N$3&gt;=Floor_c-0.000000001,AND($B58=0,N$3&gt;=Cap_h-0.000000001)),1,0),0)</f>
        <v>0</v>
      </c>
      <c r="O58" s="14" t="n">
        <f aca="false">IF(D58=1,IF(OR(Alpha_keep*$A58+O$3&gt;=Floor_c-0.000000001,AND($B58=0,O$3&gt;=Cap_h-0.000000001)),1,0),0)</f>
        <v>0</v>
      </c>
      <c r="P58" s="14" t="n">
        <f aca="false">IF(E58=1,IF(OR(Alpha_keep*$A58+P$3&gt;=Floor_c-0.000000001,AND($B58=0,P$3&gt;=Cap_h-0.000000001)),1,0),0)</f>
        <v>0</v>
      </c>
      <c r="Q58" s="14" t="n">
        <f aca="false">IF(F58=1,IF(OR(Alpha_keep*$A58+Q$3&gt;=Floor_c-0.000000001,AND($B58=0,Q$3&gt;=Cap_h-0.000000001)),1,0),0)</f>
        <v>0</v>
      </c>
      <c r="R58" s="14" t="n">
        <f aca="false">IF(G58=1,IF(OR(Alpha_keep*$A58+R$3&gt;=Floor_c-0.000000001,AND($B58=0,R$3&gt;=Cap_h-0.000000001)),1,0),0)</f>
        <v>0</v>
      </c>
      <c r="S58" s="14" t="n">
        <f aca="false">IF(H58=1,IF(OR(Alpha_keep*$A58+S$3&gt;=Floor_c-0.000000001,AND($B58=0,S$3&gt;=Cap_h-0.000000001)),1,0),0)</f>
        <v>0</v>
      </c>
      <c r="T58" s="14" t="n">
        <f aca="false">IF(I58=1,IF(OR(Alpha_keep*$A58+T$3&gt;=Floor_c-0.000000001,AND($B58=0,T$3&gt;=Cap_h-0.000000001)),1,0),0)</f>
        <v>0</v>
      </c>
      <c r="U58" s="14" t="n">
        <f aca="false">IF(J58=1,IF(OR(Alpha_keep*$A58+U$3&gt;=Floor_c-0.000000001,AND($B58=0,U$3&gt;=Cap_h-0.000000001)),1,0),0)</f>
        <v>0</v>
      </c>
      <c r="V58" s="14" t="n">
        <f aca="false">IF(K58=1,IF(OR(Alpha_keep*$A58+V$3&gt;=Floor_c-0.000000001,AND($B58=0,V$3&gt;=Cap_h-0.000000001)),1,0),0)</f>
        <v>0</v>
      </c>
      <c r="W58" s="14" t="n">
        <f aca="false">IF(L58=1,IF(OR(Alpha_keep*$A58+W$3&gt;=Floor_c-0.000000001,AND($B58=0,W$3&gt;=Cap_h-0.000000001)),1,0),0)</f>
        <v>0</v>
      </c>
      <c r="X58" s="14" t="n">
        <f aca="false">IF(M58=1,IF(OR(Alpha_keep*$A58+X$3&gt;=Floor_c-0.000000001,AND($B58=0,X$3&gt;=Cap_h-0.000000001)),1,0),0)</f>
        <v>1</v>
      </c>
      <c r="Y58" s="14" t="n">
        <f aca="false">SUM(C58:M58)</f>
        <v>11</v>
      </c>
      <c r="Z58" s="14" t="n">
        <f aca="false">SUM(N58:X58)</f>
        <v>1</v>
      </c>
      <c r="AA58" s="12" t="n">
        <f aca="false">INDEX($C$3:$M$3,MATCH(1,C58:M58,0))</f>
        <v>0</v>
      </c>
      <c r="AB58" s="12" t="n">
        <f aca="false">INDEX($N$3:$X$3,MATCH(1,N58:X58,0))+(Z58-1)*Step_h</f>
        <v>2.5</v>
      </c>
    </row>
    <row r="59" customFormat="false" ht="15" hidden="false" customHeight="false" outlineLevel="0" collapsed="false">
      <c r="A59" s="12" t="n">
        <f aca="false">A58+Step_c</f>
        <v>43.5</v>
      </c>
      <c r="B59" s="14" t="n">
        <f aca="false">IF(SUMPRODUCT((Alpha_keep*$A59+$C$3:$M$3&gt;=Floor_c-0.000000001)*(C59:M59))&gt;0,1,0)</f>
        <v>0</v>
      </c>
      <c r="C59" s="14" t="n">
        <f aca="false">IF(AND(Alpha_keep*$A59+C$3-MAX(Loss_w)&gt;=Lo_c-0.000000001,Alpha_keep*$A59+C$3-MIN(Loss_w)&lt;=Hi_c+0.000000001),1,0)</f>
        <v>1</v>
      </c>
      <c r="D59" s="14" t="n">
        <f aca="false">IF(AND(Alpha_keep*$A59+D$3-MAX(Loss_w)&gt;=Lo_c-0.000000001,Alpha_keep*$A59+D$3-MIN(Loss_w)&lt;=Hi_c+0.000000001),1,0)</f>
        <v>1</v>
      </c>
      <c r="E59" s="14" t="n">
        <f aca="false">IF(AND(Alpha_keep*$A59+E$3-MAX(Loss_w)&gt;=Lo_c-0.000000001,Alpha_keep*$A59+E$3-MIN(Loss_w)&lt;=Hi_c+0.000000001),1,0)</f>
        <v>1</v>
      </c>
      <c r="F59" s="14" t="n">
        <f aca="false">IF(AND(Alpha_keep*$A59+F$3-MAX(Loss_w)&gt;=Lo_c-0.000000001,Alpha_keep*$A59+F$3-MIN(Loss_w)&lt;=Hi_c+0.000000001),1,0)</f>
        <v>1</v>
      </c>
      <c r="G59" s="14" t="n">
        <f aca="false">IF(AND(Alpha_keep*$A59+G$3-MAX(Loss_w)&gt;=Lo_c-0.000000001,Alpha_keep*$A59+G$3-MIN(Loss_w)&lt;=Hi_c+0.000000001),1,0)</f>
        <v>1</v>
      </c>
      <c r="H59" s="14" t="n">
        <f aca="false">IF(AND(Alpha_keep*$A59+H$3-MAX(Loss_w)&gt;=Lo_c-0.000000001,Alpha_keep*$A59+H$3-MIN(Loss_w)&lt;=Hi_c+0.000000001),1,0)</f>
        <v>1</v>
      </c>
      <c r="I59" s="14" t="n">
        <f aca="false">IF(AND(Alpha_keep*$A59+I$3-MAX(Loss_w)&gt;=Lo_c-0.000000001,Alpha_keep*$A59+I$3-MIN(Loss_w)&lt;=Hi_c+0.000000001),1,0)</f>
        <v>1</v>
      </c>
      <c r="J59" s="14" t="n">
        <f aca="false">IF(AND(Alpha_keep*$A59+J$3-MAX(Loss_w)&gt;=Lo_c-0.000000001,Alpha_keep*$A59+J$3-MIN(Loss_w)&lt;=Hi_c+0.000000001),1,0)</f>
        <v>1</v>
      </c>
      <c r="K59" s="14" t="n">
        <f aca="false">IF(AND(Alpha_keep*$A59+K$3-MAX(Loss_w)&gt;=Lo_c-0.000000001,Alpha_keep*$A59+K$3-MIN(Loss_w)&lt;=Hi_c+0.000000001),1,0)</f>
        <v>1</v>
      </c>
      <c r="L59" s="14" t="n">
        <f aca="false">IF(AND(Alpha_keep*$A59+L$3-MAX(Loss_w)&gt;=Lo_c-0.000000001,Alpha_keep*$A59+L$3-MIN(Loss_w)&lt;=Hi_c+0.000000001),1,0)</f>
        <v>1</v>
      </c>
      <c r="M59" s="14" t="n">
        <f aca="false">IF(AND(Alpha_keep*$A59+M$3-MAX(Loss_w)&gt;=Lo_c-0.000000001,Alpha_keep*$A59+M$3-MIN(Loss_w)&lt;=Hi_c+0.000000001),1,0)</f>
        <v>1</v>
      </c>
      <c r="N59" s="14" t="n">
        <f aca="false">IF(C59=1,IF(OR(Alpha_keep*$A59+N$3&gt;=Floor_c-0.000000001,AND($B59=0,N$3&gt;=Cap_h-0.000000001)),1,0),0)</f>
        <v>0</v>
      </c>
      <c r="O59" s="14" t="n">
        <f aca="false">IF(D59=1,IF(OR(Alpha_keep*$A59+O$3&gt;=Floor_c-0.000000001,AND($B59=0,O$3&gt;=Cap_h-0.000000001)),1,0),0)</f>
        <v>0</v>
      </c>
      <c r="P59" s="14" t="n">
        <f aca="false">IF(E59=1,IF(OR(Alpha_keep*$A59+P$3&gt;=Floor_c-0.000000001,AND($B59=0,P$3&gt;=Cap_h-0.000000001)),1,0),0)</f>
        <v>0</v>
      </c>
      <c r="Q59" s="14" t="n">
        <f aca="false">IF(F59=1,IF(OR(Alpha_keep*$A59+Q$3&gt;=Floor_c-0.000000001,AND($B59=0,Q$3&gt;=Cap_h-0.000000001)),1,0),0)</f>
        <v>0</v>
      </c>
      <c r="R59" s="14" t="n">
        <f aca="false">IF(G59=1,IF(OR(Alpha_keep*$A59+R$3&gt;=Floor_c-0.000000001,AND($B59=0,R$3&gt;=Cap_h-0.000000001)),1,0),0)</f>
        <v>0</v>
      </c>
      <c r="S59" s="14" t="n">
        <f aca="false">IF(H59=1,IF(OR(Alpha_keep*$A59+S$3&gt;=Floor_c-0.000000001,AND($B59=0,S$3&gt;=Cap_h-0.000000001)),1,0),0)</f>
        <v>0</v>
      </c>
      <c r="T59" s="14" t="n">
        <f aca="false">IF(I59=1,IF(OR(Alpha_keep*$A59+T$3&gt;=Floor_c-0.000000001,AND($B59=0,T$3&gt;=Cap_h-0.000000001)),1,0),0)</f>
        <v>0</v>
      </c>
      <c r="U59" s="14" t="n">
        <f aca="false">IF(J59=1,IF(OR(Alpha_keep*$A59+U$3&gt;=Floor_c-0.000000001,AND($B59=0,U$3&gt;=Cap_h-0.000000001)),1,0),0)</f>
        <v>0</v>
      </c>
      <c r="V59" s="14" t="n">
        <f aca="false">IF(K59=1,IF(OR(Alpha_keep*$A59+V$3&gt;=Floor_c-0.000000001,AND($B59=0,V$3&gt;=Cap_h-0.000000001)),1,0),0)</f>
        <v>0</v>
      </c>
      <c r="W59" s="14" t="n">
        <f aca="false">IF(L59=1,IF(OR(Alpha_keep*$A59+W$3&gt;=Floor_c-0.000000001,AND($B59=0,W$3&gt;=Cap_h-0.000000001)),1,0),0)</f>
        <v>0</v>
      </c>
      <c r="X59" s="14" t="n">
        <f aca="false">IF(M59=1,IF(OR(Alpha_keep*$A59+X$3&gt;=Floor_c-0.000000001,AND($B59=0,X$3&gt;=Cap_h-0.000000001)),1,0),0)</f>
        <v>1</v>
      </c>
      <c r="Y59" s="14" t="n">
        <f aca="false">SUM(C59:M59)</f>
        <v>11</v>
      </c>
      <c r="Z59" s="14" t="n">
        <f aca="false">SUM(N59:X59)</f>
        <v>1</v>
      </c>
      <c r="AA59" s="12" t="n">
        <f aca="false">INDEX($C$3:$M$3,MATCH(1,C59:M59,0))</f>
        <v>0</v>
      </c>
      <c r="AB59" s="12" t="n">
        <f aca="false">INDEX($N$3:$X$3,MATCH(1,N59:X59,0))+(Z59-1)*Step_h</f>
        <v>2.5</v>
      </c>
    </row>
    <row r="60" customFormat="false" ht="15" hidden="false" customHeight="false" outlineLevel="0" collapsed="false">
      <c r="A60" s="12" t="n">
        <f aca="false">A59+Step_c</f>
        <v>43.75</v>
      </c>
      <c r="B60" s="14" t="n">
        <f aca="false">IF(SUMPRODUCT((Alpha_keep*$A60+$C$3:$M$3&gt;=Floor_c-0.000000001)*(C60:M60))&gt;0,1,0)</f>
        <v>0</v>
      </c>
      <c r="C60" s="14" t="n">
        <f aca="false">IF(AND(Alpha_keep*$A60+C$3-MAX(Loss_w)&gt;=Lo_c-0.000000001,Alpha_keep*$A60+C$3-MIN(Loss_w)&lt;=Hi_c+0.000000001),1,0)</f>
        <v>1</v>
      </c>
      <c r="D60" s="14" t="n">
        <f aca="false">IF(AND(Alpha_keep*$A60+D$3-MAX(Loss_w)&gt;=Lo_c-0.000000001,Alpha_keep*$A60+D$3-MIN(Loss_w)&lt;=Hi_c+0.000000001),1,0)</f>
        <v>1</v>
      </c>
      <c r="E60" s="14" t="n">
        <f aca="false">IF(AND(Alpha_keep*$A60+E$3-MAX(Loss_w)&gt;=Lo_c-0.000000001,Alpha_keep*$A60+E$3-MIN(Loss_w)&lt;=Hi_c+0.000000001),1,0)</f>
        <v>1</v>
      </c>
      <c r="F60" s="14" t="n">
        <f aca="false">IF(AND(Alpha_keep*$A60+F$3-MAX(Loss_w)&gt;=Lo_c-0.000000001,Alpha_keep*$A60+F$3-MIN(Loss_w)&lt;=Hi_c+0.000000001),1,0)</f>
        <v>1</v>
      </c>
      <c r="G60" s="14" t="n">
        <f aca="false">IF(AND(Alpha_keep*$A60+G$3-MAX(Loss_w)&gt;=Lo_c-0.000000001,Alpha_keep*$A60+G$3-MIN(Loss_w)&lt;=Hi_c+0.000000001),1,0)</f>
        <v>1</v>
      </c>
      <c r="H60" s="14" t="n">
        <f aca="false">IF(AND(Alpha_keep*$A60+H$3-MAX(Loss_w)&gt;=Lo_c-0.000000001,Alpha_keep*$A60+H$3-MIN(Loss_w)&lt;=Hi_c+0.000000001),1,0)</f>
        <v>1</v>
      </c>
      <c r="I60" s="14" t="n">
        <f aca="false">IF(AND(Alpha_keep*$A60+I$3-MAX(Loss_w)&gt;=Lo_c-0.000000001,Alpha_keep*$A60+I$3-MIN(Loss_w)&lt;=Hi_c+0.000000001),1,0)</f>
        <v>1</v>
      </c>
      <c r="J60" s="14" t="n">
        <f aca="false">IF(AND(Alpha_keep*$A60+J$3-MAX(Loss_w)&gt;=Lo_c-0.000000001,Alpha_keep*$A60+J$3-MIN(Loss_w)&lt;=Hi_c+0.000000001),1,0)</f>
        <v>1</v>
      </c>
      <c r="K60" s="14" t="n">
        <f aca="false">IF(AND(Alpha_keep*$A60+K$3-MAX(Loss_w)&gt;=Lo_c-0.000000001,Alpha_keep*$A60+K$3-MIN(Loss_w)&lt;=Hi_c+0.000000001),1,0)</f>
        <v>1</v>
      </c>
      <c r="L60" s="14" t="n">
        <f aca="false">IF(AND(Alpha_keep*$A60+L$3-MAX(Loss_w)&gt;=Lo_c-0.000000001,Alpha_keep*$A60+L$3-MIN(Loss_w)&lt;=Hi_c+0.000000001),1,0)</f>
        <v>1</v>
      </c>
      <c r="M60" s="14" t="n">
        <f aca="false">IF(AND(Alpha_keep*$A60+M$3-MAX(Loss_w)&gt;=Lo_c-0.000000001,Alpha_keep*$A60+M$3-MIN(Loss_w)&lt;=Hi_c+0.000000001),1,0)</f>
        <v>1</v>
      </c>
      <c r="N60" s="14" t="n">
        <f aca="false">IF(C60=1,IF(OR(Alpha_keep*$A60+N$3&gt;=Floor_c-0.000000001,AND($B60=0,N$3&gt;=Cap_h-0.000000001)),1,0),0)</f>
        <v>0</v>
      </c>
      <c r="O60" s="14" t="n">
        <f aca="false">IF(D60=1,IF(OR(Alpha_keep*$A60+O$3&gt;=Floor_c-0.000000001,AND($B60=0,O$3&gt;=Cap_h-0.000000001)),1,0),0)</f>
        <v>0</v>
      </c>
      <c r="P60" s="14" t="n">
        <f aca="false">IF(E60=1,IF(OR(Alpha_keep*$A60+P$3&gt;=Floor_c-0.000000001,AND($B60=0,P$3&gt;=Cap_h-0.000000001)),1,0),0)</f>
        <v>0</v>
      </c>
      <c r="Q60" s="14" t="n">
        <f aca="false">IF(F60=1,IF(OR(Alpha_keep*$A60+Q$3&gt;=Floor_c-0.000000001,AND($B60=0,Q$3&gt;=Cap_h-0.000000001)),1,0),0)</f>
        <v>0</v>
      </c>
      <c r="R60" s="14" t="n">
        <f aca="false">IF(G60=1,IF(OR(Alpha_keep*$A60+R$3&gt;=Floor_c-0.000000001,AND($B60=0,R$3&gt;=Cap_h-0.000000001)),1,0),0)</f>
        <v>0</v>
      </c>
      <c r="S60" s="14" t="n">
        <f aca="false">IF(H60=1,IF(OR(Alpha_keep*$A60+S$3&gt;=Floor_c-0.000000001,AND($B60=0,S$3&gt;=Cap_h-0.000000001)),1,0),0)</f>
        <v>0</v>
      </c>
      <c r="T60" s="14" t="n">
        <f aca="false">IF(I60=1,IF(OR(Alpha_keep*$A60+T$3&gt;=Floor_c-0.000000001,AND($B60=0,T$3&gt;=Cap_h-0.000000001)),1,0),0)</f>
        <v>0</v>
      </c>
      <c r="U60" s="14" t="n">
        <f aca="false">IF(J60=1,IF(OR(Alpha_keep*$A60+U$3&gt;=Floor_c-0.000000001,AND($B60=0,U$3&gt;=Cap_h-0.000000001)),1,0),0)</f>
        <v>0</v>
      </c>
      <c r="V60" s="14" t="n">
        <f aca="false">IF(K60=1,IF(OR(Alpha_keep*$A60+V$3&gt;=Floor_c-0.000000001,AND($B60=0,V$3&gt;=Cap_h-0.000000001)),1,0),0)</f>
        <v>0</v>
      </c>
      <c r="W60" s="14" t="n">
        <f aca="false">IF(L60=1,IF(OR(Alpha_keep*$A60+W$3&gt;=Floor_c-0.000000001,AND($B60=0,W$3&gt;=Cap_h-0.000000001)),1,0),0)</f>
        <v>0</v>
      </c>
      <c r="X60" s="14" t="n">
        <f aca="false">IF(M60=1,IF(OR(Alpha_keep*$A60+X$3&gt;=Floor_c-0.000000001,AND($B60=0,X$3&gt;=Cap_h-0.000000001)),1,0),0)</f>
        <v>1</v>
      </c>
      <c r="Y60" s="14" t="n">
        <f aca="false">SUM(C60:M60)</f>
        <v>11</v>
      </c>
      <c r="Z60" s="14" t="n">
        <f aca="false">SUM(N60:X60)</f>
        <v>1</v>
      </c>
      <c r="AA60" s="12" t="n">
        <f aca="false">INDEX($C$3:$M$3,MATCH(1,C60:M60,0))</f>
        <v>0</v>
      </c>
      <c r="AB60" s="12" t="n">
        <f aca="false">INDEX($N$3:$X$3,MATCH(1,N60:X60,0))+(Z60-1)*Step_h</f>
        <v>2.5</v>
      </c>
    </row>
    <row r="61" customFormat="false" ht="15" hidden="false" customHeight="false" outlineLevel="0" collapsed="false">
      <c r="A61" s="12" t="n">
        <f aca="false">A60+Step_c</f>
        <v>44</v>
      </c>
      <c r="B61" s="14" t="n">
        <f aca="false">IF(SUMPRODUCT((Alpha_keep*$A61+$C$3:$M$3&gt;=Floor_c-0.000000001)*(C61:M61))&gt;0,1,0)</f>
        <v>0</v>
      </c>
      <c r="C61" s="14" t="n">
        <f aca="false">IF(AND(Alpha_keep*$A61+C$3-MAX(Loss_w)&gt;=Lo_c-0.000000001,Alpha_keep*$A61+C$3-MIN(Loss_w)&lt;=Hi_c+0.000000001),1,0)</f>
        <v>1</v>
      </c>
      <c r="D61" s="14" t="n">
        <f aca="false">IF(AND(Alpha_keep*$A61+D$3-MAX(Loss_w)&gt;=Lo_c-0.000000001,Alpha_keep*$A61+D$3-MIN(Loss_w)&lt;=Hi_c+0.000000001),1,0)</f>
        <v>1</v>
      </c>
      <c r="E61" s="14" t="n">
        <f aca="false">IF(AND(Alpha_keep*$A61+E$3-MAX(Loss_w)&gt;=Lo_c-0.000000001,Alpha_keep*$A61+E$3-MIN(Loss_w)&lt;=Hi_c+0.000000001),1,0)</f>
        <v>1</v>
      </c>
      <c r="F61" s="14" t="n">
        <f aca="false">IF(AND(Alpha_keep*$A61+F$3-MAX(Loss_w)&gt;=Lo_c-0.000000001,Alpha_keep*$A61+F$3-MIN(Loss_w)&lt;=Hi_c+0.000000001),1,0)</f>
        <v>1</v>
      </c>
      <c r="G61" s="14" t="n">
        <f aca="false">IF(AND(Alpha_keep*$A61+G$3-MAX(Loss_w)&gt;=Lo_c-0.000000001,Alpha_keep*$A61+G$3-MIN(Loss_w)&lt;=Hi_c+0.000000001),1,0)</f>
        <v>1</v>
      </c>
      <c r="H61" s="14" t="n">
        <f aca="false">IF(AND(Alpha_keep*$A61+H$3-MAX(Loss_w)&gt;=Lo_c-0.000000001,Alpha_keep*$A61+H$3-MIN(Loss_w)&lt;=Hi_c+0.000000001),1,0)</f>
        <v>1</v>
      </c>
      <c r="I61" s="14" t="n">
        <f aca="false">IF(AND(Alpha_keep*$A61+I$3-MAX(Loss_w)&gt;=Lo_c-0.000000001,Alpha_keep*$A61+I$3-MIN(Loss_w)&lt;=Hi_c+0.000000001),1,0)</f>
        <v>1</v>
      </c>
      <c r="J61" s="14" t="n">
        <f aca="false">IF(AND(Alpha_keep*$A61+J$3-MAX(Loss_w)&gt;=Lo_c-0.000000001,Alpha_keep*$A61+J$3-MIN(Loss_w)&lt;=Hi_c+0.000000001),1,0)</f>
        <v>1</v>
      </c>
      <c r="K61" s="14" t="n">
        <f aca="false">IF(AND(Alpha_keep*$A61+K$3-MAX(Loss_w)&gt;=Lo_c-0.000000001,Alpha_keep*$A61+K$3-MIN(Loss_w)&lt;=Hi_c+0.000000001),1,0)</f>
        <v>1</v>
      </c>
      <c r="L61" s="14" t="n">
        <f aca="false">IF(AND(Alpha_keep*$A61+L$3-MAX(Loss_w)&gt;=Lo_c-0.000000001,Alpha_keep*$A61+L$3-MIN(Loss_w)&lt;=Hi_c+0.000000001),1,0)</f>
        <v>1</v>
      </c>
      <c r="M61" s="14" t="n">
        <f aca="false">IF(AND(Alpha_keep*$A61+M$3-MAX(Loss_w)&gt;=Lo_c-0.000000001,Alpha_keep*$A61+M$3-MIN(Loss_w)&lt;=Hi_c+0.000000001),1,0)</f>
        <v>1</v>
      </c>
      <c r="N61" s="14" t="n">
        <f aca="false">IF(C61=1,IF(OR(Alpha_keep*$A61+N$3&gt;=Floor_c-0.000000001,AND($B61=0,N$3&gt;=Cap_h-0.000000001)),1,0),0)</f>
        <v>0</v>
      </c>
      <c r="O61" s="14" t="n">
        <f aca="false">IF(D61=1,IF(OR(Alpha_keep*$A61+O$3&gt;=Floor_c-0.000000001,AND($B61=0,O$3&gt;=Cap_h-0.000000001)),1,0),0)</f>
        <v>0</v>
      </c>
      <c r="P61" s="14" t="n">
        <f aca="false">IF(E61=1,IF(OR(Alpha_keep*$A61+P$3&gt;=Floor_c-0.000000001,AND($B61=0,P$3&gt;=Cap_h-0.000000001)),1,0),0)</f>
        <v>0</v>
      </c>
      <c r="Q61" s="14" t="n">
        <f aca="false">IF(F61=1,IF(OR(Alpha_keep*$A61+Q$3&gt;=Floor_c-0.000000001,AND($B61=0,Q$3&gt;=Cap_h-0.000000001)),1,0),0)</f>
        <v>0</v>
      </c>
      <c r="R61" s="14" t="n">
        <f aca="false">IF(G61=1,IF(OR(Alpha_keep*$A61+R$3&gt;=Floor_c-0.000000001,AND($B61=0,R$3&gt;=Cap_h-0.000000001)),1,0),0)</f>
        <v>0</v>
      </c>
      <c r="S61" s="14" t="n">
        <f aca="false">IF(H61=1,IF(OR(Alpha_keep*$A61+S$3&gt;=Floor_c-0.000000001,AND($B61=0,S$3&gt;=Cap_h-0.000000001)),1,0),0)</f>
        <v>0</v>
      </c>
      <c r="T61" s="14" t="n">
        <f aca="false">IF(I61=1,IF(OR(Alpha_keep*$A61+T$3&gt;=Floor_c-0.000000001,AND($B61=0,T$3&gt;=Cap_h-0.000000001)),1,0),0)</f>
        <v>0</v>
      </c>
      <c r="U61" s="14" t="n">
        <f aca="false">IF(J61=1,IF(OR(Alpha_keep*$A61+U$3&gt;=Floor_c-0.000000001,AND($B61=0,U$3&gt;=Cap_h-0.000000001)),1,0),0)</f>
        <v>0</v>
      </c>
      <c r="V61" s="14" t="n">
        <f aca="false">IF(K61=1,IF(OR(Alpha_keep*$A61+V$3&gt;=Floor_c-0.000000001,AND($B61=0,V$3&gt;=Cap_h-0.000000001)),1,0),0)</f>
        <v>0</v>
      </c>
      <c r="W61" s="14" t="n">
        <f aca="false">IF(L61=1,IF(OR(Alpha_keep*$A61+W$3&gt;=Floor_c-0.000000001,AND($B61=0,W$3&gt;=Cap_h-0.000000001)),1,0),0)</f>
        <v>0</v>
      </c>
      <c r="X61" s="14" t="n">
        <f aca="false">IF(M61=1,IF(OR(Alpha_keep*$A61+X$3&gt;=Floor_c-0.000000001,AND($B61=0,X$3&gt;=Cap_h-0.000000001)),1,0),0)</f>
        <v>1</v>
      </c>
      <c r="Y61" s="14" t="n">
        <f aca="false">SUM(C61:M61)</f>
        <v>11</v>
      </c>
      <c r="Z61" s="14" t="n">
        <f aca="false">SUM(N61:X61)</f>
        <v>1</v>
      </c>
      <c r="AA61" s="12" t="n">
        <f aca="false">INDEX($C$3:$M$3,MATCH(1,C61:M61,0))</f>
        <v>0</v>
      </c>
      <c r="AB61" s="12" t="n">
        <f aca="false">INDEX($N$3:$X$3,MATCH(1,N61:X61,0))+(Z61-1)*Step_h</f>
        <v>2.5</v>
      </c>
    </row>
    <row r="62" customFormat="false" ht="15" hidden="false" customHeight="false" outlineLevel="0" collapsed="false">
      <c r="A62" s="12" t="n">
        <f aca="false">A61+Step_c</f>
        <v>44.25</v>
      </c>
      <c r="B62" s="14" t="n">
        <f aca="false">IF(SUMPRODUCT((Alpha_keep*$A62+$C$3:$M$3&gt;=Floor_c-0.000000001)*(C62:M62))&gt;0,1,0)</f>
        <v>0</v>
      </c>
      <c r="C62" s="14" t="n">
        <f aca="false">IF(AND(Alpha_keep*$A62+C$3-MAX(Loss_w)&gt;=Lo_c-0.000000001,Alpha_keep*$A62+C$3-MIN(Loss_w)&lt;=Hi_c+0.000000001),1,0)</f>
        <v>1</v>
      </c>
      <c r="D62" s="14" t="n">
        <f aca="false">IF(AND(Alpha_keep*$A62+D$3-MAX(Loss_w)&gt;=Lo_c-0.000000001,Alpha_keep*$A62+D$3-MIN(Loss_w)&lt;=Hi_c+0.000000001),1,0)</f>
        <v>1</v>
      </c>
      <c r="E62" s="14" t="n">
        <f aca="false">IF(AND(Alpha_keep*$A62+E$3-MAX(Loss_w)&gt;=Lo_c-0.000000001,Alpha_keep*$A62+E$3-MIN(Loss_w)&lt;=Hi_c+0.000000001),1,0)</f>
        <v>1</v>
      </c>
      <c r="F62" s="14" t="n">
        <f aca="false">IF(AND(Alpha_keep*$A62+F$3-MAX(Loss_w)&gt;=Lo_c-0.000000001,Alpha_keep*$A62+F$3-MIN(Loss_w)&lt;=Hi_c+0.000000001),1,0)</f>
        <v>1</v>
      </c>
      <c r="G62" s="14" t="n">
        <f aca="false">IF(AND(Alpha_keep*$A62+G$3-MAX(Loss_w)&gt;=Lo_c-0.000000001,Alpha_keep*$A62+G$3-MIN(Loss_w)&lt;=Hi_c+0.000000001),1,0)</f>
        <v>1</v>
      </c>
      <c r="H62" s="14" t="n">
        <f aca="false">IF(AND(Alpha_keep*$A62+H$3-MAX(Loss_w)&gt;=Lo_c-0.000000001,Alpha_keep*$A62+H$3-MIN(Loss_w)&lt;=Hi_c+0.000000001),1,0)</f>
        <v>1</v>
      </c>
      <c r="I62" s="14" t="n">
        <f aca="false">IF(AND(Alpha_keep*$A62+I$3-MAX(Loss_w)&gt;=Lo_c-0.000000001,Alpha_keep*$A62+I$3-MIN(Loss_w)&lt;=Hi_c+0.000000001),1,0)</f>
        <v>1</v>
      </c>
      <c r="J62" s="14" t="n">
        <f aca="false">IF(AND(Alpha_keep*$A62+J$3-MAX(Loss_w)&gt;=Lo_c-0.000000001,Alpha_keep*$A62+J$3-MIN(Loss_w)&lt;=Hi_c+0.000000001),1,0)</f>
        <v>1</v>
      </c>
      <c r="K62" s="14" t="n">
        <f aca="false">IF(AND(Alpha_keep*$A62+K$3-MAX(Loss_w)&gt;=Lo_c-0.000000001,Alpha_keep*$A62+K$3-MIN(Loss_w)&lt;=Hi_c+0.000000001),1,0)</f>
        <v>1</v>
      </c>
      <c r="L62" s="14" t="n">
        <f aca="false">IF(AND(Alpha_keep*$A62+L$3-MAX(Loss_w)&gt;=Lo_c-0.000000001,Alpha_keep*$A62+L$3-MIN(Loss_w)&lt;=Hi_c+0.000000001),1,0)</f>
        <v>1</v>
      </c>
      <c r="M62" s="14" t="n">
        <f aca="false">IF(AND(Alpha_keep*$A62+M$3-MAX(Loss_w)&gt;=Lo_c-0.000000001,Alpha_keep*$A62+M$3-MIN(Loss_w)&lt;=Hi_c+0.000000001),1,0)</f>
        <v>1</v>
      </c>
      <c r="N62" s="14" t="n">
        <f aca="false">IF(C62=1,IF(OR(Alpha_keep*$A62+N$3&gt;=Floor_c-0.000000001,AND($B62=0,N$3&gt;=Cap_h-0.000000001)),1,0),0)</f>
        <v>0</v>
      </c>
      <c r="O62" s="14" t="n">
        <f aca="false">IF(D62=1,IF(OR(Alpha_keep*$A62+O$3&gt;=Floor_c-0.000000001,AND($B62=0,O$3&gt;=Cap_h-0.000000001)),1,0),0)</f>
        <v>0</v>
      </c>
      <c r="P62" s="14" t="n">
        <f aca="false">IF(E62=1,IF(OR(Alpha_keep*$A62+P$3&gt;=Floor_c-0.000000001,AND($B62=0,P$3&gt;=Cap_h-0.000000001)),1,0),0)</f>
        <v>0</v>
      </c>
      <c r="Q62" s="14" t="n">
        <f aca="false">IF(F62=1,IF(OR(Alpha_keep*$A62+Q$3&gt;=Floor_c-0.000000001,AND($B62=0,Q$3&gt;=Cap_h-0.000000001)),1,0),0)</f>
        <v>0</v>
      </c>
      <c r="R62" s="14" t="n">
        <f aca="false">IF(G62=1,IF(OR(Alpha_keep*$A62+R$3&gt;=Floor_c-0.000000001,AND($B62=0,R$3&gt;=Cap_h-0.000000001)),1,0),0)</f>
        <v>0</v>
      </c>
      <c r="S62" s="14" t="n">
        <f aca="false">IF(H62=1,IF(OR(Alpha_keep*$A62+S$3&gt;=Floor_c-0.000000001,AND($B62=0,S$3&gt;=Cap_h-0.000000001)),1,0),0)</f>
        <v>0</v>
      </c>
      <c r="T62" s="14" t="n">
        <f aca="false">IF(I62=1,IF(OR(Alpha_keep*$A62+T$3&gt;=Floor_c-0.000000001,AND($B62=0,T$3&gt;=Cap_h-0.000000001)),1,0),0)</f>
        <v>0</v>
      </c>
      <c r="U62" s="14" t="n">
        <f aca="false">IF(J62=1,IF(OR(Alpha_keep*$A62+U$3&gt;=Floor_c-0.000000001,AND($B62=0,U$3&gt;=Cap_h-0.000000001)),1,0),0)</f>
        <v>0</v>
      </c>
      <c r="V62" s="14" t="n">
        <f aca="false">IF(K62=1,IF(OR(Alpha_keep*$A62+V$3&gt;=Floor_c-0.000000001,AND($B62=0,V$3&gt;=Cap_h-0.000000001)),1,0),0)</f>
        <v>0</v>
      </c>
      <c r="W62" s="14" t="n">
        <f aca="false">IF(L62=1,IF(OR(Alpha_keep*$A62+W$3&gt;=Floor_c-0.000000001,AND($B62=0,W$3&gt;=Cap_h-0.000000001)),1,0),0)</f>
        <v>0</v>
      </c>
      <c r="X62" s="14" t="n">
        <f aca="false">IF(M62=1,IF(OR(Alpha_keep*$A62+X$3&gt;=Floor_c-0.000000001,AND($B62=0,X$3&gt;=Cap_h-0.000000001)),1,0),0)</f>
        <v>1</v>
      </c>
      <c r="Y62" s="14" t="n">
        <f aca="false">SUM(C62:M62)</f>
        <v>11</v>
      </c>
      <c r="Z62" s="14" t="n">
        <f aca="false">SUM(N62:X62)</f>
        <v>1</v>
      </c>
      <c r="AA62" s="12" t="n">
        <f aca="false">INDEX($C$3:$M$3,MATCH(1,C62:M62,0))</f>
        <v>0</v>
      </c>
      <c r="AB62" s="12" t="n">
        <f aca="false">INDEX($N$3:$X$3,MATCH(1,N62:X62,0))+(Z62-1)*Step_h</f>
        <v>2.5</v>
      </c>
    </row>
    <row r="63" customFormat="false" ht="15" hidden="false" customHeight="false" outlineLevel="0" collapsed="false">
      <c r="A63" s="12" t="n">
        <f aca="false">A62+Step_c</f>
        <v>44.5</v>
      </c>
      <c r="B63" s="14" t="n">
        <f aca="false">IF(SUMPRODUCT((Alpha_keep*$A63+$C$3:$M$3&gt;=Floor_c-0.000000001)*(C63:M63))&gt;0,1,0)</f>
        <v>0</v>
      </c>
      <c r="C63" s="14" t="n">
        <f aca="false">IF(AND(Alpha_keep*$A63+C$3-MAX(Loss_w)&gt;=Lo_c-0.000000001,Alpha_keep*$A63+C$3-MIN(Loss_w)&lt;=Hi_c+0.000000001),1,0)</f>
        <v>1</v>
      </c>
      <c r="D63" s="14" t="n">
        <f aca="false">IF(AND(Alpha_keep*$A63+D$3-MAX(Loss_w)&gt;=Lo_c-0.000000001,Alpha_keep*$A63+D$3-MIN(Loss_w)&lt;=Hi_c+0.000000001),1,0)</f>
        <v>1</v>
      </c>
      <c r="E63" s="14" t="n">
        <f aca="false">IF(AND(Alpha_keep*$A63+E$3-MAX(Loss_w)&gt;=Lo_c-0.000000001,Alpha_keep*$A63+E$3-MIN(Loss_w)&lt;=Hi_c+0.000000001),1,0)</f>
        <v>1</v>
      </c>
      <c r="F63" s="14" t="n">
        <f aca="false">IF(AND(Alpha_keep*$A63+F$3-MAX(Loss_w)&gt;=Lo_c-0.000000001,Alpha_keep*$A63+F$3-MIN(Loss_w)&lt;=Hi_c+0.000000001),1,0)</f>
        <v>1</v>
      </c>
      <c r="G63" s="14" t="n">
        <f aca="false">IF(AND(Alpha_keep*$A63+G$3-MAX(Loss_w)&gt;=Lo_c-0.000000001,Alpha_keep*$A63+G$3-MIN(Loss_w)&lt;=Hi_c+0.000000001),1,0)</f>
        <v>1</v>
      </c>
      <c r="H63" s="14" t="n">
        <f aca="false">IF(AND(Alpha_keep*$A63+H$3-MAX(Loss_w)&gt;=Lo_c-0.000000001,Alpha_keep*$A63+H$3-MIN(Loss_w)&lt;=Hi_c+0.000000001),1,0)</f>
        <v>1</v>
      </c>
      <c r="I63" s="14" t="n">
        <f aca="false">IF(AND(Alpha_keep*$A63+I$3-MAX(Loss_w)&gt;=Lo_c-0.000000001,Alpha_keep*$A63+I$3-MIN(Loss_w)&lt;=Hi_c+0.000000001),1,0)</f>
        <v>1</v>
      </c>
      <c r="J63" s="14" t="n">
        <f aca="false">IF(AND(Alpha_keep*$A63+J$3-MAX(Loss_w)&gt;=Lo_c-0.000000001,Alpha_keep*$A63+J$3-MIN(Loss_w)&lt;=Hi_c+0.000000001),1,0)</f>
        <v>1</v>
      </c>
      <c r="K63" s="14" t="n">
        <f aca="false">IF(AND(Alpha_keep*$A63+K$3-MAX(Loss_w)&gt;=Lo_c-0.000000001,Alpha_keep*$A63+K$3-MIN(Loss_w)&lt;=Hi_c+0.000000001),1,0)</f>
        <v>1</v>
      </c>
      <c r="L63" s="14" t="n">
        <f aca="false">IF(AND(Alpha_keep*$A63+L$3-MAX(Loss_w)&gt;=Lo_c-0.000000001,Alpha_keep*$A63+L$3-MIN(Loss_w)&lt;=Hi_c+0.000000001),1,0)</f>
        <v>1</v>
      </c>
      <c r="M63" s="14" t="n">
        <f aca="false">IF(AND(Alpha_keep*$A63+M$3-MAX(Loss_w)&gt;=Lo_c-0.000000001,Alpha_keep*$A63+M$3-MIN(Loss_w)&lt;=Hi_c+0.000000001),1,0)</f>
        <v>1</v>
      </c>
      <c r="N63" s="14" t="n">
        <f aca="false">IF(C63=1,IF(OR(Alpha_keep*$A63+N$3&gt;=Floor_c-0.000000001,AND($B63=0,N$3&gt;=Cap_h-0.000000001)),1,0),0)</f>
        <v>0</v>
      </c>
      <c r="O63" s="14" t="n">
        <f aca="false">IF(D63=1,IF(OR(Alpha_keep*$A63+O$3&gt;=Floor_c-0.000000001,AND($B63=0,O$3&gt;=Cap_h-0.000000001)),1,0),0)</f>
        <v>0</v>
      </c>
      <c r="P63" s="14" t="n">
        <f aca="false">IF(E63=1,IF(OR(Alpha_keep*$A63+P$3&gt;=Floor_c-0.000000001,AND($B63=0,P$3&gt;=Cap_h-0.000000001)),1,0),0)</f>
        <v>0</v>
      </c>
      <c r="Q63" s="14" t="n">
        <f aca="false">IF(F63=1,IF(OR(Alpha_keep*$A63+Q$3&gt;=Floor_c-0.000000001,AND($B63=0,Q$3&gt;=Cap_h-0.000000001)),1,0),0)</f>
        <v>0</v>
      </c>
      <c r="R63" s="14" t="n">
        <f aca="false">IF(G63=1,IF(OR(Alpha_keep*$A63+R$3&gt;=Floor_c-0.000000001,AND($B63=0,R$3&gt;=Cap_h-0.000000001)),1,0),0)</f>
        <v>0</v>
      </c>
      <c r="S63" s="14" t="n">
        <f aca="false">IF(H63=1,IF(OR(Alpha_keep*$A63+S$3&gt;=Floor_c-0.000000001,AND($B63=0,S$3&gt;=Cap_h-0.000000001)),1,0),0)</f>
        <v>0</v>
      </c>
      <c r="T63" s="14" t="n">
        <f aca="false">IF(I63=1,IF(OR(Alpha_keep*$A63+T$3&gt;=Floor_c-0.000000001,AND($B63=0,T$3&gt;=Cap_h-0.000000001)),1,0),0)</f>
        <v>0</v>
      </c>
      <c r="U63" s="14" t="n">
        <f aca="false">IF(J63=1,IF(OR(Alpha_keep*$A63+U$3&gt;=Floor_c-0.000000001,AND($B63=0,U$3&gt;=Cap_h-0.000000001)),1,0),0)</f>
        <v>0</v>
      </c>
      <c r="V63" s="14" t="n">
        <f aca="false">IF(K63=1,IF(OR(Alpha_keep*$A63+V$3&gt;=Floor_c-0.000000001,AND($B63=0,V$3&gt;=Cap_h-0.000000001)),1,0),0)</f>
        <v>0</v>
      </c>
      <c r="W63" s="14" t="n">
        <f aca="false">IF(L63=1,IF(OR(Alpha_keep*$A63+W$3&gt;=Floor_c-0.000000001,AND($B63=0,W$3&gt;=Cap_h-0.000000001)),1,0),0)</f>
        <v>0</v>
      </c>
      <c r="X63" s="14" t="n">
        <f aca="false">IF(M63=1,IF(OR(Alpha_keep*$A63+X$3&gt;=Floor_c-0.000000001,AND($B63=0,X$3&gt;=Cap_h-0.000000001)),1,0),0)</f>
        <v>1</v>
      </c>
      <c r="Y63" s="14" t="n">
        <f aca="false">SUM(C63:M63)</f>
        <v>11</v>
      </c>
      <c r="Z63" s="14" t="n">
        <f aca="false">SUM(N63:X63)</f>
        <v>1</v>
      </c>
      <c r="AA63" s="12" t="n">
        <f aca="false">INDEX($C$3:$M$3,MATCH(1,C63:M63,0))</f>
        <v>0</v>
      </c>
      <c r="AB63" s="12" t="n">
        <f aca="false">INDEX($N$3:$X$3,MATCH(1,N63:X63,0))+(Z63-1)*Step_h</f>
        <v>2.5</v>
      </c>
    </row>
    <row r="64" customFormat="false" ht="15" hidden="false" customHeight="false" outlineLevel="0" collapsed="false">
      <c r="A64" s="12" t="n">
        <f aca="false">A63+Step_c</f>
        <v>44.75</v>
      </c>
      <c r="B64" s="14" t="n">
        <f aca="false">IF(SUMPRODUCT((Alpha_keep*$A64+$C$3:$M$3&gt;=Floor_c-0.000000001)*(C64:M64))&gt;0,1,0)</f>
        <v>0</v>
      </c>
      <c r="C64" s="14" t="n">
        <f aca="false">IF(AND(Alpha_keep*$A64+C$3-MAX(Loss_w)&gt;=Lo_c-0.000000001,Alpha_keep*$A64+C$3-MIN(Loss_w)&lt;=Hi_c+0.000000001),1,0)</f>
        <v>1</v>
      </c>
      <c r="D64" s="14" t="n">
        <f aca="false">IF(AND(Alpha_keep*$A64+D$3-MAX(Loss_w)&gt;=Lo_c-0.000000001,Alpha_keep*$A64+D$3-MIN(Loss_w)&lt;=Hi_c+0.000000001),1,0)</f>
        <v>1</v>
      </c>
      <c r="E64" s="14" t="n">
        <f aca="false">IF(AND(Alpha_keep*$A64+E$3-MAX(Loss_w)&gt;=Lo_c-0.000000001,Alpha_keep*$A64+E$3-MIN(Loss_w)&lt;=Hi_c+0.000000001),1,0)</f>
        <v>1</v>
      </c>
      <c r="F64" s="14" t="n">
        <f aca="false">IF(AND(Alpha_keep*$A64+F$3-MAX(Loss_w)&gt;=Lo_c-0.000000001,Alpha_keep*$A64+F$3-MIN(Loss_w)&lt;=Hi_c+0.000000001),1,0)</f>
        <v>1</v>
      </c>
      <c r="G64" s="14" t="n">
        <f aca="false">IF(AND(Alpha_keep*$A64+G$3-MAX(Loss_w)&gt;=Lo_c-0.000000001,Alpha_keep*$A64+G$3-MIN(Loss_w)&lt;=Hi_c+0.000000001),1,0)</f>
        <v>1</v>
      </c>
      <c r="H64" s="14" t="n">
        <f aca="false">IF(AND(Alpha_keep*$A64+H$3-MAX(Loss_w)&gt;=Lo_c-0.000000001,Alpha_keep*$A64+H$3-MIN(Loss_w)&lt;=Hi_c+0.000000001),1,0)</f>
        <v>1</v>
      </c>
      <c r="I64" s="14" t="n">
        <f aca="false">IF(AND(Alpha_keep*$A64+I$3-MAX(Loss_w)&gt;=Lo_c-0.000000001,Alpha_keep*$A64+I$3-MIN(Loss_w)&lt;=Hi_c+0.000000001),1,0)</f>
        <v>1</v>
      </c>
      <c r="J64" s="14" t="n">
        <f aca="false">IF(AND(Alpha_keep*$A64+J$3-MAX(Loss_w)&gt;=Lo_c-0.000000001,Alpha_keep*$A64+J$3-MIN(Loss_w)&lt;=Hi_c+0.000000001),1,0)</f>
        <v>1</v>
      </c>
      <c r="K64" s="14" t="n">
        <f aca="false">IF(AND(Alpha_keep*$A64+K$3-MAX(Loss_w)&gt;=Lo_c-0.000000001,Alpha_keep*$A64+K$3-MIN(Loss_w)&lt;=Hi_c+0.000000001),1,0)</f>
        <v>1</v>
      </c>
      <c r="L64" s="14" t="n">
        <f aca="false">IF(AND(Alpha_keep*$A64+L$3-MAX(Loss_w)&gt;=Lo_c-0.000000001,Alpha_keep*$A64+L$3-MIN(Loss_w)&lt;=Hi_c+0.000000001),1,0)</f>
        <v>1</v>
      </c>
      <c r="M64" s="14" t="n">
        <f aca="false">IF(AND(Alpha_keep*$A64+M$3-MAX(Loss_w)&gt;=Lo_c-0.000000001,Alpha_keep*$A64+M$3-MIN(Loss_w)&lt;=Hi_c+0.000000001),1,0)</f>
        <v>1</v>
      </c>
      <c r="N64" s="14" t="n">
        <f aca="false">IF(C64=1,IF(OR(Alpha_keep*$A64+N$3&gt;=Floor_c-0.000000001,AND($B64=0,N$3&gt;=Cap_h-0.000000001)),1,0),0)</f>
        <v>0</v>
      </c>
      <c r="O64" s="14" t="n">
        <f aca="false">IF(D64=1,IF(OR(Alpha_keep*$A64+O$3&gt;=Floor_c-0.000000001,AND($B64=0,O$3&gt;=Cap_h-0.000000001)),1,0),0)</f>
        <v>0</v>
      </c>
      <c r="P64" s="14" t="n">
        <f aca="false">IF(E64=1,IF(OR(Alpha_keep*$A64+P$3&gt;=Floor_c-0.000000001,AND($B64=0,P$3&gt;=Cap_h-0.000000001)),1,0),0)</f>
        <v>0</v>
      </c>
      <c r="Q64" s="14" t="n">
        <f aca="false">IF(F64=1,IF(OR(Alpha_keep*$A64+Q$3&gt;=Floor_c-0.000000001,AND($B64=0,Q$3&gt;=Cap_h-0.000000001)),1,0),0)</f>
        <v>0</v>
      </c>
      <c r="R64" s="14" t="n">
        <f aca="false">IF(G64=1,IF(OR(Alpha_keep*$A64+R$3&gt;=Floor_c-0.000000001,AND($B64=0,R$3&gt;=Cap_h-0.000000001)),1,0),0)</f>
        <v>0</v>
      </c>
      <c r="S64" s="14" t="n">
        <f aca="false">IF(H64=1,IF(OR(Alpha_keep*$A64+S$3&gt;=Floor_c-0.000000001,AND($B64=0,S$3&gt;=Cap_h-0.000000001)),1,0),0)</f>
        <v>0</v>
      </c>
      <c r="T64" s="14" t="n">
        <f aca="false">IF(I64=1,IF(OR(Alpha_keep*$A64+T$3&gt;=Floor_c-0.000000001,AND($B64=0,T$3&gt;=Cap_h-0.000000001)),1,0),0)</f>
        <v>0</v>
      </c>
      <c r="U64" s="14" t="n">
        <f aca="false">IF(J64=1,IF(OR(Alpha_keep*$A64+U$3&gt;=Floor_c-0.000000001,AND($B64=0,U$3&gt;=Cap_h-0.000000001)),1,0),0)</f>
        <v>0</v>
      </c>
      <c r="V64" s="14" t="n">
        <f aca="false">IF(K64=1,IF(OR(Alpha_keep*$A64+V$3&gt;=Floor_c-0.000000001,AND($B64=0,V$3&gt;=Cap_h-0.000000001)),1,0),0)</f>
        <v>0</v>
      </c>
      <c r="W64" s="14" t="n">
        <f aca="false">IF(L64=1,IF(OR(Alpha_keep*$A64+W$3&gt;=Floor_c-0.000000001,AND($B64=0,W$3&gt;=Cap_h-0.000000001)),1,0),0)</f>
        <v>0</v>
      </c>
      <c r="X64" s="14" t="n">
        <f aca="false">IF(M64=1,IF(OR(Alpha_keep*$A64+X$3&gt;=Floor_c-0.000000001,AND($B64=0,X$3&gt;=Cap_h-0.000000001)),1,0),0)</f>
        <v>1</v>
      </c>
      <c r="Y64" s="14" t="n">
        <f aca="false">SUM(C64:M64)</f>
        <v>11</v>
      </c>
      <c r="Z64" s="14" t="n">
        <f aca="false">SUM(N64:X64)</f>
        <v>1</v>
      </c>
      <c r="AA64" s="12" t="n">
        <f aca="false">INDEX($C$3:$M$3,MATCH(1,C64:M64,0))</f>
        <v>0</v>
      </c>
      <c r="AB64" s="12" t="n">
        <f aca="false">INDEX($N$3:$X$3,MATCH(1,N64:X64,0))+(Z64-1)*Step_h</f>
        <v>2.5</v>
      </c>
    </row>
    <row r="65" customFormat="false" ht="15" hidden="false" customHeight="false" outlineLevel="0" collapsed="false">
      <c r="A65" s="12" t="n">
        <f aca="false">A64+Step_c</f>
        <v>45</v>
      </c>
      <c r="B65" s="14" t="n">
        <f aca="false">IF(SUMPRODUCT((Alpha_keep*$A65+$C$3:$M$3&gt;=Floor_c-0.000000001)*(C65:M65))&gt;0,1,0)</f>
        <v>0</v>
      </c>
      <c r="C65" s="14" t="n">
        <f aca="false">IF(AND(Alpha_keep*$A65+C$3-MAX(Loss_w)&gt;=Lo_c-0.000000001,Alpha_keep*$A65+C$3-MIN(Loss_w)&lt;=Hi_c+0.000000001),1,0)</f>
        <v>1</v>
      </c>
      <c r="D65" s="14" t="n">
        <f aca="false">IF(AND(Alpha_keep*$A65+D$3-MAX(Loss_w)&gt;=Lo_c-0.000000001,Alpha_keep*$A65+D$3-MIN(Loss_w)&lt;=Hi_c+0.000000001),1,0)</f>
        <v>1</v>
      </c>
      <c r="E65" s="14" t="n">
        <f aca="false">IF(AND(Alpha_keep*$A65+E$3-MAX(Loss_w)&gt;=Lo_c-0.000000001,Alpha_keep*$A65+E$3-MIN(Loss_w)&lt;=Hi_c+0.000000001),1,0)</f>
        <v>1</v>
      </c>
      <c r="F65" s="14" t="n">
        <f aca="false">IF(AND(Alpha_keep*$A65+F$3-MAX(Loss_w)&gt;=Lo_c-0.000000001,Alpha_keep*$A65+F$3-MIN(Loss_w)&lt;=Hi_c+0.000000001),1,0)</f>
        <v>1</v>
      </c>
      <c r="G65" s="14" t="n">
        <f aca="false">IF(AND(Alpha_keep*$A65+G$3-MAX(Loss_w)&gt;=Lo_c-0.000000001,Alpha_keep*$A65+G$3-MIN(Loss_w)&lt;=Hi_c+0.000000001),1,0)</f>
        <v>1</v>
      </c>
      <c r="H65" s="14" t="n">
        <f aca="false">IF(AND(Alpha_keep*$A65+H$3-MAX(Loss_w)&gt;=Lo_c-0.000000001,Alpha_keep*$A65+H$3-MIN(Loss_w)&lt;=Hi_c+0.000000001),1,0)</f>
        <v>1</v>
      </c>
      <c r="I65" s="14" t="n">
        <f aca="false">IF(AND(Alpha_keep*$A65+I$3-MAX(Loss_w)&gt;=Lo_c-0.000000001,Alpha_keep*$A65+I$3-MIN(Loss_w)&lt;=Hi_c+0.000000001),1,0)</f>
        <v>1</v>
      </c>
      <c r="J65" s="14" t="n">
        <f aca="false">IF(AND(Alpha_keep*$A65+J$3-MAX(Loss_w)&gt;=Lo_c-0.000000001,Alpha_keep*$A65+J$3-MIN(Loss_w)&lt;=Hi_c+0.000000001),1,0)</f>
        <v>1</v>
      </c>
      <c r="K65" s="14" t="n">
        <f aca="false">IF(AND(Alpha_keep*$A65+K$3-MAX(Loss_w)&gt;=Lo_c-0.000000001,Alpha_keep*$A65+K$3-MIN(Loss_w)&lt;=Hi_c+0.000000001),1,0)</f>
        <v>1</v>
      </c>
      <c r="L65" s="14" t="n">
        <f aca="false">IF(AND(Alpha_keep*$A65+L$3-MAX(Loss_w)&gt;=Lo_c-0.000000001,Alpha_keep*$A65+L$3-MIN(Loss_w)&lt;=Hi_c+0.000000001),1,0)</f>
        <v>1</v>
      </c>
      <c r="M65" s="14" t="n">
        <f aca="false">IF(AND(Alpha_keep*$A65+M$3-MAX(Loss_w)&gt;=Lo_c-0.000000001,Alpha_keep*$A65+M$3-MIN(Loss_w)&lt;=Hi_c+0.000000001),1,0)</f>
        <v>1</v>
      </c>
      <c r="N65" s="14" t="n">
        <f aca="false">IF(C65=1,IF(OR(Alpha_keep*$A65+N$3&gt;=Floor_c-0.000000001,AND($B65=0,N$3&gt;=Cap_h-0.000000001)),1,0),0)</f>
        <v>0</v>
      </c>
      <c r="O65" s="14" t="n">
        <f aca="false">IF(D65=1,IF(OR(Alpha_keep*$A65+O$3&gt;=Floor_c-0.000000001,AND($B65=0,O$3&gt;=Cap_h-0.000000001)),1,0),0)</f>
        <v>0</v>
      </c>
      <c r="P65" s="14" t="n">
        <f aca="false">IF(E65=1,IF(OR(Alpha_keep*$A65+P$3&gt;=Floor_c-0.000000001,AND($B65=0,P$3&gt;=Cap_h-0.000000001)),1,0),0)</f>
        <v>0</v>
      </c>
      <c r="Q65" s="14" t="n">
        <f aca="false">IF(F65=1,IF(OR(Alpha_keep*$A65+Q$3&gt;=Floor_c-0.000000001,AND($B65=0,Q$3&gt;=Cap_h-0.000000001)),1,0),0)</f>
        <v>0</v>
      </c>
      <c r="R65" s="14" t="n">
        <f aca="false">IF(G65=1,IF(OR(Alpha_keep*$A65+R$3&gt;=Floor_c-0.000000001,AND($B65=0,R$3&gt;=Cap_h-0.000000001)),1,0),0)</f>
        <v>0</v>
      </c>
      <c r="S65" s="14" t="n">
        <f aca="false">IF(H65=1,IF(OR(Alpha_keep*$A65+S$3&gt;=Floor_c-0.000000001,AND($B65=0,S$3&gt;=Cap_h-0.000000001)),1,0),0)</f>
        <v>0</v>
      </c>
      <c r="T65" s="14" t="n">
        <f aca="false">IF(I65=1,IF(OR(Alpha_keep*$A65+T$3&gt;=Floor_c-0.000000001,AND($B65=0,T$3&gt;=Cap_h-0.000000001)),1,0),0)</f>
        <v>0</v>
      </c>
      <c r="U65" s="14" t="n">
        <f aca="false">IF(J65=1,IF(OR(Alpha_keep*$A65+U$3&gt;=Floor_c-0.000000001,AND($B65=0,U$3&gt;=Cap_h-0.000000001)),1,0),0)</f>
        <v>0</v>
      </c>
      <c r="V65" s="14" t="n">
        <f aca="false">IF(K65=1,IF(OR(Alpha_keep*$A65+V$3&gt;=Floor_c-0.000000001,AND($B65=0,V$3&gt;=Cap_h-0.000000001)),1,0),0)</f>
        <v>0</v>
      </c>
      <c r="W65" s="14" t="n">
        <f aca="false">IF(L65=1,IF(OR(Alpha_keep*$A65+W$3&gt;=Floor_c-0.000000001,AND($B65=0,W$3&gt;=Cap_h-0.000000001)),1,0),0)</f>
        <v>0</v>
      </c>
      <c r="X65" s="14" t="n">
        <f aca="false">IF(M65=1,IF(OR(Alpha_keep*$A65+X$3&gt;=Floor_c-0.000000001,AND($B65=0,X$3&gt;=Cap_h-0.000000001)),1,0),0)</f>
        <v>1</v>
      </c>
      <c r="Y65" s="14" t="n">
        <f aca="false">SUM(C65:M65)</f>
        <v>11</v>
      </c>
      <c r="Z65" s="14" t="n">
        <f aca="false">SUM(N65:X65)</f>
        <v>1</v>
      </c>
      <c r="AA65" s="12" t="n">
        <f aca="false">INDEX($C$3:$M$3,MATCH(1,C65:M65,0))</f>
        <v>0</v>
      </c>
      <c r="AB65" s="12" t="n">
        <f aca="false">INDEX($N$3:$X$3,MATCH(1,N65:X65,0))+(Z65-1)*Step_h</f>
        <v>2.5</v>
      </c>
    </row>
    <row r="66" customFormat="false" ht="15" hidden="false" customHeight="false" outlineLevel="0" collapsed="false">
      <c r="A66" s="12" t="n">
        <f aca="false">A65+Step_c</f>
        <v>45.25</v>
      </c>
      <c r="B66" s="14" t="n">
        <f aca="false">IF(SUMPRODUCT((Alpha_keep*$A66+$C$3:$M$3&gt;=Floor_c-0.000000001)*(C66:M66))&gt;0,1,0)</f>
        <v>0</v>
      </c>
      <c r="C66" s="14" t="n">
        <f aca="false">IF(AND(Alpha_keep*$A66+C$3-MAX(Loss_w)&gt;=Lo_c-0.000000001,Alpha_keep*$A66+C$3-MIN(Loss_w)&lt;=Hi_c+0.000000001),1,0)</f>
        <v>1</v>
      </c>
      <c r="D66" s="14" t="n">
        <f aca="false">IF(AND(Alpha_keep*$A66+D$3-MAX(Loss_w)&gt;=Lo_c-0.000000001,Alpha_keep*$A66+D$3-MIN(Loss_w)&lt;=Hi_c+0.000000001),1,0)</f>
        <v>1</v>
      </c>
      <c r="E66" s="14" t="n">
        <f aca="false">IF(AND(Alpha_keep*$A66+E$3-MAX(Loss_w)&gt;=Lo_c-0.000000001,Alpha_keep*$A66+E$3-MIN(Loss_w)&lt;=Hi_c+0.000000001),1,0)</f>
        <v>1</v>
      </c>
      <c r="F66" s="14" t="n">
        <f aca="false">IF(AND(Alpha_keep*$A66+F$3-MAX(Loss_w)&gt;=Lo_c-0.000000001,Alpha_keep*$A66+F$3-MIN(Loss_w)&lt;=Hi_c+0.000000001),1,0)</f>
        <v>1</v>
      </c>
      <c r="G66" s="14" t="n">
        <f aca="false">IF(AND(Alpha_keep*$A66+G$3-MAX(Loss_w)&gt;=Lo_c-0.000000001,Alpha_keep*$A66+G$3-MIN(Loss_w)&lt;=Hi_c+0.000000001),1,0)</f>
        <v>1</v>
      </c>
      <c r="H66" s="14" t="n">
        <f aca="false">IF(AND(Alpha_keep*$A66+H$3-MAX(Loss_w)&gt;=Lo_c-0.000000001,Alpha_keep*$A66+H$3-MIN(Loss_w)&lt;=Hi_c+0.000000001),1,0)</f>
        <v>1</v>
      </c>
      <c r="I66" s="14" t="n">
        <f aca="false">IF(AND(Alpha_keep*$A66+I$3-MAX(Loss_w)&gt;=Lo_c-0.000000001,Alpha_keep*$A66+I$3-MIN(Loss_w)&lt;=Hi_c+0.000000001),1,0)</f>
        <v>1</v>
      </c>
      <c r="J66" s="14" t="n">
        <f aca="false">IF(AND(Alpha_keep*$A66+J$3-MAX(Loss_w)&gt;=Lo_c-0.000000001,Alpha_keep*$A66+J$3-MIN(Loss_w)&lt;=Hi_c+0.000000001),1,0)</f>
        <v>1</v>
      </c>
      <c r="K66" s="14" t="n">
        <f aca="false">IF(AND(Alpha_keep*$A66+K$3-MAX(Loss_w)&gt;=Lo_c-0.000000001,Alpha_keep*$A66+K$3-MIN(Loss_w)&lt;=Hi_c+0.000000001),1,0)</f>
        <v>1</v>
      </c>
      <c r="L66" s="14" t="n">
        <f aca="false">IF(AND(Alpha_keep*$A66+L$3-MAX(Loss_w)&gt;=Lo_c-0.000000001,Alpha_keep*$A66+L$3-MIN(Loss_w)&lt;=Hi_c+0.000000001),1,0)</f>
        <v>1</v>
      </c>
      <c r="M66" s="14" t="n">
        <f aca="false">IF(AND(Alpha_keep*$A66+M$3-MAX(Loss_w)&gt;=Lo_c-0.000000001,Alpha_keep*$A66+M$3-MIN(Loss_w)&lt;=Hi_c+0.000000001),1,0)</f>
        <v>1</v>
      </c>
      <c r="N66" s="14" t="n">
        <f aca="false">IF(C66=1,IF(OR(Alpha_keep*$A66+N$3&gt;=Floor_c-0.000000001,AND($B66=0,N$3&gt;=Cap_h-0.000000001)),1,0),0)</f>
        <v>0</v>
      </c>
      <c r="O66" s="14" t="n">
        <f aca="false">IF(D66=1,IF(OR(Alpha_keep*$A66+O$3&gt;=Floor_c-0.000000001,AND($B66=0,O$3&gt;=Cap_h-0.000000001)),1,0),0)</f>
        <v>0</v>
      </c>
      <c r="P66" s="14" t="n">
        <f aca="false">IF(E66=1,IF(OR(Alpha_keep*$A66+P$3&gt;=Floor_c-0.000000001,AND($B66=0,P$3&gt;=Cap_h-0.000000001)),1,0),0)</f>
        <v>0</v>
      </c>
      <c r="Q66" s="14" t="n">
        <f aca="false">IF(F66=1,IF(OR(Alpha_keep*$A66+Q$3&gt;=Floor_c-0.000000001,AND($B66=0,Q$3&gt;=Cap_h-0.000000001)),1,0),0)</f>
        <v>0</v>
      </c>
      <c r="R66" s="14" t="n">
        <f aca="false">IF(G66=1,IF(OR(Alpha_keep*$A66+R$3&gt;=Floor_c-0.000000001,AND($B66=0,R$3&gt;=Cap_h-0.000000001)),1,0),0)</f>
        <v>0</v>
      </c>
      <c r="S66" s="14" t="n">
        <f aca="false">IF(H66=1,IF(OR(Alpha_keep*$A66+S$3&gt;=Floor_c-0.000000001,AND($B66=0,S$3&gt;=Cap_h-0.000000001)),1,0),0)</f>
        <v>0</v>
      </c>
      <c r="T66" s="14" t="n">
        <f aca="false">IF(I66=1,IF(OR(Alpha_keep*$A66+T$3&gt;=Floor_c-0.000000001,AND($B66=0,T$3&gt;=Cap_h-0.000000001)),1,0),0)</f>
        <v>0</v>
      </c>
      <c r="U66" s="14" t="n">
        <f aca="false">IF(J66=1,IF(OR(Alpha_keep*$A66+U$3&gt;=Floor_c-0.000000001,AND($B66=0,U$3&gt;=Cap_h-0.000000001)),1,0),0)</f>
        <v>0</v>
      </c>
      <c r="V66" s="14" t="n">
        <f aca="false">IF(K66=1,IF(OR(Alpha_keep*$A66+V$3&gt;=Floor_c-0.000000001,AND($B66=0,V$3&gt;=Cap_h-0.000000001)),1,0),0)</f>
        <v>0</v>
      </c>
      <c r="W66" s="14" t="n">
        <f aca="false">IF(L66=1,IF(OR(Alpha_keep*$A66+W$3&gt;=Floor_c-0.000000001,AND($B66=0,W$3&gt;=Cap_h-0.000000001)),1,0),0)</f>
        <v>0</v>
      </c>
      <c r="X66" s="14" t="n">
        <f aca="false">IF(M66=1,IF(OR(Alpha_keep*$A66+X$3&gt;=Floor_c-0.000000001,AND($B66=0,X$3&gt;=Cap_h-0.000000001)),1,0),0)</f>
        <v>1</v>
      </c>
      <c r="Y66" s="14" t="n">
        <f aca="false">SUM(C66:M66)</f>
        <v>11</v>
      </c>
      <c r="Z66" s="14" t="n">
        <f aca="false">SUM(N66:X66)</f>
        <v>1</v>
      </c>
      <c r="AA66" s="12" t="n">
        <f aca="false">INDEX($C$3:$M$3,MATCH(1,C66:M66,0))</f>
        <v>0</v>
      </c>
      <c r="AB66" s="12" t="n">
        <f aca="false">INDEX($N$3:$X$3,MATCH(1,N66:X66,0))+(Z66-1)*Step_h</f>
        <v>2.5</v>
      </c>
    </row>
    <row r="67" customFormat="false" ht="15" hidden="false" customHeight="false" outlineLevel="0" collapsed="false">
      <c r="A67" s="12" t="n">
        <f aca="false">A66+Step_c</f>
        <v>45.5</v>
      </c>
      <c r="B67" s="14" t="n">
        <f aca="false">IF(SUMPRODUCT((Alpha_keep*$A67+$C$3:$M$3&gt;=Floor_c-0.000000001)*(C67:M67))&gt;0,1,0)</f>
        <v>0</v>
      </c>
      <c r="C67" s="14" t="n">
        <f aca="false">IF(AND(Alpha_keep*$A67+C$3-MAX(Loss_w)&gt;=Lo_c-0.000000001,Alpha_keep*$A67+C$3-MIN(Loss_w)&lt;=Hi_c+0.000000001),1,0)</f>
        <v>1</v>
      </c>
      <c r="D67" s="14" t="n">
        <f aca="false">IF(AND(Alpha_keep*$A67+D$3-MAX(Loss_w)&gt;=Lo_c-0.000000001,Alpha_keep*$A67+D$3-MIN(Loss_w)&lt;=Hi_c+0.000000001),1,0)</f>
        <v>1</v>
      </c>
      <c r="E67" s="14" t="n">
        <f aca="false">IF(AND(Alpha_keep*$A67+E$3-MAX(Loss_w)&gt;=Lo_c-0.000000001,Alpha_keep*$A67+E$3-MIN(Loss_w)&lt;=Hi_c+0.000000001),1,0)</f>
        <v>1</v>
      </c>
      <c r="F67" s="14" t="n">
        <f aca="false">IF(AND(Alpha_keep*$A67+F$3-MAX(Loss_w)&gt;=Lo_c-0.000000001,Alpha_keep*$A67+F$3-MIN(Loss_w)&lt;=Hi_c+0.000000001),1,0)</f>
        <v>1</v>
      </c>
      <c r="G67" s="14" t="n">
        <f aca="false">IF(AND(Alpha_keep*$A67+G$3-MAX(Loss_w)&gt;=Lo_c-0.000000001,Alpha_keep*$A67+G$3-MIN(Loss_w)&lt;=Hi_c+0.000000001),1,0)</f>
        <v>1</v>
      </c>
      <c r="H67" s="14" t="n">
        <f aca="false">IF(AND(Alpha_keep*$A67+H$3-MAX(Loss_w)&gt;=Lo_c-0.000000001,Alpha_keep*$A67+H$3-MIN(Loss_w)&lt;=Hi_c+0.000000001),1,0)</f>
        <v>1</v>
      </c>
      <c r="I67" s="14" t="n">
        <f aca="false">IF(AND(Alpha_keep*$A67+I$3-MAX(Loss_w)&gt;=Lo_c-0.000000001,Alpha_keep*$A67+I$3-MIN(Loss_w)&lt;=Hi_c+0.000000001),1,0)</f>
        <v>1</v>
      </c>
      <c r="J67" s="14" t="n">
        <f aca="false">IF(AND(Alpha_keep*$A67+J$3-MAX(Loss_w)&gt;=Lo_c-0.000000001,Alpha_keep*$A67+J$3-MIN(Loss_w)&lt;=Hi_c+0.000000001),1,0)</f>
        <v>1</v>
      </c>
      <c r="K67" s="14" t="n">
        <f aca="false">IF(AND(Alpha_keep*$A67+K$3-MAX(Loss_w)&gt;=Lo_c-0.000000001,Alpha_keep*$A67+K$3-MIN(Loss_w)&lt;=Hi_c+0.000000001),1,0)</f>
        <v>1</v>
      </c>
      <c r="L67" s="14" t="n">
        <f aca="false">IF(AND(Alpha_keep*$A67+L$3-MAX(Loss_w)&gt;=Lo_c-0.000000001,Alpha_keep*$A67+L$3-MIN(Loss_w)&lt;=Hi_c+0.000000001),1,0)</f>
        <v>1</v>
      </c>
      <c r="M67" s="14" t="n">
        <f aca="false">IF(AND(Alpha_keep*$A67+M$3-MAX(Loss_w)&gt;=Lo_c-0.000000001,Alpha_keep*$A67+M$3-MIN(Loss_w)&lt;=Hi_c+0.000000001),1,0)</f>
        <v>1</v>
      </c>
      <c r="N67" s="14" t="n">
        <f aca="false">IF(C67=1,IF(OR(Alpha_keep*$A67+N$3&gt;=Floor_c-0.000000001,AND($B67=0,N$3&gt;=Cap_h-0.000000001)),1,0),0)</f>
        <v>0</v>
      </c>
      <c r="O67" s="14" t="n">
        <f aca="false">IF(D67=1,IF(OR(Alpha_keep*$A67+O$3&gt;=Floor_c-0.000000001,AND($B67=0,O$3&gt;=Cap_h-0.000000001)),1,0),0)</f>
        <v>0</v>
      </c>
      <c r="P67" s="14" t="n">
        <f aca="false">IF(E67=1,IF(OR(Alpha_keep*$A67+P$3&gt;=Floor_c-0.000000001,AND($B67=0,P$3&gt;=Cap_h-0.000000001)),1,0),0)</f>
        <v>0</v>
      </c>
      <c r="Q67" s="14" t="n">
        <f aca="false">IF(F67=1,IF(OR(Alpha_keep*$A67+Q$3&gt;=Floor_c-0.000000001,AND($B67=0,Q$3&gt;=Cap_h-0.000000001)),1,0),0)</f>
        <v>0</v>
      </c>
      <c r="R67" s="14" t="n">
        <f aca="false">IF(G67=1,IF(OR(Alpha_keep*$A67+R$3&gt;=Floor_c-0.000000001,AND($B67=0,R$3&gt;=Cap_h-0.000000001)),1,0),0)</f>
        <v>0</v>
      </c>
      <c r="S67" s="14" t="n">
        <f aca="false">IF(H67=1,IF(OR(Alpha_keep*$A67+S$3&gt;=Floor_c-0.000000001,AND($B67=0,S$3&gt;=Cap_h-0.000000001)),1,0),0)</f>
        <v>0</v>
      </c>
      <c r="T67" s="14" t="n">
        <f aca="false">IF(I67=1,IF(OR(Alpha_keep*$A67+T$3&gt;=Floor_c-0.000000001,AND($B67=0,T$3&gt;=Cap_h-0.000000001)),1,0),0)</f>
        <v>0</v>
      </c>
      <c r="U67" s="14" t="n">
        <f aca="false">IF(J67=1,IF(OR(Alpha_keep*$A67+U$3&gt;=Floor_c-0.000000001,AND($B67=0,U$3&gt;=Cap_h-0.000000001)),1,0),0)</f>
        <v>0</v>
      </c>
      <c r="V67" s="14" t="n">
        <f aca="false">IF(K67=1,IF(OR(Alpha_keep*$A67+V$3&gt;=Floor_c-0.000000001,AND($B67=0,V$3&gt;=Cap_h-0.000000001)),1,0),0)</f>
        <v>0</v>
      </c>
      <c r="W67" s="14" t="n">
        <f aca="false">IF(L67=1,IF(OR(Alpha_keep*$A67+W$3&gt;=Floor_c-0.000000001,AND($B67=0,W$3&gt;=Cap_h-0.000000001)),1,0),0)</f>
        <v>0</v>
      </c>
      <c r="X67" s="14" t="n">
        <f aca="false">IF(M67=1,IF(OR(Alpha_keep*$A67+X$3&gt;=Floor_c-0.000000001,AND($B67=0,X$3&gt;=Cap_h-0.000000001)),1,0),0)</f>
        <v>1</v>
      </c>
      <c r="Y67" s="14" t="n">
        <f aca="false">SUM(C67:M67)</f>
        <v>11</v>
      </c>
      <c r="Z67" s="14" t="n">
        <f aca="false">SUM(N67:X67)</f>
        <v>1</v>
      </c>
      <c r="AA67" s="12" t="n">
        <f aca="false">INDEX($C$3:$M$3,MATCH(1,C67:M67,0))</f>
        <v>0</v>
      </c>
      <c r="AB67" s="12" t="n">
        <f aca="false">INDEX($N$3:$X$3,MATCH(1,N67:X67,0))+(Z67-1)*Step_h</f>
        <v>2.5</v>
      </c>
    </row>
    <row r="68" customFormat="false" ht="15" hidden="false" customHeight="false" outlineLevel="0" collapsed="false">
      <c r="A68" s="12" t="n">
        <f aca="false">A67+Step_c</f>
        <v>45.75</v>
      </c>
      <c r="B68" s="14" t="n">
        <f aca="false">IF(SUMPRODUCT((Alpha_keep*$A68+$C$3:$M$3&gt;=Floor_c-0.000000001)*(C68:M68))&gt;0,1,0)</f>
        <v>0</v>
      </c>
      <c r="C68" s="14" t="n">
        <f aca="false">IF(AND(Alpha_keep*$A68+C$3-MAX(Loss_w)&gt;=Lo_c-0.000000001,Alpha_keep*$A68+C$3-MIN(Loss_w)&lt;=Hi_c+0.000000001),1,0)</f>
        <v>1</v>
      </c>
      <c r="D68" s="14" t="n">
        <f aca="false">IF(AND(Alpha_keep*$A68+D$3-MAX(Loss_w)&gt;=Lo_c-0.000000001,Alpha_keep*$A68+D$3-MIN(Loss_w)&lt;=Hi_c+0.000000001),1,0)</f>
        <v>1</v>
      </c>
      <c r="E68" s="14" t="n">
        <f aca="false">IF(AND(Alpha_keep*$A68+E$3-MAX(Loss_w)&gt;=Lo_c-0.000000001,Alpha_keep*$A68+E$3-MIN(Loss_w)&lt;=Hi_c+0.000000001),1,0)</f>
        <v>1</v>
      </c>
      <c r="F68" s="14" t="n">
        <f aca="false">IF(AND(Alpha_keep*$A68+F$3-MAX(Loss_w)&gt;=Lo_c-0.000000001,Alpha_keep*$A68+F$3-MIN(Loss_w)&lt;=Hi_c+0.000000001),1,0)</f>
        <v>1</v>
      </c>
      <c r="G68" s="14" t="n">
        <f aca="false">IF(AND(Alpha_keep*$A68+G$3-MAX(Loss_w)&gt;=Lo_c-0.000000001,Alpha_keep*$A68+G$3-MIN(Loss_w)&lt;=Hi_c+0.000000001),1,0)</f>
        <v>1</v>
      </c>
      <c r="H68" s="14" t="n">
        <f aca="false">IF(AND(Alpha_keep*$A68+H$3-MAX(Loss_w)&gt;=Lo_c-0.000000001,Alpha_keep*$A68+H$3-MIN(Loss_w)&lt;=Hi_c+0.000000001),1,0)</f>
        <v>1</v>
      </c>
      <c r="I68" s="14" t="n">
        <f aca="false">IF(AND(Alpha_keep*$A68+I$3-MAX(Loss_w)&gt;=Lo_c-0.000000001,Alpha_keep*$A68+I$3-MIN(Loss_w)&lt;=Hi_c+0.000000001),1,0)</f>
        <v>1</v>
      </c>
      <c r="J68" s="14" t="n">
        <f aca="false">IF(AND(Alpha_keep*$A68+J$3-MAX(Loss_w)&gt;=Lo_c-0.000000001,Alpha_keep*$A68+J$3-MIN(Loss_w)&lt;=Hi_c+0.000000001),1,0)</f>
        <v>1</v>
      </c>
      <c r="K68" s="14" t="n">
        <f aca="false">IF(AND(Alpha_keep*$A68+K$3-MAX(Loss_w)&gt;=Lo_c-0.000000001,Alpha_keep*$A68+K$3-MIN(Loss_w)&lt;=Hi_c+0.000000001),1,0)</f>
        <v>1</v>
      </c>
      <c r="L68" s="14" t="n">
        <f aca="false">IF(AND(Alpha_keep*$A68+L$3-MAX(Loss_w)&gt;=Lo_c-0.000000001,Alpha_keep*$A68+L$3-MIN(Loss_w)&lt;=Hi_c+0.000000001),1,0)</f>
        <v>1</v>
      </c>
      <c r="M68" s="14" t="n">
        <f aca="false">IF(AND(Alpha_keep*$A68+M$3-MAX(Loss_w)&gt;=Lo_c-0.000000001,Alpha_keep*$A68+M$3-MIN(Loss_w)&lt;=Hi_c+0.000000001),1,0)</f>
        <v>1</v>
      </c>
      <c r="N68" s="14" t="n">
        <f aca="false">IF(C68=1,IF(OR(Alpha_keep*$A68+N$3&gt;=Floor_c-0.000000001,AND($B68=0,N$3&gt;=Cap_h-0.000000001)),1,0),0)</f>
        <v>0</v>
      </c>
      <c r="O68" s="14" t="n">
        <f aca="false">IF(D68=1,IF(OR(Alpha_keep*$A68+O$3&gt;=Floor_c-0.000000001,AND($B68=0,O$3&gt;=Cap_h-0.000000001)),1,0),0)</f>
        <v>0</v>
      </c>
      <c r="P68" s="14" t="n">
        <f aca="false">IF(E68=1,IF(OR(Alpha_keep*$A68+P$3&gt;=Floor_c-0.000000001,AND($B68=0,P$3&gt;=Cap_h-0.000000001)),1,0),0)</f>
        <v>0</v>
      </c>
      <c r="Q68" s="14" t="n">
        <f aca="false">IF(F68=1,IF(OR(Alpha_keep*$A68+Q$3&gt;=Floor_c-0.000000001,AND($B68=0,Q$3&gt;=Cap_h-0.000000001)),1,0),0)</f>
        <v>0</v>
      </c>
      <c r="R68" s="14" t="n">
        <f aca="false">IF(G68=1,IF(OR(Alpha_keep*$A68+R$3&gt;=Floor_c-0.000000001,AND($B68=0,R$3&gt;=Cap_h-0.000000001)),1,0),0)</f>
        <v>0</v>
      </c>
      <c r="S68" s="14" t="n">
        <f aca="false">IF(H68=1,IF(OR(Alpha_keep*$A68+S$3&gt;=Floor_c-0.000000001,AND($B68=0,S$3&gt;=Cap_h-0.000000001)),1,0),0)</f>
        <v>0</v>
      </c>
      <c r="T68" s="14" t="n">
        <f aca="false">IF(I68=1,IF(OR(Alpha_keep*$A68+T$3&gt;=Floor_c-0.000000001,AND($B68=0,T$3&gt;=Cap_h-0.000000001)),1,0),0)</f>
        <v>0</v>
      </c>
      <c r="U68" s="14" t="n">
        <f aca="false">IF(J68=1,IF(OR(Alpha_keep*$A68+U$3&gt;=Floor_c-0.000000001,AND($B68=0,U$3&gt;=Cap_h-0.000000001)),1,0),0)</f>
        <v>0</v>
      </c>
      <c r="V68" s="14" t="n">
        <f aca="false">IF(K68=1,IF(OR(Alpha_keep*$A68+V$3&gt;=Floor_c-0.000000001,AND($B68=0,V$3&gt;=Cap_h-0.000000001)),1,0),0)</f>
        <v>0</v>
      </c>
      <c r="W68" s="14" t="n">
        <f aca="false">IF(L68=1,IF(OR(Alpha_keep*$A68+W$3&gt;=Floor_c-0.000000001,AND($B68=0,W$3&gt;=Cap_h-0.000000001)),1,0),0)</f>
        <v>0</v>
      </c>
      <c r="X68" s="14" t="n">
        <f aca="false">IF(M68=1,IF(OR(Alpha_keep*$A68+X$3&gt;=Floor_c-0.000000001,AND($B68=0,X$3&gt;=Cap_h-0.000000001)),1,0),0)</f>
        <v>1</v>
      </c>
      <c r="Y68" s="14" t="n">
        <f aca="false">SUM(C68:M68)</f>
        <v>11</v>
      </c>
      <c r="Z68" s="14" t="n">
        <f aca="false">SUM(N68:X68)</f>
        <v>1</v>
      </c>
      <c r="AA68" s="12" t="n">
        <f aca="false">INDEX($C$3:$M$3,MATCH(1,C68:M68,0))</f>
        <v>0</v>
      </c>
      <c r="AB68" s="12" t="n">
        <f aca="false">INDEX($N$3:$X$3,MATCH(1,N68:X68,0))+(Z68-1)*Step_h</f>
        <v>2.5</v>
      </c>
    </row>
    <row r="69" customFormat="false" ht="15" hidden="false" customHeight="false" outlineLevel="0" collapsed="false">
      <c r="A69" s="12" t="n">
        <f aca="false">A68+Step_c</f>
        <v>46</v>
      </c>
      <c r="B69" s="14" t="n">
        <f aca="false">IF(SUMPRODUCT((Alpha_keep*$A69+$C$3:$M$3&gt;=Floor_c-0.000000001)*(C69:M69))&gt;0,1,0)</f>
        <v>0</v>
      </c>
      <c r="C69" s="14" t="n">
        <f aca="false">IF(AND(Alpha_keep*$A69+C$3-MAX(Loss_w)&gt;=Lo_c-0.000000001,Alpha_keep*$A69+C$3-MIN(Loss_w)&lt;=Hi_c+0.000000001),1,0)</f>
        <v>1</v>
      </c>
      <c r="D69" s="14" t="n">
        <f aca="false">IF(AND(Alpha_keep*$A69+D$3-MAX(Loss_w)&gt;=Lo_c-0.000000001,Alpha_keep*$A69+D$3-MIN(Loss_w)&lt;=Hi_c+0.000000001),1,0)</f>
        <v>1</v>
      </c>
      <c r="E69" s="14" t="n">
        <f aca="false">IF(AND(Alpha_keep*$A69+E$3-MAX(Loss_w)&gt;=Lo_c-0.000000001,Alpha_keep*$A69+E$3-MIN(Loss_w)&lt;=Hi_c+0.000000001),1,0)</f>
        <v>1</v>
      </c>
      <c r="F69" s="14" t="n">
        <f aca="false">IF(AND(Alpha_keep*$A69+F$3-MAX(Loss_w)&gt;=Lo_c-0.000000001,Alpha_keep*$A69+F$3-MIN(Loss_w)&lt;=Hi_c+0.000000001),1,0)</f>
        <v>1</v>
      </c>
      <c r="G69" s="14" t="n">
        <f aca="false">IF(AND(Alpha_keep*$A69+G$3-MAX(Loss_w)&gt;=Lo_c-0.000000001,Alpha_keep*$A69+G$3-MIN(Loss_w)&lt;=Hi_c+0.000000001),1,0)</f>
        <v>1</v>
      </c>
      <c r="H69" s="14" t="n">
        <f aca="false">IF(AND(Alpha_keep*$A69+H$3-MAX(Loss_w)&gt;=Lo_c-0.000000001,Alpha_keep*$A69+H$3-MIN(Loss_w)&lt;=Hi_c+0.000000001),1,0)</f>
        <v>1</v>
      </c>
      <c r="I69" s="14" t="n">
        <f aca="false">IF(AND(Alpha_keep*$A69+I$3-MAX(Loss_w)&gt;=Lo_c-0.000000001,Alpha_keep*$A69+I$3-MIN(Loss_w)&lt;=Hi_c+0.000000001),1,0)</f>
        <v>1</v>
      </c>
      <c r="J69" s="14" t="n">
        <f aca="false">IF(AND(Alpha_keep*$A69+J$3-MAX(Loss_w)&gt;=Lo_c-0.000000001,Alpha_keep*$A69+J$3-MIN(Loss_w)&lt;=Hi_c+0.000000001),1,0)</f>
        <v>1</v>
      </c>
      <c r="K69" s="14" t="n">
        <f aca="false">IF(AND(Alpha_keep*$A69+K$3-MAX(Loss_w)&gt;=Lo_c-0.000000001,Alpha_keep*$A69+K$3-MIN(Loss_w)&lt;=Hi_c+0.000000001),1,0)</f>
        <v>1</v>
      </c>
      <c r="L69" s="14" t="n">
        <f aca="false">IF(AND(Alpha_keep*$A69+L$3-MAX(Loss_w)&gt;=Lo_c-0.000000001,Alpha_keep*$A69+L$3-MIN(Loss_w)&lt;=Hi_c+0.000000001),1,0)</f>
        <v>1</v>
      </c>
      <c r="M69" s="14" t="n">
        <f aca="false">IF(AND(Alpha_keep*$A69+M$3-MAX(Loss_w)&gt;=Lo_c-0.000000001,Alpha_keep*$A69+M$3-MIN(Loss_w)&lt;=Hi_c+0.000000001),1,0)</f>
        <v>1</v>
      </c>
      <c r="N69" s="14" t="n">
        <f aca="false">IF(C69=1,IF(OR(Alpha_keep*$A69+N$3&gt;=Floor_c-0.000000001,AND($B69=0,N$3&gt;=Cap_h-0.000000001)),1,0),0)</f>
        <v>0</v>
      </c>
      <c r="O69" s="14" t="n">
        <f aca="false">IF(D69=1,IF(OR(Alpha_keep*$A69+O$3&gt;=Floor_c-0.000000001,AND($B69=0,O$3&gt;=Cap_h-0.000000001)),1,0),0)</f>
        <v>0</v>
      </c>
      <c r="P69" s="14" t="n">
        <f aca="false">IF(E69=1,IF(OR(Alpha_keep*$A69+P$3&gt;=Floor_c-0.000000001,AND($B69=0,P$3&gt;=Cap_h-0.000000001)),1,0),0)</f>
        <v>0</v>
      </c>
      <c r="Q69" s="14" t="n">
        <f aca="false">IF(F69=1,IF(OR(Alpha_keep*$A69+Q$3&gt;=Floor_c-0.000000001,AND($B69=0,Q$3&gt;=Cap_h-0.000000001)),1,0),0)</f>
        <v>0</v>
      </c>
      <c r="R69" s="14" t="n">
        <f aca="false">IF(G69=1,IF(OR(Alpha_keep*$A69+R$3&gt;=Floor_c-0.000000001,AND($B69=0,R$3&gt;=Cap_h-0.000000001)),1,0),0)</f>
        <v>0</v>
      </c>
      <c r="S69" s="14" t="n">
        <f aca="false">IF(H69=1,IF(OR(Alpha_keep*$A69+S$3&gt;=Floor_c-0.000000001,AND($B69=0,S$3&gt;=Cap_h-0.000000001)),1,0),0)</f>
        <v>0</v>
      </c>
      <c r="T69" s="14" t="n">
        <f aca="false">IF(I69=1,IF(OR(Alpha_keep*$A69+T$3&gt;=Floor_c-0.000000001,AND($B69=0,T$3&gt;=Cap_h-0.000000001)),1,0),0)</f>
        <v>0</v>
      </c>
      <c r="U69" s="14" t="n">
        <f aca="false">IF(J69=1,IF(OR(Alpha_keep*$A69+U$3&gt;=Floor_c-0.000000001,AND($B69=0,U$3&gt;=Cap_h-0.000000001)),1,0),0)</f>
        <v>0</v>
      </c>
      <c r="V69" s="14" t="n">
        <f aca="false">IF(K69=1,IF(OR(Alpha_keep*$A69+V$3&gt;=Floor_c-0.000000001,AND($B69=0,V$3&gt;=Cap_h-0.000000001)),1,0),0)</f>
        <v>0</v>
      </c>
      <c r="W69" s="14" t="n">
        <f aca="false">IF(L69=1,IF(OR(Alpha_keep*$A69+W$3&gt;=Floor_c-0.000000001,AND($B69=0,W$3&gt;=Cap_h-0.000000001)),1,0),0)</f>
        <v>0</v>
      </c>
      <c r="X69" s="14" t="n">
        <f aca="false">IF(M69=1,IF(OR(Alpha_keep*$A69+X$3&gt;=Floor_c-0.000000001,AND($B69=0,X$3&gt;=Cap_h-0.000000001)),1,0),0)</f>
        <v>1</v>
      </c>
      <c r="Y69" s="14" t="n">
        <f aca="false">SUM(C69:M69)</f>
        <v>11</v>
      </c>
      <c r="Z69" s="14" t="n">
        <f aca="false">SUM(N69:X69)</f>
        <v>1</v>
      </c>
      <c r="AA69" s="12" t="n">
        <f aca="false">INDEX($C$3:$M$3,MATCH(1,C69:M69,0))</f>
        <v>0</v>
      </c>
      <c r="AB69" s="12" t="n">
        <f aca="false">INDEX($N$3:$X$3,MATCH(1,N69:X69,0))+(Z69-1)*Step_h</f>
        <v>2.5</v>
      </c>
    </row>
    <row r="70" customFormat="false" ht="15" hidden="false" customHeight="false" outlineLevel="0" collapsed="false">
      <c r="A70" s="12" t="n">
        <f aca="false">A69+Step_c</f>
        <v>46.25</v>
      </c>
      <c r="B70" s="14" t="n">
        <f aca="false">IF(SUMPRODUCT((Alpha_keep*$A70+$C$3:$M$3&gt;=Floor_c-0.000000001)*(C70:M70))&gt;0,1,0)</f>
        <v>0</v>
      </c>
      <c r="C70" s="14" t="n">
        <f aca="false">IF(AND(Alpha_keep*$A70+C$3-MAX(Loss_w)&gt;=Lo_c-0.000000001,Alpha_keep*$A70+C$3-MIN(Loss_w)&lt;=Hi_c+0.000000001),1,0)</f>
        <v>1</v>
      </c>
      <c r="D70" s="14" t="n">
        <f aca="false">IF(AND(Alpha_keep*$A70+D$3-MAX(Loss_w)&gt;=Lo_c-0.000000001,Alpha_keep*$A70+D$3-MIN(Loss_w)&lt;=Hi_c+0.000000001),1,0)</f>
        <v>1</v>
      </c>
      <c r="E70" s="14" t="n">
        <f aca="false">IF(AND(Alpha_keep*$A70+E$3-MAX(Loss_w)&gt;=Lo_c-0.000000001,Alpha_keep*$A70+E$3-MIN(Loss_w)&lt;=Hi_c+0.000000001),1,0)</f>
        <v>1</v>
      </c>
      <c r="F70" s="14" t="n">
        <f aca="false">IF(AND(Alpha_keep*$A70+F$3-MAX(Loss_w)&gt;=Lo_c-0.000000001,Alpha_keep*$A70+F$3-MIN(Loss_w)&lt;=Hi_c+0.000000001),1,0)</f>
        <v>1</v>
      </c>
      <c r="G70" s="14" t="n">
        <f aca="false">IF(AND(Alpha_keep*$A70+G$3-MAX(Loss_w)&gt;=Lo_c-0.000000001,Alpha_keep*$A70+G$3-MIN(Loss_w)&lt;=Hi_c+0.000000001),1,0)</f>
        <v>1</v>
      </c>
      <c r="H70" s="14" t="n">
        <f aca="false">IF(AND(Alpha_keep*$A70+H$3-MAX(Loss_w)&gt;=Lo_c-0.000000001,Alpha_keep*$A70+H$3-MIN(Loss_w)&lt;=Hi_c+0.000000001),1,0)</f>
        <v>1</v>
      </c>
      <c r="I70" s="14" t="n">
        <f aca="false">IF(AND(Alpha_keep*$A70+I$3-MAX(Loss_w)&gt;=Lo_c-0.000000001,Alpha_keep*$A70+I$3-MIN(Loss_w)&lt;=Hi_c+0.000000001),1,0)</f>
        <v>1</v>
      </c>
      <c r="J70" s="14" t="n">
        <f aca="false">IF(AND(Alpha_keep*$A70+J$3-MAX(Loss_w)&gt;=Lo_c-0.000000001,Alpha_keep*$A70+J$3-MIN(Loss_w)&lt;=Hi_c+0.000000001),1,0)</f>
        <v>1</v>
      </c>
      <c r="K70" s="14" t="n">
        <f aca="false">IF(AND(Alpha_keep*$A70+K$3-MAX(Loss_w)&gt;=Lo_c-0.000000001,Alpha_keep*$A70+K$3-MIN(Loss_w)&lt;=Hi_c+0.000000001),1,0)</f>
        <v>1</v>
      </c>
      <c r="L70" s="14" t="n">
        <f aca="false">IF(AND(Alpha_keep*$A70+L$3-MAX(Loss_w)&gt;=Lo_c-0.000000001,Alpha_keep*$A70+L$3-MIN(Loss_w)&lt;=Hi_c+0.000000001),1,0)</f>
        <v>1</v>
      </c>
      <c r="M70" s="14" t="n">
        <f aca="false">IF(AND(Alpha_keep*$A70+M$3-MAX(Loss_w)&gt;=Lo_c-0.000000001,Alpha_keep*$A70+M$3-MIN(Loss_w)&lt;=Hi_c+0.000000001),1,0)</f>
        <v>1</v>
      </c>
      <c r="N70" s="14" t="n">
        <f aca="false">IF(C70=1,IF(OR(Alpha_keep*$A70+N$3&gt;=Floor_c-0.000000001,AND($B70=0,N$3&gt;=Cap_h-0.000000001)),1,0),0)</f>
        <v>0</v>
      </c>
      <c r="O70" s="14" t="n">
        <f aca="false">IF(D70=1,IF(OR(Alpha_keep*$A70+O$3&gt;=Floor_c-0.000000001,AND($B70=0,O$3&gt;=Cap_h-0.000000001)),1,0),0)</f>
        <v>0</v>
      </c>
      <c r="P70" s="14" t="n">
        <f aca="false">IF(E70=1,IF(OR(Alpha_keep*$A70+P$3&gt;=Floor_c-0.000000001,AND($B70=0,P$3&gt;=Cap_h-0.000000001)),1,0),0)</f>
        <v>0</v>
      </c>
      <c r="Q70" s="14" t="n">
        <f aca="false">IF(F70=1,IF(OR(Alpha_keep*$A70+Q$3&gt;=Floor_c-0.000000001,AND($B70=0,Q$3&gt;=Cap_h-0.000000001)),1,0),0)</f>
        <v>0</v>
      </c>
      <c r="R70" s="14" t="n">
        <f aca="false">IF(G70=1,IF(OR(Alpha_keep*$A70+R$3&gt;=Floor_c-0.000000001,AND($B70=0,R$3&gt;=Cap_h-0.000000001)),1,0),0)</f>
        <v>0</v>
      </c>
      <c r="S70" s="14" t="n">
        <f aca="false">IF(H70=1,IF(OR(Alpha_keep*$A70+S$3&gt;=Floor_c-0.000000001,AND($B70=0,S$3&gt;=Cap_h-0.000000001)),1,0),0)</f>
        <v>0</v>
      </c>
      <c r="T70" s="14" t="n">
        <f aca="false">IF(I70=1,IF(OR(Alpha_keep*$A70+T$3&gt;=Floor_c-0.000000001,AND($B70=0,T$3&gt;=Cap_h-0.000000001)),1,0),0)</f>
        <v>0</v>
      </c>
      <c r="U70" s="14" t="n">
        <f aca="false">IF(J70=1,IF(OR(Alpha_keep*$A70+U$3&gt;=Floor_c-0.000000001,AND($B70=0,U$3&gt;=Cap_h-0.000000001)),1,0),0)</f>
        <v>0</v>
      </c>
      <c r="V70" s="14" t="n">
        <f aca="false">IF(K70=1,IF(OR(Alpha_keep*$A70+V$3&gt;=Floor_c-0.000000001,AND($B70=0,V$3&gt;=Cap_h-0.000000001)),1,0),0)</f>
        <v>0</v>
      </c>
      <c r="W70" s="14" t="n">
        <f aca="false">IF(L70=1,IF(OR(Alpha_keep*$A70+W$3&gt;=Floor_c-0.000000001,AND($B70=0,W$3&gt;=Cap_h-0.000000001)),1,0),0)</f>
        <v>0</v>
      </c>
      <c r="X70" s="14" t="n">
        <f aca="false">IF(M70=1,IF(OR(Alpha_keep*$A70+X$3&gt;=Floor_c-0.000000001,AND($B70=0,X$3&gt;=Cap_h-0.000000001)),1,0),0)</f>
        <v>1</v>
      </c>
      <c r="Y70" s="14" t="n">
        <f aca="false">SUM(C70:M70)</f>
        <v>11</v>
      </c>
      <c r="Z70" s="14" t="n">
        <f aca="false">SUM(N70:X70)</f>
        <v>1</v>
      </c>
      <c r="AA70" s="12" t="n">
        <f aca="false">INDEX($C$3:$M$3,MATCH(1,C70:M70,0))</f>
        <v>0</v>
      </c>
      <c r="AB70" s="12" t="n">
        <f aca="false">INDEX($N$3:$X$3,MATCH(1,N70:X70,0))+(Z70-1)*Step_h</f>
        <v>2.5</v>
      </c>
    </row>
    <row r="71" customFormat="false" ht="15" hidden="false" customHeight="false" outlineLevel="0" collapsed="false">
      <c r="A71" s="12" t="n">
        <f aca="false">A70+Step_c</f>
        <v>46.5</v>
      </c>
      <c r="B71" s="14" t="n">
        <f aca="false">IF(SUMPRODUCT((Alpha_keep*$A71+$C$3:$M$3&gt;=Floor_c-0.000000001)*(C71:M71))&gt;0,1,0)</f>
        <v>0</v>
      </c>
      <c r="C71" s="14" t="n">
        <f aca="false">IF(AND(Alpha_keep*$A71+C$3-MAX(Loss_w)&gt;=Lo_c-0.000000001,Alpha_keep*$A71+C$3-MIN(Loss_w)&lt;=Hi_c+0.000000001),1,0)</f>
        <v>1</v>
      </c>
      <c r="D71" s="14" t="n">
        <f aca="false">IF(AND(Alpha_keep*$A71+D$3-MAX(Loss_w)&gt;=Lo_c-0.000000001,Alpha_keep*$A71+D$3-MIN(Loss_w)&lt;=Hi_c+0.000000001),1,0)</f>
        <v>1</v>
      </c>
      <c r="E71" s="14" t="n">
        <f aca="false">IF(AND(Alpha_keep*$A71+E$3-MAX(Loss_w)&gt;=Lo_c-0.000000001,Alpha_keep*$A71+E$3-MIN(Loss_w)&lt;=Hi_c+0.000000001),1,0)</f>
        <v>1</v>
      </c>
      <c r="F71" s="14" t="n">
        <f aca="false">IF(AND(Alpha_keep*$A71+F$3-MAX(Loss_w)&gt;=Lo_c-0.000000001,Alpha_keep*$A71+F$3-MIN(Loss_w)&lt;=Hi_c+0.000000001),1,0)</f>
        <v>1</v>
      </c>
      <c r="G71" s="14" t="n">
        <f aca="false">IF(AND(Alpha_keep*$A71+G$3-MAX(Loss_w)&gt;=Lo_c-0.000000001,Alpha_keep*$A71+G$3-MIN(Loss_w)&lt;=Hi_c+0.000000001),1,0)</f>
        <v>1</v>
      </c>
      <c r="H71" s="14" t="n">
        <f aca="false">IF(AND(Alpha_keep*$A71+H$3-MAX(Loss_w)&gt;=Lo_c-0.000000001,Alpha_keep*$A71+H$3-MIN(Loss_w)&lt;=Hi_c+0.000000001),1,0)</f>
        <v>1</v>
      </c>
      <c r="I71" s="14" t="n">
        <f aca="false">IF(AND(Alpha_keep*$A71+I$3-MAX(Loss_w)&gt;=Lo_c-0.000000001,Alpha_keep*$A71+I$3-MIN(Loss_w)&lt;=Hi_c+0.000000001),1,0)</f>
        <v>1</v>
      </c>
      <c r="J71" s="14" t="n">
        <f aca="false">IF(AND(Alpha_keep*$A71+J$3-MAX(Loss_w)&gt;=Lo_c-0.000000001,Alpha_keep*$A71+J$3-MIN(Loss_w)&lt;=Hi_c+0.000000001),1,0)</f>
        <v>1</v>
      </c>
      <c r="K71" s="14" t="n">
        <f aca="false">IF(AND(Alpha_keep*$A71+K$3-MAX(Loss_w)&gt;=Lo_c-0.000000001,Alpha_keep*$A71+K$3-MIN(Loss_w)&lt;=Hi_c+0.000000001),1,0)</f>
        <v>1</v>
      </c>
      <c r="L71" s="14" t="n">
        <f aca="false">IF(AND(Alpha_keep*$A71+L$3-MAX(Loss_w)&gt;=Lo_c-0.000000001,Alpha_keep*$A71+L$3-MIN(Loss_w)&lt;=Hi_c+0.000000001),1,0)</f>
        <v>1</v>
      </c>
      <c r="M71" s="14" t="n">
        <f aca="false">IF(AND(Alpha_keep*$A71+M$3-MAX(Loss_w)&gt;=Lo_c-0.000000001,Alpha_keep*$A71+M$3-MIN(Loss_w)&lt;=Hi_c+0.000000001),1,0)</f>
        <v>1</v>
      </c>
      <c r="N71" s="14" t="n">
        <f aca="false">IF(C71=1,IF(OR(Alpha_keep*$A71+N$3&gt;=Floor_c-0.000000001,AND($B71=0,N$3&gt;=Cap_h-0.000000001)),1,0),0)</f>
        <v>0</v>
      </c>
      <c r="O71" s="14" t="n">
        <f aca="false">IF(D71=1,IF(OR(Alpha_keep*$A71+O$3&gt;=Floor_c-0.000000001,AND($B71=0,O$3&gt;=Cap_h-0.000000001)),1,0),0)</f>
        <v>0</v>
      </c>
      <c r="P71" s="14" t="n">
        <f aca="false">IF(E71=1,IF(OR(Alpha_keep*$A71+P$3&gt;=Floor_c-0.000000001,AND($B71=0,P$3&gt;=Cap_h-0.000000001)),1,0),0)</f>
        <v>0</v>
      </c>
      <c r="Q71" s="14" t="n">
        <f aca="false">IF(F71=1,IF(OR(Alpha_keep*$A71+Q$3&gt;=Floor_c-0.000000001,AND($B71=0,Q$3&gt;=Cap_h-0.000000001)),1,0),0)</f>
        <v>0</v>
      </c>
      <c r="R71" s="14" t="n">
        <f aca="false">IF(G71=1,IF(OR(Alpha_keep*$A71+R$3&gt;=Floor_c-0.000000001,AND($B71=0,R$3&gt;=Cap_h-0.000000001)),1,0),0)</f>
        <v>0</v>
      </c>
      <c r="S71" s="14" t="n">
        <f aca="false">IF(H71=1,IF(OR(Alpha_keep*$A71+S$3&gt;=Floor_c-0.000000001,AND($B71=0,S$3&gt;=Cap_h-0.000000001)),1,0),0)</f>
        <v>0</v>
      </c>
      <c r="T71" s="14" t="n">
        <f aca="false">IF(I71=1,IF(OR(Alpha_keep*$A71+T$3&gt;=Floor_c-0.000000001,AND($B71=0,T$3&gt;=Cap_h-0.000000001)),1,0),0)</f>
        <v>0</v>
      </c>
      <c r="U71" s="14" t="n">
        <f aca="false">IF(J71=1,IF(OR(Alpha_keep*$A71+U$3&gt;=Floor_c-0.000000001,AND($B71=0,U$3&gt;=Cap_h-0.000000001)),1,0),0)</f>
        <v>0</v>
      </c>
      <c r="V71" s="14" t="n">
        <f aca="false">IF(K71=1,IF(OR(Alpha_keep*$A71+V$3&gt;=Floor_c-0.000000001,AND($B71=0,V$3&gt;=Cap_h-0.000000001)),1,0),0)</f>
        <v>0</v>
      </c>
      <c r="W71" s="14" t="n">
        <f aca="false">IF(L71=1,IF(OR(Alpha_keep*$A71+W$3&gt;=Floor_c-0.000000001,AND($B71=0,W$3&gt;=Cap_h-0.000000001)),1,0),0)</f>
        <v>0</v>
      </c>
      <c r="X71" s="14" t="n">
        <f aca="false">IF(M71=1,IF(OR(Alpha_keep*$A71+X$3&gt;=Floor_c-0.000000001,AND($B71=0,X$3&gt;=Cap_h-0.000000001)),1,0),0)</f>
        <v>1</v>
      </c>
      <c r="Y71" s="14" t="n">
        <f aca="false">SUM(C71:M71)</f>
        <v>11</v>
      </c>
      <c r="Z71" s="14" t="n">
        <f aca="false">SUM(N71:X71)</f>
        <v>1</v>
      </c>
      <c r="AA71" s="12" t="n">
        <f aca="false">INDEX($C$3:$M$3,MATCH(1,C71:M71,0))</f>
        <v>0</v>
      </c>
      <c r="AB71" s="12" t="n">
        <f aca="false">INDEX($N$3:$X$3,MATCH(1,N71:X71,0))+(Z71-1)*Step_h</f>
        <v>2.5</v>
      </c>
    </row>
    <row r="72" customFormat="false" ht="15" hidden="false" customHeight="false" outlineLevel="0" collapsed="false">
      <c r="A72" s="12" t="n">
        <f aca="false">A71+Step_c</f>
        <v>46.75</v>
      </c>
      <c r="B72" s="14" t="n">
        <f aca="false">IF(SUMPRODUCT((Alpha_keep*$A72+$C$3:$M$3&gt;=Floor_c-0.000000001)*(C72:M72))&gt;0,1,0)</f>
        <v>0</v>
      </c>
      <c r="C72" s="14" t="n">
        <f aca="false">IF(AND(Alpha_keep*$A72+C$3-MAX(Loss_w)&gt;=Lo_c-0.000000001,Alpha_keep*$A72+C$3-MIN(Loss_w)&lt;=Hi_c+0.000000001),1,0)</f>
        <v>1</v>
      </c>
      <c r="D72" s="14" t="n">
        <f aca="false">IF(AND(Alpha_keep*$A72+D$3-MAX(Loss_w)&gt;=Lo_c-0.000000001,Alpha_keep*$A72+D$3-MIN(Loss_w)&lt;=Hi_c+0.000000001),1,0)</f>
        <v>1</v>
      </c>
      <c r="E72" s="14" t="n">
        <f aca="false">IF(AND(Alpha_keep*$A72+E$3-MAX(Loss_w)&gt;=Lo_c-0.000000001,Alpha_keep*$A72+E$3-MIN(Loss_w)&lt;=Hi_c+0.000000001),1,0)</f>
        <v>1</v>
      </c>
      <c r="F72" s="14" t="n">
        <f aca="false">IF(AND(Alpha_keep*$A72+F$3-MAX(Loss_w)&gt;=Lo_c-0.000000001,Alpha_keep*$A72+F$3-MIN(Loss_w)&lt;=Hi_c+0.000000001),1,0)</f>
        <v>1</v>
      </c>
      <c r="G72" s="14" t="n">
        <f aca="false">IF(AND(Alpha_keep*$A72+G$3-MAX(Loss_w)&gt;=Lo_c-0.000000001,Alpha_keep*$A72+G$3-MIN(Loss_w)&lt;=Hi_c+0.000000001),1,0)</f>
        <v>1</v>
      </c>
      <c r="H72" s="14" t="n">
        <f aca="false">IF(AND(Alpha_keep*$A72+H$3-MAX(Loss_w)&gt;=Lo_c-0.000000001,Alpha_keep*$A72+H$3-MIN(Loss_w)&lt;=Hi_c+0.000000001),1,0)</f>
        <v>1</v>
      </c>
      <c r="I72" s="14" t="n">
        <f aca="false">IF(AND(Alpha_keep*$A72+I$3-MAX(Loss_w)&gt;=Lo_c-0.000000001,Alpha_keep*$A72+I$3-MIN(Loss_w)&lt;=Hi_c+0.000000001),1,0)</f>
        <v>1</v>
      </c>
      <c r="J72" s="14" t="n">
        <f aca="false">IF(AND(Alpha_keep*$A72+J$3-MAX(Loss_w)&gt;=Lo_c-0.000000001,Alpha_keep*$A72+J$3-MIN(Loss_w)&lt;=Hi_c+0.000000001),1,0)</f>
        <v>1</v>
      </c>
      <c r="K72" s="14" t="n">
        <f aca="false">IF(AND(Alpha_keep*$A72+K$3-MAX(Loss_w)&gt;=Lo_c-0.000000001,Alpha_keep*$A72+K$3-MIN(Loss_w)&lt;=Hi_c+0.000000001),1,0)</f>
        <v>1</v>
      </c>
      <c r="L72" s="14" t="n">
        <f aca="false">IF(AND(Alpha_keep*$A72+L$3-MAX(Loss_w)&gt;=Lo_c-0.000000001,Alpha_keep*$A72+L$3-MIN(Loss_w)&lt;=Hi_c+0.000000001),1,0)</f>
        <v>1</v>
      </c>
      <c r="M72" s="14" t="n">
        <f aca="false">IF(AND(Alpha_keep*$A72+M$3-MAX(Loss_w)&gt;=Lo_c-0.000000001,Alpha_keep*$A72+M$3-MIN(Loss_w)&lt;=Hi_c+0.000000001),1,0)</f>
        <v>1</v>
      </c>
      <c r="N72" s="14" t="n">
        <f aca="false">IF(C72=1,IF(OR(Alpha_keep*$A72+N$3&gt;=Floor_c-0.000000001,AND($B72=0,N$3&gt;=Cap_h-0.000000001)),1,0),0)</f>
        <v>0</v>
      </c>
      <c r="O72" s="14" t="n">
        <f aca="false">IF(D72=1,IF(OR(Alpha_keep*$A72+O$3&gt;=Floor_c-0.000000001,AND($B72=0,O$3&gt;=Cap_h-0.000000001)),1,0),0)</f>
        <v>0</v>
      </c>
      <c r="P72" s="14" t="n">
        <f aca="false">IF(E72=1,IF(OR(Alpha_keep*$A72+P$3&gt;=Floor_c-0.000000001,AND($B72=0,P$3&gt;=Cap_h-0.000000001)),1,0),0)</f>
        <v>0</v>
      </c>
      <c r="Q72" s="14" t="n">
        <f aca="false">IF(F72=1,IF(OR(Alpha_keep*$A72+Q$3&gt;=Floor_c-0.000000001,AND($B72=0,Q$3&gt;=Cap_h-0.000000001)),1,0),0)</f>
        <v>0</v>
      </c>
      <c r="R72" s="14" t="n">
        <f aca="false">IF(G72=1,IF(OR(Alpha_keep*$A72+R$3&gt;=Floor_c-0.000000001,AND($B72=0,R$3&gt;=Cap_h-0.000000001)),1,0),0)</f>
        <v>0</v>
      </c>
      <c r="S72" s="14" t="n">
        <f aca="false">IF(H72=1,IF(OR(Alpha_keep*$A72+S$3&gt;=Floor_c-0.000000001,AND($B72=0,S$3&gt;=Cap_h-0.000000001)),1,0),0)</f>
        <v>0</v>
      </c>
      <c r="T72" s="14" t="n">
        <f aca="false">IF(I72=1,IF(OR(Alpha_keep*$A72+T$3&gt;=Floor_c-0.000000001,AND($B72=0,T$3&gt;=Cap_h-0.000000001)),1,0),0)</f>
        <v>0</v>
      </c>
      <c r="U72" s="14" t="n">
        <f aca="false">IF(J72=1,IF(OR(Alpha_keep*$A72+U$3&gt;=Floor_c-0.000000001,AND($B72=0,U$3&gt;=Cap_h-0.000000001)),1,0),0)</f>
        <v>0</v>
      </c>
      <c r="V72" s="14" t="n">
        <f aca="false">IF(K72=1,IF(OR(Alpha_keep*$A72+V$3&gt;=Floor_c-0.000000001,AND($B72=0,V$3&gt;=Cap_h-0.000000001)),1,0),0)</f>
        <v>0</v>
      </c>
      <c r="W72" s="14" t="n">
        <f aca="false">IF(L72=1,IF(OR(Alpha_keep*$A72+W$3&gt;=Floor_c-0.000000001,AND($B72=0,W$3&gt;=Cap_h-0.000000001)),1,0),0)</f>
        <v>0</v>
      </c>
      <c r="X72" s="14" t="n">
        <f aca="false">IF(M72=1,IF(OR(Alpha_keep*$A72+X$3&gt;=Floor_c-0.000000001,AND($B72=0,X$3&gt;=Cap_h-0.000000001)),1,0),0)</f>
        <v>1</v>
      </c>
      <c r="Y72" s="14" t="n">
        <f aca="false">SUM(C72:M72)</f>
        <v>11</v>
      </c>
      <c r="Z72" s="14" t="n">
        <f aca="false">SUM(N72:X72)</f>
        <v>1</v>
      </c>
      <c r="AA72" s="12" t="n">
        <f aca="false">INDEX($C$3:$M$3,MATCH(1,C72:M72,0))</f>
        <v>0</v>
      </c>
      <c r="AB72" s="12" t="n">
        <f aca="false">INDEX($N$3:$X$3,MATCH(1,N72:X72,0))+(Z72-1)*Step_h</f>
        <v>2.5</v>
      </c>
    </row>
    <row r="73" customFormat="false" ht="15" hidden="false" customHeight="false" outlineLevel="0" collapsed="false">
      <c r="A73" s="12" t="n">
        <f aca="false">A72+Step_c</f>
        <v>47</v>
      </c>
      <c r="B73" s="14" t="n">
        <f aca="false">IF(SUMPRODUCT((Alpha_keep*$A73+$C$3:$M$3&gt;=Floor_c-0.000000001)*(C73:M73))&gt;0,1,0)</f>
        <v>0</v>
      </c>
      <c r="C73" s="14" t="n">
        <f aca="false">IF(AND(Alpha_keep*$A73+C$3-MAX(Loss_w)&gt;=Lo_c-0.000000001,Alpha_keep*$A73+C$3-MIN(Loss_w)&lt;=Hi_c+0.000000001),1,0)</f>
        <v>1</v>
      </c>
      <c r="D73" s="14" t="n">
        <f aca="false">IF(AND(Alpha_keep*$A73+D$3-MAX(Loss_w)&gt;=Lo_c-0.000000001,Alpha_keep*$A73+D$3-MIN(Loss_w)&lt;=Hi_c+0.000000001),1,0)</f>
        <v>1</v>
      </c>
      <c r="E73" s="14" t="n">
        <f aca="false">IF(AND(Alpha_keep*$A73+E$3-MAX(Loss_w)&gt;=Lo_c-0.000000001,Alpha_keep*$A73+E$3-MIN(Loss_w)&lt;=Hi_c+0.000000001),1,0)</f>
        <v>1</v>
      </c>
      <c r="F73" s="14" t="n">
        <f aca="false">IF(AND(Alpha_keep*$A73+F$3-MAX(Loss_w)&gt;=Lo_c-0.000000001,Alpha_keep*$A73+F$3-MIN(Loss_w)&lt;=Hi_c+0.000000001),1,0)</f>
        <v>1</v>
      </c>
      <c r="G73" s="14" t="n">
        <f aca="false">IF(AND(Alpha_keep*$A73+G$3-MAX(Loss_w)&gt;=Lo_c-0.000000001,Alpha_keep*$A73+G$3-MIN(Loss_w)&lt;=Hi_c+0.000000001),1,0)</f>
        <v>1</v>
      </c>
      <c r="H73" s="14" t="n">
        <f aca="false">IF(AND(Alpha_keep*$A73+H$3-MAX(Loss_w)&gt;=Lo_c-0.000000001,Alpha_keep*$A73+H$3-MIN(Loss_w)&lt;=Hi_c+0.000000001),1,0)</f>
        <v>1</v>
      </c>
      <c r="I73" s="14" t="n">
        <f aca="false">IF(AND(Alpha_keep*$A73+I$3-MAX(Loss_w)&gt;=Lo_c-0.000000001,Alpha_keep*$A73+I$3-MIN(Loss_w)&lt;=Hi_c+0.000000001),1,0)</f>
        <v>1</v>
      </c>
      <c r="J73" s="14" t="n">
        <f aca="false">IF(AND(Alpha_keep*$A73+J$3-MAX(Loss_w)&gt;=Lo_c-0.000000001,Alpha_keep*$A73+J$3-MIN(Loss_w)&lt;=Hi_c+0.000000001),1,0)</f>
        <v>1</v>
      </c>
      <c r="K73" s="14" t="n">
        <f aca="false">IF(AND(Alpha_keep*$A73+K$3-MAX(Loss_w)&gt;=Lo_c-0.000000001,Alpha_keep*$A73+K$3-MIN(Loss_w)&lt;=Hi_c+0.000000001),1,0)</f>
        <v>1</v>
      </c>
      <c r="L73" s="14" t="n">
        <f aca="false">IF(AND(Alpha_keep*$A73+L$3-MAX(Loss_w)&gt;=Lo_c-0.000000001,Alpha_keep*$A73+L$3-MIN(Loss_w)&lt;=Hi_c+0.000000001),1,0)</f>
        <v>1</v>
      </c>
      <c r="M73" s="14" t="n">
        <f aca="false">IF(AND(Alpha_keep*$A73+M$3-MAX(Loss_w)&gt;=Lo_c-0.000000001,Alpha_keep*$A73+M$3-MIN(Loss_w)&lt;=Hi_c+0.000000001),1,0)</f>
        <v>1</v>
      </c>
      <c r="N73" s="14" t="n">
        <f aca="false">IF(C73=1,IF(OR(Alpha_keep*$A73+N$3&gt;=Floor_c-0.000000001,AND($B73=0,N$3&gt;=Cap_h-0.000000001)),1,0),0)</f>
        <v>0</v>
      </c>
      <c r="O73" s="14" t="n">
        <f aca="false">IF(D73=1,IF(OR(Alpha_keep*$A73+O$3&gt;=Floor_c-0.000000001,AND($B73=0,O$3&gt;=Cap_h-0.000000001)),1,0),0)</f>
        <v>0</v>
      </c>
      <c r="P73" s="14" t="n">
        <f aca="false">IF(E73=1,IF(OR(Alpha_keep*$A73+P$3&gt;=Floor_c-0.000000001,AND($B73=0,P$3&gt;=Cap_h-0.000000001)),1,0),0)</f>
        <v>0</v>
      </c>
      <c r="Q73" s="14" t="n">
        <f aca="false">IF(F73=1,IF(OR(Alpha_keep*$A73+Q$3&gt;=Floor_c-0.000000001,AND($B73=0,Q$3&gt;=Cap_h-0.000000001)),1,0),0)</f>
        <v>0</v>
      </c>
      <c r="R73" s="14" t="n">
        <f aca="false">IF(G73=1,IF(OR(Alpha_keep*$A73+R$3&gt;=Floor_c-0.000000001,AND($B73=0,R$3&gt;=Cap_h-0.000000001)),1,0),0)</f>
        <v>0</v>
      </c>
      <c r="S73" s="14" t="n">
        <f aca="false">IF(H73=1,IF(OR(Alpha_keep*$A73+S$3&gt;=Floor_c-0.000000001,AND($B73=0,S$3&gt;=Cap_h-0.000000001)),1,0),0)</f>
        <v>0</v>
      </c>
      <c r="T73" s="14" t="n">
        <f aca="false">IF(I73=1,IF(OR(Alpha_keep*$A73+T$3&gt;=Floor_c-0.000000001,AND($B73=0,T$3&gt;=Cap_h-0.000000001)),1,0),0)</f>
        <v>0</v>
      </c>
      <c r="U73" s="14" t="n">
        <f aca="false">IF(J73=1,IF(OR(Alpha_keep*$A73+U$3&gt;=Floor_c-0.000000001,AND($B73=0,U$3&gt;=Cap_h-0.000000001)),1,0),0)</f>
        <v>0</v>
      </c>
      <c r="V73" s="14" t="n">
        <f aca="false">IF(K73=1,IF(OR(Alpha_keep*$A73+V$3&gt;=Floor_c-0.000000001,AND($B73=0,V$3&gt;=Cap_h-0.000000001)),1,0),0)</f>
        <v>0</v>
      </c>
      <c r="W73" s="14" t="n">
        <f aca="false">IF(L73=1,IF(OR(Alpha_keep*$A73+W$3&gt;=Floor_c-0.000000001,AND($B73=0,W$3&gt;=Cap_h-0.000000001)),1,0),0)</f>
        <v>0</v>
      </c>
      <c r="X73" s="14" t="n">
        <f aca="false">IF(M73=1,IF(OR(Alpha_keep*$A73+X$3&gt;=Floor_c-0.000000001,AND($B73=0,X$3&gt;=Cap_h-0.000000001)),1,0),0)</f>
        <v>1</v>
      </c>
      <c r="Y73" s="14" t="n">
        <f aca="false">SUM(C73:M73)</f>
        <v>11</v>
      </c>
      <c r="Z73" s="14" t="n">
        <f aca="false">SUM(N73:X73)</f>
        <v>1</v>
      </c>
      <c r="AA73" s="12" t="n">
        <f aca="false">INDEX($C$3:$M$3,MATCH(1,C73:M73,0))</f>
        <v>0</v>
      </c>
      <c r="AB73" s="12" t="n">
        <f aca="false">INDEX($N$3:$X$3,MATCH(1,N73:X73,0))+(Z73-1)*Step_h</f>
        <v>2.5</v>
      </c>
    </row>
    <row r="74" customFormat="false" ht="15" hidden="false" customHeight="false" outlineLevel="0" collapsed="false">
      <c r="A74" s="12" t="n">
        <f aca="false">A73+Step_c</f>
        <v>47.25</v>
      </c>
      <c r="B74" s="14" t="n">
        <f aca="false">IF(SUMPRODUCT((Alpha_keep*$A74+$C$3:$M$3&gt;=Floor_c-0.000000001)*(C74:M74))&gt;0,1,0)</f>
        <v>0</v>
      </c>
      <c r="C74" s="14" t="n">
        <f aca="false">IF(AND(Alpha_keep*$A74+C$3-MAX(Loss_w)&gt;=Lo_c-0.000000001,Alpha_keep*$A74+C$3-MIN(Loss_w)&lt;=Hi_c+0.000000001),1,0)</f>
        <v>1</v>
      </c>
      <c r="D74" s="14" t="n">
        <f aca="false">IF(AND(Alpha_keep*$A74+D$3-MAX(Loss_w)&gt;=Lo_c-0.000000001,Alpha_keep*$A74+D$3-MIN(Loss_w)&lt;=Hi_c+0.000000001),1,0)</f>
        <v>1</v>
      </c>
      <c r="E74" s="14" t="n">
        <f aca="false">IF(AND(Alpha_keep*$A74+E$3-MAX(Loss_w)&gt;=Lo_c-0.000000001,Alpha_keep*$A74+E$3-MIN(Loss_w)&lt;=Hi_c+0.000000001),1,0)</f>
        <v>1</v>
      </c>
      <c r="F74" s="14" t="n">
        <f aca="false">IF(AND(Alpha_keep*$A74+F$3-MAX(Loss_w)&gt;=Lo_c-0.000000001,Alpha_keep*$A74+F$3-MIN(Loss_w)&lt;=Hi_c+0.000000001),1,0)</f>
        <v>1</v>
      </c>
      <c r="G74" s="14" t="n">
        <f aca="false">IF(AND(Alpha_keep*$A74+G$3-MAX(Loss_w)&gt;=Lo_c-0.000000001,Alpha_keep*$A74+G$3-MIN(Loss_w)&lt;=Hi_c+0.000000001),1,0)</f>
        <v>1</v>
      </c>
      <c r="H74" s="14" t="n">
        <f aca="false">IF(AND(Alpha_keep*$A74+H$3-MAX(Loss_w)&gt;=Lo_c-0.000000001,Alpha_keep*$A74+H$3-MIN(Loss_w)&lt;=Hi_c+0.000000001),1,0)</f>
        <v>1</v>
      </c>
      <c r="I74" s="14" t="n">
        <f aca="false">IF(AND(Alpha_keep*$A74+I$3-MAX(Loss_w)&gt;=Lo_c-0.000000001,Alpha_keep*$A74+I$3-MIN(Loss_w)&lt;=Hi_c+0.000000001),1,0)</f>
        <v>1</v>
      </c>
      <c r="J74" s="14" t="n">
        <f aca="false">IF(AND(Alpha_keep*$A74+J$3-MAX(Loss_w)&gt;=Lo_c-0.000000001,Alpha_keep*$A74+J$3-MIN(Loss_w)&lt;=Hi_c+0.000000001),1,0)</f>
        <v>1</v>
      </c>
      <c r="K74" s="14" t="n">
        <f aca="false">IF(AND(Alpha_keep*$A74+K$3-MAX(Loss_w)&gt;=Lo_c-0.000000001,Alpha_keep*$A74+K$3-MIN(Loss_w)&lt;=Hi_c+0.000000001),1,0)</f>
        <v>1</v>
      </c>
      <c r="L74" s="14" t="n">
        <f aca="false">IF(AND(Alpha_keep*$A74+L$3-MAX(Loss_w)&gt;=Lo_c-0.000000001,Alpha_keep*$A74+L$3-MIN(Loss_w)&lt;=Hi_c+0.000000001),1,0)</f>
        <v>1</v>
      </c>
      <c r="M74" s="14" t="n">
        <f aca="false">IF(AND(Alpha_keep*$A74+M$3-MAX(Loss_w)&gt;=Lo_c-0.000000001,Alpha_keep*$A74+M$3-MIN(Loss_w)&lt;=Hi_c+0.000000001),1,0)</f>
        <v>1</v>
      </c>
      <c r="N74" s="14" t="n">
        <f aca="false">IF(C74=1,IF(OR(Alpha_keep*$A74+N$3&gt;=Floor_c-0.000000001,AND($B74=0,N$3&gt;=Cap_h-0.000000001)),1,0),0)</f>
        <v>0</v>
      </c>
      <c r="O74" s="14" t="n">
        <f aca="false">IF(D74=1,IF(OR(Alpha_keep*$A74+O$3&gt;=Floor_c-0.000000001,AND($B74=0,O$3&gt;=Cap_h-0.000000001)),1,0),0)</f>
        <v>0</v>
      </c>
      <c r="P74" s="14" t="n">
        <f aca="false">IF(E74=1,IF(OR(Alpha_keep*$A74+P$3&gt;=Floor_c-0.000000001,AND($B74=0,P$3&gt;=Cap_h-0.000000001)),1,0),0)</f>
        <v>0</v>
      </c>
      <c r="Q74" s="14" t="n">
        <f aca="false">IF(F74=1,IF(OR(Alpha_keep*$A74+Q$3&gt;=Floor_c-0.000000001,AND($B74=0,Q$3&gt;=Cap_h-0.000000001)),1,0),0)</f>
        <v>0</v>
      </c>
      <c r="R74" s="14" t="n">
        <f aca="false">IF(G74=1,IF(OR(Alpha_keep*$A74+R$3&gt;=Floor_c-0.000000001,AND($B74=0,R$3&gt;=Cap_h-0.000000001)),1,0),0)</f>
        <v>0</v>
      </c>
      <c r="S74" s="14" t="n">
        <f aca="false">IF(H74=1,IF(OR(Alpha_keep*$A74+S$3&gt;=Floor_c-0.000000001,AND($B74=0,S$3&gt;=Cap_h-0.000000001)),1,0),0)</f>
        <v>0</v>
      </c>
      <c r="T74" s="14" t="n">
        <f aca="false">IF(I74=1,IF(OR(Alpha_keep*$A74+T$3&gt;=Floor_c-0.000000001,AND($B74=0,T$3&gt;=Cap_h-0.000000001)),1,0),0)</f>
        <v>0</v>
      </c>
      <c r="U74" s="14" t="n">
        <f aca="false">IF(J74=1,IF(OR(Alpha_keep*$A74+U$3&gt;=Floor_c-0.000000001,AND($B74=0,U$3&gt;=Cap_h-0.000000001)),1,0),0)</f>
        <v>0</v>
      </c>
      <c r="V74" s="14" t="n">
        <f aca="false">IF(K74=1,IF(OR(Alpha_keep*$A74+V$3&gt;=Floor_c-0.000000001,AND($B74=0,V$3&gt;=Cap_h-0.000000001)),1,0),0)</f>
        <v>0</v>
      </c>
      <c r="W74" s="14" t="n">
        <f aca="false">IF(L74=1,IF(OR(Alpha_keep*$A74+W$3&gt;=Floor_c-0.000000001,AND($B74=0,W$3&gt;=Cap_h-0.000000001)),1,0),0)</f>
        <v>0</v>
      </c>
      <c r="X74" s="14" t="n">
        <f aca="false">IF(M74=1,IF(OR(Alpha_keep*$A74+X$3&gt;=Floor_c-0.000000001,AND($B74=0,X$3&gt;=Cap_h-0.000000001)),1,0),0)</f>
        <v>1</v>
      </c>
      <c r="Y74" s="14" t="n">
        <f aca="false">SUM(C74:M74)</f>
        <v>11</v>
      </c>
      <c r="Z74" s="14" t="n">
        <f aca="false">SUM(N74:X74)</f>
        <v>1</v>
      </c>
      <c r="AA74" s="12" t="n">
        <f aca="false">INDEX($C$3:$M$3,MATCH(1,C74:M74,0))</f>
        <v>0</v>
      </c>
      <c r="AB74" s="12" t="n">
        <f aca="false">INDEX($N$3:$X$3,MATCH(1,N74:X74,0))+(Z74-1)*Step_h</f>
        <v>2.5</v>
      </c>
    </row>
    <row r="75" customFormat="false" ht="15" hidden="false" customHeight="false" outlineLevel="0" collapsed="false">
      <c r="A75" s="12" t="n">
        <f aca="false">A74+Step_c</f>
        <v>47.5</v>
      </c>
      <c r="B75" s="14" t="n">
        <f aca="false">IF(SUMPRODUCT((Alpha_keep*$A75+$C$3:$M$3&gt;=Floor_c-0.000000001)*(C75:M75))&gt;0,1,0)</f>
        <v>0</v>
      </c>
      <c r="C75" s="14" t="n">
        <f aca="false">IF(AND(Alpha_keep*$A75+C$3-MAX(Loss_w)&gt;=Lo_c-0.000000001,Alpha_keep*$A75+C$3-MIN(Loss_w)&lt;=Hi_c+0.000000001),1,0)</f>
        <v>1</v>
      </c>
      <c r="D75" s="14" t="n">
        <f aca="false">IF(AND(Alpha_keep*$A75+D$3-MAX(Loss_w)&gt;=Lo_c-0.000000001,Alpha_keep*$A75+D$3-MIN(Loss_w)&lt;=Hi_c+0.000000001),1,0)</f>
        <v>1</v>
      </c>
      <c r="E75" s="14" t="n">
        <f aca="false">IF(AND(Alpha_keep*$A75+E$3-MAX(Loss_w)&gt;=Lo_c-0.000000001,Alpha_keep*$A75+E$3-MIN(Loss_w)&lt;=Hi_c+0.000000001),1,0)</f>
        <v>1</v>
      </c>
      <c r="F75" s="14" t="n">
        <f aca="false">IF(AND(Alpha_keep*$A75+F$3-MAX(Loss_w)&gt;=Lo_c-0.000000001,Alpha_keep*$A75+F$3-MIN(Loss_w)&lt;=Hi_c+0.000000001),1,0)</f>
        <v>1</v>
      </c>
      <c r="G75" s="14" t="n">
        <f aca="false">IF(AND(Alpha_keep*$A75+G$3-MAX(Loss_w)&gt;=Lo_c-0.000000001,Alpha_keep*$A75+G$3-MIN(Loss_w)&lt;=Hi_c+0.000000001),1,0)</f>
        <v>1</v>
      </c>
      <c r="H75" s="14" t="n">
        <f aca="false">IF(AND(Alpha_keep*$A75+H$3-MAX(Loss_w)&gt;=Lo_c-0.000000001,Alpha_keep*$A75+H$3-MIN(Loss_w)&lt;=Hi_c+0.000000001),1,0)</f>
        <v>1</v>
      </c>
      <c r="I75" s="14" t="n">
        <f aca="false">IF(AND(Alpha_keep*$A75+I$3-MAX(Loss_w)&gt;=Lo_c-0.000000001,Alpha_keep*$A75+I$3-MIN(Loss_w)&lt;=Hi_c+0.000000001),1,0)</f>
        <v>1</v>
      </c>
      <c r="J75" s="14" t="n">
        <f aca="false">IF(AND(Alpha_keep*$A75+J$3-MAX(Loss_w)&gt;=Lo_c-0.000000001,Alpha_keep*$A75+J$3-MIN(Loss_w)&lt;=Hi_c+0.000000001),1,0)</f>
        <v>1</v>
      </c>
      <c r="K75" s="14" t="n">
        <f aca="false">IF(AND(Alpha_keep*$A75+K$3-MAX(Loss_w)&gt;=Lo_c-0.000000001,Alpha_keep*$A75+K$3-MIN(Loss_w)&lt;=Hi_c+0.000000001),1,0)</f>
        <v>1</v>
      </c>
      <c r="L75" s="14" t="n">
        <f aca="false">IF(AND(Alpha_keep*$A75+L$3-MAX(Loss_w)&gt;=Lo_c-0.000000001,Alpha_keep*$A75+L$3-MIN(Loss_w)&lt;=Hi_c+0.000000001),1,0)</f>
        <v>1</v>
      </c>
      <c r="M75" s="14" t="n">
        <f aca="false">IF(AND(Alpha_keep*$A75+M$3-MAX(Loss_w)&gt;=Lo_c-0.000000001,Alpha_keep*$A75+M$3-MIN(Loss_w)&lt;=Hi_c+0.000000001),1,0)</f>
        <v>1</v>
      </c>
      <c r="N75" s="14" t="n">
        <f aca="false">IF(C75=1,IF(OR(Alpha_keep*$A75+N$3&gt;=Floor_c-0.000000001,AND($B75=0,N$3&gt;=Cap_h-0.000000001)),1,0),0)</f>
        <v>0</v>
      </c>
      <c r="O75" s="14" t="n">
        <f aca="false">IF(D75=1,IF(OR(Alpha_keep*$A75+O$3&gt;=Floor_c-0.000000001,AND($B75=0,O$3&gt;=Cap_h-0.000000001)),1,0),0)</f>
        <v>0</v>
      </c>
      <c r="P75" s="14" t="n">
        <f aca="false">IF(E75=1,IF(OR(Alpha_keep*$A75+P$3&gt;=Floor_c-0.000000001,AND($B75=0,P$3&gt;=Cap_h-0.000000001)),1,0),0)</f>
        <v>0</v>
      </c>
      <c r="Q75" s="14" t="n">
        <f aca="false">IF(F75=1,IF(OR(Alpha_keep*$A75+Q$3&gt;=Floor_c-0.000000001,AND($B75=0,Q$3&gt;=Cap_h-0.000000001)),1,0),0)</f>
        <v>0</v>
      </c>
      <c r="R75" s="14" t="n">
        <f aca="false">IF(G75=1,IF(OR(Alpha_keep*$A75+R$3&gt;=Floor_c-0.000000001,AND($B75=0,R$3&gt;=Cap_h-0.000000001)),1,0),0)</f>
        <v>0</v>
      </c>
      <c r="S75" s="14" t="n">
        <f aca="false">IF(H75=1,IF(OR(Alpha_keep*$A75+S$3&gt;=Floor_c-0.000000001,AND($B75=0,S$3&gt;=Cap_h-0.000000001)),1,0),0)</f>
        <v>0</v>
      </c>
      <c r="T75" s="14" t="n">
        <f aca="false">IF(I75=1,IF(OR(Alpha_keep*$A75+T$3&gt;=Floor_c-0.000000001,AND($B75=0,T$3&gt;=Cap_h-0.000000001)),1,0),0)</f>
        <v>0</v>
      </c>
      <c r="U75" s="14" t="n">
        <f aca="false">IF(J75=1,IF(OR(Alpha_keep*$A75+U$3&gt;=Floor_c-0.000000001,AND($B75=0,U$3&gt;=Cap_h-0.000000001)),1,0),0)</f>
        <v>0</v>
      </c>
      <c r="V75" s="14" t="n">
        <f aca="false">IF(K75=1,IF(OR(Alpha_keep*$A75+V$3&gt;=Floor_c-0.000000001,AND($B75=0,V$3&gt;=Cap_h-0.000000001)),1,0),0)</f>
        <v>0</v>
      </c>
      <c r="W75" s="14" t="n">
        <f aca="false">IF(L75=1,IF(OR(Alpha_keep*$A75+W$3&gt;=Floor_c-0.000000001,AND($B75=0,W$3&gt;=Cap_h-0.000000001)),1,0),0)</f>
        <v>0</v>
      </c>
      <c r="X75" s="14" t="n">
        <f aca="false">IF(M75=1,IF(OR(Alpha_keep*$A75+X$3&gt;=Floor_c-0.000000001,AND($B75=0,X$3&gt;=Cap_h-0.000000001)),1,0),0)</f>
        <v>1</v>
      </c>
      <c r="Y75" s="14" t="n">
        <f aca="false">SUM(C75:M75)</f>
        <v>11</v>
      </c>
      <c r="Z75" s="14" t="n">
        <f aca="false">SUM(N75:X75)</f>
        <v>1</v>
      </c>
      <c r="AA75" s="12" t="n">
        <f aca="false">INDEX($C$3:$M$3,MATCH(1,C75:M75,0))</f>
        <v>0</v>
      </c>
      <c r="AB75" s="12" t="n">
        <f aca="false">INDEX($N$3:$X$3,MATCH(1,N75:X75,0))+(Z75-1)*Step_h</f>
        <v>2.5</v>
      </c>
    </row>
    <row r="76" customFormat="false" ht="15" hidden="false" customHeight="false" outlineLevel="0" collapsed="false">
      <c r="A76" s="12" t="n">
        <f aca="false">A75+Step_c</f>
        <v>47.75</v>
      </c>
      <c r="B76" s="14" t="n">
        <f aca="false">IF(SUMPRODUCT((Alpha_keep*$A76+$C$3:$M$3&gt;=Floor_c-0.000000001)*(C76:M76))&gt;0,1,0)</f>
        <v>0</v>
      </c>
      <c r="C76" s="14" t="n">
        <f aca="false">IF(AND(Alpha_keep*$A76+C$3-MAX(Loss_w)&gt;=Lo_c-0.000000001,Alpha_keep*$A76+C$3-MIN(Loss_w)&lt;=Hi_c+0.000000001),1,0)</f>
        <v>1</v>
      </c>
      <c r="D76" s="14" t="n">
        <f aca="false">IF(AND(Alpha_keep*$A76+D$3-MAX(Loss_w)&gt;=Lo_c-0.000000001,Alpha_keep*$A76+D$3-MIN(Loss_w)&lt;=Hi_c+0.000000001),1,0)</f>
        <v>1</v>
      </c>
      <c r="E76" s="14" t="n">
        <f aca="false">IF(AND(Alpha_keep*$A76+E$3-MAX(Loss_w)&gt;=Lo_c-0.000000001,Alpha_keep*$A76+E$3-MIN(Loss_w)&lt;=Hi_c+0.000000001),1,0)</f>
        <v>1</v>
      </c>
      <c r="F76" s="14" t="n">
        <f aca="false">IF(AND(Alpha_keep*$A76+F$3-MAX(Loss_w)&gt;=Lo_c-0.000000001,Alpha_keep*$A76+F$3-MIN(Loss_w)&lt;=Hi_c+0.000000001),1,0)</f>
        <v>1</v>
      </c>
      <c r="G76" s="14" t="n">
        <f aca="false">IF(AND(Alpha_keep*$A76+G$3-MAX(Loss_w)&gt;=Lo_c-0.000000001,Alpha_keep*$A76+G$3-MIN(Loss_w)&lt;=Hi_c+0.000000001),1,0)</f>
        <v>1</v>
      </c>
      <c r="H76" s="14" t="n">
        <f aca="false">IF(AND(Alpha_keep*$A76+H$3-MAX(Loss_w)&gt;=Lo_c-0.000000001,Alpha_keep*$A76+H$3-MIN(Loss_w)&lt;=Hi_c+0.000000001),1,0)</f>
        <v>1</v>
      </c>
      <c r="I76" s="14" t="n">
        <f aca="false">IF(AND(Alpha_keep*$A76+I$3-MAX(Loss_w)&gt;=Lo_c-0.000000001,Alpha_keep*$A76+I$3-MIN(Loss_w)&lt;=Hi_c+0.000000001),1,0)</f>
        <v>1</v>
      </c>
      <c r="J76" s="14" t="n">
        <f aca="false">IF(AND(Alpha_keep*$A76+J$3-MAX(Loss_w)&gt;=Lo_c-0.000000001,Alpha_keep*$A76+J$3-MIN(Loss_w)&lt;=Hi_c+0.000000001),1,0)</f>
        <v>1</v>
      </c>
      <c r="K76" s="14" t="n">
        <f aca="false">IF(AND(Alpha_keep*$A76+K$3-MAX(Loss_w)&gt;=Lo_c-0.000000001,Alpha_keep*$A76+K$3-MIN(Loss_w)&lt;=Hi_c+0.000000001),1,0)</f>
        <v>1</v>
      </c>
      <c r="L76" s="14" t="n">
        <f aca="false">IF(AND(Alpha_keep*$A76+L$3-MAX(Loss_w)&gt;=Lo_c-0.000000001,Alpha_keep*$A76+L$3-MIN(Loss_w)&lt;=Hi_c+0.000000001),1,0)</f>
        <v>1</v>
      </c>
      <c r="M76" s="14" t="n">
        <f aca="false">IF(AND(Alpha_keep*$A76+M$3-MAX(Loss_w)&gt;=Lo_c-0.000000001,Alpha_keep*$A76+M$3-MIN(Loss_w)&lt;=Hi_c+0.000000001),1,0)</f>
        <v>1</v>
      </c>
      <c r="N76" s="14" t="n">
        <f aca="false">IF(C76=1,IF(OR(Alpha_keep*$A76+N$3&gt;=Floor_c-0.000000001,AND($B76=0,N$3&gt;=Cap_h-0.000000001)),1,0),0)</f>
        <v>0</v>
      </c>
      <c r="O76" s="14" t="n">
        <f aca="false">IF(D76=1,IF(OR(Alpha_keep*$A76+O$3&gt;=Floor_c-0.000000001,AND($B76=0,O$3&gt;=Cap_h-0.000000001)),1,0),0)</f>
        <v>0</v>
      </c>
      <c r="P76" s="14" t="n">
        <f aca="false">IF(E76=1,IF(OR(Alpha_keep*$A76+P$3&gt;=Floor_c-0.000000001,AND($B76=0,P$3&gt;=Cap_h-0.000000001)),1,0),0)</f>
        <v>0</v>
      </c>
      <c r="Q76" s="14" t="n">
        <f aca="false">IF(F76=1,IF(OR(Alpha_keep*$A76+Q$3&gt;=Floor_c-0.000000001,AND($B76=0,Q$3&gt;=Cap_h-0.000000001)),1,0),0)</f>
        <v>0</v>
      </c>
      <c r="R76" s="14" t="n">
        <f aca="false">IF(G76=1,IF(OR(Alpha_keep*$A76+R$3&gt;=Floor_c-0.000000001,AND($B76=0,R$3&gt;=Cap_h-0.000000001)),1,0),0)</f>
        <v>0</v>
      </c>
      <c r="S76" s="14" t="n">
        <f aca="false">IF(H76=1,IF(OR(Alpha_keep*$A76+S$3&gt;=Floor_c-0.000000001,AND($B76=0,S$3&gt;=Cap_h-0.000000001)),1,0),0)</f>
        <v>0</v>
      </c>
      <c r="T76" s="14" t="n">
        <f aca="false">IF(I76=1,IF(OR(Alpha_keep*$A76+T$3&gt;=Floor_c-0.000000001,AND($B76=0,T$3&gt;=Cap_h-0.000000001)),1,0),0)</f>
        <v>0</v>
      </c>
      <c r="U76" s="14" t="n">
        <f aca="false">IF(J76=1,IF(OR(Alpha_keep*$A76+U$3&gt;=Floor_c-0.000000001,AND($B76=0,U$3&gt;=Cap_h-0.000000001)),1,0),0)</f>
        <v>0</v>
      </c>
      <c r="V76" s="14" t="n">
        <f aca="false">IF(K76=1,IF(OR(Alpha_keep*$A76+V$3&gt;=Floor_c-0.000000001,AND($B76=0,V$3&gt;=Cap_h-0.000000001)),1,0),0)</f>
        <v>0</v>
      </c>
      <c r="W76" s="14" t="n">
        <f aca="false">IF(L76=1,IF(OR(Alpha_keep*$A76+W$3&gt;=Floor_c-0.000000001,AND($B76=0,W$3&gt;=Cap_h-0.000000001)),1,0),0)</f>
        <v>0</v>
      </c>
      <c r="X76" s="14" t="n">
        <f aca="false">IF(M76=1,IF(OR(Alpha_keep*$A76+X$3&gt;=Floor_c-0.000000001,AND($B76=0,X$3&gt;=Cap_h-0.000000001)),1,0),0)</f>
        <v>1</v>
      </c>
      <c r="Y76" s="14" t="n">
        <f aca="false">SUM(C76:M76)</f>
        <v>11</v>
      </c>
      <c r="Z76" s="14" t="n">
        <f aca="false">SUM(N76:X76)</f>
        <v>1</v>
      </c>
      <c r="AA76" s="12" t="n">
        <f aca="false">INDEX($C$3:$M$3,MATCH(1,C76:M76,0))</f>
        <v>0</v>
      </c>
      <c r="AB76" s="12" t="n">
        <f aca="false">INDEX($N$3:$X$3,MATCH(1,N76:X76,0))+(Z76-1)*Step_h</f>
        <v>2.5</v>
      </c>
    </row>
    <row r="77" customFormat="false" ht="15" hidden="false" customHeight="false" outlineLevel="0" collapsed="false">
      <c r="A77" s="12" t="n">
        <f aca="false">A76+Step_c</f>
        <v>48</v>
      </c>
      <c r="B77" s="14" t="n">
        <f aca="false">IF(SUMPRODUCT((Alpha_keep*$A77+$C$3:$M$3&gt;=Floor_c-0.000000001)*(C77:M77))&gt;0,1,0)</f>
        <v>0</v>
      </c>
      <c r="C77" s="14" t="n">
        <f aca="false">IF(AND(Alpha_keep*$A77+C$3-MAX(Loss_w)&gt;=Lo_c-0.000000001,Alpha_keep*$A77+C$3-MIN(Loss_w)&lt;=Hi_c+0.000000001),1,0)</f>
        <v>1</v>
      </c>
      <c r="D77" s="14" t="n">
        <f aca="false">IF(AND(Alpha_keep*$A77+D$3-MAX(Loss_w)&gt;=Lo_c-0.000000001,Alpha_keep*$A77+D$3-MIN(Loss_w)&lt;=Hi_c+0.000000001),1,0)</f>
        <v>1</v>
      </c>
      <c r="E77" s="14" t="n">
        <f aca="false">IF(AND(Alpha_keep*$A77+E$3-MAX(Loss_w)&gt;=Lo_c-0.000000001,Alpha_keep*$A77+E$3-MIN(Loss_w)&lt;=Hi_c+0.000000001),1,0)</f>
        <v>1</v>
      </c>
      <c r="F77" s="14" t="n">
        <f aca="false">IF(AND(Alpha_keep*$A77+F$3-MAX(Loss_w)&gt;=Lo_c-0.000000001,Alpha_keep*$A77+F$3-MIN(Loss_w)&lt;=Hi_c+0.000000001),1,0)</f>
        <v>1</v>
      </c>
      <c r="G77" s="14" t="n">
        <f aca="false">IF(AND(Alpha_keep*$A77+G$3-MAX(Loss_w)&gt;=Lo_c-0.000000001,Alpha_keep*$A77+G$3-MIN(Loss_w)&lt;=Hi_c+0.000000001),1,0)</f>
        <v>1</v>
      </c>
      <c r="H77" s="14" t="n">
        <f aca="false">IF(AND(Alpha_keep*$A77+H$3-MAX(Loss_w)&gt;=Lo_c-0.000000001,Alpha_keep*$A77+H$3-MIN(Loss_w)&lt;=Hi_c+0.000000001),1,0)</f>
        <v>1</v>
      </c>
      <c r="I77" s="14" t="n">
        <f aca="false">IF(AND(Alpha_keep*$A77+I$3-MAX(Loss_w)&gt;=Lo_c-0.000000001,Alpha_keep*$A77+I$3-MIN(Loss_w)&lt;=Hi_c+0.000000001),1,0)</f>
        <v>1</v>
      </c>
      <c r="J77" s="14" t="n">
        <f aca="false">IF(AND(Alpha_keep*$A77+J$3-MAX(Loss_w)&gt;=Lo_c-0.000000001,Alpha_keep*$A77+J$3-MIN(Loss_w)&lt;=Hi_c+0.000000001),1,0)</f>
        <v>1</v>
      </c>
      <c r="K77" s="14" t="n">
        <f aca="false">IF(AND(Alpha_keep*$A77+K$3-MAX(Loss_w)&gt;=Lo_c-0.000000001,Alpha_keep*$A77+K$3-MIN(Loss_w)&lt;=Hi_c+0.000000001),1,0)</f>
        <v>1</v>
      </c>
      <c r="L77" s="14" t="n">
        <f aca="false">IF(AND(Alpha_keep*$A77+L$3-MAX(Loss_w)&gt;=Lo_c-0.000000001,Alpha_keep*$A77+L$3-MIN(Loss_w)&lt;=Hi_c+0.000000001),1,0)</f>
        <v>1</v>
      </c>
      <c r="M77" s="14" t="n">
        <f aca="false">IF(AND(Alpha_keep*$A77+M$3-MAX(Loss_w)&gt;=Lo_c-0.000000001,Alpha_keep*$A77+M$3-MIN(Loss_w)&lt;=Hi_c+0.000000001),1,0)</f>
        <v>1</v>
      </c>
      <c r="N77" s="14" t="n">
        <f aca="false">IF(C77=1,IF(OR(Alpha_keep*$A77+N$3&gt;=Floor_c-0.000000001,AND($B77=0,N$3&gt;=Cap_h-0.000000001)),1,0),0)</f>
        <v>0</v>
      </c>
      <c r="O77" s="14" t="n">
        <f aca="false">IF(D77=1,IF(OR(Alpha_keep*$A77+O$3&gt;=Floor_c-0.000000001,AND($B77=0,O$3&gt;=Cap_h-0.000000001)),1,0),0)</f>
        <v>0</v>
      </c>
      <c r="P77" s="14" t="n">
        <f aca="false">IF(E77=1,IF(OR(Alpha_keep*$A77+P$3&gt;=Floor_c-0.000000001,AND($B77=0,P$3&gt;=Cap_h-0.000000001)),1,0),0)</f>
        <v>0</v>
      </c>
      <c r="Q77" s="14" t="n">
        <f aca="false">IF(F77=1,IF(OR(Alpha_keep*$A77+Q$3&gt;=Floor_c-0.000000001,AND($B77=0,Q$3&gt;=Cap_h-0.000000001)),1,0),0)</f>
        <v>0</v>
      </c>
      <c r="R77" s="14" t="n">
        <f aca="false">IF(G77=1,IF(OR(Alpha_keep*$A77+R$3&gt;=Floor_c-0.000000001,AND($B77=0,R$3&gt;=Cap_h-0.000000001)),1,0),0)</f>
        <v>0</v>
      </c>
      <c r="S77" s="14" t="n">
        <f aca="false">IF(H77=1,IF(OR(Alpha_keep*$A77+S$3&gt;=Floor_c-0.000000001,AND($B77=0,S$3&gt;=Cap_h-0.000000001)),1,0),0)</f>
        <v>0</v>
      </c>
      <c r="T77" s="14" t="n">
        <f aca="false">IF(I77=1,IF(OR(Alpha_keep*$A77+T$3&gt;=Floor_c-0.000000001,AND($B77=0,T$3&gt;=Cap_h-0.000000001)),1,0),0)</f>
        <v>0</v>
      </c>
      <c r="U77" s="14" t="n">
        <f aca="false">IF(J77=1,IF(OR(Alpha_keep*$A77+U$3&gt;=Floor_c-0.000000001,AND($B77=0,U$3&gt;=Cap_h-0.000000001)),1,0),0)</f>
        <v>0</v>
      </c>
      <c r="V77" s="14" t="n">
        <f aca="false">IF(K77=1,IF(OR(Alpha_keep*$A77+V$3&gt;=Floor_c-0.000000001,AND($B77=0,V$3&gt;=Cap_h-0.000000001)),1,0),0)</f>
        <v>0</v>
      </c>
      <c r="W77" s="14" t="n">
        <f aca="false">IF(L77=1,IF(OR(Alpha_keep*$A77+W$3&gt;=Floor_c-0.000000001,AND($B77=0,W$3&gt;=Cap_h-0.000000001)),1,0),0)</f>
        <v>0</v>
      </c>
      <c r="X77" s="14" t="n">
        <f aca="false">IF(M77=1,IF(OR(Alpha_keep*$A77+X$3&gt;=Floor_c-0.000000001,AND($B77=0,X$3&gt;=Cap_h-0.000000001)),1,0),0)</f>
        <v>1</v>
      </c>
      <c r="Y77" s="14" t="n">
        <f aca="false">SUM(C77:M77)</f>
        <v>11</v>
      </c>
      <c r="Z77" s="14" t="n">
        <f aca="false">SUM(N77:X77)</f>
        <v>1</v>
      </c>
      <c r="AA77" s="12" t="n">
        <f aca="false">INDEX($C$3:$M$3,MATCH(1,C77:M77,0))</f>
        <v>0</v>
      </c>
      <c r="AB77" s="12" t="n">
        <f aca="false">INDEX($N$3:$X$3,MATCH(1,N77:X77,0))+(Z77-1)*Step_h</f>
        <v>2.5</v>
      </c>
    </row>
    <row r="78" customFormat="false" ht="15" hidden="false" customHeight="false" outlineLevel="0" collapsed="false">
      <c r="A78" s="12" t="n">
        <f aca="false">A77+Step_c</f>
        <v>48.25</v>
      </c>
      <c r="B78" s="14" t="n">
        <f aca="false">IF(SUMPRODUCT((Alpha_keep*$A78+$C$3:$M$3&gt;=Floor_c-0.000000001)*(C78:M78))&gt;0,1,0)</f>
        <v>0</v>
      </c>
      <c r="C78" s="14" t="n">
        <f aca="false">IF(AND(Alpha_keep*$A78+C$3-MAX(Loss_w)&gt;=Lo_c-0.000000001,Alpha_keep*$A78+C$3-MIN(Loss_w)&lt;=Hi_c+0.000000001),1,0)</f>
        <v>1</v>
      </c>
      <c r="D78" s="14" t="n">
        <f aca="false">IF(AND(Alpha_keep*$A78+D$3-MAX(Loss_w)&gt;=Lo_c-0.000000001,Alpha_keep*$A78+D$3-MIN(Loss_w)&lt;=Hi_c+0.000000001),1,0)</f>
        <v>1</v>
      </c>
      <c r="E78" s="14" t="n">
        <f aca="false">IF(AND(Alpha_keep*$A78+E$3-MAX(Loss_w)&gt;=Lo_c-0.000000001,Alpha_keep*$A78+E$3-MIN(Loss_w)&lt;=Hi_c+0.000000001),1,0)</f>
        <v>1</v>
      </c>
      <c r="F78" s="14" t="n">
        <f aca="false">IF(AND(Alpha_keep*$A78+F$3-MAX(Loss_w)&gt;=Lo_c-0.000000001,Alpha_keep*$A78+F$3-MIN(Loss_w)&lt;=Hi_c+0.000000001),1,0)</f>
        <v>1</v>
      </c>
      <c r="G78" s="14" t="n">
        <f aca="false">IF(AND(Alpha_keep*$A78+G$3-MAX(Loss_w)&gt;=Lo_c-0.000000001,Alpha_keep*$A78+G$3-MIN(Loss_w)&lt;=Hi_c+0.000000001),1,0)</f>
        <v>1</v>
      </c>
      <c r="H78" s="14" t="n">
        <f aca="false">IF(AND(Alpha_keep*$A78+H$3-MAX(Loss_w)&gt;=Lo_c-0.000000001,Alpha_keep*$A78+H$3-MIN(Loss_w)&lt;=Hi_c+0.000000001),1,0)</f>
        <v>1</v>
      </c>
      <c r="I78" s="14" t="n">
        <f aca="false">IF(AND(Alpha_keep*$A78+I$3-MAX(Loss_w)&gt;=Lo_c-0.000000001,Alpha_keep*$A78+I$3-MIN(Loss_w)&lt;=Hi_c+0.000000001),1,0)</f>
        <v>1</v>
      </c>
      <c r="J78" s="14" t="n">
        <f aca="false">IF(AND(Alpha_keep*$A78+J$3-MAX(Loss_w)&gt;=Lo_c-0.000000001,Alpha_keep*$A78+J$3-MIN(Loss_w)&lt;=Hi_c+0.000000001),1,0)</f>
        <v>1</v>
      </c>
      <c r="K78" s="14" t="n">
        <f aca="false">IF(AND(Alpha_keep*$A78+K$3-MAX(Loss_w)&gt;=Lo_c-0.000000001,Alpha_keep*$A78+K$3-MIN(Loss_w)&lt;=Hi_c+0.000000001),1,0)</f>
        <v>1</v>
      </c>
      <c r="L78" s="14" t="n">
        <f aca="false">IF(AND(Alpha_keep*$A78+L$3-MAX(Loss_w)&gt;=Lo_c-0.000000001,Alpha_keep*$A78+L$3-MIN(Loss_w)&lt;=Hi_c+0.000000001),1,0)</f>
        <v>1</v>
      </c>
      <c r="M78" s="14" t="n">
        <f aca="false">IF(AND(Alpha_keep*$A78+M$3-MAX(Loss_w)&gt;=Lo_c-0.000000001,Alpha_keep*$A78+M$3-MIN(Loss_w)&lt;=Hi_c+0.000000001),1,0)</f>
        <v>1</v>
      </c>
      <c r="N78" s="14" t="n">
        <f aca="false">IF(C78=1,IF(OR(Alpha_keep*$A78+N$3&gt;=Floor_c-0.000000001,AND($B78=0,N$3&gt;=Cap_h-0.000000001)),1,0),0)</f>
        <v>0</v>
      </c>
      <c r="O78" s="14" t="n">
        <f aca="false">IF(D78=1,IF(OR(Alpha_keep*$A78+O$3&gt;=Floor_c-0.000000001,AND($B78=0,O$3&gt;=Cap_h-0.000000001)),1,0),0)</f>
        <v>0</v>
      </c>
      <c r="P78" s="14" t="n">
        <f aca="false">IF(E78=1,IF(OR(Alpha_keep*$A78+P$3&gt;=Floor_c-0.000000001,AND($B78=0,P$3&gt;=Cap_h-0.000000001)),1,0),0)</f>
        <v>0</v>
      </c>
      <c r="Q78" s="14" t="n">
        <f aca="false">IF(F78=1,IF(OR(Alpha_keep*$A78+Q$3&gt;=Floor_c-0.000000001,AND($B78=0,Q$3&gt;=Cap_h-0.000000001)),1,0),0)</f>
        <v>0</v>
      </c>
      <c r="R78" s="14" t="n">
        <f aca="false">IF(G78=1,IF(OR(Alpha_keep*$A78+R$3&gt;=Floor_c-0.000000001,AND($B78=0,R$3&gt;=Cap_h-0.000000001)),1,0),0)</f>
        <v>0</v>
      </c>
      <c r="S78" s="14" t="n">
        <f aca="false">IF(H78=1,IF(OR(Alpha_keep*$A78+S$3&gt;=Floor_c-0.000000001,AND($B78=0,S$3&gt;=Cap_h-0.000000001)),1,0),0)</f>
        <v>0</v>
      </c>
      <c r="T78" s="14" t="n">
        <f aca="false">IF(I78=1,IF(OR(Alpha_keep*$A78+T$3&gt;=Floor_c-0.000000001,AND($B78=0,T$3&gt;=Cap_h-0.000000001)),1,0),0)</f>
        <v>0</v>
      </c>
      <c r="U78" s="14" t="n">
        <f aca="false">IF(J78=1,IF(OR(Alpha_keep*$A78+U$3&gt;=Floor_c-0.000000001,AND($B78=0,U$3&gt;=Cap_h-0.000000001)),1,0),0)</f>
        <v>0</v>
      </c>
      <c r="V78" s="14" t="n">
        <f aca="false">IF(K78=1,IF(OR(Alpha_keep*$A78+V$3&gt;=Floor_c-0.000000001,AND($B78=0,V$3&gt;=Cap_h-0.000000001)),1,0),0)</f>
        <v>0</v>
      </c>
      <c r="W78" s="14" t="n">
        <f aca="false">IF(L78=1,IF(OR(Alpha_keep*$A78+W$3&gt;=Floor_c-0.000000001,AND($B78=0,W$3&gt;=Cap_h-0.000000001)),1,0),0)</f>
        <v>0</v>
      </c>
      <c r="X78" s="14" t="n">
        <f aca="false">IF(M78=1,IF(OR(Alpha_keep*$A78+X$3&gt;=Floor_c-0.000000001,AND($B78=0,X$3&gt;=Cap_h-0.000000001)),1,0),0)</f>
        <v>1</v>
      </c>
      <c r="Y78" s="14" t="n">
        <f aca="false">SUM(C78:M78)</f>
        <v>11</v>
      </c>
      <c r="Z78" s="14" t="n">
        <f aca="false">SUM(N78:X78)</f>
        <v>1</v>
      </c>
      <c r="AA78" s="12" t="n">
        <f aca="false">INDEX($C$3:$M$3,MATCH(1,C78:M78,0))</f>
        <v>0</v>
      </c>
      <c r="AB78" s="12" t="n">
        <f aca="false">INDEX($N$3:$X$3,MATCH(1,N78:X78,0))+(Z78-1)*Step_h</f>
        <v>2.5</v>
      </c>
    </row>
    <row r="79" customFormat="false" ht="15" hidden="false" customHeight="false" outlineLevel="0" collapsed="false">
      <c r="A79" s="12" t="n">
        <f aca="false">A78+Step_c</f>
        <v>48.5</v>
      </c>
      <c r="B79" s="14" t="n">
        <f aca="false">IF(SUMPRODUCT((Alpha_keep*$A79+$C$3:$M$3&gt;=Floor_c-0.000000001)*(C79:M79))&gt;0,1,0)</f>
        <v>0</v>
      </c>
      <c r="C79" s="14" t="n">
        <f aca="false">IF(AND(Alpha_keep*$A79+C$3-MAX(Loss_w)&gt;=Lo_c-0.000000001,Alpha_keep*$A79+C$3-MIN(Loss_w)&lt;=Hi_c+0.000000001),1,0)</f>
        <v>1</v>
      </c>
      <c r="D79" s="14" t="n">
        <f aca="false">IF(AND(Alpha_keep*$A79+D$3-MAX(Loss_w)&gt;=Lo_c-0.000000001,Alpha_keep*$A79+D$3-MIN(Loss_w)&lt;=Hi_c+0.000000001),1,0)</f>
        <v>1</v>
      </c>
      <c r="E79" s="14" t="n">
        <f aca="false">IF(AND(Alpha_keep*$A79+E$3-MAX(Loss_w)&gt;=Lo_c-0.000000001,Alpha_keep*$A79+E$3-MIN(Loss_w)&lt;=Hi_c+0.000000001),1,0)</f>
        <v>1</v>
      </c>
      <c r="F79" s="14" t="n">
        <f aca="false">IF(AND(Alpha_keep*$A79+F$3-MAX(Loss_w)&gt;=Lo_c-0.000000001,Alpha_keep*$A79+F$3-MIN(Loss_w)&lt;=Hi_c+0.000000001),1,0)</f>
        <v>1</v>
      </c>
      <c r="G79" s="14" t="n">
        <f aca="false">IF(AND(Alpha_keep*$A79+G$3-MAX(Loss_w)&gt;=Lo_c-0.000000001,Alpha_keep*$A79+G$3-MIN(Loss_w)&lt;=Hi_c+0.000000001),1,0)</f>
        <v>1</v>
      </c>
      <c r="H79" s="14" t="n">
        <f aca="false">IF(AND(Alpha_keep*$A79+H$3-MAX(Loss_w)&gt;=Lo_c-0.000000001,Alpha_keep*$A79+H$3-MIN(Loss_w)&lt;=Hi_c+0.000000001),1,0)</f>
        <v>1</v>
      </c>
      <c r="I79" s="14" t="n">
        <f aca="false">IF(AND(Alpha_keep*$A79+I$3-MAX(Loss_w)&gt;=Lo_c-0.000000001,Alpha_keep*$A79+I$3-MIN(Loss_w)&lt;=Hi_c+0.000000001),1,0)</f>
        <v>1</v>
      </c>
      <c r="J79" s="14" t="n">
        <f aca="false">IF(AND(Alpha_keep*$A79+J$3-MAX(Loss_w)&gt;=Lo_c-0.000000001,Alpha_keep*$A79+J$3-MIN(Loss_w)&lt;=Hi_c+0.000000001),1,0)</f>
        <v>1</v>
      </c>
      <c r="K79" s="14" t="n">
        <f aca="false">IF(AND(Alpha_keep*$A79+K$3-MAX(Loss_w)&gt;=Lo_c-0.000000001,Alpha_keep*$A79+K$3-MIN(Loss_w)&lt;=Hi_c+0.000000001),1,0)</f>
        <v>1</v>
      </c>
      <c r="L79" s="14" t="n">
        <f aca="false">IF(AND(Alpha_keep*$A79+L$3-MAX(Loss_w)&gt;=Lo_c-0.000000001,Alpha_keep*$A79+L$3-MIN(Loss_w)&lt;=Hi_c+0.000000001),1,0)</f>
        <v>1</v>
      </c>
      <c r="M79" s="14" t="n">
        <f aca="false">IF(AND(Alpha_keep*$A79+M$3-MAX(Loss_w)&gt;=Lo_c-0.000000001,Alpha_keep*$A79+M$3-MIN(Loss_w)&lt;=Hi_c+0.000000001),1,0)</f>
        <v>1</v>
      </c>
      <c r="N79" s="14" t="n">
        <f aca="false">IF(C79=1,IF(OR(Alpha_keep*$A79+N$3&gt;=Floor_c-0.000000001,AND($B79=0,N$3&gt;=Cap_h-0.000000001)),1,0),0)</f>
        <v>0</v>
      </c>
      <c r="O79" s="14" t="n">
        <f aca="false">IF(D79=1,IF(OR(Alpha_keep*$A79+O$3&gt;=Floor_c-0.000000001,AND($B79=0,O$3&gt;=Cap_h-0.000000001)),1,0),0)</f>
        <v>0</v>
      </c>
      <c r="P79" s="14" t="n">
        <f aca="false">IF(E79=1,IF(OR(Alpha_keep*$A79+P$3&gt;=Floor_c-0.000000001,AND($B79=0,P$3&gt;=Cap_h-0.000000001)),1,0),0)</f>
        <v>0</v>
      </c>
      <c r="Q79" s="14" t="n">
        <f aca="false">IF(F79=1,IF(OR(Alpha_keep*$A79+Q$3&gt;=Floor_c-0.000000001,AND($B79=0,Q$3&gt;=Cap_h-0.000000001)),1,0),0)</f>
        <v>0</v>
      </c>
      <c r="R79" s="14" t="n">
        <f aca="false">IF(G79=1,IF(OR(Alpha_keep*$A79+R$3&gt;=Floor_c-0.000000001,AND($B79=0,R$3&gt;=Cap_h-0.000000001)),1,0),0)</f>
        <v>0</v>
      </c>
      <c r="S79" s="14" t="n">
        <f aca="false">IF(H79=1,IF(OR(Alpha_keep*$A79+S$3&gt;=Floor_c-0.000000001,AND($B79=0,S$3&gt;=Cap_h-0.000000001)),1,0),0)</f>
        <v>0</v>
      </c>
      <c r="T79" s="14" t="n">
        <f aca="false">IF(I79=1,IF(OR(Alpha_keep*$A79+T$3&gt;=Floor_c-0.000000001,AND($B79=0,T$3&gt;=Cap_h-0.000000001)),1,0),0)</f>
        <v>0</v>
      </c>
      <c r="U79" s="14" t="n">
        <f aca="false">IF(J79=1,IF(OR(Alpha_keep*$A79+U$3&gt;=Floor_c-0.000000001,AND($B79=0,U$3&gt;=Cap_h-0.000000001)),1,0),0)</f>
        <v>0</v>
      </c>
      <c r="V79" s="14" t="n">
        <f aca="false">IF(K79=1,IF(OR(Alpha_keep*$A79+V$3&gt;=Floor_c-0.000000001,AND($B79=0,V$3&gt;=Cap_h-0.000000001)),1,0),0)</f>
        <v>0</v>
      </c>
      <c r="W79" s="14" t="n">
        <f aca="false">IF(L79=1,IF(OR(Alpha_keep*$A79+W$3&gt;=Floor_c-0.000000001,AND($B79=0,W$3&gt;=Cap_h-0.000000001)),1,0),0)</f>
        <v>0</v>
      </c>
      <c r="X79" s="14" t="n">
        <f aca="false">IF(M79=1,IF(OR(Alpha_keep*$A79+X$3&gt;=Floor_c-0.000000001,AND($B79=0,X$3&gt;=Cap_h-0.000000001)),1,0),0)</f>
        <v>1</v>
      </c>
      <c r="Y79" s="14" t="n">
        <f aca="false">SUM(C79:M79)</f>
        <v>11</v>
      </c>
      <c r="Z79" s="14" t="n">
        <f aca="false">SUM(N79:X79)</f>
        <v>1</v>
      </c>
      <c r="AA79" s="12" t="n">
        <f aca="false">INDEX($C$3:$M$3,MATCH(1,C79:M79,0))</f>
        <v>0</v>
      </c>
      <c r="AB79" s="12" t="n">
        <f aca="false">INDEX($N$3:$X$3,MATCH(1,N79:X79,0))+(Z79-1)*Step_h</f>
        <v>2.5</v>
      </c>
    </row>
    <row r="80" customFormat="false" ht="15" hidden="false" customHeight="false" outlineLevel="0" collapsed="false">
      <c r="A80" s="12" t="n">
        <f aca="false">A79+Step_c</f>
        <v>48.75</v>
      </c>
      <c r="B80" s="14" t="n">
        <f aca="false">IF(SUMPRODUCT((Alpha_keep*$A80+$C$3:$M$3&gt;=Floor_c-0.000000001)*(C80:M80))&gt;0,1,0)</f>
        <v>0</v>
      </c>
      <c r="C80" s="14" t="n">
        <f aca="false">IF(AND(Alpha_keep*$A80+C$3-MAX(Loss_w)&gt;=Lo_c-0.000000001,Alpha_keep*$A80+C$3-MIN(Loss_w)&lt;=Hi_c+0.000000001),1,0)</f>
        <v>1</v>
      </c>
      <c r="D80" s="14" t="n">
        <f aca="false">IF(AND(Alpha_keep*$A80+D$3-MAX(Loss_w)&gt;=Lo_c-0.000000001,Alpha_keep*$A80+D$3-MIN(Loss_w)&lt;=Hi_c+0.000000001),1,0)</f>
        <v>1</v>
      </c>
      <c r="E80" s="14" t="n">
        <f aca="false">IF(AND(Alpha_keep*$A80+E$3-MAX(Loss_w)&gt;=Lo_c-0.000000001,Alpha_keep*$A80+E$3-MIN(Loss_w)&lt;=Hi_c+0.000000001),1,0)</f>
        <v>1</v>
      </c>
      <c r="F80" s="14" t="n">
        <f aca="false">IF(AND(Alpha_keep*$A80+F$3-MAX(Loss_w)&gt;=Lo_c-0.000000001,Alpha_keep*$A80+F$3-MIN(Loss_w)&lt;=Hi_c+0.000000001),1,0)</f>
        <v>1</v>
      </c>
      <c r="G80" s="14" t="n">
        <f aca="false">IF(AND(Alpha_keep*$A80+G$3-MAX(Loss_w)&gt;=Lo_c-0.000000001,Alpha_keep*$A80+G$3-MIN(Loss_w)&lt;=Hi_c+0.000000001),1,0)</f>
        <v>1</v>
      </c>
      <c r="H80" s="14" t="n">
        <f aca="false">IF(AND(Alpha_keep*$A80+H$3-MAX(Loss_w)&gt;=Lo_c-0.000000001,Alpha_keep*$A80+H$3-MIN(Loss_w)&lt;=Hi_c+0.000000001),1,0)</f>
        <v>1</v>
      </c>
      <c r="I80" s="14" t="n">
        <f aca="false">IF(AND(Alpha_keep*$A80+I$3-MAX(Loss_w)&gt;=Lo_c-0.000000001,Alpha_keep*$A80+I$3-MIN(Loss_w)&lt;=Hi_c+0.000000001),1,0)</f>
        <v>1</v>
      </c>
      <c r="J80" s="14" t="n">
        <f aca="false">IF(AND(Alpha_keep*$A80+J$3-MAX(Loss_w)&gt;=Lo_c-0.000000001,Alpha_keep*$A80+J$3-MIN(Loss_w)&lt;=Hi_c+0.000000001),1,0)</f>
        <v>1</v>
      </c>
      <c r="K80" s="14" t="n">
        <f aca="false">IF(AND(Alpha_keep*$A80+K$3-MAX(Loss_w)&gt;=Lo_c-0.000000001,Alpha_keep*$A80+K$3-MIN(Loss_w)&lt;=Hi_c+0.000000001),1,0)</f>
        <v>1</v>
      </c>
      <c r="L80" s="14" t="n">
        <f aca="false">IF(AND(Alpha_keep*$A80+L$3-MAX(Loss_w)&gt;=Lo_c-0.000000001,Alpha_keep*$A80+L$3-MIN(Loss_w)&lt;=Hi_c+0.000000001),1,0)</f>
        <v>1</v>
      </c>
      <c r="M80" s="14" t="n">
        <f aca="false">IF(AND(Alpha_keep*$A80+M$3-MAX(Loss_w)&gt;=Lo_c-0.000000001,Alpha_keep*$A80+M$3-MIN(Loss_w)&lt;=Hi_c+0.000000001),1,0)</f>
        <v>1</v>
      </c>
      <c r="N80" s="14" t="n">
        <f aca="false">IF(C80=1,IF(OR(Alpha_keep*$A80+N$3&gt;=Floor_c-0.000000001,AND($B80=0,N$3&gt;=Cap_h-0.000000001)),1,0),0)</f>
        <v>0</v>
      </c>
      <c r="O80" s="14" t="n">
        <f aca="false">IF(D80=1,IF(OR(Alpha_keep*$A80+O$3&gt;=Floor_c-0.000000001,AND($B80=0,O$3&gt;=Cap_h-0.000000001)),1,0),0)</f>
        <v>0</v>
      </c>
      <c r="P80" s="14" t="n">
        <f aca="false">IF(E80=1,IF(OR(Alpha_keep*$A80+P$3&gt;=Floor_c-0.000000001,AND($B80=0,P$3&gt;=Cap_h-0.000000001)),1,0),0)</f>
        <v>0</v>
      </c>
      <c r="Q80" s="14" t="n">
        <f aca="false">IF(F80=1,IF(OR(Alpha_keep*$A80+Q$3&gt;=Floor_c-0.000000001,AND($B80=0,Q$3&gt;=Cap_h-0.000000001)),1,0),0)</f>
        <v>0</v>
      </c>
      <c r="R80" s="14" t="n">
        <f aca="false">IF(G80=1,IF(OR(Alpha_keep*$A80+R$3&gt;=Floor_c-0.000000001,AND($B80=0,R$3&gt;=Cap_h-0.000000001)),1,0),0)</f>
        <v>0</v>
      </c>
      <c r="S80" s="14" t="n">
        <f aca="false">IF(H80=1,IF(OR(Alpha_keep*$A80+S$3&gt;=Floor_c-0.000000001,AND($B80=0,S$3&gt;=Cap_h-0.000000001)),1,0),0)</f>
        <v>0</v>
      </c>
      <c r="T80" s="14" t="n">
        <f aca="false">IF(I80=1,IF(OR(Alpha_keep*$A80+T$3&gt;=Floor_c-0.000000001,AND($B80=0,T$3&gt;=Cap_h-0.000000001)),1,0),0)</f>
        <v>0</v>
      </c>
      <c r="U80" s="14" t="n">
        <f aca="false">IF(J80=1,IF(OR(Alpha_keep*$A80+U$3&gt;=Floor_c-0.000000001,AND($B80=0,U$3&gt;=Cap_h-0.000000001)),1,0),0)</f>
        <v>0</v>
      </c>
      <c r="V80" s="14" t="n">
        <f aca="false">IF(K80=1,IF(OR(Alpha_keep*$A80+V$3&gt;=Floor_c-0.000000001,AND($B80=0,V$3&gt;=Cap_h-0.000000001)),1,0),0)</f>
        <v>0</v>
      </c>
      <c r="W80" s="14" t="n">
        <f aca="false">IF(L80=1,IF(OR(Alpha_keep*$A80+W$3&gt;=Floor_c-0.000000001,AND($B80=0,W$3&gt;=Cap_h-0.000000001)),1,0),0)</f>
        <v>0</v>
      </c>
      <c r="X80" s="14" t="n">
        <f aca="false">IF(M80=1,IF(OR(Alpha_keep*$A80+X$3&gt;=Floor_c-0.000000001,AND($B80=0,X$3&gt;=Cap_h-0.000000001)),1,0),0)</f>
        <v>1</v>
      </c>
      <c r="Y80" s="14" t="n">
        <f aca="false">SUM(C80:M80)</f>
        <v>11</v>
      </c>
      <c r="Z80" s="14" t="n">
        <f aca="false">SUM(N80:X80)</f>
        <v>1</v>
      </c>
      <c r="AA80" s="12" t="n">
        <f aca="false">INDEX($C$3:$M$3,MATCH(1,C80:M80,0))</f>
        <v>0</v>
      </c>
      <c r="AB80" s="12" t="n">
        <f aca="false">INDEX($N$3:$X$3,MATCH(1,N80:X80,0))+(Z80-1)*Step_h</f>
        <v>2.5</v>
      </c>
    </row>
    <row r="81" customFormat="false" ht="15" hidden="false" customHeight="false" outlineLevel="0" collapsed="false">
      <c r="A81" s="12" t="n">
        <f aca="false">A80+Step_c</f>
        <v>49</v>
      </c>
      <c r="B81" s="14" t="n">
        <f aca="false">IF(SUMPRODUCT((Alpha_keep*$A81+$C$3:$M$3&gt;=Floor_c-0.000000001)*(C81:M81))&gt;0,1,0)</f>
        <v>0</v>
      </c>
      <c r="C81" s="14" t="n">
        <f aca="false">IF(AND(Alpha_keep*$A81+C$3-MAX(Loss_w)&gt;=Lo_c-0.000000001,Alpha_keep*$A81+C$3-MIN(Loss_w)&lt;=Hi_c+0.000000001),1,0)</f>
        <v>1</v>
      </c>
      <c r="D81" s="14" t="n">
        <f aca="false">IF(AND(Alpha_keep*$A81+D$3-MAX(Loss_w)&gt;=Lo_c-0.000000001,Alpha_keep*$A81+D$3-MIN(Loss_w)&lt;=Hi_c+0.000000001),1,0)</f>
        <v>1</v>
      </c>
      <c r="E81" s="14" t="n">
        <f aca="false">IF(AND(Alpha_keep*$A81+E$3-MAX(Loss_w)&gt;=Lo_c-0.000000001,Alpha_keep*$A81+E$3-MIN(Loss_w)&lt;=Hi_c+0.000000001),1,0)</f>
        <v>1</v>
      </c>
      <c r="F81" s="14" t="n">
        <f aca="false">IF(AND(Alpha_keep*$A81+F$3-MAX(Loss_w)&gt;=Lo_c-0.000000001,Alpha_keep*$A81+F$3-MIN(Loss_w)&lt;=Hi_c+0.000000001),1,0)</f>
        <v>1</v>
      </c>
      <c r="G81" s="14" t="n">
        <f aca="false">IF(AND(Alpha_keep*$A81+G$3-MAX(Loss_w)&gt;=Lo_c-0.000000001,Alpha_keep*$A81+G$3-MIN(Loss_w)&lt;=Hi_c+0.000000001),1,0)</f>
        <v>1</v>
      </c>
      <c r="H81" s="14" t="n">
        <f aca="false">IF(AND(Alpha_keep*$A81+H$3-MAX(Loss_w)&gt;=Lo_c-0.000000001,Alpha_keep*$A81+H$3-MIN(Loss_w)&lt;=Hi_c+0.000000001),1,0)</f>
        <v>1</v>
      </c>
      <c r="I81" s="14" t="n">
        <f aca="false">IF(AND(Alpha_keep*$A81+I$3-MAX(Loss_w)&gt;=Lo_c-0.000000001,Alpha_keep*$A81+I$3-MIN(Loss_w)&lt;=Hi_c+0.000000001),1,0)</f>
        <v>1</v>
      </c>
      <c r="J81" s="14" t="n">
        <f aca="false">IF(AND(Alpha_keep*$A81+J$3-MAX(Loss_w)&gt;=Lo_c-0.000000001,Alpha_keep*$A81+J$3-MIN(Loss_w)&lt;=Hi_c+0.000000001),1,0)</f>
        <v>1</v>
      </c>
      <c r="K81" s="14" t="n">
        <f aca="false">IF(AND(Alpha_keep*$A81+K$3-MAX(Loss_w)&gt;=Lo_c-0.000000001,Alpha_keep*$A81+K$3-MIN(Loss_w)&lt;=Hi_c+0.000000001),1,0)</f>
        <v>1</v>
      </c>
      <c r="L81" s="14" t="n">
        <f aca="false">IF(AND(Alpha_keep*$A81+L$3-MAX(Loss_w)&gt;=Lo_c-0.000000001,Alpha_keep*$A81+L$3-MIN(Loss_w)&lt;=Hi_c+0.000000001),1,0)</f>
        <v>1</v>
      </c>
      <c r="M81" s="14" t="n">
        <f aca="false">IF(AND(Alpha_keep*$A81+M$3-MAX(Loss_w)&gt;=Lo_c-0.000000001,Alpha_keep*$A81+M$3-MIN(Loss_w)&lt;=Hi_c+0.000000001),1,0)</f>
        <v>1</v>
      </c>
      <c r="N81" s="14" t="n">
        <f aca="false">IF(C81=1,IF(OR(Alpha_keep*$A81+N$3&gt;=Floor_c-0.000000001,AND($B81=0,N$3&gt;=Cap_h-0.000000001)),1,0),0)</f>
        <v>0</v>
      </c>
      <c r="O81" s="14" t="n">
        <f aca="false">IF(D81=1,IF(OR(Alpha_keep*$A81+O$3&gt;=Floor_c-0.000000001,AND($B81=0,O$3&gt;=Cap_h-0.000000001)),1,0),0)</f>
        <v>0</v>
      </c>
      <c r="P81" s="14" t="n">
        <f aca="false">IF(E81=1,IF(OR(Alpha_keep*$A81+P$3&gt;=Floor_c-0.000000001,AND($B81=0,P$3&gt;=Cap_h-0.000000001)),1,0),0)</f>
        <v>0</v>
      </c>
      <c r="Q81" s="14" t="n">
        <f aca="false">IF(F81=1,IF(OR(Alpha_keep*$A81+Q$3&gt;=Floor_c-0.000000001,AND($B81=0,Q$3&gt;=Cap_h-0.000000001)),1,0),0)</f>
        <v>0</v>
      </c>
      <c r="R81" s="14" t="n">
        <f aca="false">IF(G81=1,IF(OR(Alpha_keep*$A81+R$3&gt;=Floor_c-0.000000001,AND($B81=0,R$3&gt;=Cap_h-0.000000001)),1,0),0)</f>
        <v>0</v>
      </c>
      <c r="S81" s="14" t="n">
        <f aca="false">IF(H81=1,IF(OR(Alpha_keep*$A81+S$3&gt;=Floor_c-0.000000001,AND($B81=0,S$3&gt;=Cap_h-0.000000001)),1,0),0)</f>
        <v>0</v>
      </c>
      <c r="T81" s="14" t="n">
        <f aca="false">IF(I81=1,IF(OR(Alpha_keep*$A81+T$3&gt;=Floor_c-0.000000001,AND($B81=0,T$3&gt;=Cap_h-0.000000001)),1,0),0)</f>
        <v>0</v>
      </c>
      <c r="U81" s="14" t="n">
        <f aca="false">IF(J81=1,IF(OR(Alpha_keep*$A81+U$3&gt;=Floor_c-0.000000001,AND($B81=0,U$3&gt;=Cap_h-0.000000001)),1,0),0)</f>
        <v>0</v>
      </c>
      <c r="V81" s="14" t="n">
        <f aca="false">IF(K81=1,IF(OR(Alpha_keep*$A81+V$3&gt;=Floor_c-0.000000001,AND($B81=0,V$3&gt;=Cap_h-0.000000001)),1,0),0)</f>
        <v>0</v>
      </c>
      <c r="W81" s="14" t="n">
        <f aca="false">IF(L81=1,IF(OR(Alpha_keep*$A81+W$3&gt;=Floor_c-0.000000001,AND($B81=0,W$3&gt;=Cap_h-0.000000001)),1,0),0)</f>
        <v>0</v>
      </c>
      <c r="X81" s="14" t="n">
        <f aca="false">IF(M81=1,IF(OR(Alpha_keep*$A81+X$3&gt;=Floor_c-0.000000001,AND($B81=0,X$3&gt;=Cap_h-0.000000001)),1,0),0)</f>
        <v>1</v>
      </c>
      <c r="Y81" s="14" t="n">
        <f aca="false">SUM(C81:M81)</f>
        <v>11</v>
      </c>
      <c r="Z81" s="14" t="n">
        <f aca="false">SUM(N81:X81)</f>
        <v>1</v>
      </c>
      <c r="AA81" s="12" t="n">
        <f aca="false">INDEX($C$3:$M$3,MATCH(1,C81:M81,0))</f>
        <v>0</v>
      </c>
      <c r="AB81" s="12" t="n">
        <f aca="false">INDEX($N$3:$X$3,MATCH(1,N81:X81,0))+(Z81-1)*Step_h</f>
        <v>2.5</v>
      </c>
    </row>
    <row r="82" customFormat="false" ht="15" hidden="false" customHeight="false" outlineLevel="0" collapsed="false">
      <c r="A82" s="12" t="n">
        <f aca="false">A81+Step_c</f>
        <v>49.25</v>
      </c>
      <c r="B82" s="14" t="n">
        <f aca="false">IF(SUMPRODUCT((Alpha_keep*$A82+$C$3:$M$3&gt;=Floor_c-0.000000001)*(C82:M82))&gt;0,1,0)</f>
        <v>0</v>
      </c>
      <c r="C82" s="14" t="n">
        <f aca="false">IF(AND(Alpha_keep*$A82+C$3-MAX(Loss_w)&gt;=Lo_c-0.000000001,Alpha_keep*$A82+C$3-MIN(Loss_w)&lt;=Hi_c+0.000000001),1,0)</f>
        <v>1</v>
      </c>
      <c r="D82" s="14" t="n">
        <f aca="false">IF(AND(Alpha_keep*$A82+D$3-MAX(Loss_w)&gt;=Lo_c-0.000000001,Alpha_keep*$A82+D$3-MIN(Loss_w)&lt;=Hi_c+0.000000001),1,0)</f>
        <v>1</v>
      </c>
      <c r="E82" s="14" t="n">
        <f aca="false">IF(AND(Alpha_keep*$A82+E$3-MAX(Loss_w)&gt;=Lo_c-0.000000001,Alpha_keep*$A82+E$3-MIN(Loss_w)&lt;=Hi_c+0.000000001),1,0)</f>
        <v>1</v>
      </c>
      <c r="F82" s="14" t="n">
        <f aca="false">IF(AND(Alpha_keep*$A82+F$3-MAX(Loss_w)&gt;=Lo_c-0.000000001,Alpha_keep*$A82+F$3-MIN(Loss_w)&lt;=Hi_c+0.000000001),1,0)</f>
        <v>1</v>
      </c>
      <c r="G82" s="14" t="n">
        <f aca="false">IF(AND(Alpha_keep*$A82+G$3-MAX(Loss_w)&gt;=Lo_c-0.000000001,Alpha_keep*$A82+G$3-MIN(Loss_w)&lt;=Hi_c+0.000000001),1,0)</f>
        <v>1</v>
      </c>
      <c r="H82" s="14" t="n">
        <f aca="false">IF(AND(Alpha_keep*$A82+H$3-MAX(Loss_w)&gt;=Lo_c-0.000000001,Alpha_keep*$A82+H$3-MIN(Loss_w)&lt;=Hi_c+0.000000001),1,0)</f>
        <v>1</v>
      </c>
      <c r="I82" s="14" t="n">
        <f aca="false">IF(AND(Alpha_keep*$A82+I$3-MAX(Loss_w)&gt;=Lo_c-0.000000001,Alpha_keep*$A82+I$3-MIN(Loss_w)&lt;=Hi_c+0.000000001),1,0)</f>
        <v>1</v>
      </c>
      <c r="J82" s="14" t="n">
        <f aca="false">IF(AND(Alpha_keep*$A82+J$3-MAX(Loss_w)&gt;=Lo_c-0.000000001,Alpha_keep*$A82+J$3-MIN(Loss_w)&lt;=Hi_c+0.000000001),1,0)</f>
        <v>1</v>
      </c>
      <c r="K82" s="14" t="n">
        <f aca="false">IF(AND(Alpha_keep*$A82+K$3-MAX(Loss_w)&gt;=Lo_c-0.000000001,Alpha_keep*$A82+K$3-MIN(Loss_w)&lt;=Hi_c+0.000000001),1,0)</f>
        <v>1</v>
      </c>
      <c r="L82" s="14" t="n">
        <f aca="false">IF(AND(Alpha_keep*$A82+L$3-MAX(Loss_w)&gt;=Lo_c-0.000000001,Alpha_keep*$A82+L$3-MIN(Loss_w)&lt;=Hi_c+0.000000001),1,0)</f>
        <v>1</v>
      </c>
      <c r="M82" s="14" t="n">
        <f aca="false">IF(AND(Alpha_keep*$A82+M$3-MAX(Loss_w)&gt;=Lo_c-0.000000001,Alpha_keep*$A82+M$3-MIN(Loss_w)&lt;=Hi_c+0.000000001),1,0)</f>
        <v>1</v>
      </c>
      <c r="N82" s="14" t="n">
        <f aca="false">IF(C82=1,IF(OR(Alpha_keep*$A82+N$3&gt;=Floor_c-0.000000001,AND($B82=0,N$3&gt;=Cap_h-0.000000001)),1,0),0)</f>
        <v>0</v>
      </c>
      <c r="O82" s="14" t="n">
        <f aca="false">IF(D82=1,IF(OR(Alpha_keep*$A82+O$3&gt;=Floor_c-0.000000001,AND($B82=0,O$3&gt;=Cap_h-0.000000001)),1,0),0)</f>
        <v>0</v>
      </c>
      <c r="P82" s="14" t="n">
        <f aca="false">IF(E82=1,IF(OR(Alpha_keep*$A82+P$3&gt;=Floor_c-0.000000001,AND($B82=0,P$3&gt;=Cap_h-0.000000001)),1,0),0)</f>
        <v>0</v>
      </c>
      <c r="Q82" s="14" t="n">
        <f aca="false">IF(F82=1,IF(OR(Alpha_keep*$A82+Q$3&gt;=Floor_c-0.000000001,AND($B82=0,Q$3&gt;=Cap_h-0.000000001)),1,0),0)</f>
        <v>0</v>
      </c>
      <c r="R82" s="14" t="n">
        <f aca="false">IF(G82=1,IF(OR(Alpha_keep*$A82+R$3&gt;=Floor_c-0.000000001,AND($B82=0,R$3&gt;=Cap_h-0.000000001)),1,0),0)</f>
        <v>0</v>
      </c>
      <c r="S82" s="14" t="n">
        <f aca="false">IF(H82=1,IF(OR(Alpha_keep*$A82+S$3&gt;=Floor_c-0.000000001,AND($B82=0,S$3&gt;=Cap_h-0.000000001)),1,0),0)</f>
        <v>0</v>
      </c>
      <c r="T82" s="14" t="n">
        <f aca="false">IF(I82=1,IF(OR(Alpha_keep*$A82+T$3&gt;=Floor_c-0.000000001,AND($B82=0,T$3&gt;=Cap_h-0.000000001)),1,0),0)</f>
        <v>0</v>
      </c>
      <c r="U82" s="14" t="n">
        <f aca="false">IF(J82=1,IF(OR(Alpha_keep*$A82+U$3&gt;=Floor_c-0.000000001,AND($B82=0,U$3&gt;=Cap_h-0.000000001)),1,0),0)</f>
        <v>0</v>
      </c>
      <c r="V82" s="14" t="n">
        <f aca="false">IF(K82=1,IF(OR(Alpha_keep*$A82+V$3&gt;=Floor_c-0.000000001,AND($B82=0,V$3&gt;=Cap_h-0.000000001)),1,0),0)</f>
        <v>0</v>
      </c>
      <c r="W82" s="14" t="n">
        <f aca="false">IF(L82=1,IF(OR(Alpha_keep*$A82+W$3&gt;=Floor_c-0.000000001,AND($B82=0,W$3&gt;=Cap_h-0.000000001)),1,0),0)</f>
        <v>0</v>
      </c>
      <c r="X82" s="14" t="n">
        <f aca="false">IF(M82=1,IF(OR(Alpha_keep*$A82+X$3&gt;=Floor_c-0.000000001,AND($B82=0,X$3&gt;=Cap_h-0.000000001)),1,0),0)</f>
        <v>1</v>
      </c>
      <c r="Y82" s="14" t="n">
        <f aca="false">SUM(C82:M82)</f>
        <v>11</v>
      </c>
      <c r="Z82" s="14" t="n">
        <f aca="false">SUM(N82:X82)</f>
        <v>1</v>
      </c>
      <c r="AA82" s="12" t="n">
        <f aca="false">INDEX($C$3:$M$3,MATCH(1,C82:M82,0))</f>
        <v>0</v>
      </c>
      <c r="AB82" s="12" t="n">
        <f aca="false">INDEX($N$3:$X$3,MATCH(1,N82:X82,0))+(Z82-1)*Step_h</f>
        <v>2.5</v>
      </c>
    </row>
    <row r="83" customFormat="false" ht="15" hidden="false" customHeight="false" outlineLevel="0" collapsed="false">
      <c r="A83" s="12" t="n">
        <f aca="false">A82+Step_c</f>
        <v>49.5</v>
      </c>
      <c r="B83" s="14" t="n">
        <f aca="false">IF(SUMPRODUCT((Alpha_keep*$A83+$C$3:$M$3&gt;=Floor_c-0.000000001)*(C83:M83))&gt;0,1,0)</f>
        <v>0</v>
      </c>
      <c r="C83" s="14" t="n">
        <f aca="false">IF(AND(Alpha_keep*$A83+C$3-MAX(Loss_w)&gt;=Lo_c-0.000000001,Alpha_keep*$A83+C$3-MIN(Loss_w)&lt;=Hi_c+0.000000001),1,0)</f>
        <v>1</v>
      </c>
      <c r="D83" s="14" t="n">
        <f aca="false">IF(AND(Alpha_keep*$A83+D$3-MAX(Loss_w)&gt;=Lo_c-0.000000001,Alpha_keep*$A83+D$3-MIN(Loss_w)&lt;=Hi_c+0.000000001),1,0)</f>
        <v>1</v>
      </c>
      <c r="E83" s="14" t="n">
        <f aca="false">IF(AND(Alpha_keep*$A83+E$3-MAX(Loss_w)&gt;=Lo_c-0.000000001,Alpha_keep*$A83+E$3-MIN(Loss_w)&lt;=Hi_c+0.000000001),1,0)</f>
        <v>1</v>
      </c>
      <c r="F83" s="14" t="n">
        <f aca="false">IF(AND(Alpha_keep*$A83+F$3-MAX(Loss_w)&gt;=Lo_c-0.000000001,Alpha_keep*$A83+F$3-MIN(Loss_w)&lt;=Hi_c+0.000000001),1,0)</f>
        <v>1</v>
      </c>
      <c r="G83" s="14" t="n">
        <f aca="false">IF(AND(Alpha_keep*$A83+G$3-MAX(Loss_w)&gt;=Lo_c-0.000000001,Alpha_keep*$A83+G$3-MIN(Loss_w)&lt;=Hi_c+0.000000001),1,0)</f>
        <v>1</v>
      </c>
      <c r="H83" s="14" t="n">
        <f aca="false">IF(AND(Alpha_keep*$A83+H$3-MAX(Loss_w)&gt;=Lo_c-0.000000001,Alpha_keep*$A83+H$3-MIN(Loss_w)&lt;=Hi_c+0.000000001),1,0)</f>
        <v>1</v>
      </c>
      <c r="I83" s="14" t="n">
        <f aca="false">IF(AND(Alpha_keep*$A83+I$3-MAX(Loss_w)&gt;=Lo_c-0.000000001,Alpha_keep*$A83+I$3-MIN(Loss_w)&lt;=Hi_c+0.000000001),1,0)</f>
        <v>1</v>
      </c>
      <c r="J83" s="14" t="n">
        <f aca="false">IF(AND(Alpha_keep*$A83+J$3-MAX(Loss_w)&gt;=Lo_c-0.000000001,Alpha_keep*$A83+J$3-MIN(Loss_w)&lt;=Hi_c+0.000000001),1,0)</f>
        <v>1</v>
      </c>
      <c r="K83" s="14" t="n">
        <f aca="false">IF(AND(Alpha_keep*$A83+K$3-MAX(Loss_w)&gt;=Lo_c-0.000000001,Alpha_keep*$A83+K$3-MIN(Loss_w)&lt;=Hi_c+0.000000001),1,0)</f>
        <v>1</v>
      </c>
      <c r="L83" s="14" t="n">
        <f aca="false">IF(AND(Alpha_keep*$A83+L$3-MAX(Loss_w)&gt;=Lo_c-0.000000001,Alpha_keep*$A83+L$3-MIN(Loss_w)&lt;=Hi_c+0.000000001),1,0)</f>
        <v>1</v>
      </c>
      <c r="M83" s="14" t="n">
        <f aca="false">IF(AND(Alpha_keep*$A83+M$3-MAX(Loss_w)&gt;=Lo_c-0.000000001,Alpha_keep*$A83+M$3-MIN(Loss_w)&lt;=Hi_c+0.000000001),1,0)</f>
        <v>1</v>
      </c>
      <c r="N83" s="14" t="n">
        <f aca="false">IF(C83=1,IF(OR(Alpha_keep*$A83+N$3&gt;=Floor_c-0.000000001,AND($B83=0,N$3&gt;=Cap_h-0.000000001)),1,0),0)</f>
        <v>0</v>
      </c>
      <c r="O83" s="14" t="n">
        <f aca="false">IF(D83=1,IF(OR(Alpha_keep*$A83+O$3&gt;=Floor_c-0.000000001,AND($B83=0,O$3&gt;=Cap_h-0.000000001)),1,0),0)</f>
        <v>0</v>
      </c>
      <c r="P83" s="14" t="n">
        <f aca="false">IF(E83=1,IF(OR(Alpha_keep*$A83+P$3&gt;=Floor_c-0.000000001,AND($B83=0,P$3&gt;=Cap_h-0.000000001)),1,0),0)</f>
        <v>0</v>
      </c>
      <c r="Q83" s="14" t="n">
        <f aca="false">IF(F83=1,IF(OR(Alpha_keep*$A83+Q$3&gt;=Floor_c-0.000000001,AND($B83=0,Q$3&gt;=Cap_h-0.000000001)),1,0),0)</f>
        <v>0</v>
      </c>
      <c r="R83" s="14" t="n">
        <f aca="false">IF(G83=1,IF(OR(Alpha_keep*$A83+R$3&gt;=Floor_c-0.000000001,AND($B83=0,R$3&gt;=Cap_h-0.000000001)),1,0),0)</f>
        <v>0</v>
      </c>
      <c r="S83" s="14" t="n">
        <f aca="false">IF(H83=1,IF(OR(Alpha_keep*$A83+S$3&gt;=Floor_c-0.000000001,AND($B83=0,S$3&gt;=Cap_h-0.000000001)),1,0),0)</f>
        <v>0</v>
      </c>
      <c r="T83" s="14" t="n">
        <f aca="false">IF(I83=1,IF(OR(Alpha_keep*$A83+T$3&gt;=Floor_c-0.000000001,AND($B83=0,T$3&gt;=Cap_h-0.000000001)),1,0),0)</f>
        <v>0</v>
      </c>
      <c r="U83" s="14" t="n">
        <f aca="false">IF(J83=1,IF(OR(Alpha_keep*$A83+U$3&gt;=Floor_c-0.000000001,AND($B83=0,U$3&gt;=Cap_h-0.000000001)),1,0),0)</f>
        <v>0</v>
      </c>
      <c r="V83" s="14" t="n">
        <f aca="false">IF(K83=1,IF(OR(Alpha_keep*$A83+V$3&gt;=Floor_c-0.000000001,AND($B83=0,V$3&gt;=Cap_h-0.000000001)),1,0),0)</f>
        <v>0</v>
      </c>
      <c r="W83" s="14" t="n">
        <f aca="false">IF(L83=1,IF(OR(Alpha_keep*$A83+W$3&gt;=Floor_c-0.000000001,AND($B83=0,W$3&gt;=Cap_h-0.000000001)),1,0),0)</f>
        <v>0</v>
      </c>
      <c r="X83" s="14" t="n">
        <f aca="false">IF(M83=1,IF(OR(Alpha_keep*$A83+X$3&gt;=Floor_c-0.000000001,AND($B83=0,X$3&gt;=Cap_h-0.000000001)),1,0),0)</f>
        <v>1</v>
      </c>
      <c r="Y83" s="14" t="n">
        <f aca="false">SUM(C83:M83)</f>
        <v>11</v>
      </c>
      <c r="Z83" s="14" t="n">
        <f aca="false">SUM(N83:X83)</f>
        <v>1</v>
      </c>
      <c r="AA83" s="12" t="n">
        <f aca="false">INDEX($C$3:$M$3,MATCH(1,C83:M83,0))</f>
        <v>0</v>
      </c>
      <c r="AB83" s="12" t="n">
        <f aca="false">INDEX($N$3:$X$3,MATCH(1,N83:X83,0))+(Z83-1)*Step_h</f>
        <v>2.5</v>
      </c>
    </row>
    <row r="84" customFormat="false" ht="15" hidden="false" customHeight="false" outlineLevel="0" collapsed="false">
      <c r="A84" s="12" t="n">
        <f aca="false">A83+Step_c</f>
        <v>49.75</v>
      </c>
      <c r="B84" s="14" t="n">
        <f aca="false">IF(SUMPRODUCT((Alpha_keep*$A84+$C$3:$M$3&gt;=Floor_c-0.000000001)*(C84:M84))&gt;0,1,0)</f>
        <v>0</v>
      </c>
      <c r="C84" s="14" t="n">
        <f aca="false">IF(AND(Alpha_keep*$A84+C$3-MAX(Loss_w)&gt;=Lo_c-0.000000001,Alpha_keep*$A84+C$3-MIN(Loss_w)&lt;=Hi_c+0.000000001),1,0)</f>
        <v>1</v>
      </c>
      <c r="D84" s="14" t="n">
        <f aca="false">IF(AND(Alpha_keep*$A84+D$3-MAX(Loss_w)&gt;=Lo_c-0.000000001,Alpha_keep*$A84+D$3-MIN(Loss_w)&lt;=Hi_c+0.000000001),1,0)</f>
        <v>1</v>
      </c>
      <c r="E84" s="14" t="n">
        <f aca="false">IF(AND(Alpha_keep*$A84+E$3-MAX(Loss_w)&gt;=Lo_c-0.000000001,Alpha_keep*$A84+E$3-MIN(Loss_w)&lt;=Hi_c+0.000000001),1,0)</f>
        <v>1</v>
      </c>
      <c r="F84" s="14" t="n">
        <f aca="false">IF(AND(Alpha_keep*$A84+F$3-MAX(Loss_w)&gt;=Lo_c-0.000000001,Alpha_keep*$A84+F$3-MIN(Loss_w)&lt;=Hi_c+0.000000001),1,0)</f>
        <v>1</v>
      </c>
      <c r="G84" s="14" t="n">
        <f aca="false">IF(AND(Alpha_keep*$A84+G$3-MAX(Loss_w)&gt;=Lo_c-0.000000001,Alpha_keep*$A84+G$3-MIN(Loss_w)&lt;=Hi_c+0.000000001),1,0)</f>
        <v>1</v>
      </c>
      <c r="H84" s="14" t="n">
        <f aca="false">IF(AND(Alpha_keep*$A84+H$3-MAX(Loss_w)&gt;=Lo_c-0.000000001,Alpha_keep*$A84+H$3-MIN(Loss_w)&lt;=Hi_c+0.000000001),1,0)</f>
        <v>1</v>
      </c>
      <c r="I84" s="14" t="n">
        <f aca="false">IF(AND(Alpha_keep*$A84+I$3-MAX(Loss_w)&gt;=Lo_c-0.000000001,Alpha_keep*$A84+I$3-MIN(Loss_w)&lt;=Hi_c+0.000000001),1,0)</f>
        <v>1</v>
      </c>
      <c r="J84" s="14" t="n">
        <f aca="false">IF(AND(Alpha_keep*$A84+J$3-MAX(Loss_w)&gt;=Lo_c-0.000000001,Alpha_keep*$A84+J$3-MIN(Loss_w)&lt;=Hi_c+0.000000001),1,0)</f>
        <v>1</v>
      </c>
      <c r="K84" s="14" t="n">
        <f aca="false">IF(AND(Alpha_keep*$A84+K$3-MAX(Loss_w)&gt;=Lo_c-0.000000001,Alpha_keep*$A84+K$3-MIN(Loss_w)&lt;=Hi_c+0.000000001),1,0)</f>
        <v>1</v>
      </c>
      <c r="L84" s="14" t="n">
        <f aca="false">IF(AND(Alpha_keep*$A84+L$3-MAX(Loss_w)&gt;=Lo_c-0.000000001,Alpha_keep*$A84+L$3-MIN(Loss_w)&lt;=Hi_c+0.000000001),1,0)</f>
        <v>1</v>
      </c>
      <c r="M84" s="14" t="n">
        <f aca="false">IF(AND(Alpha_keep*$A84+M$3-MAX(Loss_w)&gt;=Lo_c-0.000000001,Alpha_keep*$A84+M$3-MIN(Loss_w)&lt;=Hi_c+0.000000001),1,0)</f>
        <v>1</v>
      </c>
      <c r="N84" s="14" t="n">
        <f aca="false">IF(C84=1,IF(OR(Alpha_keep*$A84+N$3&gt;=Floor_c-0.000000001,AND($B84=0,N$3&gt;=Cap_h-0.000000001)),1,0),0)</f>
        <v>0</v>
      </c>
      <c r="O84" s="14" t="n">
        <f aca="false">IF(D84=1,IF(OR(Alpha_keep*$A84+O$3&gt;=Floor_c-0.000000001,AND($B84=0,O$3&gt;=Cap_h-0.000000001)),1,0),0)</f>
        <v>0</v>
      </c>
      <c r="P84" s="14" t="n">
        <f aca="false">IF(E84=1,IF(OR(Alpha_keep*$A84+P$3&gt;=Floor_c-0.000000001,AND($B84=0,P$3&gt;=Cap_h-0.000000001)),1,0),0)</f>
        <v>0</v>
      </c>
      <c r="Q84" s="14" t="n">
        <f aca="false">IF(F84=1,IF(OR(Alpha_keep*$A84+Q$3&gt;=Floor_c-0.000000001,AND($B84=0,Q$3&gt;=Cap_h-0.000000001)),1,0),0)</f>
        <v>0</v>
      </c>
      <c r="R84" s="14" t="n">
        <f aca="false">IF(G84=1,IF(OR(Alpha_keep*$A84+R$3&gt;=Floor_c-0.000000001,AND($B84=0,R$3&gt;=Cap_h-0.000000001)),1,0),0)</f>
        <v>0</v>
      </c>
      <c r="S84" s="14" t="n">
        <f aca="false">IF(H84=1,IF(OR(Alpha_keep*$A84+S$3&gt;=Floor_c-0.000000001,AND($B84=0,S$3&gt;=Cap_h-0.000000001)),1,0),0)</f>
        <v>0</v>
      </c>
      <c r="T84" s="14" t="n">
        <f aca="false">IF(I84=1,IF(OR(Alpha_keep*$A84+T$3&gt;=Floor_c-0.000000001,AND($B84=0,T$3&gt;=Cap_h-0.000000001)),1,0),0)</f>
        <v>0</v>
      </c>
      <c r="U84" s="14" t="n">
        <f aca="false">IF(J84=1,IF(OR(Alpha_keep*$A84+U$3&gt;=Floor_c-0.000000001,AND($B84=0,U$3&gt;=Cap_h-0.000000001)),1,0),0)</f>
        <v>0</v>
      </c>
      <c r="V84" s="14" t="n">
        <f aca="false">IF(K84=1,IF(OR(Alpha_keep*$A84+V$3&gt;=Floor_c-0.000000001,AND($B84=0,V$3&gt;=Cap_h-0.000000001)),1,0),0)</f>
        <v>0</v>
      </c>
      <c r="W84" s="14" t="n">
        <f aca="false">IF(L84=1,IF(OR(Alpha_keep*$A84+W$3&gt;=Floor_c-0.000000001,AND($B84=0,W$3&gt;=Cap_h-0.000000001)),1,0),0)</f>
        <v>0</v>
      </c>
      <c r="X84" s="14" t="n">
        <f aca="false">IF(M84=1,IF(OR(Alpha_keep*$A84+X$3&gt;=Floor_c-0.000000001,AND($B84=0,X$3&gt;=Cap_h-0.000000001)),1,0),0)</f>
        <v>1</v>
      </c>
      <c r="Y84" s="14" t="n">
        <f aca="false">SUM(C84:M84)</f>
        <v>11</v>
      </c>
      <c r="Z84" s="14" t="n">
        <f aca="false">SUM(N84:X84)</f>
        <v>1</v>
      </c>
      <c r="AA84" s="12" t="n">
        <f aca="false">INDEX($C$3:$M$3,MATCH(1,C84:M84,0))</f>
        <v>0</v>
      </c>
      <c r="AB84" s="12" t="n">
        <f aca="false">INDEX($N$3:$X$3,MATCH(1,N84:X84,0))+(Z84-1)*Step_h</f>
        <v>2.5</v>
      </c>
    </row>
    <row r="85" customFormat="false" ht="15" hidden="false" customHeight="false" outlineLevel="0" collapsed="false">
      <c r="A85" s="12" t="n">
        <f aca="false">A84+Step_c</f>
        <v>50</v>
      </c>
      <c r="B85" s="14" t="n">
        <f aca="false">IF(SUMPRODUCT((Alpha_keep*$A85+$C$3:$M$3&gt;=Floor_c-0.000000001)*(C85:M85))&gt;0,1,0)</f>
        <v>0</v>
      </c>
      <c r="C85" s="14" t="n">
        <f aca="false">IF(AND(Alpha_keep*$A85+C$3-MAX(Loss_w)&gt;=Lo_c-0.000000001,Alpha_keep*$A85+C$3-MIN(Loss_w)&lt;=Hi_c+0.000000001),1,0)</f>
        <v>1</v>
      </c>
      <c r="D85" s="14" t="n">
        <f aca="false">IF(AND(Alpha_keep*$A85+D$3-MAX(Loss_w)&gt;=Lo_c-0.000000001,Alpha_keep*$A85+D$3-MIN(Loss_w)&lt;=Hi_c+0.000000001),1,0)</f>
        <v>1</v>
      </c>
      <c r="E85" s="14" t="n">
        <f aca="false">IF(AND(Alpha_keep*$A85+E$3-MAX(Loss_w)&gt;=Lo_c-0.000000001,Alpha_keep*$A85+E$3-MIN(Loss_w)&lt;=Hi_c+0.000000001),1,0)</f>
        <v>1</v>
      </c>
      <c r="F85" s="14" t="n">
        <f aca="false">IF(AND(Alpha_keep*$A85+F$3-MAX(Loss_w)&gt;=Lo_c-0.000000001,Alpha_keep*$A85+F$3-MIN(Loss_w)&lt;=Hi_c+0.000000001),1,0)</f>
        <v>1</v>
      </c>
      <c r="G85" s="14" t="n">
        <f aca="false">IF(AND(Alpha_keep*$A85+G$3-MAX(Loss_w)&gt;=Lo_c-0.000000001,Alpha_keep*$A85+G$3-MIN(Loss_w)&lt;=Hi_c+0.000000001),1,0)</f>
        <v>1</v>
      </c>
      <c r="H85" s="14" t="n">
        <f aca="false">IF(AND(Alpha_keep*$A85+H$3-MAX(Loss_w)&gt;=Lo_c-0.000000001,Alpha_keep*$A85+H$3-MIN(Loss_w)&lt;=Hi_c+0.000000001),1,0)</f>
        <v>1</v>
      </c>
      <c r="I85" s="14" t="n">
        <f aca="false">IF(AND(Alpha_keep*$A85+I$3-MAX(Loss_w)&gt;=Lo_c-0.000000001,Alpha_keep*$A85+I$3-MIN(Loss_w)&lt;=Hi_c+0.000000001),1,0)</f>
        <v>1</v>
      </c>
      <c r="J85" s="14" t="n">
        <f aca="false">IF(AND(Alpha_keep*$A85+J$3-MAX(Loss_w)&gt;=Lo_c-0.000000001,Alpha_keep*$A85+J$3-MIN(Loss_w)&lt;=Hi_c+0.000000001),1,0)</f>
        <v>1</v>
      </c>
      <c r="K85" s="14" t="n">
        <f aca="false">IF(AND(Alpha_keep*$A85+K$3-MAX(Loss_w)&gt;=Lo_c-0.000000001,Alpha_keep*$A85+K$3-MIN(Loss_w)&lt;=Hi_c+0.000000001),1,0)</f>
        <v>1</v>
      </c>
      <c r="L85" s="14" t="n">
        <f aca="false">IF(AND(Alpha_keep*$A85+L$3-MAX(Loss_w)&gt;=Lo_c-0.000000001,Alpha_keep*$A85+L$3-MIN(Loss_w)&lt;=Hi_c+0.000000001),1,0)</f>
        <v>1</v>
      </c>
      <c r="M85" s="14" t="n">
        <f aca="false">IF(AND(Alpha_keep*$A85+M$3-MAX(Loss_w)&gt;=Lo_c-0.000000001,Alpha_keep*$A85+M$3-MIN(Loss_w)&lt;=Hi_c+0.000000001),1,0)</f>
        <v>1</v>
      </c>
      <c r="N85" s="14" t="n">
        <f aca="false">IF(C85=1,IF(OR(Alpha_keep*$A85+N$3&gt;=Floor_c-0.000000001,AND($B85=0,N$3&gt;=Cap_h-0.000000001)),1,0),0)</f>
        <v>0</v>
      </c>
      <c r="O85" s="14" t="n">
        <f aca="false">IF(D85=1,IF(OR(Alpha_keep*$A85+O$3&gt;=Floor_c-0.000000001,AND($B85=0,O$3&gt;=Cap_h-0.000000001)),1,0),0)</f>
        <v>0</v>
      </c>
      <c r="P85" s="14" t="n">
        <f aca="false">IF(E85=1,IF(OR(Alpha_keep*$A85+P$3&gt;=Floor_c-0.000000001,AND($B85=0,P$3&gt;=Cap_h-0.000000001)),1,0),0)</f>
        <v>0</v>
      </c>
      <c r="Q85" s="14" t="n">
        <f aca="false">IF(F85=1,IF(OR(Alpha_keep*$A85+Q$3&gt;=Floor_c-0.000000001,AND($B85=0,Q$3&gt;=Cap_h-0.000000001)),1,0),0)</f>
        <v>0</v>
      </c>
      <c r="R85" s="14" t="n">
        <f aca="false">IF(G85=1,IF(OR(Alpha_keep*$A85+R$3&gt;=Floor_c-0.000000001,AND($B85=0,R$3&gt;=Cap_h-0.000000001)),1,0),0)</f>
        <v>0</v>
      </c>
      <c r="S85" s="14" t="n">
        <f aca="false">IF(H85=1,IF(OR(Alpha_keep*$A85+S$3&gt;=Floor_c-0.000000001,AND($B85=0,S$3&gt;=Cap_h-0.000000001)),1,0),0)</f>
        <v>0</v>
      </c>
      <c r="T85" s="14" t="n">
        <f aca="false">IF(I85=1,IF(OR(Alpha_keep*$A85+T$3&gt;=Floor_c-0.000000001,AND($B85=0,T$3&gt;=Cap_h-0.000000001)),1,0),0)</f>
        <v>0</v>
      </c>
      <c r="U85" s="14" t="n">
        <f aca="false">IF(J85=1,IF(OR(Alpha_keep*$A85+U$3&gt;=Floor_c-0.000000001,AND($B85=0,U$3&gt;=Cap_h-0.000000001)),1,0),0)</f>
        <v>0</v>
      </c>
      <c r="V85" s="14" t="n">
        <f aca="false">IF(K85=1,IF(OR(Alpha_keep*$A85+V$3&gt;=Floor_c-0.000000001,AND($B85=0,V$3&gt;=Cap_h-0.000000001)),1,0),0)</f>
        <v>0</v>
      </c>
      <c r="W85" s="14" t="n">
        <f aca="false">IF(L85=1,IF(OR(Alpha_keep*$A85+W$3&gt;=Floor_c-0.000000001,AND($B85=0,W$3&gt;=Cap_h-0.000000001)),1,0),0)</f>
        <v>0</v>
      </c>
      <c r="X85" s="14" t="n">
        <f aca="false">IF(M85=1,IF(OR(Alpha_keep*$A85+X$3&gt;=Floor_c-0.000000001,AND($B85=0,X$3&gt;=Cap_h-0.000000001)),1,0),0)</f>
        <v>1</v>
      </c>
      <c r="Y85" s="14" t="n">
        <f aca="false">SUM(C85:M85)</f>
        <v>11</v>
      </c>
      <c r="Z85" s="14" t="n">
        <f aca="false">SUM(N85:X85)</f>
        <v>1</v>
      </c>
      <c r="AA85" s="12" t="n">
        <f aca="false">INDEX($C$3:$M$3,MATCH(1,C85:M85,0))</f>
        <v>0</v>
      </c>
      <c r="AB85" s="12" t="n">
        <f aca="false">INDEX($N$3:$X$3,MATCH(1,N85:X85,0))+(Z85-1)*Step_h</f>
        <v>2.5</v>
      </c>
    </row>
    <row r="86" customFormat="false" ht="15" hidden="false" customHeight="false" outlineLevel="0" collapsed="false">
      <c r="A86" s="12" t="n">
        <f aca="false">A85+Step_c</f>
        <v>50.25</v>
      </c>
      <c r="B86" s="14" t="n">
        <f aca="false">IF(SUMPRODUCT((Alpha_keep*$A86+$C$3:$M$3&gt;=Floor_c-0.000000001)*(C86:M86))&gt;0,1,0)</f>
        <v>0</v>
      </c>
      <c r="C86" s="14" t="n">
        <f aca="false">IF(AND(Alpha_keep*$A86+C$3-MAX(Loss_w)&gt;=Lo_c-0.000000001,Alpha_keep*$A86+C$3-MIN(Loss_w)&lt;=Hi_c+0.000000001),1,0)</f>
        <v>1</v>
      </c>
      <c r="D86" s="14" t="n">
        <f aca="false">IF(AND(Alpha_keep*$A86+D$3-MAX(Loss_w)&gt;=Lo_c-0.000000001,Alpha_keep*$A86+D$3-MIN(Loss_w)&lt;=Hi_c+0.000000001),1,0)</f>
        <v>1</v>
      </c>
      <c r="E86" s="14" t="n">
        <f aca="false">IF(AND(Alpha_keep*$A86+E$3-MAX(Loss_w)&gt;=Lo_c-0.000000001,Alpha_keep*$A86+E$3-MIN(Loss_w)&lt;=Hi_c+0.000000001),1,0)</f>
        <v>1</v>
      </c>
      <c r="F86" s="14" t="n">
        <f aca="false">IF(AND(Alpha_keep*$A86+F$3-MAX(Loss_w)&gt;=Lo_c-0.000000001,Alpha_keep*$A86+F$3-MIN(Loss_w)&lt;=Hi_c+0.000000001),1,0)</f>
        <v>1</v>
      </c>
      <c r="G86" s="14" t="n">
        <f aca="false">IF(AND(Alpha_keep*$A86+G$3-MAX(Loss_w)&gt;=Lo_c-0.000000001,Alpha_keep*$A86+G$3-MIN(Loss_w)&lt;=Hi_c+0.000000001),1,0)</f>
        <v>1</v>
      </c>
      <c r="H86" s="14" t="n">
        <f aca="false">IF(AND(Alpha_keep*$A86+H$3-MAX(Loss_w)&gt;=Lo_c-0.000000001,Alpha_keep*$A86+H$3-MIN(Loss_w)&lt;=Hi_c+0.000000001),1,0)</f>
        <v>1</v>
      </c>
      <c r="I86" s="14" t="n">
        <f aca="false">IF(AND(Alpha_keep*$A86+I$3-MAX(Loss_w)&gt;=Lo_c-0.000000001,Alpha_keep*$A86+I$3-MIN(Loss_w)&lt;=Hi_c+0.000000001),1,0)</f>
        <v>1</v>
      </c>
      <c r="J86" s="14" t="n">
        <f aca="false">IF(AND(Alpha_keep*$A86+J$3-MAX(Loss_w)&gt;=Lo_c-0.000000001,Alpha_keep*$A86+J$3-MIN(Loss_w)&lt;=Hi_c+0.000000001),1,0)</f>
        <v>1</v>
      </c>
      <c r="K86" s="14" t="n">
        <f aca="false">IF(AND(Alpha_keep*$A86+K$3-MAX(Loss_w)&gt;=Lo_c-0.000000001,Alpha_keep*$A86+K$3-MIN(Loss_w)&lt;=Hi_c+0.000000001),1,0)</f>
        <v>1</v>
      </c>
      <c r="L86" s="14" t="n">
        <f aca="false">IF(AND(Alpha_keep*$A86+L$3-MAX(Loss_w)&gt;=Lo_c-0.000000001,Alpha_keep*$A86+L$3-MIN(Loss_w)&lt;=Hi_c+0.000000001),1,0)</f>
        <v>1</v>
      </c>
      <c r="M86" s="14" t="n">
        <f aca="false">IF(AND(Alpha_keep*$A86+M$3-MAX(Loss_w)&gt;=Lo_c-0.000000001,Alpha_keep*$A86+M$3-MIN(Loss_w)&lt;=Hi_c+0.000000001),1,0)</f>
        <v>1</v>
      </c>
      <c r="N86" s="14" t="n">
        <f aca="false">IF(C86=1,IF(OR(Alpha_keep*$A86+N$3&gt;=Floor_c-0.000000001,AND($B86=0,N$3&gt;=Cap_h-0.000000001)),1,0),0)</f>
        <v>0</v>
      </c>
      <c r="O86" s="14" t="n">
        <f aca="false">IF(D86=1,IF(OR(Alpha_keep*$A86+O$3&gt;=Floor_c-0.000000001,AND($B86=0,O$3&gt;=Cap_h-0.000000001)),1,0),0)</f>
        <v>0</v>
      </c>
      <c r="P86" s="14" t="n">
        <f aca="false">IF(E86=1,IF(OR(Alpha_keep*$A86+P$3&gt;=Floor_c-0.000000001,AND($B86=0,P$3&gt;=Cap_h-0.000000001)),1,0),0)</f>
        <v>0</v>
      </c>
      <c r="Q86" s="14" t="n">
        <f aca="false">IF(F86=1,IF(OR(Alpha_keep*$A86+Q$3&gt;=Floor_c-0.000000001,AND($B86=0,Q$3&gt;=Cap_h-0.000000001)),1,0),0)</f>
        <v>0</v>
      </c>
      <c r="R86" s="14" t="n">
        <f aca="false">IF(G86=1,IF(OR(Alpha_keep*$A86+R$3&gt;=Floor_c-0.000000001,AND($B86=0,R$3&gt;=Cap_h-0.000000001)),1,0),0)</f>
        <v>0</v>
      </c>
      <c r="S86" s="14" t="n">
        <f aca="false">IF(H86=1,IF(OR(Alpha_keep*$A86+S$3&gt;=Floor_c-0.000000001,AND($B86=0,S$3&gt;=Cap_h-0.000000001)),1,0),0)</f>
        <v>0</v>
      </c>
      <c r="T86" s="14" t="n">
        <f aca="false">IF(I86=1,IF(OR(Alpha_keep*$A86+T$3&gt;=Floor_c-0.000000001,AND($B86=0,T$3&gt;=Cap_h-0.000000001)),1,0),0)</f>
        <v>0</v>
      </c>
      <c r="U86" s="14" t="n">
        <f aca="false">IF(J86=1,IF(OR(Alpha_keep*$A86+U$3&gt;=Floor_c-0.000000001,AND($B86=0,U$3&gt;=Cap_h-0.000000001)),1,0),0)</f>
        <v>0</v>
      </c>
      <c r="V86" s="14" t="n">
        <f aca="false">IF(K86=1,IF(OR(Alpha_keep*$A86+V$3&gt;=Floor_c-0.000000001,AND($B86=0,V$3&gt;=Cap_h-0.000000001)),1,0),0)</f>
        <v>0</v>
      </c>
      <c r="W86" s="14" t="n">
        <f aca="false">IF(L86=1,IF(OR(Alpha_keep*$A86+W$3&gt;=Floor_c-0.000000001,AND($B86=0,W$3&gt;=Cap_h-0.000000001)),1,0),0)</f>
        <v>0</v>
      </c>
      <c r="X86" s="14" t="n">
        <f aca="false">IF(M86=1,IF(OR(Alpha_keep*$A86+X$3&gt;=Floor_c-0.000000001,AND($B86=0,X$3&gt;=Cap_h-0.000000001)),1,0),0)</f>
        <v>1</v>
      </c>
      <c r="Y86" s="14" t="n">
        <f aca="false">SUM(C86:M86)</f>
        <v>11</v>
      </c>
      <c r="Z86" s="14" t="n">
        <f aca="false">SUM(N86:X86)</f>
        <v>1</v>
      </c>
      <c r="AA86" s="12" t="n">
        <f aca="false">INDEX($C$3:$M$3,MATCH(1,C86:M86,0))</f>
        <v>0</v>
      </c>
      <c r="AB86" s="12" t="n">
        <f aca="false">INDEX($N$3:$X$3,MATCH(1,N86:X86,0))+(Z86-1)*Step_h</f>
        <v>2.5</v>
      </c>
    </row>
    <row r="87" customFormat="false" ht="15" hidden="false" customHeight="false" outlineLevel="0" collapsed="false">
      <c r="A87" s="12" t="n">
        <f aca="false">A86+Step_c</f>
        <v>50.5</v>
      </c>
      <c r="B87" s="14" t="n">
        <f aca="false">IF(SUMPRODUCT((Alpha_keep*$A87+$C$3:$M$3&gt;=Floor_c-0.000000001)*(C87:M87))&gt;0,1,0)</f>
        <v>0</v>
      </c>
      <c r="C87" s="14" t="n">
        <f aca="false">IF(AND(Alpha_keep*$A87+C$3-MAX(Loss_w)&gt;=Lo_c-0.000000001,Alpha_keep*$A87+C$3-MIN(Loss_w)&lt;=Hi_c+0.000000001),1,0)</f>
        <v>1</v>
      </c>
      <c r="D87" s="14" t="n">
        <f aca="false">IF(AND(Alpha_keep*$A87+D$3-MAX(Loss_w)&gt;=Lo_c-0.000000001,Alpha_keep*$A87+D$3-MIN(Loss_w)&lt;=Hi_c+0.000000001),1,0)</f>
        <v>1</v>
      </c>
      <c r="E87" s="14" t="n">
        <f aca="false">IF(AND(Alpha_keep*$A87+E$3-MAX(Loss_w)&gt;=Lo_c-0.000000001,Alpha_keep*$A87+E$3-MIN(Loss_w)&lt;=Hi_c+0.000000001),1,0)</f>
        <v>1</v>
      </c>
      <c r="F87" s="14" t="n">
        <f aca="false">IF(AND(Alpha_keep*$A87+F$3-MAX(Loss_w)&gt;=Lo_c-0.000000001,Alpha_keep*$A87+F$3-MIN(Loss_w)&lt;=Hi_c+0.000000001),1,0)</f>
        <v>1</v>
      </c>
      <c r="G87" s="14" t="n">
        <f aca="false">IF(AND(Alpha_keep*$A87+G$3-MAX(Loss_w)&gt;=Lo_c-0.000000001,Alpha_keep*$A87+G$3-MIN(Loss_w)&lt;=Hi_c+0.000000001),1,0)</f>
        <v>1</v>
      </c>
      <c r="H87" s="14" t="n">
        <f aca="false">IF(AND(Alpha_keep*$A87+H$3-MAX(Loss_w)&gt;=Lo_c-0.000000001,Alpha_keep*$A87+H$3-MIN(Loss_w)&lt;=Hi_c+0.000000001),1,0)</f>
        <v>1</v>
      </c>
      <c r="I87" s="14" t="n">
        <f aca="false">IF(AND(Alpha_keep*$A87+I$3-MAX(Loss_w)&gt;=Lo_c-0.000000001,Alpha_keep*$A87+I$3-MIN(Loss_w)&lt;=Hi_c+0.000000001),1,0)</f>
        <v>1</v>
      </c>
      <c r="J87" s="14" t="n">
        <f aca="false">IF(AND(Alpha_keep*$A87+J$3-MAX(Loss_w)&gt;=Lo_c-0.000000001,Alpha_keep*$A87+J$3-MIN(Loss_w)&lt;=Hi_c+0.000000001),1,0)</f>
        <v>1</v>
      </c>
      <c r="K87" s="14" t="n">
        <f aca="false">IF(AND(Alpha_keep*$A87+K$3-MAX(Loss_w)&gt;=Lo_c-0.000000001,Alpha_keep*$A87+K$3-MIN(Loss_w)&lt;=Hi_c+0.000000001),1,0)</f>
        <v>1</v>
      </c>
      <c r="L87" s="14" t="n">
        <f aca="false">IF(AND(Alpha_keep*$A87+L$3-MAX(Loss_w)&gt;=Lo_c-0.000000001,Alpha_keep*$A87+L$3-MIN(Loss_w)&lt;=Hi_c+0.000000001),1,0)</f>
        <v>1</v>
      </c>
      <c r="M87" s="14" t="n">
        <f aca="false">IF(AND(Alpha_keep*$A87+M$3-MAX(Loss_w)&gt;=Lo_c-0.000000001,Alpha_keep*$A87+M$3-MIN(Loss_w)&lt;=Hi_c+0.000000001),1,0)</f>
        <v>1</v>
      </c>
      <c r="N87" s="14" t="n">
        <f aca="false">IF(C87=1,IF(OR(Alpha_keep*$A87+N$3&gt;=Floor_c-0.000000001,AND($B87=0,N$3&gt;=Cap_h-0.000000001)),1,0),0)</f>
        <v>0</v>
      </c>
      <c r="O87" s="14" t="n">
        <f aca="false">IF(D87=1,IF(OR(Alpha_keep*$A87+O$3&gt;=Floor_c-0.000000001,AND($B87=0,O$3&gt;=Cap_h-0.000000001)),1,0),0)</f>
        <v>0</v>
      </c>
      <c r="P87" s="14" t="n">
        <f aca="false">IF(E87=1,IF(OR(Alpha_keep*$A87+P$3&gt;=Floor_c-0.000000001,AND($B87=0,P$3&gt;=Cap_h-0.000000001)),1,0),0)</f>
        <v>0</v>
      </c>
      <c r="Q87" s="14" t="n">
        <f aca="false">IF(F87=1,IF(OR(Alpha_keep*$A87+Q$3&gt;=Floor_c-0.000000001,AND($B87=0,Q$3&gt;=Cap_h-0.000000001)),1,0),0)</f>
        <v>0</v>
      </c>
      <c r="R87" s="14" t="n">
        <f aca="false">IF(G87=1,IF(OR(Alpha_keep*$A87+R$3&gt;=Floor_c-0.000000001,AND($B87=0,R$3&gt;=Cap_h-0.000000001)),1,0),0)</f>
        <v>0</v>
      </c>
      <c r="S87" s="14" t="n">
        <f aca="false">IF(H87=1,IF(OR(Alpha_keep*$A87+S$3&gt;=Floor_c-0.000000001,AND($B87=0,S$3&gt;=Cap_h-0.000000001)),1,0),0)</f>
        <v>0</v>
      </c>
      <c r="T87" s="14" t="n">
        <f aca="false">IF(I87=1,IF(OR(Alpha_keep*$A87+T$3&gt;=Floor_c-0.000000001,AND($B87=0,T$3&gt;=Cap_h-0.000000001)),1,0),0)</f>
        <v>0</v>
      </c>
      <c r="U87" s="14" t="n">
        <f aca="false">IF(J87=1,IF(OR(Alpha_keep*$A87+U$3&gt;=Floor_c-0.000000001,AND($B87=0,U$3&gt;=Cap_h-0.000000001)),1,0),0)</f>
        <v>0</v>
      </c>
      <c r="V87" s="14" t="n">
        <f aca="false">IF(K87=1,IF(OR(Alpha_keep*$A87+V$3&gt;=Floor_c-0.000000001,AND($B87=0,V$3&gt;=Cap_h-0.000000001)),1,0),0)</f>
        <v>0</v>
      </c>
      <c r="W87" s="14" t="n">
        <f aca="false">IF(L87=1,IF(OR(Alpha_keep*$A87+W$3&gt;=Floor_c-0.000000001,AND($B87=0,W$3&gt;=Cap_h-0.000000001)),1,0),0)</f>
        <v>0</v>
      </c>
      <c r="X87" s="14" t="n">
        <f aca="false">IF(M87=1,IF(OR(Alpha_keep*$A87+X$3&gt;=Floor_c-0.000000001,AND($B87=0,X$3&gt;=Cap_h-0.000000001)),1,0),0)</f>
        <v>1</v>
      </c>
      <c r="Y87" s="14" t="n">
        <f aca="false">SUM(C87:M87)</f>
        <v>11</v>
      </c>
      <c r="Z87" s="14" t="n">
        <f aca="false">SUM(N87:X87)</f>
        <v>1</v>
      </c>
      <c r="AA87" s="12" t="n">
        <f aca="false">INDEX($C$3:$M$3,MATCH(1,C87:M87,0))</f>
        <v>0</v>
      </c>
      <c r="AB87" s="12" t="n">
        <f aca="false">INDEX($N$3:$X$3,MATCH(1,N87:X87,0))+(Z87-1)*Step_h</f>
        <v>2.5</v>
      </c>
    </row>
    <row r="88" customFormat="false" ht="15" hidden="false" customHeight="false" outlineLevel="0" collapsed="false">
      <c r="A88" s="12" t="n">
        <f aca="false">A87+Step_c</f>
        <v>50.75</v>
      </c>
      <c r="B88" s="14" t="n">
        <f aca="false">IF(SUMPRODUCT((Alpha_keep*$A88+$C$3:$M$3&gt;=Floor_c-0.000000001)*(C88:M88))&gt;0,1,0)</f>
        <v>0</v>
      </c>
      <c r="C88" s="14" t="n">
        <f aca="false">IF(AND(Alpha_keep*$A88+C$3-MAX(Loss_w)&gt;=Lo_c-0.000000001,Alpha_keep*$A88+C$3-MIN(Loss_w)&lt;=Hi_c+0.000000001),1,0)</f>
        <v>1</v>
      </c>
      <c r="D88" s="14" t="n">
        <f aca="false">IF(AND(Alpha_keep*$A88+D$3-MAX(Loss_w)&gt;=Lo_c-0.000000001,Alpha_keep*$A88+D$3-MIN(Loss_w)&lt;=Hi_c+0.000000001),1,0)</f>
        <v>1</v>
      </c>
      <c r="E88" s="14" t="n">
        <f aca="false">IF(AND(Alpha_keep*$A88+E$3-MAX(Loss_w)&gt;=Lo_c-0.000000001,Alpha_keep*$A88+E$3-MIN(Loss_w)&lt;=Hi_c+0.000000001),1,0)</f>
        <v>1</v>
      </c>
      <c r="F88" s="14" t="n">
        <f aca="false">IF(AND(Alpha_keep*$A88+F$3-MAX(Loss_w)&gt;=Lo_c-0.000000001,Alpha_keep*$A88+F$3-MIN(Loss_w)&lt;=Hi_c+0.000000001),1,0)</f>
        <v>1</v>
      </c>
      <c r="G88" s="14" t="n">
        <f aca="false">IF(AND(Alpha_keep*$A88+G$3-MAX(Loss_w)&gt;=Lo_c-0.000000001,Alpha_keep*$A88+G$3-MIN(Loss_w)&lt;=Hi_c+0.000000001),1,0)</f>
        <v>1</v>
      </c>
      <c r="H88" s="14" t="n">
        <f aca="false">IF(AND(Alpha_keep*$A88+H$3-MAX(Loss_w)&gt;=Lo_c-0.000000001,Alpha_keep*$A88+H$3-MIN(Loss_w)&lt;=Hi_c+0.000000001),1,0)</f>
        <v>1</v>
      </c>
      <c r="I88" s="14" t="n">
        <f aca="false">IF(AND(Alpha_keep*$A88+I$3-MAX(Loss_w)&gt;=Lo_c-0.000000001,Alpha_keep*$A88+I$3-MIN(Loss_w)&lt;=Hi_c+0.000000001),1,0)</f>
        <v>1</v>
      </c>
      <c r="J88" s="14" t="n">
        <f aca="false">IF(AND(Alpha_keep*$A88+J$3-MAX(Loss_w)&gt;=Lo_c-0.000000001,Alpha_keep*$A88+J$3-MIN(Loss_w)&lt;=Hi_c+0.000000001),1,0)</f>
        <v>1</v>
      </c>
      <c r="K88" s="14" t="n">
        <f aca="false">IF(AND(Alpha_keep*$A88+K$3-MAX(Loss_w)&gt;=Lo_c-0.000000001,Alpha_keep*$A88+K$3-MIN(Loss_w)&lt;=Hi_c+0.000000001),1,0)</f>
        <v>1</v>
      </c>
      <c r="L88" s="14" t="n">
        <f aca="false">IF(AND(Alpha_keep*$A88+L$3-MAX(Loss_w)&gt;=Lo_c-0.000000001,Alpha_keep*$A88+L$3-MIN(Loss_w)&lt;=Hi_c+0.000000001),1,0)</f>
        <v>1</v>
      </c>
      <c r="M88" s="14" t="n">
        <f aca="false">IF(AND(Alpha_keep*$A88+M$3-MAX(Loss_w)&gt;=Lo_c-0.000000001,Alpha_keep*$A88+M$3-MIN(Loss_w)&lt;=Hi_c+0.000000001),1,0)</f>
        <v>1</v>
      </c>
      <c r="N88" s="14" t="n">
        <f aca="false">IF(C88=1,IF(OR(Alpha_keep*$A88+N$3&gt;=Floor_c-0.000000001,AND($B88=0,N$3&gt;=Cap_h-0.000000001)),1,0),0)</f>
        <v>0</v>
      </c>
      <c r="O88" s="14" t="n">
        <f aca="false">IF(D88=1,IF(OR(Alpha_keep*$A88+O$3&gt;=Floor_c-0.000000001,AND($B88=0,O$3&gt;=Cap_h-0.000000001)),1,0),0)</f>
        <v>0</v>
      </c>
      <c r="P88" s="14" t="n">
        <f aca="false">IF(E88=1,IF(OR(Alpha_keep*$A88+P$3&gt;=Floor_c-0.000000001,AND($B88=0,P$3&gt;=Cap_h-0.000000001)),1,0),0)</f>
        <v>0</v>
      </c>
      <c r="Q88" s="14" t="n">
        <f aca="false">IF(F88=1,IF(OR(Alpha_keep*$A88+Q$3&gt;=Floor_c-0.000000001,AND($B88=0,Q$3&gt;=Cap_h-0.000000001)),1,0),0)</f>
        <v>0</v>
      </c>
      <c r="R88" s="14" t="n">
        <f aca="false">IF(G88=1,IF(OR(Alpha_keep*$A88+R$3&gt;=Floor_c-0.000000001,AND($B88=0,R$3&gt;=Cap_h-0.000000001)),1,0),0)</f>
        <v>0</v>
      </c>
      <c r="S88" s="14" t="n">
        <f aca="false">IF(H88=1,IF(OR(Alpha_keep*$A88+S$3&gt;=Floor_c-0.000000001,AND($B88=0,S$3&gt;=Cap_h-0.000000001)),1,0),0)</f>
        <v>0</v>
      </c>
      <c r="T88" s="14" t="n">
        <f aca="false">IF(I88=1,IF(OR(Alpha_keep*$A88+T$3&gt;=Floor_c-0.000000001,AND($B88=0,T$3&gt;=Cap_h-0.000000001)),1,0),0)</f>
        <v>0</v>
      </c>
      <c r="U88" s="14" t="n">
        <f aca="false">IF(J88=1,IF(OR(Alpha_keep*$A88+U$3&gt;=Floor_c-0.000000001,AND($B88=0,U$3&gt;=Cap_h-0.000000001)),1,0),0)</f>
        <v>0</v>
      </c>
      <c r="V88" s="14" t="n">
        <f aca="false">IF(K88=1,IF(OR(Alpha_keep*$A88+V$3&gt;=Floor_c-0.000000001,AND($B88=0,V$3&gt;=Cap_h-0.000000001)),1,0),0)</f>
        <v>0</v>
      </c>
      <c r="W88" s="14" t="n">
        <f aca="false">IF(L88=1,IF(OR(Alpha_keep*$A88+W$3&gt;=Floor_c-0.000000001,AND($B88=0,W$3&gt;=Cap_h-0.000000001)),1,0),0)</f>
        <v>0</v>
      </c>
      <c r="X88" s="14" t="n">
        <f aca="false">IF(M88=1,IF(OR(Alpha_keep*$A88+X$3&gt;=Floor_c-0.000000001,AND($B88=0,X$3&gt;=Cap_h-0.000000001)),1,0),0)</f>
        <v>1</v>
      </c>
      <c r="Y88" s="14" t="n">
        <f aca="false">SUM(C88:M88)</f>
        <v>11</v>
      </c>
      <c r="Z88" s="14" t="n">
        <f aca="false">SUM(N88:X88)</f>
        <v>1</v>
      </c>
      <c r="AA88" s="12" t="n">
        <f aca="false">INDEX($C$3:$M$3,MATCH(1,C88:M88,0))</f>
        <v>0</v>
      </c>
      <c r="AB88" s="12" t="n">
        <f aca="false">INDEX($N$3:$X$3,MATCH(1,N88:X88,0))+(Z88-1)*Step_h</f>
        <v>2.5</v>
      </c>
    </row>
    <row r="89" customFormat="false" ht="15" hidden="false" customHeight="false" outlineLevel="0" collapsed="false">
      <c r="A89" s="12" t="n">
        <f aca="false">A88+Step_c</f>
        <v>51</v>
      </c>
      <c r="B89" s="14" t="n">
        <f aca="false">IF(SUMPRODUCT((Alpha_keep*$A89+$C$3:$M$3&gt;=Floor_c-0.000000001)*(C89:M89))&gt;0,1,0)</f>
        <v>0</v>
      </c>
      <c r="C89" s="14" t="n">
        <f aca="false">IF(AND(Alpha_keep*$A89+C$3-MAX(Loss_w)&gt;=Lo_c-0.000000001,Alpha_keep*$A89+C$3-MIN(Loss_w)&lt;=Hi_c+0.000000001),1,0)</f>
        <v>1</v>
      </c>
      <c r="D89" s="14" t="n">
        <f aca="false">IF(AND(Alpha_keep*$A89+D$3-MAX(Loss_w)&gt;=Lo_c-0.000000001,Alpha_keep*$A89+D$3-MIN(Loss_w)&lt;=Hi_c+0.000000001),1,0)</f>
        <v>1</v>
      </c>
      <c r="E89" s="14" t="n">
        <f aca="false">IF(AND(Alpha_keep*$A89+E$3-MAX(Loss_w)&gt;=Lo_c-0.000000001,Alpha_keep*$A89+E$3-MIN(Loss_w)&lt;=Hi_c+0.000000001),1,0)</f>
        <v>1</v>
      </c>
      <c r="F89" s="14" t="n">
        <f aca="false">IF(AND(Alpha_keep*$A89+F$3-MAX(Loss_w)&gt;=Lo_c-0.000000001,Alpha_keep*$A89+F$3-MIN(Loss_w)&lt;=Hi_c+0.000000001),1,0)</f>
        <v>1</v>
      </c>
      <c r="G89" s="14" t="n">
        <f aca="false">IF(AND(Alpha_keep*$A89+G$3-MAX(Loss_w)&gt;=Lo_c-0.000000001,Alpha_keep*$A89+G$3-MIN(Loss_w)&lt;=Hi_c+0.000000001),1,0)</f>
        <v>1</v>
      </c>
      <c r="H89" s="14" t="n">
        <f aca="false">IF(AND(Alpha_keep*$A89+H$3-MAX(Loss_w)&gt;=Lo_c-0.000000001,Alpha_keep*$A89+H$3-MIN(Loss_w)&lt;=Hi_c+0.000000001),1,0)</f>
        <v>1</v>
      </c>
      <c r="I89" s="14" t="n">
        <f aca="false">IF(AND(Alpha_keep*$A89+I$3-MAX(Loss_w)&gt;=Lo_c-0.000000001,Alpha_keep*$A89+I$3-MIN(Loss_w)&lt;=Hi_c+0.000000001),1,0)</f>
        <v>1</v>
      </c>
      <c r="J89" s="14" t="n">
        <f aca="false">IF(AND(Alpha_keep*$A89+J$3-MAX(Loss_w)&gt;=Lo_c-0.000000001,Alpha_keep*$A89+J$3-MIN(Loss_w)&lt;=Hi_c+0.000000001),1,0)</f>
        <v>1</v>
      </c>
      <c r="K89" s="14" t="n">
        <f aca="false">IF(AND(Alpha_keep*$A89+K$3-MAX(Loss_w)&gt;=Lo_c-0.000000001,Alpha_keep*$A89+K$3-MIN(Loss_w)&lt;=Hi_c+0.000000001),1,0)</f>
        <v>1</v>
      </c>
      <c r="L89" s="14" t="n">
        <f aca="false">IF(AND(Alpha_keep*$A89+L$3-MAX(Loss_w)&gt;=Lo_c-0.000000001,Alpha_keep*$A89+L$3-MIN(Loss_w)&lt;=Hi_c+0.000000001),1,0)</f>
        <v>1</v>
      </c>
      <c r="M89" s="14" t="n">
        <f aca="false">IF(AND(Alpha_keep*$A89+M$3-MAX(Loss_w)&gt;=Lo_c-0.000000001,Alpha_keep*$A89+M$3-MIN(Loss_w)&lt;=Hi_c+0.000000001),1,0)</f>
        <v>1</v>
      </c>
      <c r="N89" s="14" t="n">
        <f aca="false">IF(C89=1,IF(OR(Alpha_keep*$A89+N$3&gt;=Floor_c-0.000000001,AND($B89=0,N$3&gt;=Cap_h-0.000000001)),1,0),0)</f>
        <v>0</v>
      </c>
      <c r="O89" s="14" t="n">
        <f aca="false">IF(D89=1,IF(OR(Alpha_keep*$A89+O$3&gt;=Floor_c-0.000000001,AND($B89=0,O$3&gt;=Cap_h-0.000000001)),1,0),0)</f>
        <v>0</v>
      </c>
      <c r="P89" s="14" t="n">
        <f aca="false">IF(E89=1,IF(OR(Alpha_keep*$A89+P$3&gt;=Floor_c-0.000000001,AND($B89=0,P$3&gt;=Cap_h-0.000000001)),1,0),0)</f>
        <v>0</v>
      </c>
      <c r="Q89" s="14" t="n">
        <f aca="false">IF(F89=1,IF(OR(Alpha_keep*$A89+Q$3&gt;=Floor_c-0.000000001,AND($B89=0,Q$3&gt;=Cap_h-0.000000001)),1,0),0)</f>
        <v>0</v>
      </c>
      <c r="R89" s="14" t="n">
        <f aca="false">IF(G89=1,IF(OR(Alpha_keep*$A89+R$3&gt;=Floor_c-0.000000001,AND($B89=0,R$3&gt;=Cap_h-0.000000001)),1,0),0)</f>
        <v>0</v>
      </c>
      <c r="S89" s="14" t="n">
        <f aca="false">IF(H89=1,IF(OR(Alpha_keep*$A89+S$3&gt;=Floor_c-0.000000001,AND($B89=0,S$3&gt;=Cap_h-0.000000001)),1,0),0)</f>
        <v>0</v>
      </c>
      <c r="T89" s="14" t="n">
        <f aca="false">IF(I89=1,IF(OR(Alpha_keep*$A89+T$3&gt;=Floor_c-0.000000001,AND($B89=0,T$3&gt;=Cap_h-0.000000001)),1,0),0)</f>
        <v>0</v>
      </c>
      <c r="U89" s="14" t="n">
        <f aca="false">IF(J89=1,IF(OR(Alpha_keep*$A89+U$3&gt;=Floor_c-0.000000001,AND($B89=0,U$3&gt;=Cap_h-0.000000001)),1,0),0)</f>
        <v>0</v>
      </c>
      <c r="V89" s="14" t="n">
        <f aca="false">IF(K89=1,IF(OR(Alpha_keep*$A89+V$3&gt;=Floor_c-0.000000001,AND($B89=0,V$3&gt;=Cap_h-0.000000001)),1,0),0)</f>
        <v>0</v>
      </c>
      <c r="W89" s="14" t="n">
        <f aca="false">IF(L89=1,IF(OR(Alpha_keep*$A89+W$3&gt;=Floor_c-0.000000001,AND($B89=0,W$3&gt;=Cap_h-0.000000001)),1,0),0)</f>
        <v>0</v>
      </c>
      <c r="X89" s="14" t="n">
        <f aca="false">IF(M89=1,IF(OR(Alpha_keep*$A89+X$3&gt;=Floor_c-0.000000001,AND($B89=0,X$3&gt;=Cap_h-0.000000001)),1,0),0)</f>
        <v>1</v>
      </c>
      <c r="Y89" s="14" t="n">
        <f aca="false">SUM(C89:M89)</f>
        <v>11</v>
      </c>
      <c r="Z89" s="14" t="n">
        <f aca="false">SUM(N89:X89)</f>
        <v>1</v>
      </c>
      <c r="AA89" s="12" t="n">
        <f aca="false">INDEX($C$3:$M$3,MATCH(1,C89:M89,0))</f>
        <v>0</v>
      </c>
      <c r="AB89" s="12" t="n">
        <f aca="false">INDEX($N$3:$X$3,MATCH(1,N89:X89,0))+(Z89-1)*Step_h</f>
        <v>2.5</v>
      </c>
    </row>
    <row r="90" customFormat="false" ht="15" hidden="false" customHeight="false" outlineLevel="0" collapsed="false">
      <c r="A90" s="12" t="n">
        <f aca="false">A89+Step_c</f>
        <v>51.25</v>
      </c>
      <c r="B90" s="14" t="n">
        <f aca="false">IF(SUMPRODUCT((Alpha_keep*$A90+$C$3:$M$3&gt;=Floor_c-0.000000001)*(C90:M90))&gt;0,1,0)</f>
        <v>0</v>
      </c>
      <c r="C90" s="14" t="n">
        <f aca="false">IF(AND(Alpha_keep*$A90+C$3-MAX(Loss_w)&gt;=Lo_c-0.000000001,Alpha_keep*$A90+C$3-MIN(Loss_w)&lt;=Hi_c+0.000000001),1,0)</f>
        <v>1</v>
      </c>
      <c r="D90" s="14" t="n">
        <f aca="false">IF(AND(Alpha_keep*$A90+D$3-MAX(Loss_w)&gt;=Lo_c-0.000000001,Alpha_keep*$A90+D$3-MIN(Loss_w)&lt;=Hi_c+0.000000001),1,0)</f>
        <v>1</v>
      </c>
      <c r="E90" s="14" t="n">
        <f aca="false">IF(AND(Alpha_keep*$A90+E$3-MAX(Loss_w)&gt;=Lo_c-0.000000001,Alpha_keep*$A90+E$3-MIN(Loss_w)&lt;=Hi_c+0.000000001),1,0)</f>
        <v>1</v>
      </c>
      <c r="F90" s="14" t="n">
        <f aca="false">IF(AND(Alpha_keep*$A90+F$3-MAX(Loss_w)&gt;=Lo_c-0.000000001,Alpha_keep*$A90+F$3-MIN(Loss_w)&lt;=Hi_c+0.000000001),1,0)</f>
        <v>1</v>
      </c>
      <c r="G90" s="14" t="n">
        <f aca="false">IF(AND(Alpha_keep*$A90+G$3-MAX(Loss_w)&gt;=Lo_c-0.000000001,Alpha_keep*$A90+G$3-MIN(Loss_w)&lt;=Hi_c+0.000000001),1,0)</f>
        <v>1</v>
      </c>
      <c r="H90" s="14" t="n">
        <f aca="false">IF(AND(Alpha_keep*$A90+H$3-MAX(Loss_w)&gt;=Lo_c-0.000000001,Alpha_keep*$A90+H$3-MIN(Loss_w)&lt;=Hi_c+0.000000001),1,0)</f>
        <v>1</v>
      </c>
      <c r="I90" s="14" t="n">
        <f aca="false">IF(AND(Alpha_keep*$A90+I$3-MAX(Loss_w)&gt;=Lo_c-0.000000001,Alpha_keep*$A90+I$3-MIN(Loss_w)&lt;=Hi_c+0.000000001),1,0)</f>
        <v>1</v>
      </c>
      <c r="J90" s="14" t="n">
        <f aca="false">IF(AND(Alpha_keep*$A90+J$3-MAX(Loss_w)&gt;=Lo_c-0.000000001,Alpha_keep*$A90+J$3-MIN(Loss_w)&lt;=Hi_c+0.000000001),1,0)</f>
        <v>1</v>
      </c>
      <c r="K90" s="14" t="n">
        <f aca="false">IF(AND(Alpha_keep*$A90+K$3-MAX(Loss_w)&gt;=Lo_c-0.000000001,Alpha_keep*$A90+K$3-MIN(Loss_w)&lt;=Hi_c+0.000000001),1,0)</f>
        <v>1</v>
      </c>
      <c r="L90" s="14" t="n">
        <f aca="false">IF(AND(Alpha_keep*$A90+L$3-MAX(Loss_w)&gt;=Lo_c-0.000000001,Alpha_keep*$A90+L$3-MIN(Loss_w)&lt;=Hi_c+0.000000001),1,0)</f>
        <v>1</v>
      </c>
      <c r="M90" s="14" t="n">
        <f aca="false">IF(AND(Alpha_keep*$A90+M$3-MAX(Loss_w)&gt;=Lo_c-0.000000001,Alpha_keep*$A90+M$3-MIN(Loss_w)&lt;=Hi_c+0.000000001),1,0)</f>
        <v>1</v>
      </c>
      <c r="N90" s="14" t="n">
        <f aca="false">IF(C90=1,IF(OR(Alpha_keep*$A90+N$3&gt;=Floor_c-0.000000001,AND($B90=0,N$3&gt;=Cap_h-0.000000001)),1,0),0)</f>
        <v>0</v>
      </c>
      <c r="O90" s="14" t="n">
        <f aca="false">IF(D90=1,IF(OR(Alpha_keep*$A90+O$3&gt;=Floor_c-0.000000001,AND($B90=0,O$3&gt;=Cap_h-0.000000001)),1,0),0)</f>
        <v>0</v>
      </c>
      <c r="P90" s="14" t="n">
        <f aca="false">IF(E90=1,IF(OR(Alpha_keep*$A90+P$3&gt;=Floor_c-0.000000001,AND($B90=0,P$3&gt;=Cap_h-0.000000001)),1,0),0)</f>
        <v>0</v>
      </c>
      <c r="Q90" s="14" t="n">
        <f aca="false">IF(F90=1,IF(OR(Alpha_keep*$A90+Q$3&gt;=Floor_c-0.000000001,AND($B90=0,Q$3&gt;=Cap_h-0.000000001)),1,0),0)</f>
        <v>0</v>
      </c>
      <c r="R90" s="14" t="n">
        <f aca="false">IF(G90=1,IF(OR(Alpha_keep*$A90+R$3&gt;=Floor_c-0.000000001,AND($B90=0,R$3&gt;=Cap_h-0.000000001)),1,0),0)</f>
        <v>0</v>
      </c>
      <c r="S90" s="14" t="n">
        <f aca="false">IF(H90=1,IF(OR(Alpha_keep*$A90+S$3&gt;=Floor_c-0.000000001,AND($B90=0,S$3&gt;=Cap_h-0.000000001)),1,0),0)</f>
        <v>0</v>
      </c>
      <c r="T90" s="14" t="n">
        <f aca="false">IF(I90=1,IF(OR(Alpha_keep*$A90+T$3&gt;=Floor_c-0.000000001,AND($B90=0,T$3&gt;=Cap_h-0.000000001)),1,0),0)</f>
        <v>0</v>
      </c>
      <c r="U90" s="14" t="n">
        <f aca="false">IF(J90=1,IF(OR(Alpha_keep*$A90+U$3&gt;=Floor_c-0.000000001,AND($B90=0,U$3&gt;=Cap_h-0.000000001)),1,0),0)</f>
        <v>0</v>
      </c>
      <c r="V90" s="14" t="n">
        <f aca="false">IF(K90=1,IF(OR(Alpha_keep*$A90+V$3&gt;=Floor_c-0.000000001,AND($B90=0,V$3&gt;=Cap_h-0.000000001)),1,0),0)</f>
        <v>0</v>
      </c>
      <c r="W90" s="14" t="n">
        <f aca="false">IF(L90=1,IF(OR(Alpha_keep*$A90+W$3&gt;=Floor_c-0.000000001,AND($B90=0,W$3&gt;=Cap_h-0.000000001)),1,0),0)</f>
        <v>0</v>
      </c>
      <c r="X90" s="14" t="n">
        <f aca="false">IF(M90=1,IF(OR(Alpha_keep*$A90+X$3&gt;=Floor_c-0.000000001,AND($B90=0,X$3&gt;=Cap_h-0.000000001)),1,0),0)</f>
        <v>1</v>
      </c>
      <c r="Y90" s="14" t="n">
        <f aca="false">SUM(C90:M90)</f>
        <v>11</v>
      </c>
      <c r="Z90" s="14" t="n">
        <f aca="false">SUM(N90:X90)</f>
        <v>1</v>
      </c>
      <c r="AA90" s="12" t="n">
        <f aca="false">INDEX($C$3:$M$3,MATCH(1,C90:M90,0))</f>
        <v>0</v>
      </c>
      <c r="AB90" s="12" t="n">
        <f aca="false">INDEX($N$3:$X$3,MATCH(1,N90:X90,0))+(Z90-1)*Step_h</f>
        <v>2.5</v>
      </c>
    </row>
    <row r="91" customFormat="false" ht="15" hidden="false" customHeight="false" outlineLevel="0" collapsed="false">
      <c r="A91" s="12" t="n">
        <f aca="false">A90+Step_c</f>
        <v>51.5</v>
      </c>
      <c r="B91" s="14" t="n">
        <f aca="false">IF(SUMPRODUCT((Alpha_keep*$A91+$C$3:$M$3&gt;=Floor_c-0.000000001)*(C91:M91))&gt;0,1,0)</f>
        <v>0</v>
      </c>
      <c r="C91" s="14" t="n">
        <f aca="false">IF(AND(Alpha_keep*$A91+C$3-MAX(Loss_w)&gt;=Lo_c-0.000000001,Alpha_keep*$A91+C$3-MIN(Loss_w)&lt;=Hi_c+0.000000001),1,0)</f>
        <v>1</v>
      </c>
      <c r="D91" s="14" t="n">
        <f aca="false">IF(AND(Alpha_keep*$A91+D$3-MAX(Loss_w)&gt;=Lo_c-0.000000001,Alpha_keep*$A91+D$3-MIN(Loss_w)&lt;=Hi_c+0.000000001),1,0)</f>
        <v>1</v>
      </c>
      <c r="E91" s="14" t="n">
        <f aca="false">IF(AND(Alpha_keep*$A91+E$3-MAX(Loss_w)&gt;=Lo_c-0.000000001,Alpha_keep*$A91+E$3-MIN(Loss_w)&lt;=Hi_c+0.000000001),1,0)</f>
        <v>1</v>
      </c>
      <c r="F91" s="14" t="n">
        <f aca="false">IF(AND(Alpha_keep*$A91+F$3-MAX(Loss_w)&gt;=Lo_c-0.000000001,Alpha_keep*$A91+F$3-MIN(Loss_w)&lt;=Hi_c+0.000000001),1,0)</f>
        <v>1</v>
      </c>
      <c r="G91" s="14" t="n">
        <f aca="false">IF(AND(Alpha_keep*$A91+G$3-MAX(Loss_w)&gt;=Lo_c-0.000000001,Alpha_keep*$A91+G$3-MIN(Loss_w)&lt;=Hi_c+0.000000001),1,0)</f>
        <v>1</v>
      </c>
      <c r="H91" s="14" t="n">
        <f aca="false">IF(AND(Alpha_keep*$A91+H$3-MAX(Loss_w)&gt;=Lo_c-0.000000001,Alpha_keep*$A91+H$3-MIN(Loss_w)&lt;=Hi_c+0.000000001),1,0)</f>
        <v>1</v>
      </c>
      <c r="I91" s="14" t="n">
        <f aca="false">IF(AND(Alpha_keep*$A91+I$3-MAX(Loss_w)&gt;=Lo_c-0.000000001,Alpha_keep*$A91+I$3-MIN(Loss_w)&lt;=Hi_c+0.000000001),1,0)</f>
        <v>1</v>
      </c>
      <c r="J91" s="14" t="n">
        <f aca="false">IF(AND(Alpha_keep*$A91+J$3-MAX(Loss_w)&gt;=Lo_c-0.000000001,Alpha_keep*$A91+J$3-MIN(Loss_w)&lt;=Hi_c+0.000000001),1,0)</f>
        <v>1</v>
      </c>
      <c r="K91" s="14" t="n">
        <f aca="false">IF(AND(Alpha_keep*$A91+K$3-MAX(Loss_w)&gt;=Lo_c-0.000000001,Alpha_keep*$A91+K$3-MIN(Loss_w)&lt;=Hi_c+0.000000001),1,0)</f>
        <v>1</v>
      </c>
      <c r="L91" s="14" t="n">
        <f aca="false">IF(AND(Alpha_keep*$A91+L$3-MAX(Loss_w)&gt;=Lo_c-0.000000001,Alpha_keep*$A91+L$3-MIN(Loss_w)&lt;=Hi_c+0.000000001),1,0)</f>
        <v>1</v>
      </c>
      <c r="M91" s="14" t="n">
        <f aca="false">IF(AND(Alpha_keep*$A91+M$3-MAX(Loss_w)&gt;=Lo_c-0.000000001,Alpha_keep*$A91+M$3-MIN(Loss_w)&lt;=Hi_c+0.000000001),1,0)</f>
        <v>1</v>
      </c>
      <c r="N91" s="14" t="n">
        <f aca="false">IF(C91=1,IF(OR(Alpha_keep*$A91+N$3&gt;=Floor_c-0.000000001,AND($B91=0,N$3&gt;=Cap_h-0.000000001)),1,0),0)</f>
        <v>0</v>
      </c>
      <c r="O91" s="14" t="n">
        <f aca="false">IF(D91=1,IF(OR(Alpha_keep*$A91+O$3&gt;=Floor_c-0.000000001,AND($B91=0,O$3&gt;=Cap_h-0.000000001)),1,0),0)</f>
        <v>0</v>
      </c>
      <c r="P91" s="14" t="n">
        <f aca="false">IF(E91=1,IF(OR(Alpha_keep*$A91+P$3&gt;=Floor_c-0.000000001,AND($B91=0,P$3&gt;=Cap_h-0.000000001)),1,0),0)</f>
        <v>0</v>
      </c>
      <c r="Q91" s="14" t="n">
        <f aca="false">IF(F91=1,IF(OR(Alpha_keep*$A91+Q$3&gt;=Floor_c-0.000000001,AND($B91=0,Q$3&gt;=Cap_h-0.000000001)),1,0),0)</f>
        <v>0</v>
      </c>
      <c r="R91" s="14" t="n">
        <f aca="false">IF(G91=1,IF(OR(Alpha_keep*$A91+R$3&gt;=Floor_c-0.000000001,AND($B91=0,R$3&gt;=Cap_h-0.000000001)),1,0),0)</f>
        <v>0</v>
      </c>
      <c r="S91" s="14" t="n">
        <f aca="false">IF(H91=1,IF(OR(Alpha_keep*$A91+S$3&gt;=Floor_c-0.000000001,AND($B91=0,S$3&gt;=Cap_h-0.000000001)),1,0),0)</f>
        <v>0</v>
      </c>
      <c r="T91" s="14" t="n">
        <f aca="false">IF(I91=1,IF(OR(Alpha_keep*$A91+T$3&gt;=Floor_c-0.000000001,AND($B91=0,T$3&gt;=Cap_h-0.000000001)),1,0),0)</f>
        <v>0</v>
      </c>
      <c r="U91" s="14" t="n">
        <f aca="false">IF(J91=1,IF(OR(Alpha_keep*$A91+U$3&gt;=Floor_c-0.000000001,AND($B91=0,U$3&gt;=Cap_h-0.000000001)),1,0),0)</f>
        <v>0</v>
      </c>
      <c r="V91" s="14" t="n">
        <f aca="false">IF(K91=1,IF(OR(Alpha_keep*$A91+V$3&gt;=Floor_c-0.000000001,AND($B91=0,V$3&gt;=Cap_h-0.000000001)),1,0),0)</f>
        <v>0</v>
      </c>
      <c r="W91" s="14" t="n">
        <f aca="false">IF(L91=1,IF(OR(Alpha_keep*$A91+W$3&gt;=Floor_c-0.000000001,AND($B91=0,W$3&gt;=Cap_h-0.000000001)),1,0),0)</f>
        <v>0</v>
      </c>
      <c r="X91" s="14" t="n">
        <f aca="false">IF(M91=1,IF(OR(Alpha_keep*$A91+X$3&gt;=Floor_c-0.000000001,AND($B91=0,X$3&gt;=Cap_h-0.000000001)),1,0),0)</f>
        <v>1</v>
      </c>
      <c r="Y91" s="14" t="n">
        <f aca="false">SUM(C91:M91)</f>
        <v>11</v>
      </c>
      <c r="Z91" s="14" t="n">
        <f aca="false">SUM(N91:X91)</f>
        <v>1</v>
      </c>
      <c r="AA91" s="12" t="n">
        <f aca="false">INDEX($C$3:$M$3,MATCH(1,C91:M91,0))</f>
        <v>0</v>
      </c>
      <c r="AB91" s="12" t="n">
        <f aca="false">INDEX($N$3:$X$3,MATCH(1,N91:X91,0))+(Z91-1)*Step_h</f>
        <v>2.5</v>
      </c>
    </row>
    <row r="92" customFormat="false" ht="15" hidden="false" customHeight="false" outlineLevel="0" collapsed="false">
      <c r="A92" s="12" t="n">
        <f aca="false">A91+Step_c</f>
        <v>51.75</v>
      </c>
      <c r="B92" s="14" t="n">
        <f aca="false">IF(SUMPRODUCT((Alpha_keep*$A92+$C$3:$M$3&gt;=Floor_c-0.000000001)*(C92:M92))&gt;0,1,0)</f>
        <v>0</v>
      </c>
      <c r="C92" s="14" t="n">
        <f aca="false">IF(AND(Alpha_keep*$A92+C$3-MAX(Loss_w)&gt;=Lo_c-0.000000001,Alpha_keep*$A92+C$3-MIN(Loss_w)&lt;=Hi_c+0.000000001),1,0)</f>
        <v>1</v>
      </c>
      <c r="D92" s="14" t="n">
        <f aca="false">IF(AND(Alpha_keep*$A92+D$3-MAX(Loss_w)&gt;=Lo_c-0.000000001,Alpha_keep*$A92+D$3-MIN(Loss_w)&lt;=Hi_c+0.000000001),1,0)</f>
        <v>1</v>
      </c>
      <c r="E92" s="14" t="n">
        <f aca="false">IF(AND(Alpha_keep*$A92+E$3-MAX(Loss_w)&gt;=Lo_c-0.000000001,Alpha_keep*$A92+E$3-MIN(Loss_w)&lt;=Hi_c+0.000000001),1,0)</f>
        <v>1</v>
      </c>
      <c r="F92" s="14" t="n">
        <f aca="false">IF(AND(Alpha_keep*$A92+F$3-MAX(Loss_w)&gt;=Lo_c-0.000000001,Alpha_keep*$A92+F$3-MIN(Loss_w)&lt;=Hi_c+0.000000001),1,0)</f>
        <v>1</v>
      </c>
      <c r="G92" s="14" t="n">
        <f aca="false">IF(AND(Alpha_keep*$A92+G$3-MAX(Loss_w)&gt;=Lo_c-0.000000001,Alpha_keep*$A92+G$3-MIN(Loss_w)&lt;=Hi_c+0.000000001),1,0)</f>
        <v>1</v>
      </c>
      <c r="H92" s="14" t="n">
        <f aca="false">IF(AND(Alpha_keep*$A92+H$3-MAX(Loss_w)&gt;=Lo_c-0.000000001,Alpha_keep*$A92+H$3-MIN(Loss_w)&lt;=Hi_c+0.000000001),1,0)</f>
        <v>1</v>
      </c>
      <c r="I92" s="14" t="n">
        <f aca="false">IF(AND(Alpha_keep*$A92+I$3-MAX(Loss_w)&gt;=Lo_c-0.000000001,Alpha_keep*$A92+I$3-MIN(Loss_w)&lt;=Hi_c+0.000000001),1,0)</f>
        <v>1</v>
      </c>
      <c r="J92" s="14" t="n">
        <f aca="false">IF(AND(Alpha_keep*$A92+J$3-MAX(Loss_w)&gt;=Lo_c-0.000000001,Alpha_keep*$A92+J$3-MIN(Loss_w)&lt;=Hi_c+0.000000001),1,0)</f>
        <v>1</v>
      </c>
      <c r="K92" s="14" t="n">
        <f aca="false">IF(AND(Alpha_keep*$A92+K$3-MAX(Loss_w)&gt;=Lo_c-0.000000001,Alpha_keep*$A92+K$3-MIN(Loss_w)&lt;=Hi_c+0.000000001),1,0)</f>
        <v>1</v>
      </c>
      <c r="L92" s="14" t="n">
        <f aca="false">IF(AND(Alpha_keep*$A92+L$3-MAX(Loss_w)&gt;=Lo_c-0.000000001,Alpha_keep*$A92+L$3-MIN(Loss_w)&lt;=Hi_c+0.000000001),1,0)</f>
        <v>1</v>
      </c>
      <c r="M92" s="14" t="n">
        <f aca="false">IF(AND(Alpha_keep*$A92+M$3-MAX(Loss_w)&gt;=Lo_c-0.000000001,Alpha_keep*$A92+M$3-MIN(Loss_w)&lt;=Hi_c+0.000000001),1,0)</f>
        <v>1</v>
      </c>
      <c r="N92" s="14" t="n">
        <f aca="false">IF(C92=1,IF(OR(Alpha_keep*$A92+N$3&gt;=Floor_c-0.000000001,AND($B92=0,N$3&gt;=Cap_h-0.000000001)),1,0),0)</f>
        <v>0</v>
      </c>
      <c r="O92" s="14" t="n">
        <f aca="false">IF(D92=1,IF(OR(Alpha_keep*$A92+O$3&gt;=Floor_c-0.000000001,AND($B92=0,O$3&gt;=Cap_h-0.000000001)),1,0),0)</f>
        <v>0</v>
      </c>
      <c r="P92" s="14" t="n">
        <f aca="false">IF(E92=1,IF(OR(Alpha_keep*$A92+P$3&gt;=Floor_c-0.000000001,AND($B92=0,P$3&gt;=Cap_h-0.000000001)),1,0),0)</f>
        <v>0</v>
      </c>
      <c r="Q92" s="14" t="n">
        <f aca="false">IF(F92=1,IF(OR(Alpha_keep*$A92+Q$3&gt;=Floor_c-0.000000001,AND($B92=0,Q$3&gt;=Cap_h-0.000000001)),1,0),0)</f>
        <v>0</v>
      </c>
      <c r="R92" s="14" t="n">
        <f aca="false">IF(G92=1,IF(OR(Alpha_keep*$A92+R$3&gt;=Floor_c-0.000000001,AND($B92=0,R$3&gt;=Cap_h-0.000000001)),1,0),0)</f>
        <v>0</v>
      </c>
      <c r="S92" s="14" t="n">
        <f aca="false">IF(H92=1,IF(OR(Alpha_keep*$A92+S$3&gt;=Floor_c-0.000000001,AND($B92=0,S$3&gt;=Cap_h-0.000000001)),1,0),0)</f>
        <v>0</v>
      </c>
      <c r="T92" s="14" t="n">
        <f aca="false">IF(I92=1,IF(OR(Alpha_keep*$A92+T$3&gt;=Floor_c-0.000000001,AND($B92=0,T$3&gt;=Cap_h-0.000000001)),1,0),0)</f>
        <v>0</v>
      </c>
      <c r="U92" s="14" t="n">
        <f aca="false">IF(J92=1,IF(OR(Alpha_keep*$A92+U$3&gt;=Floor_c-0.000000001,AND($B92=0,U$3&gt;=Cap_h-0.000000001)),1,0),0)</f>
        <v>0</v>
      </c>
      <c r="V92" s="14" t="n">
        <f aca="false">IF(K92=1,IF(OR(Alpha_keep*$A92+V$3&gt;=Floor_c-0.000000001,AND($B92=0,V$3&gt;=Cap_h-0.000000001)),1,0),0)</f>
        <v>0</v>
      </c>
      <c r="W92" s="14" t="n">
        <f aca="false">IF(L92=1,IF(OR(Alpha_keep*$A92+W$3&gt;=Floor_c-0.000000001,AND($B92=0,W$3&gt;=Cap_h-0.000000001)),1,0),0)</f>
        <v>0</v>
      </c>
      <c r="X92" s="14" t="n">
        <f aca="false">IF(M92=1,IF(OR(Alpha_keep*$A92+X$3&gt;=Floor_c-0.000000001,AND($B92=0,X$3&gt;=Cap_h-0.000000001)),1,0),0)</f>
        <v>1</v>
      </c>
      <c r="Y92" s="14" t="n">
        <f aca="false">SUM(C92:M92)</f>
        <v>11</v>
      </c>
      <c r="Z92" s="14" t="n">
        <f aca="false">SUM(N92:X92)</f>
        <v>1</v>
      </c>
      <c r="AA92" s="12" t="n">
        <f aca="false">INDEX($C$3:$M$3,MATCH(1,C92:M92,0))</f>
        <v>0</v>
      </c>
      <c r="AB92" s="12" t="n">
        <f aca="false">INDEX($N$3:$X$3,MATCH(1,N92:X92,0))+(Z92-1)*Step_h</f>
        <v>2.5</v>
      </c>
    </row>
    <row r="93" customFormat="false" ht="15" hidden="false" customHeight="false" outlineLevel="0" collapsed="false">
      <c r="A93" s="12" t="n">
        <f aca="false">A92+Step_c</f>
        <v>52</v>
      </c>
      <c r="B93" s="14" t="n">
        <f aca="false">IF(SUMPRODUCT((Alpha_keep*$A93+$C$3:$M$3&gt;=Floor_c-0.000000001)*(C93:M93))&gt;0,1,0)</f>
        <v>0</v>
      </c>
      <c r="C93" s="14" t="n">
        <f aca="false">IF(AND(Alpha_keep*$A93+C$3-MAX(Loss_w)&gt;=Lo_c-0.000000001,Alpha_keep*$A93+C$3-MIN(Loss_w)&lt;=Hi_c+0.000000001),1,0)</f>
        <v>1</v>
      </c>
      <c r="D93" s="14" t="n">
        <f aca="false">IF(AND(Alpha_keep*$A93+D$3-MAX(Loss_w)&gt;=Lo_c-0.000000001,Alpha_keep*$A93+D$3-MIN(Loss_w)&lt;=Hi_c+0.000000001),1,0)</f>
        <v>1</v>
      </c>
      <c r="E93" s="14" t="n">
        <f aca="false">IF(AND(Alpha_keep*$A93+E$3-MAX(Loss_w)&gt;=Lo_c-0.000000001,Alpha_keep*$A93+E$3-MIN(Loss_w)&lt;=Hi_c+0.000000001),1,0)</f>
        <v>1</v>
      </c>
      <c r="F93" s="14" t="n">
        <f aca="false">IF(AND(Alpha_keep*$A93+F$3-MAX(Loss_w)&gt;=Lo_c-0.000000001,Alpha_keep*$A93+F$3-MIN(Loss_w)&lt;=Hi_c+0.000000001),1,0)</f>
        <v>1</v>
      </c>
      <c r="G93" s="14" t="n">
        <f aca="false">IF(AND(Alpha_keep*$A93+G$3-MAX(Loss_w)&gt;=Lo_c-0.000000001,Alpha_keep*$A93+G$3-MIN(Loss_w)&lt;=Hi_c+0.000000001),1,0)</f>
        <v>1</v>
      </c>
      <c r="H93" s="14" t="n">
        <f aca="false">IF(AND(Alpha_keep*$A93+H$3-MAX(Loss_w)&gt;=Lo_c-0.000000001,Alpha_keep*$A93+H$3-MIN(Loss_w)&lt;=Hi_c+0.000000001),1,0)</f>
        <v>1</v>
      </c>
      <c r="I93" s="14" t="n">
        <f aca="false">IF(AND(Alpha_keep*$A93+I$3-MAX(Loss_w)&gt;=Lo_c-0.000000001,Alpha_keep*$A93+I$3-MIN(Loss_w)&lt;=Hi_c+0.000000001),1,0)</f>
        <v>1</v>
      </c>
      <c r="J93" s="14" t="n">
        <f aca="false">IF(AND(Alpha_keep*$A93+J$3-MAX(Loss_w)&gt;=Lo_c-0.000000001,Alpha_keep*$A93+J$3-MIN(Loss_w)&lt;=Hi_c+0.000000001),1,0)</f>
        <v>1</v>
      </c>
      <c r="K93" s="14" t="n">
        <f aca="false">IF(AND(Alpha_keep*$A93+K$3-MAX(Loss_w)&gt;=Lo_c-0.000000001,Alpha_keep*$A93+K$3-MIN(Loss_w)&lt;=Hi_c+0.000000001),1,0)</f>
        <v>1</v>
      </c>
      <c r="L93" s="14" t="n">
        <f aca="false">IF(AND(Alpha_keep*$A93+L$3-MAX(Loss_w)&gt;=Lo_c-0.000000001,Alpha_keep*$A93+L$3-MIN(Loss_w)&lt;=Hi_c+0.000000001),1,0)</f>
        <v>1</v>
      </c>
      <c r="M93" s="14" t="n">
        <f aca="false">IF(AND(Alpha_keep*$A93+M$3-MAX(Loss_w)&gt;=Lo_c-0.000000001,Alpha_keep*$A93+M$3-MIN(Loss_w)&lt;=Hi_c+0.000000001),1,0)</f>
        <v>1</v>
      </c>
      <c r="N93" s="14" t="n">
        <f aca="false">IF(C93=1,IF(OR(Alpha_keep*$A93+N$3&gt;=Floor_c-0.000000001,AND($B93=0,N$3&gt;=Cap_h-0.000000001)),1,0),0)</f>
        <v>0</v>
      </c>
      <c r="O93" s="14" t="n">
        <f aca="false">IF(D93=1,IF(OR(Alpha_keep*$A93+O$3&gt;=Floor_c-0.000000001,AND($B93=0,O$3&gt;=Cap_h-0.000000001)),1,0),0)</f>
        <v>0</v>
      </c>
      <c r="P93" s="14" t="n">
        <f aca="false">IF(E93=1,IF(OR(Alpha_keep*$A93+P$3&gt;=Floor_c-0.000000001,AND($B93=0,P$3&gt;=Cap_h-0.000000001)),1,0),0)</f>
        <v>0</v>
      </c>
      <c r="Q93" s="14" t="n">
        <f aca="false">IF(F93=1,IF(OR(Alpha_keep*$A93+Q$3&gt;=Floor_c-0.000000001,AND($B93=0,Q$3&gt;=Cap_h-0.000000001)),1,0),0)</f>
        <v>0</v>
      </c>
      <c r="R93" s="14" t="n">
        <f aca="false">IF(G93=1,IF(OR(Alpha_keep*$A93+R$3&gt;=Floor_c-0.000000001,AND($B93=0,R$3&gt;=Cap_h-0.000000001)),1,0),0)</f>
        <v>0</v>
      </c>
      <c r="S93" s="14" t="n">
        <f aca="false">IF(H93=1,IF(OR(Alpha_keep*$A93+S$3&gt;=Floor_c-0.000000001,AND($B93=0,S$3&gt;=Cap_h-0.000000001)),1,0),0)</f>
        <v>0</v>
      </c>
      <c r="T93" s="14" t="n">
        <f aca="false">IF(I93=1,IF(OR(Alpha_keep*$A93+T$3&gt;=Floor_c-0.000000001,AND($B93=0,T$3&gt;=Cap_h-0.000000001)),1,0),0)</f>
        <v>0</v>
      </c>
      <c r="U93" s="14" t="n">
        <f aca="false">IF(J93=1,IF(OR(Alpha_keep*$A93+U$3&gt;=Floor_c-0.000000001,AND($B93=0,U$3&gt;=Cap_h-0.000000001)),1,0),0)</f>
        <v>0</v>
      </c>
      <c r="V93" s="14" t="n">
        <f aca="false">IF(K93=1,IF(OR(Alpha_keep*$A93+V$3&gt;=Floor_c-0.000000001,AND($B93=0,V$3&gt;=Cap_h-0.000000001)),1,0),0)</f>
        <v>0</v>
      </c>
      <c r="W93" s="14" t="n">
        <f aca="false">IF(L93=1,IF(OR(Alpha_keep*$A93+W$3&gt;=Floor_c-0.000000001,AND($B93=0,W$3&gt;=Cap_h-0.000000001)),1,0),0)</f>
        <v>0</v>
      </c>
      <c r="X93" s="14" t="n">
        <f aca="false">IF(M93=1,IF(OR(Alpha_keep*$A93+X$3&gt;=Floor_c-0.000000001,AND($B93=0,X$3&gt;=Cap_h-0.000000001)),1,0),0)</f>
        <v>1</v>
      </c>
      <c r="Y93" s="14" t="n">
        <f aca="false">SUM(C93:M93)</f>
        <v>11</v>
      </c>
      <c r="Z93" s="14" t="n">
        <f aca="false">SUM(N93:X93)</f>
        <v>1</v>
      </c>
      <c r="AA93" s="12" t="n">
        <f aca="false">INDEX($C$3:$M$3,MATCH(1,C93:M93,0))</f>
        <v>0</v>
      </c>
      <c r="AB93" s="12" t="n">
        <f aca="false">INDEX($N$3:$X$3,MATCH(1,N93:X93,0))+(Z93-1)*Step_h</f>
        <v>2.5</v>
      </c>
    </row>
    <row r="94" customFormat="false" ht="15" hidden="false" customHeight="false" outlineLevel="0" collapsed="false">
      <c r="A94" s="12" t="n">
        <f aca="false">A93+Step_c</f>
        <v>52.25</v>
      </c>
      <c r="B94" s="14" t="n">
        <f aca="false">IF(SUMPRODUCT((Alpha_keep*$A94+$C$3:$M$3&gt;=Floor_c-0.000000001)*(C94:M94))&gt;0,1,0)</f>
        <v>0</v>
      </c>
      <c r="C94" s="14" t="n">
        <f aca="false">IF(AND(Alpha_keep*$A94+C$3-MAX(Loss_w)&gt;=Lo_c-0.000000001,Alpha_keep*$A94+C$3-MIN(Loss_w)&lt;=Hi_c+0.000000001),1,0)</f>
        <v>1</v>
      </c>
      <c r="D94" s="14" t="n">
        <f aca="false">IF(AND(Alpha_keep*$A94+D$3-MAX(Loss_w)&gt;=Lo_c-0.000000001,Alpha_keep*$A94+D$3-MIN(Loss_w)&lt;=Hi_c+0.000000001),1,0)</f>
        <v>1</v>
      </c>
      <c r="E94" s="14" t="n">
        <f aca="false">IF(AND(Alpha_keep*$A94+E$3-MAX(Loss_w)&gt;=Lo_c-0.000000001,Alpha_keep*$A94+E$3-MIN(Loss_w)&lt;=Hi_c+0.000000001),1,0)</f>
        <v>1</v>
      </c>
      <c r="F94" s="14" t="n">
        <f aca="false">IF(AND(Alpha_keep*$A94+F$3-MAX(Loss_w)&gt;=Lo_c-0.000000001,Alpha_keep*$A94+F$3-MIN(Loss_w)&lt;=Hi_c+0.000000001),1,0)</f>
        <v>1</v>
      </c>
      <c r="G94" s="14" t="n">
        <f aca="false">IF(AND(Alpha_keep*$A94+G$3-MAX(Loss_w)&gt;=Lo_c-0.000000001,Alpha_keep*$A94+G$3-MIN(Loss_w)&lt;=Hi_c+0.000000001),1,0)</f>
        <v>1</v>
      </c>
      <c r="H94" s="14" t="n">
        <f aca="false">IF(AND(Alpha_keep*$A94+H$3-MAX(Loss_w)&gt;=Lo_c-0.000000001,Alpha_keep*$A94+H$3-MIN(Loss_w)&lt;=Hi_c+0.000000001),1,0)</f>
        <v>1</v>
      </c>
      <c r="I94" s="14" t="n">
        <f aca="false">IF(AND(Alpha_keep*$A94+I$3-MAX(Loss_w)&gt;=Lo_c-0.000000001,Alpha_keep*$A94+I$3-MIN(Loss_w)&lt;=Hi_c+0.000000001),1,0)</f>
        <v>1</v>
      </c>
      <c r="J94" s="14" t="n">
        <f aca="false">IF(AND(Alpha_keep*$A94+J$3-MAX(Loss_w)&gt;=Lo_c-0.000000001,Alpha_keep*$A94+J$3-MIN(Loss_w)&lt;=Hi_c+0.000000001),1,0)</f>
        <v>1</v>
      </c>
      <c r="K94" s="14" t="n">
        <f aca="false">IF(AND(Alpha_keep*$A94+K$3-MAX(Loss_w)&gt;=Lo_c-0.000000001,Alpha_keep*$A94+K$3-MIN(Loss_w)&lt;=Hi_c+0.000000001),1,0)</f>
        <v>1</v>
      </c>
      <c r="L94" s="14" t="n">
        <f aca="false">IF(AND(Alpha_keep*$A94+L$3-MAX(Loss_w)&gt;=Lo_c-0.000000001,Alpha_keep*$A94+L$3-MIN(Loss_w)&lt;=Hi_c+0.000000001),1,0)</f>
        <v>1</v>
      </c>
      <c r="M94" s="14" t="n">
        <f aca="false">IF(AND(Alpha_keep*$A94+M$3-MAX(Loss_w)&gt;=Lo_c-0.000000001,Alpha_keep*$A94+M$3-MIN(Loss_w)&lt;=Hi_c+0.000000001),1,0)</f>
        <v>1</v>
      </c>
      <c r="N94" s="14" t="n">
        <f aca="false">IF(C94=1,IF(OR(Alpha_keep*$A94+N$3&gt;=Floor_c-0.000000001,AND($B94=0,N$3&gt;=Cap_h-0.000000001)),1,0),0)</f>
        <v>0</v>
      </c>
      <c r="O94" s="14" t="n">
        <f aca="false">IF(D94=1,IF(OR(Alpha_keep*$A94+O$3&gt;=Floor_c-0.000000001,AND($B94=0,O$3&gt;=Cap_h-0.000000001)),1,0),0)</f>
        <v>0</v>
      </c>
      <c r="P94" s="14" t="n">
        <f aca="false">IF(E94=1,IF(OR(Alpha_keep*$A94+P$3&gt;=Floor_c-0.000000001,AND($B94=0,P$3&gt;=Cap_h-0.000000001)),1,0),0)</f>
        <v>0</v>
      </c>
      <c r="Q94" s="14" t="n">
        <f aca="false">IF(F94=1,IF(OR(Alpha_keep*$A94+Q$3&gt;=Floor_c-0.000000001,AND($B94=0,Q$3&gt;=Cap_h-0.000000001)),1,0),0)</f>
        <v>0</v>
      </c>
      <c r="R94" s="14" t="n">
        <f aca="false">IF(G94=1,IF(OR(Alpha_keep*$A94+R$3&gt;=Floor_c-0.000000001,AND($B94=0,R$3&gt;=Cap_h-0.000000001)),1,0),0)</f>
        <v>0</v>
      </c>
      <c r="S94" s="14" t="n">
        <f aca="false">IF(H94=1,IF(OR(Alpha_keep*$A94+S$3&gt;=Floor_c-0.000000001,AND($B94=0,S$3&gt;=Cap_h-0.000000001)),1,0),0)</f>
        <v>0</v>
      </c>
      <c r="T94" s="14" t="n">
        <f aca="false">IF(I94=1,IF(OR(Alpha_keep*$A94+T$3&gt;=Floor_c-0.000000001,AND($B94=0,T$3&gt;=Cap_h-0.000000001)),1,0),0)</f>
        <v>0</v>
      </c>
      <c r="U94" s="14" t="n">
        <f aca="false">IF(J94=1,IF(OR(Alpha_keep*$A94+U$3&gt;=Floor_c-0.000000001,AND($B94=0,U$3&gt;=Cap_h-0.000000001)),1,0),0)</f>
        <v>0</v>
      </c>
      <c r="V94" s="14" t="n">
        <f aca="false">IF(K94=1,IF(OR(Alpha_keep*$A94+V$3&gt;=Floor_c-0.000000001,AND($B94=0,V$3&gt;=Cap_h-0.000000001)),1,0),0)</f>
        <v>0</v>
      </c>
      <c r="W94" s="14" t="n">
        <f aca="false">IF(L94=1,IF(OR(Alpha_keep*$A94+W$3&gt;=Floor_c-0.000000001,AND($B94=0,W$3&gt;=Cap_h-0.000000001)),1,0),0)</f>
        <v>0</v>
      </c>
      <c r="X94" s="14" t="n">
        <f aca="false">IF(M94=1,IF(OR(Alpha_keep*$A94+X$3&gt;=Floor_c-0.000000001,AND($B94=0,X$3&gt;=Cap_h-0.000000001)),1,0),0)</f>
        <v>1</v>
      </c>
      <c r="Y94" s="14" t="n">
        <f aca="false">SUM(C94:M94)</f>
        <v>11</v>
      </c>
      <c r="Z94" s="14" t="n">
        <f aca="false">SUM(N94:X94)</f>
        <v>1</v>
      </c>
      <c r="AA94" s="12" t="n">
        <f aca="false">INDEX($C$3:$M$3,MATCH(1,C94:M94,0))</f>
        <v>0</v>
      </c>
      <c r="AB94" s="12" t="n">
        <f aca="false">INDEX($N$3:$X$3,MATCH(1,N94:X94,0))+(Z94-1)*Step_h</f>
        <v>2.5</v>
      </c>
    </row>
    <row r="95" customFormat="false" ht="15" hidden="false" customHeight="false" outlineLevel="0" collapsed="false">
      <c r="A95" s="12" t="n">
        <f aca="false">A94+Step_c</f>
        <v>52.5</v>
      </c>
      <c r="B95" s="14" t="n">
        <f aca="false">IF(SUMPRODUCT((Alpha_keep*$A95+$C$3:$M$3&gt;=Floor_c-0.000000001)*(C95:M95))&gt;0,1,0)</f>
        <v>0</v>
      </c>
      <c r="C95" s="14" t="n">
        <f aca="false">IF(AND(Alpha_keep*$A95+C$3-MAX(Loss_w)&gt;=Lo_c-0.000000001,Alpha_keep*$A95+C$3-MIN(Loss_w)&lt;=Hi_c+0.000000001),1,0)</f>
        <v>1</v>
      </c>
      <c r="D95" s="14" t="n">
        <f aca="false">IF(AND(Alpha_keep*$A95+D$3-MAX(Loss_w)&gt;=Lo_c-0.000000001,Alpha_keep*$A95+D$3-MIN(Loss_w)&lt;=Hi_c+0.000000001),1,0)</f>
        <v>1</v>
      </c>
      <c r="E95" s="14" t="n">
        <f aca="false">IF(AND(Alpha_keep*$A95+E$3-MAX(Loss_w)&gt;=Lo_c-0.000000001,Alpha_keep*$A95+E$3-MIN(Loss_w)&lt;=Hi_c+0.000000001),1,0)</f>
        <v>1</v>
      </c>
      <c r="F95" s="14" t="n">
        <f aca="false">IF(AND(Alpha_keep*$A95+F$3-MAX(Loss_w)&gt;=Lo_c-0.000000001,Alpha_keep*$A95+F$3-MIN(Loss_w)&lt;=Hi_c+0.000000001),1,0)</f>
        <v>1</v>
      </c>
      <c r="G95" s="14" t="n">
        <f aca="false">IF(AND(Alpha_keep*$A95+G$3-MAX(Loss_w)&gt;=Lo_c-0.000000001,Alpha_keep*$A95+G$3-MIN(Loss_w)&lt;=Hi_c+0.000000001),1,0)</f>
        <v>1</v>
      </c>
      <c r="H95" s="14" t="n">
        <f aca="false">IF(AND(Alpha_keep*$A95+H$3-MAX(Loss_w)&gt;=Lo_c-0.000000001,Alpha_keep*$A95+H$3-MIN(Loss_w)&lt;=Hi_c+0.000000001),1,0)</f>
        <v>1</v>
      </c>
      <c r="I95" s="14" t="n">
        <f aca="false">IF(AND(Alpha_keep*$A95+I$3-MAX(Loss_w)&gt;=Lo_c-0.000000001,Alpha_keep*$A95+I$3-MIN(Loss_w)&lt;=Hi_c+0.000000001),1,0)</f>
        <v>1</v>
      </c>
      <c r="J95" s="14" t="n">
        <f aca="false">IF(AND(Alpha_keep*$A95+J$3-MAX(Loss_w)&gt;=Lo_c-0.000000001,Alpha_keep*$A95+J$3-MIN(Loss_w)&lt;=Hi_c+0.000000001),1,0)</f>
        <v>1</v>
      </c>
      <c r="K95" s="14" t="n">
        <f aca="false">IF(AND(Alpha_keep*$A95+K$3-MAX(Loss_w)&gt;=Lo_c-0.000000001,Alpha_keep*$A95+K$3-MIN(Loss_w)&lt;=Hi_c+0.000000001),1,0)</f>
        <v>1</v>
      </c>
      <c r="L95" s="14" t="n">
        <f aca="false">IF(AND(Alpha_keep*$A95+L$3-MAX(Loss_w)&gt;=Lo_c-0.000000001,Alpha_keep*$A95+L$3-MIN(Loss_w)&lt;=Hi_c+0.000000001),1,0)</f>
        <v>1</v>
      </c>
      <c r="M95" s="14" t="n">
        <f aca="false">IF(AND(Alpha_keep*$A95+M$3-MAX(Loss_w)&gt;=Lo_c-0.000000001,Alpha_keep*$A95+M$3-MIN(Loss_w)&lt;=Hi_c+0.000000001),1,0)</f>
        <v>1</v>
      </c>
      <c r="N95" s="14" t="n">
        <f aca="false">IF(C95=1,IF(OR(Alpha_keep*$A95+N$3&gt;=Floor_c-0.000000001,AND($B95=0,N$3&gt;=Cap_h-0.000000001)),1,0),0)</f>
        <v>0</v>
      </c>
      <c r="O95" s="14" t="n">
        <f aca="false">IF(D95=1,IF(OR(Alpha_keep*$A95+O$3&gt;=Floor_c-0.000000001,AND($B95=0,O$3&gt;=Cap_h-0.000000001)),1,0),0)</f>
        <v>0</v>
      </c>
      <c r="P95" s="14" t="n">
        <f aca="false">IF(E95=1,IF(OR(Alpha_keep*$A95+P$3&gt;=Floor_c-0.000000001,AND($B95=0,P$3&gt;=Cap_h-0.000000001)),1,0),0)</f>
        <v>0</v>
      </c>
      <c r="Q95" s="14" t="n">
        <f aca="false">IF(F95=1,IF(OR(Alpha_keep*$A95+Q$3&gt;=Floor_c-0.000000001,AND($B95=0,Q$3&gt;=Cap_h-0.000000001)),1,0),0)</f>
        <v>0</v>
      </c>
      <c r="R95" s="14" t="n">
        <f aca="false">IF(G95=1,IF(OR(Alpha_keep*$A95+R$3&gt;=Floor_c-0.000000001,AND($B95=0,R$3&gt;=Cap_h-0.000000001)),1,0),0)</f>
        <v>0</v>
      </c>
      <c r="S95" s="14" t="n">
        <f aca="false">IF(H95=1,IF(OR(Alpha_keep*$A95+S$3&gt;=Floor_c-0.000000001,AND($B95=0,S$3&gt;=Cap_h-0.000000001)),1,0),0)</f>
        <v>0</v>
      </c>
      <c r="T95" s="14" t="n">
        <f aca="false">IF(I95=1,IF(OR(Alpha_keep*$A95+T$3&gt;=Floor_c-0.000000001,AND($B95=0,T$3&gt;=Cap_h-0.000000001)),1,0),0)</f>
        <v>0</v>
      </c>
      <c r="U95" s="14" t="n">
        <f aca="false">IF(J95=1,IF(OR(Alpha_keep*$A95+U$3&gt;=Floor_c-0.000000001,AND($B95=0,U$3&gt;=Cap_h-0.000000001)),1,0),0)</f>
        <v>0</v>
      </c>
      <c r="V95" s="14" t="n">
        <f aca="false">IF(K95=1,IF(OR(Alpha_keep*$A95+V$3&gt;=Floor_c-0.000000001,AND($B95=0,V$3&gt;=Cap_h-0.000000001)),1,0),0)</f>
        <v>0</v>
      </c>
      <c r="W95" s="14" t="n">
        <f aca="false">IF(L95=1,IF(OR(Alpha_keep*$A95+W$3&gt;=Floor_c-0.000000001,AND($B95=0,W$3&gt;=Cap_h-0.000000001)),1,0),0)</f>
        <v>0</v>
      </c>
      <c r="X95" s="14" t="n">
        <f aca="false">IF(M95=1,IF(OR(Alpha_keep*$A95+X$3&gt;=Floor_c-0.000000001,AND($B95=0,X$3&gt;=Cap_h-0.000000001)),1,0),0)</f>
        <v>1</v>
      </c>
      <c r="Y95" s="14" t="n">
        <f aca="false">SUM(C95:M95)</f>
        <v>11</v>
      </c>
      <c r="Z95" s="14" t="n">
        <f aca="false">SUM(N95:X95)</f>
        <v>1</v>
      </c>
      <c r="AA95" s="12" t="n">
        <f aca="false">INDEX($C$3:$M$3,MATCH(1,C95:M95,0))</f>
        <v>0</v>
      </c>
      <c r="AB95" s="12" t="n">
        <f aca="false">INDEX($N$3:$X$3,MATCH(1,N95:X95,0))+(Z95-1)*Step_h</f>
        <v>2.5</v>
      </c>
    </row>
    <row r="96" customFormat="false" ht="15" hidden="false" customHeight="false" outlineLevel="0" collapsed="false">
      <c r="A96" s="12" t="n">
        <f aca="false">A95+Step_c</f>
        <v>52.75</v>
      </c>
      <c r="B96" s="14" t="n">
        <f aca="false">IF(SUMPRODUCT((Alpha_keep*$A96+$C$3:$M$3&gt;=Floor_c-0.000000001)*(C96:M96))&gt;0,1,0)</f>
        <v>0</v>
      </c>
      <c r="C96" s="14" t="n">
        <f aca="false">IF(AND(Alpha_keep*$A96+C$3-MAX(Loss_w)&gt;=Lo_c-0.000000001,Alpha_keep*$A96+C$3-MIN(Loss_w)&lt;=Hi_c+0.000000001),1,0)</f>
        <v>1</v>
      </c>
      <c r="D96" s="14" t="n">
        <f aca="false">IF(AND(Alpha_keep*$A96+D$3-MAX(Loss_w)&gt;=Lo_c-0.000000001,Alpha_keep*$A96+D$3-MIN(Loss_w)&lt;=Hi_c+0.000000001),1,0)</f>
        <v>1</v>
      </c>
      <c r="E96" s="14" t="n">
        <f aca="false">IF(AND(Alpha_keep*$A96+E$3-MAX(Loss_w)&gt;=Lo_c-0.000000001,Alpha_keep*$A96+E$3-MIN(Loss_w)&lt;=Hi_c+0.000000001),1,0)</f>
        <v>1</v>
      </c>
      <c r="F96" s="14" t="n">
        <f aca="false">IF(AND(Alpha_keep*$A96+F$3-MAX(Loss_w)&gt;=Lo_c-0.000000001,Alpha_keep*$A96+F$3-MIN(Loss_w)&lt;=Hi_c+0.000000001),1,0)</f>
        <v>1</v>
      </c>
      <c r="G96" s="14" t="n">
        <f aca="false">IF(AND(Alpha_keep*$A96+G$3-MAX(Loss_w)&gt;=Lo_c-0.000000001,Alpha_keep*$A96+G$3-MIN(Loss_w)&lt;=Hi_c+0.000000001),1,0)</f>
        <v>1</v>
      </c>
      <c r="H96" s="14" t="n">
        <f aca="false">IF(AND(Alpha_keep*$A96+H$3-MAX(Loss_w)&gt;=Lo_c-0.000000001,Alpha_keep*$A96+H$3-MIN(Loss_w)&lt;=Hi_c+0.000000001),1,0)</f>
        <v>1</v>
      </c>
      <c r="I96" s="14" t="n">
        <f aca="false">IF(AND(Alpha_keep*$A96+I$3-MAX(Loss_w)&gt;=Lo_c-0.000000001,Alpha_keep*$A96+I$3-MIN(Loss_w)&lt;=Hi_c+0.000000001),1,0)</f>
        <v>1</v>
      </c>
      <c r="J96" s="14" t="n">
        <f aca="false">IF(AND(Alpha_keep*$A96+J$3-MAX(Loss_w)&gt;=Lo_c-0.000000001,Alpha_keep*$A96+J$3-MIN(Loss_w)&lt;=Hi_c+0.000000001),1,0)</f>
        <v>1</v>
      </c>
      <c r="K96" s="14" t="n">
        <f aca="false">IF(AND(Alpha_keep*$A96+K$3-MAX(Loss_w)&gt;=Lo_c-0.000000001,Alpha_keep*$A96+K$3-MIN(Loss_w)&lt;=Hi_c+0.000000001),1,0)</f>
        <v>1</v>
      </c>
      <c r="L96" s="14" t="n">
        <f aca="false">IF(AND(Alpha_keep*$A96+L$3-MAX(Loss_w)&gt;=Lo_c-0.000000001,Alpha_keep*$A96+L$3-MIN(Loss_w)&lt;=Hi_c+0.000000001),1,0)</f>
        <v>1</v>
      </c>
      <c r="M96" s="14" t="n">
        <f aca="false">IF(AND(Alpha_keep*$A96+M$3-MAX(Loss_w)&gt;=Lo_c-0.000000001,Alpha_keep*$A96+M$3-MIN(Loss_w)&lt;=Hi_c+0.000000001),1,0)</f>
        <v>1</v>
      </c>
      <c r="N96" s="14" t="n">
        <f aca="false">IF(C96=1,IF(OR(Alpha_keep*$A96+N$3&gt;=Floor_c-0.000000001,AND($B96=0,N$3&gt;=Cap_h-0.000000001)),1,0),0)</f>
        <v>0</v>
      </c>
      <c r="O96" s="14" t="n">
        <f aca="false">IF(D96=1,IF(OR(Alpha_keep*$A96+O$3&gt;=Floor_c-0.000000001,AND($B96=0,O$3&gt;=Cap_h-0.000000001)),1,0),0)</f>
        <v>0</v>
      </c>
      <c r="P96" s="14" t="n">
        <f aca="false">IF(E96=1,IF(OR(Alpha_keep*$A96+P$3&gt;=Floor_c-0.000000001,AND($B96=0,P$3&gt;=Cap_h-0.000000001)),1,0),0)</f>
        <v>0</v>
      </c>
      <c r="Q96" s="14" t="n">
        <f aca="false">IF(F96=1,IF(OR(Alpha_keep*$A96+Q$3&gt;=Floor_c-0.000000001,AND($B96=0,Q$3&gt;=Cap_h-0.000000001)),1,0),0)</f>
        <v>0</v>
      </c>
      <c r="R96" s="14" t="n">
        <f aca="false">IF(G96=1,IF(OR(Alpha_keep*$A96+R$3&gt;=Floor_c-0.000000001,AND($B96=0,R$3&gt;=Cap_h-0.000000001)),1,0),0)</f>
        <v>0</v>
      </c>
      <c r="S96" s="14" t="n">
        <f aca="false">IF(H96=1,IF(OR(Alpha_keep*$A96+S$3&gt;=Floor_c-0.000000001,AND($B96=0,S$3&gt;=Cap_h-0.000000001)),1,0),0)</f>
        <v>0</v>
      </c>
      <c r="T96" s="14" t="n">
        <f aca="false">IF(I96=1,IF(OR(Alpha_keep*$A96+T$3&gt;=Floor_c-0.000000001,AND($B96=0,T$3&gt;=Cap_h-0.000000001)),1,0),0)</f>
        <v>0</v>
      </c>
      <c r="U96" s="14" t="n">
        <f aca="false">IF(J96=1,IF(OR(Alpha_keep*$A96+U$3&gt;=Floor_c-0.000000001,AND($B96=0,U$3&gt;=Cap_h-0.000000001)),1,0),0)</f>
        <v>0</v>
      </c>
      <c r="V96" s="14" t="n">
        <f aca="false">IF(K96=1,IF(OR(Alpha_keep*$A96+V$3&gt;=Floor_c-0.000000001,AND($B96=0,V$3&gt;=Cap_h-0.000000001)),1,0),0)</f>
        <v>0</v>
      </c>
      <c r="W96" s="14" t="n">
        <f aca="false">IF(L96=1,IF(OR(Alpha_keep*$A96+W$3&gt;=Floor_c-0.000000001,AND($B96=0,W$3&gt;=Cap_h-0.000000001)),1,0),0)</f>
        <v>0</v>
      </c>
      <c r="X96" s="14" t="n">
        <f aca="false">IF(M96=1,IF(OR(Alpha_keep*$A96+X$3&gt;=Floor_c-0.000000001,AND($B96=0,X$3&gt;=Cap_h-0.000000001)),1,0),0)</f>
        <v>1</v>
      </c>
      <c r="Y96" s="14" t="n">
        <f aca="false">SUM(C96:M96)</f>
        <v>11</v>
      </c>
      <c r="Z96" s="14" t="n">
        <f aca="false">SUM(N96:X96)</f>
        <v>1</v>
      </c>
      <c r="AA96" s="12" t="n">
        <f aca="false">INDEX($C$3:$M$3,MATCH(1,C96:M96,0))</f>
        <v>0</v>
      </c>
      <c r="AB96" s="12" t="n">
        <f aca="false">INDEX($N$3:$X$3,MATCH(1,N96:X96,0))+(Z96-1)*Step_h</f>
        <v>2.5</v>
      </c>
    </row>
    <row r="97" customFormat="false" ht="15" hidden="false" customHeight="false" outlineLevel="0" collapsed="false">
      <c r="A97" s="12" t="n">
        <f aca="false">A96+Step_c</f>
        <v>53</v>
      </c>
      <c r="B97" s="14" t="n">
        <f aca="false">IF(SUMPRODUCT((Alpha_keep*$A97+$C$3:$M$3&gt;=Floor_c-0.000000001)*(C97:M97))&gt;0,1,0)</f>
        <v>0</v>
      </c>
      <c r="C97" s="14" t="n">
        <f aca="false">IF(AND(Alpha_keep*$A97+C$3-MAX(Loss_w)&gt;=Lo_c-0.000000001,Alpha_keep*$A97+C$3-MIN(Loss_w)&lt;=Hi_c+0.000000001),1,0)</f>
        <v>1</v>
      </c>
      <c r="D97" s="14" t="n">
        <f aca="false">IF(AND(Alpha_keep*$A97+D$3-MAX(Loss_w)&gt;=Lo_c-0.000000001,Alpha_keep*$A97+D$3-MIN(Loss_w)&lt;=Hi_c+0.000000001),1,0)</f>
        <v>1</v>
      </c>
      <c r="E97" s="14" t="n">
        <f aca="false">IF(AND(Alpha_keep*$A97+E$3-MAX(Loss_w)&gt;=Lo_c-0.000000001,Alpha_keep*$A97+E$3-MIN(Loss_w)&lt;=Hi_c+0.000000001),1,0)</f>
        <v>1</v>
      </c>
      <c r="F97" s="14" t="n">
        <f aca="false">IF(AND(Alpha_keep*$A97+F$3-MAX(Loss_w)&gt;=Lo_c-0.000000001,Alpha_keep*$A97+F$3-MIN(Loss_w)&lt;=Hi_c+0.000000001),1,0)</f>
        <v>1</v>
      </c>
      <c r="G97" s="14" t="n">
        <f aca="false">IF(AND(Alpha_keep*$A97+G$3-MAX(Loss_w)&gt;=Lo_c-0.000000001,Alpha_keep*$A97+G$3-MIN(Loss_w)&lt;=Hi_c+0.000000001),1,0)</f>
        <v>1</v>
      </c>
      <c r="H97" s="14" t="n">
        <f aca="false">IF(AND(Alpha_keep*$A97+H$3-MAX(Loss_w)&gt;=Lo_c-0.000000001,Alpha_keep*$A97+H$3-MIN(Loss_w)&lt;=Hi_c+0.000000001),1,0)</f>
        <v>1</v>
      </c>
      <c r="I97" s="14" t="n">
        <f aca="false">IF(AND(Alpha_keep*$A97+I$3-MAX(Loss_w)&gt;=Lo_c-0.000000001,Alpha_keep*$A97+I$3-MIN(Loss_w)&lt;=Hi_c+0.000000001),1,0)</f>
        <v>1</v>
      </c>
      <c r="J97" s="14" t="n">
        <f aca="false">IF(AND(Alpha_keep*$A97+J$3-MAX(Loss_w)&gt;=Lo_c-0.000000001,Alpha_keep*$A97+J$3-MIN(Loss_w)&lt;=Hi_c+0.000000001),1,0)</f>
        <v>1</v>
      </c>
      <c r="K97" s="14" t="n">
        <f aca="false">IF(AND(Alpha_keep*$A97+K$3-MAX(Loss_w)&gt;=Lo_c-0.000000001,Alpha_keep*$A97+K$3-MIN(Loss_w)&lt;=Hi_c+0.000000001),1,0)</f>
        <v>1</v>
      </c>
      <c r="L97" s="14" t="n">
        <f aca="false">IF(AND(Alpha_keep*$A97+L$3-MAX(Loss_w)&gt;=Lo_c-0.000000001,Alpha_keep*$A97+L$3-MIN(Loss_w)&lt;=Hi_c+0.000000001),1,0)</f>
        <v>1</v>
      </c>
      <c r="M97" s="14" t="n">
        <f aca="false">IF(AND(Alpha_keep*$A97+M$3-MAX(Loss_w)&gt;=Lo_c-0.000000001,Alpha_keep*$A97+M$3-MIN(Loss_w)&lt;=Hi_c+0.000000001),1,0)</f>
        <v>1</v>
      </c>
      <c r="N97" s="14" t="n">
        <f aca="false">IF(C97=1,IF(OR(Alpha_keep*$A97+N$3&gt;=Floor_c-0.000000001,AND($B97=0,N$3&gt;=Cap_h-0.000000001)),1,0),0)</f>
        <v>0</v>
      </c>
      <c r="O97" s="14" t="n">
        <f aca="false">IF(D97=1,IF(OR(Alpha_keep*$A97+O$3&gt;=Floor_c-0.000000001,AND($B97=0,O$3&gt;=Cap_h-0.000000001)),1,0),0)</f>
        <v>0</v>
      </c>
      <c r="P97" s="14" t="n">
        <f aca="false">IF(E97=1,IF(OR(Alpha_keep*$A97+P$3&gt;=Floor_c-0.000000001,AND($B97=0,P$3&gt;=Cap_h-0.000000001)),1,0),0)</f>
        <v>0</v>
      </c>
      <c r="Q97" s="14" t="n">
        <f aca="false">IF(F97=1,IF(OR(Alpha_keep*$A97+Q$3&gt;=Floor_c-0.000000001,AND($B97=0,Q$3&gt;=Cap_h-0.000000001)),1,0),0)</f>
        <v>0</v>
      </c>
      <c r="R97" s="14" t="n">
        <f aca="false">IF(G97=1,IF(OR(Alpha_keep*$A97+R$3&gt;=Floor_c-0.000000001,AND($B97=0,R$3&gt;=Cap_h-0.000000001)),1,0),0)</f>
        <v>0</v>
      </c>
      <c r="S97" s="14" t="n">
        <f aca="false">IF(H97=1,IF(OR(Alpha_keep*$A97+S$3&gt;=Floor_c-0.000000001,AND($B97=0,S$3&gt;=Cap_h-0.000000001)),1,0),0)</f>
        <v>0</v>
      </c>
      <c r="T97" s="14" t="n">
        <f aca="false">IF(I97=1,IF(OR(Alpha_keep*$A97+T$3&gt;=Floor_c-0.000000001,AND($B97=0,T$3&gt;=Cap_h-0.000000001)),1,0),0)</f>
        <v>0</v>
      </c>
      <c r="U97" s="14" t="n">
        <f aca="false">IF(J97=1,IF(OR(Alpha_keep*$A97+U$3&gt;=Floor_c-0.000000001,AND($B97=0,U$3&gt;=Cap_h-0.000000001)),1,0),0)</f>
        <v>0</v>
      </c>
      <c r="V97" s="14" t="n">
        <f aca="false">IF(K97=1,IF(OR(Alpha_keep*$A97+V$3&gt;=Floor_c-0.000000001,AND($B97=0,V$3&gt;=Cap_h-0.000000001)),1,0),0)</f>
        <v>0</v>
      </c>
      <c r="W97" s="14" t="n">
        <f aca="false">IF(L97=1,IF(OR(Alpha_keep*$A97+W$3&gt;=Floor_c-0.000000001,AND($B97=0,W$3&gt;=Cap_h-0.000000001)),1,0),0)</f>
        <v>0</v>
      </c>
      <c r="X97" s="14" t="n">
        <f aca="false">IF(M97=1,IF(OR(Alpha_keep*$A97+X$3&gt;=Floor_c-0.000000001,AND($B97=0,X$3&gt;=Cap_h-0.000000001)),1,0),0)</f>
        <v>1</v>
      </c>
      <c r="Y97" s="14" t="n">
        <f aca="false">SUM(C97:M97)</f>
        <v>11</v>
      </c>
      <c r="Z97" s="14" t="n">
        <f aca="false">SUM(N97:X97)</f>
        <v>1</v>
      </c>
      <c r="AA97" s="12" t="n">
        <f aca="false">INDEX($C$3:$M$3,MATCH(1,C97:M97,0))</f>
        <v>0</v>
      </c>
      <c r="AB97" s="12" t="n">
        <f aca="false">INDEX($N$3:$X$3,MATCH(1,N97:X97,0))+(Z97-1)*Step_h</f>
        <v>2.5</v>
      </c>
    </row>
    <row r="98" customFormat="false" ht="15" hidden="false" customHeight="false" outlineLevel="0" collapsed="false">
      <c r="A98" s="12" t="n">
        <f aca="false">A97+Step_c</f>
        <v>53.25</v>
      </c>
      <c r="B98" s="14" t="n">
        <f aca="false">IF(SUMPRODUCT((Alpha_keep*$A98+$C$3:$M$3&gt;=Floor_c-0.000000001)*(C98:M98))&gt;0,1,0)</f>
        <v>0</v>
      </c>
      <c r="C98" s="14" t="n">
        <f aca="false">IF(AND(Alpha_keep*$A98+C$3-MAX(Loss_w)&gt;=Lo_c-0.000000001,Alpha_keep*$A98+C$3-MIN(Loss_w)&lt;=Hi_c+0.000000001),1,0)</f>
        <v>1</v>
      </c>
      <c r="D98" s="14" t="n">
        <f aca="false">IF(AND(Alpha_keep*$A98+D$3-MAX(Loss_w)&gt;=Lo_c-0.000000001,Alpha_keep*$A98+D$3-MIN(Loss_w)&lt;=Hi_c+0.000000001),1,0)</f>
        <v>1</v>
      </c>
      <c r="E98" s="14" t="n">
        <f aca="false">IF(AND(Alpha_keep*$A98+E$3-MAX(Loss_w)&gt;=Lo_c-0.000000001,Alpha_keep*$A98+E$3-MIN(Loss_w)&lt;=Hi_c+0.000000001),1,0)</f>
        <v>1</v>
      </c>
      <c r="F98" s="14" t="n">
        <f aca="false">IF(AND(Alpha_keep*$A98+F$3-MAX(Loss_w)&gt;=Lo_c-0.000000001,Alpha_keep*$A98+F$3-MIN(Loss_w)&lt;=Hi_c+0.000000001),1,0)</f>
        <v>1</v>
      </c>
      <c r="G98" s="14" t="n">
        <f aca="false">IF(AND(Alpha_keep*$A98+G$3-MAX(Loss_w)&gt;=Lo_c-0.000000001,Alpha_keep*$A98+G$3-MIN(Loss_w)&lt;=Hi_c+0.000000001),1,0)</f>
        <v>1</v>
      </c>
      <c r="H98" s="14" t="n">
        <f aca="false">IF(AND(Alpha_keep*$A98+H$3-MAX(Loss_w)&gt;=Lo_c-0.000000001,Alpha_keep*$A98+H$3-MIN(Loss_w)&lt;=Hi_c+0.000000001),1,0)</f>
        <v>1</v>
      </c>
      <c r="I98" s="14" t="n">
        <f aca="false">IF(AND(Alpha_keep*$A98+I$3-MAX(Loss_w)&gt;=Lo_c-0.000000001,Alpha_keep*$A98+I$3-MIN(Loss_w)&lt;=Hi_c+0.000000001),1,0)</f>
        <v>1</v>
      </c>
      <c r="J98" s="14" t="n">
        <f aca="false">IF(AND(Alpha_keep*$A98+J$3-MAX(Loss_w)&gt;=Lo_c-0.000000001,Alpha_keep*$A98+J$3-MIN(Loss_w)&lt;=Hi_c+0.000000001),1,0)</f>
        <v>1</v>
      </c>
      <c r="K98" s="14" t="n">
        <f aca="false">IF(AND(Alpha_keep*$A98+K$3-MAX(Loss_w)&gt;=Lo_c-0.000000001,Alpha_keep*$A98+K$3-MIN(Loss_w)&lt;=Hi_c+0.000000001),1,0)</f>
        <v>1</v>
      </c>
      <c r="L98" s="14" t="n">
        <f aca="false">IF(AND(Alpha_keep*$A98+L$3-MAX(Loss_w)&gt;=Lo_c-0.000000001,Alpha_keep*$A98+L$3-MIN(Loss_w)&lt;=Hi_c+0.000000001),1,0)</f>
        <v>1</v>
      </c>
      <c r="M98" s="14" t="n">
        <f aca="false">IF(AND(Alpha_keep*$A98+M$3-MAX(Loss_w)&gt;=Lo_c-0.000000001,Alpha_keep*$A98+M$3-MIN(Loss_w)&lt;=Hi_c+0.000000001),1,0)</f>
        <v>1</v>
      </c>
      <c r="N98" s="14" t="n">
        <f aca="false">IF(C98=1,IF(OR(Alpha_keep*$A98+N$3&gt;=Floor_c-0.000000001,AND($B98=0,N$3&gt;=Cap_h-0.000000001)),1,0),0)</f>
        <v>0</v>
      </c>
      <c r="O98" s="14" t="n">
        <f aca="false">IF(D98=1,IF(OR(Alpha_keep*$A98+O$3&gt;=Floor_c-0.000000001,AND($B98=0,O$3&gt;=Cap_h-0.000000001)),1,0),0)</f>
        <v>0</v>
      </c>
      <c r="P98" s="14" t="n">
        <f aca="false">IF(E98=1,IF(OR(Alpha_keep*$A98+P$3&gt;=Floor_c-0.000000001,AND($B98=0,P$3&gt;=Cap_h-0.000000001)),1,0),0)</f>
        <v>0</v>
      </c>
      <c r="Q98" s="14" t="n">
        <f aca="false">IF(F98=1,IF(OR(Alpha_keep*$A98+Q$3&gt;=Floor_c-0.000000001,AND($B98=0,Q$3&gt;=Cap_h-0.000000001)),1,0),0)</f>
        <v>0</v>
      </c>
      <c r="R98" s="14" t="n">
        <f aca="false">IF(G98=1,IF(OR(Alpha_keep*$A98+R$3&gt;=Floor_c-0.000000001,AND($B98=0,R$3&gt;=Cap_h-0.000000001)),1,0),0)</f>
        <v>0</v>
      </c>
      <c r="S98" s="14" t="n">
        <f aca="false">IF(H98=1,IF(OR(Alpha_keep*$A98+S$3&gt;=Floor_c-0.000000001,AND($B98=0,S$3&gt;=Cap_h-0.000000001)),1,0),0)</f>
        <v>0</v>
      </c>
      <c r="T98" s="14" t="n">
        <f aca="false">IF(I98=1,IF(OR(Alpha_keep*$A98+T$3&gt;=Floor_c-0.000000001,AND($B98=0,T$3&gt;=Cap_h-0.000000001)),1,0),0)</f>
        <v>0</v>
      </c>
      <c r="U98" s="14" t="n">
        <f aca="false">IF(J98=1,IF(OR(Alpha_keep*$A98+U$3&gt;=Floor_c-0.000000001,AND($B98=0,U$3&gt;=Cap_h-0.000000001)),1,0),0)</f>
        <v>0</v>
      </c>
      <c r="V98" s="14" t="n">
        <f aca="false">IF(K98=1,IF(OR(Alpha_keep*$A98+V$3&gt;=Floor_c-0.000000001,AND($B98=0,V$3&gt;=Cap_h-0.000000001)),1,0),0)</f>
        <v>0</v>
      </c>
      <c r="W98" s="14" t="n">
        <f aca="false">IF(L98=1,IF(OR(Alpha_keep*$A98+W$3&gt;=Floor_c-0.000000001,AND($B98=0,W$3&gt;=Cap_h-0.000000001)),1,0),0)</f>
        <v>0</v>
      </c>
      <c r="X98" s="14" t="n">
        <f aca="false">IF(M98=1,IF(OR(Alpha_keep*$A98+X$3&gt;=Floor_c-0.000000001,AND($B98=0,X$3&gt;=Cap_h-0.000000001)),1,0),0)</f>
        <v>1</v>
      </c>
      <c r="Y98" s="14" t="n">
        <f aca="false">SUM(C98:M98)</f>
        <v>11</v>
      </c>
      <c r="Z98" s="14" t="n">
        <f aca="false">SUM(N98:X98)</f>
        <v>1</v>
      </c>
      <c r="AA98" s="12" t="n">
        <f aca="false">INDEX($C$3:$M$3,MATCH(1,C98:M98,0))</f>
        <v>0</v>
      </c>
      <c r="AB98" s="12" t="n">
        <f aca="false">INDEX($N$3:$X$3,MATCH(1,N98:X98,0))+(Z98-1)*Step_h</f>
        <v>2.5</v>
      </c>
    </row>
    <row r="99" customFormat="false" ht="15" hidden="false" customHeight="false" outlineLevel="0" collapsed="false">
      <c r="A99" s="12" t="n">
        <f aca="false">A98+Step_c</f>
        <v>53.5</v>
      </c>
      <c r="B99" s="14" t="n">
        <f aca="false">IF(SUMPRODUCT((Alpha_keep*$A99+$C$3:$M$3&gt;=Floor_c-0.000000001)*(C99:M99))&gt;0,1,0)</f>
        <v>0</v>
      </c>
      <c r="C99" s="14" t="n">
        <f aca="false">IF(AND(Alpha_keep*$A99+C$3-MAX(Loss_w)&gt;=Lo_c-0.000000001,Alpha_keep*$A99+C$3-MIN(Loss_w)&lt;=Hi_c+0.000000001),1,0)</f>
        <v>1</v>
      </c>
      <c r="D99" s="14" t="n">
        <f aca="false">IF(AND(Alpha_keep*$A99+D$3-MAX(Loss_w)&gt;=Lo_c-0.000000001,Alpha_keep*$A99+D$3-MIN(Loss_w)&lt;=Hi_c+0.000000001),1,0)</f>
        <v>1</v>
      </c>
      <c r="E99" s="14" t="n">
        <f aca="false">IF(AND(Alpha_keep*$A99+E$3-MAX(Loss_w)&gt;=Lo_c-0.000000001,Alpha_keep*$A99+E$3-MIN(Loss_w)&lt;=Hi_c+0.000000001),1,0)</f>
        <v>1</v>
      </c>
      <c r="F99" s="14" t="n">
        <f aca="false">IF(AND(Alpha_keep*$A99+F$3-MAX(Loss_w)&gt;=Lo_c-0.000000001,Alpha_keep*$A99+F$3-MIN(Loss_w)&lt;=Hi_c+0.000000001),1,0)</f>
        <v>1</v>
      </c>
      <c r="G99" s="14" t="n">
        <f aca="false">IF(AND(Alpha_keep*$A99+G$3-MAX(Loss_w)&gt;=Lo_c-0.000000001,Alpha_keep*$A99+G$3-MIN(Loss_w)&lt;=Hi_c+0.000000001),1,0)</f>
        <v>1</v>
      </c>
      <c r="H99" s="14" t="n">
        <f aca="false">IF(AND(Alpha_keep*$A99+H$3-MAX(Loss_w)&gt;=Lo_c-0.000000001,Alpha_keep*$A99+H$3-MIN(Loss_w)&lt;=Hi_c+0.000000001),1,0)</f>
        <v>1</v>
      </c>
      <c r="I99" s="14" t="n">
        <f aca="false">IF(AND(Alpha_keep*$A99+I$3-MAX(Loss_w)&gt;=Lo_c-0.000000001,Alpha_keep*$A99+I$3-MIN(Loss_w)&lt;=Hi_c+0.000000001),1,0)</f>
        <v>1</v>
      </c>
      <c r="J99" s="14" t="n">
        <f aca="false">IF(AND(Alpha_keep*$A99+J$3-MAX(Loss_w)&gt;=Lo_c-0.000000001,Alpha_keep*$A99+J$3-MIN(Loss_w)&lt;=Hi_c+0.000000001),1,0)</f>
        <v>1</v>
      </c>
      <c r="K99" s="14" t="n">
        <f aca="false">IF(AND(Alpha_keep*$A99+K$3-MAX(Loss_w)&gt;=Lo_c-0.000000001,Alpha_keep*$A99+K$3-MIN(Loss_w)&lt;=Hi_c+0.000000001),1,0)</f>
        <v>1</v>
      </c>
      <c r="L99" s="14" t="n">
        <f aca="false">IF(AND(Alpha_keep*$A99+L$3-MAX(Loss_w)&gt;=Lo_c-0.000000001,Alpha_keep*$A99+L$3-MIN(Loss_w)&lt;=Hi_c+0.000000001),1,0)</f>
        <v>1</v>
      </c>
      <c r="M99" s="14" t="n">
        <f aca="false">IF(AND(Alpha_keep*$A99+M$3-MAX(Loss_w)&gt;=Lo_c-0.000000001,Alpha_keep*$A99+M$3-MIN(Loss_w)&lt;=Hi_c+0.000000001),1,0)</f>
        <v>1</v>
      </c>
      <c r="N99" s="14" t="n">
        <f aca="false">IF(C99=1,IF(OR(Alpha_keep*$A99+N$3&gt;=Floor_c-0.000000001,AND($B99=0,N$3&gt;=Cap_h-0.000000001)),1,0),0)</f>
        <v>0</v>
      </c>
      <c r="O99" s="14" t="n">
        <f aca="false">IF(D99=1,IF(OR(Alpha_keep*$A99+O$3&gt;=Floor_c-0.000000001,AND($B99=0,O$3&gt;=Cap_h-0.000000001)),1,0),0)</f>
        <v>0</v>
      </c>
      <c r="P99" s="14" t="n">
        <f aca="false">IF(E99=1,IF(OR(Alpha_keep*$A99+P$3&gt;=Floor_c-0.000000001,AND($B99=0,P$3&gt;=Cap_h-0.000000001)),1,0),0)</f>
        <v>0</v>
      </c>
      <c r="Q99" s="14" t="n">
        <f aca="false">IF(F99=1,IF(OR(Alpha_keep*$A99+Q$3&gt;=Floor_c-0.000000001,AND($B99=0,Q$3&gt;=Cap_h-0.000000001)),1,0),0)</f>
        <v>0</v>
      </c>
      <c r="R99" s="14" t="n">
        <f aca="false">IF(G99=1,IF(OR(Alpha_keep*$A99+R$3&gt;=Floor_c-0.000000001,AND($B99=0,R$3&gt;=Cap_h-0.000000001)),1,0),0)</f>
        <v>0</v>
      </c>
      <c r="S99" s="14" t="n">
        <f aca="false">IF(H99=1,IF(OR(Alpha_keep*$A99+S$3&gt;=Floor_c-0.000000001,AND($B99=0,S$3&gt;=Cap_h-0.000000001)),1,0),0)</f>
        <v>0</v>
      </c>
      <c r="T99" s="14" t="n">
        <f aca="false">IF(I99=1,IF(OR(Alpha_keep*$A99+T$3&gt;=Floor_c-0.000000001,AND($B99=0,T$3&gt;=Cap_h-0.000000001)),1,0),0)</f>
        <v>0</v>
      </c>
      <c r="U99" s="14" t="n">
        <f aca="false">IF(J99=1,IF(OR(Alpha_keep*$A99+U$3&gt;=Floor_c-0.000000001,AND($B99=0,U$3&gt;=Cap_h-0.000000001)),1,0),0)</f>
        <v>0</v>
      </c>
      <c r="V99" s="14" t="n">
        <f aca="false">IF(K99=1,IF(OR(Alpha_keep*$A99+V$3&gt;=Floor_c-0.000000001,AND($B99=0,V$3&gt;=Cap_h-0.000000001)),1,0),0)</f>
        <v>0</v>
      </c>
      <c r="W99" s="14" t="n">
        <f aca="false">IF(L99=1,IF(OR(Alpha_keep*$A99+W$3&gt;=Floor_c-0.000000001,AND($B99=0,W$3&gt;=Cap_h-0.000000001)),1,0),0)</f>
        <v>0</v>
      </c>
      <c r="X99" s="14" t="n">
        <f aca="false">IF(M99=1,IF(OR(Alpha_keep*$A99+X$3&gt;=Floor_c-0.000000001,AND($B99=0,X$3&gt;=Cap_h-0.000000001)),1,0),0)</f>
        <v>1</v>
      </c>
      <c r="Y99" s="14" t="n">
        <f aca="false">SUM(C99:M99)</f>
        <v>11</v>
      </c>
      <c r="Z99" s="14" t="n">
        <f aca="false">SUM(N99:X99)</f>
        <v>1</v>
      </c>
      <c r="AA99" s="12" t="n">
        <f aca="false">INDEX($C$3:$M$3,MATCH(1,C99:M99,0))</f>
        <v>0</v>
      </c>
      <c r="AB99" s="12" t="n">
        <f aca="false">INDEX($N$3:$X$3,MATCH(1,N99:X99,0))+(Z99-1)*Step_h</f>
        <v>2.5</v>
      </c>
    </row>
    <row r="100" customFormat="false" ht="15" hidden="false" customHeight="false" outlineLevel="0" collapsed="false">
      <c r="A100" s="12" t="n">
        <f aca="false">A99+Step_c</f>
        <v>53.75</v>
      </c>
      <c r="B100" s="14" t="n">
        <f aca="false">IF(SUMPRODUCT((Alpha_keep*$A100+$C$3:$M$3&gt;=Floor_c-0.000000001)*(C100:M100))&gt;0,1,0)</f>
        <v>0</v>
      </c>
      <c r="C100" s="14" t="n">
        <f aca="false">IF(AND(Alpha_keep*$A100+C$3-MAX(Loss_w)&gt;=Lo_c-0.000000001,Alpha_keep*$A100+C$3-MIN(Loss_w)&lt;=Hi_c+0.000000001),1,0)</f>
        <v>1</v>
      </c>
      <c r="D100" s="14" t="n">
        <f aca="false">IF(AND(Alpha_keep*$A100+D$3-MAX(Loss_w)&gt;=Lo_c-0.000000001,Alpha_keep*$A100+D$3-MIN(Loss_w)&lt;=Hi_c+0.000000001),1,0)</f>
        <v>1</v>
      </c>
      <c r="E100" s="14" t="n">
        <f aca="false">IF(AND(Alpha_keep*$A100+E$3-MAX(Loss_w)&gt;=Lo_c-0.000000001,Alpha_keep*$A100+E$3-MIN(Loss_w)&lt;=Hi_c+0.000000001),1,0)</f>
        <v>1</v>
      </c>
      <c r="F100" s="14" t="n">
        <f aca="false">IF(AND(Alpha_keep*$A100+F$3-MAX(Loss_w)&gt;=Lo_c-0.000000001,Alpha_keep*$A100+F$3-MIN(Loss_w)&lt;=Hi_c+0.000000001),1,0)</f>
        <v>1</v>
      </c>
      <c r="G100" s="14" t="n">
        <f aca="false">IF(AND(Alpha_keep*$A100+G$3-MAX(Loss_w)&gt;=Lo_c-0.000000001,Alpha_keep*$A100+G$3-MIN(Loss_w)&lt;=Hi_c+0.000000001),1,0)</f>
        <v>1</v>
      </c>
      <c r="H100" s="14" t="n">
        <f aca="false">IF(AND(Alpha_keep*$A100+H$3-MAX(Loss_w)&gt;=Lo_c-0.000000001,Alpha_keep*$A100+H$3-MIN(Loss_w)&lt;=Hi_c+0.000000001),1,0)</f>
        <v>1</v>
      </c>
      <c r="I100" s="14" t="n">
        <f aca="false">IF(AND(Alpha_keep*$A100+I$3-MAX(Loss_w)&gt;=Lo_c-0.000000001,Alpha_keep*$A100+I$3-MIN(Loss_w)&lt;=Hi_c+0.000000001),1,0)</f>
        <v>1</v>
      </c>
      <c r="J100" s="14" t="n">
        <f aca="false">IF(AND(Alpha_keep*$A100+J$3-MAX(Loss_w)&gt;=Lo_c-0.000000001,Alpha_keep*$A100+J$3-MIN(Loss_w)&lt;=Hi_c+0.000000001),1,0)</f>
        <v>1</v>
      </c>
      <c r="K100" s="14" t="n">
        <f aca="false">IF(AND(Alpha_keep*$A100+K$3-MAX(Loss_w)&gt;=Lo_c-0.000000001,Alpha_keep*$A100+K$3-MIN(Loss_w)&lt;=Hi_c+0.000000001),1,0)</f>
        <v>1</v>
      </c>
      <c r="L100" s="14" t="n">
        <f aca="false">IF(AND(Alpha_keep*$A100+L$3-MAX(Loss_w)&gt;=Lo_c-0.000000001,Alpha_keep*$A100+L$3-MIN(Loss_w)&lt;=Hi_c+0.000000001),1,0)</f>
        <v>1</v>
      </c>
      <c r="M100" s="14" t="n">
        <f aca="false">IF(AND(Alpha_keep*$A100+M$3-MAX(Loss_w)&gt;=Lo_c-0.000000001,Alpha_keep*$A100+M$3-MIN(Loss_w)&lt;=Hi_c+0.000000001),1,0)</f>
        <v>1</v>
      </c>
      <c r="N100" s="14" t="n">
        <f aca="false">IF(C100=1,IF(OR(Alpha_keep*$A100+N$3&gt;=Floor_c-0.000000001,AND($B100=0,N$3&gt;=Cap_h-0.000000001)),1,0),0)</f>
        <v>0</v>
      </c>
      <c r="O100" s="14" t="n">
        <f aca="false">IF(D100=1,IF(OR(Alpha_keep*$A100+O$3&gt;=Floor_c-0.000000001,AND($B100=0,O$3&gt;=Cap_h-0.000000001)),1,0),0)</f>
        <v>0</v>
      </c>
      <c r="P100" s="14" t="n">
        <f aca="false">IF(E100=1,IF(OR(Alpha_keep*$A100+P$3&gt;=Floor_c-0.000000001,AND($B100=0,P$3&gt;=Cap_h-0.000000001)),1,0),0)</f>
        <v>0</v>
      </c>
      <c r="Q100" s="14" t="n">
        <f aca="false">IF(F100=1,IF(OR(Alpha_keep*$A100+Q$3&gt;=Floor_c-0.000000001,AND($B100=0,Q$3&gt;=Cap_h-0.000000001)),1,0),0)</f>
        <v>0</v>
      </c>
      <c r="R100" s="14" t="n">
        <f aca="false">IF(G100=1,IF(OR(Alpha_keep*$A100+R$3&gt;=Floor_c-0.000000001,AND($B100=0,R$3&gt;=Cap_h-0.000000001)),1,0),0)</f>
        <v>0</v>
      </c>
      <c r="S100" s="14" t="n">
        <f aca="false">IF(H100=1,IF(OR(Alpha_keep*$A100+S$3&gt;=Floor_c-0.000000001,AND($B100=0,S$3&gt;=Cap_h-0.000000001)),1,0),0)</f>
        <v>0</v>
      </c>
      <c r="T100" s="14" t="n">
        <f aca="false">IF(I100=1,IF(OR(Alpha_keep*$A100+T$3&gt;=Floor_c-0.000000001,AND($B100=0,T$3&gt;=Cap_h-0.000000001)),1,0),0)</f>
        <v>0</v>
      </c>
      <c r="U100" s="14" t="n">
        <f aca="false">IF(J100=1,IF(OR(Alpha_keep*$A100+U$3&gt;=Floor_c-0.000000001,AND($B100=0,U$3&gt;=Cap_h-0.000000001)),1,0),0)</f>
        <v>0</v>
      </c>
      <c r="V100" s="14" t="n">
        <f aca="false">IF(K100=1,IF(OR(Alpha_keep*$A100+V$3&gt;=Floor_c-0.000000001,AND($B100=0,V$3&gt;=Cap_h-0.000000001)),1,0),0)</f>
        <v>0</v>
      </c>
      <c r="W100" s="14" t="n">
        <f aca="false">IF(L100=1,IF(OR(Alpha_keep*$A100+W$3&gt;=Floor_c-0.000000001,AND($B100=0,W$3&gt;=Cap_h-0.000000001)),1,0),0)</f>
        <v>0</v>
      </c>
      <c r="X100" s="14" t="n">
        <f aca="false">IF(M100=1,IF(OR(Alpha_keep*$A100+X$3&gt;=Floor_c-0.000000001,AND($B100=0,X$3&gt;=Cap_h-0.000000001)),1,0),0)</f>
        <v>1</v>
      </c>
      <c r="Y100" s="14" t="n">
        <f aca="false">SUM(C100:M100)</f>
        <v>11</v>
      </c>
      <c r="Z100" s="14" t="n">
        <f aca="false">SUM(N100:X100)</f>
        <v>1</v>
      </c>
      <c r="AA100" s="12" t="n">
        <f aca="false">INDEX($C$3:$M$3,MATCH(1,C100:M100,0))</f>
        <v>0</v>
      </c>
      <c r="AB100" s="12" t="n">
        <f aca="false">INDEX($N$3:$X$3,MATCH(1,N100:X100,0))+(Z100-1)*Step_h</f>
        <v>2.5</v>
      </c>
    </row>
    <row r="101" customFormat="false" ht="15" hidden="false" customHeight="false" outlineLevel="0" collapsed="false">
      <c r="A101" s="12" t="n">
        <f aca="false">A100+Step_c</f>
        <v>54</v>
      </c>
      <c r="B101" s="14" t="n">
        <f aca="false">IF(SUMPRODUCT((Alpha_keep*$A101+$C$3:$M$3&gt;=Floor_c-0.000000001)*(C101:M101))&gt;0,1,0)</f>
        <v>1</v>
      </c>
      <c r="C101" s="14" t="n">
        <f aca="false">IF(AND(Alpha_keep*$A101+C$3-MAX(Loss_w)&gt;=Lo_c-0.000000001,Alpha_keep*$A101+C$3-MIN(Loss_w)&lt;=Hi_c+0.000000001),1,0)</f>
        <v>1</v>
      </c>
      <c r="D101" s="14" t="n">
        <f aca="false">IF(AND(Alpha_keep*$A101+D$3-MAX(Loss_w)&gt;=Lo_c-0.000000001,Alpha_keep*$A101+D$3-MIN(Loss_w)&lt;=Hi_c+0.000000001),1,0)</f>
        <v>1</v>
      </c>
      <c r="E101" s="14" t="n">
        <f aca="false">IF(AND(Alpha_keep*$A101+E$3-MAX(Loss_w)&gt;=Lo_c-0.000000001,Alpha_keep*$A101+E$3-MIN(Loss_w)&lt;=Hi_c+0.000000001),1,0)</f>
        <v>1</v>
      </c>
      <c r="F101" s="14" t="n">
        <f aca="false">IF(AND(Alpha_keep*$A101+F$3-MAX(Loss_w)&gt;=Lo_c-0.000000001,Alpha_keep*$A101+F$3-MIN(Loss_w)&lt;=Hi_c+0.000000001),1,0)</f>
        <v>1</v>
      </c>
      <c r="G101" s="14" t="n">
        <f aca="false">IF(AND(Alpha_keep*$A101+G$3-MAX(Loss_w)&gt;=Lo_c-0.000000001,Alpha_keep*$A101+G$3-MIN(Loss_w)&lt;=Hi_c+0.000000001),1,0)</f>
        <v>1</v>
      </c>
      <c r="H101" s="14" t="n">
        <f aca="false">IF(AND(Alpha_keep*$A101+H$3-MAX(Loss_w)&gt;=Lo_c-0.000000001,Alpha_keep*$A101+H$3-MIN(Loss_w)&lt;=Hi_c+0.000000001),1,0)</f>
        <v>1</v>
      </c>
      <c r="I101" s="14" t="n">
        <f aca="false">IF(AND(Alpha_keep*$A101+I$3-MAX(Loss_w)&gt;=Lo_c-0.000000001,Alpha_keep*$A101+I$3-MIN(Loss_w)&lt;=Hi_c+0.000000001),1,0)</f>
        <v>1</v>
      </c>
      <c r="J101" s="14" t="n">
        <f aca="false">IF(AND(Alpha_keep*$A101+J$3-MAX(Loss_w)&gt;=Lo_c-0.000000001,Alpha_keep*$A101+J$3-MIN(Loss_w)&lt;=Hi_c+0.000000001),1,0)</f>
        <v>1</v>
      </c>
      <c r="K101" s="14" t="n">
        <f aca="false">IF(AND(Alpha_keep*$A101+K$3-MAX(Loss_w)&gt;=Lo_c-0.000000001,Alpha_keep*$A101+K$3-MIN(Loss_w)&lt;=Hi_c+0.000000001),1,0)</f>
        <v>1</v>
      </c>
      <c r="L101" s="14" t="n">
        <f aca="false">IF(AND(Alpha_keep*$A101+L$3-MAX(Loss_w)&gt;=Lo_c-0.000000001,Alpha_keep*$A101+L$3-MIN(Loss_w)&lt;=Hi_c+0.000000001),1,0)</f>
        <v>1</v>
      </c>
      <c r="M101" s="14" t="n">
        <f aca="false">IF(AND(Alpha_keep*$A101+M$3-MAX(Loss_w)&gt;=Lo_c-0.000000001,Alpha_keep*$A101+M$3-MIN(Loss_w)&lt;=Hi_c+0.000000001),1,0)</f>
        <v>1</v>
      </c>
      <c r="N101" s="14" t="n">
        <f aca="false">IF(C101=1,IF(OR(Alpha_keep*$A101+N$3&gt;=Floor_c-0.000000001,AND($B101=0,N$3&gt;=Cap_h-0.000000001)),1,0),0)</f>
        <v>0</v>
      </c>
      <c r="O101" s="14" t="n">
        <f aca="false">IF(D101=1,IF(OR(Alpha_keep*$A101+O$3&gt;=Floor_c-0.000000001,AND($B101=0,O$3&gt;=Cap_h-0.000000001)),1,0),0)</f>
        <v>0</v>
      </c>
      <c r="P101" s="14" t="n">
        <f aca="false">IF(E101=1,IF(OR(Alpha_keep*$A101+P$3&gt;=Floor_c-0.000000001,AND($B101=0,P$3&gt;=Cap_h-0.000000001)),1,0),0)</f>
        <v>0</v>
      </c>
      <c r="Q101" s="14" t="n">
        <f aca="false">IF(F101=1,IF(OR(Alpha_keep*$A101+Q$3&gt;=Floor_c-0.000000001,AND($B101=0,Q$3&gt;=Cap_h-0.000000001)),1,0),0)</f>
        <v>0</v>
      </c>
      <c r="R101" s="14" t="n">
        <f aca="false">IF(G101=1,IF(OR(Alpha_keep*$A101+R$3&gt;=Floor_c-0.000000001,AND($B101=0,R$3&gt;=Cap_h-0.000000001)),1,0),0)</f>
        <v>0</v>
      </c>
      <c r="S101" s="14" t="n">
        <f aca="false">IF(H101=1,IF(OR(Alpha_keep*$A101+S$3&gt;=Floor_c-0.000000001,AND($B101=0,S$3&gt;=Cap_h-0.000000001)),1,0),0)</f>
        <v>0</v>
      </c>
      <c r="T101" s="14" t="n">
        <f aca="false">IF(I101=1,IF(OR(Alpha_keep*$A101+T$3&gt;=Floor_c-0.000000001,AND($B101=0,T$3&gt;=Cap_h-0.000000001)),1,0),0)</f>
        <v>0</v>
      </c>
      <c r="U101" s="14" t="n">
        <f aca="false">IF(J101=1,IF(OR(Alpha_keep*$A101+U$3&gt;=Floor_c-0.000000001,AND($B101=0,U$3&gt;=Cap_h-0.000000001)),1,0),0)</f>
        <v>0</v>
      </c>
      <c r="V101" s="14" t="n">
        <f aca="false">IF(K101=1,IF(OR(Alpha_keep*$A101+V$3&gt;=Floor_c-0.000000001,AND($B101=0,V$3&gt;=Cap_h-0.000000001)),1,0),0)</f>
        <v>0</v>
      </c>
      <c r="W101" s="14" t="n">
        <f aca="false">IF(L101=1,IF(OR(Alpha_keep*$A101+W$3&gt;=Floor_c-0.000000001,AND($B101=0,W$3&gt;=Cap_h-0.000000001)),1,0),0)</f>
        <v>0</v>
      </c>
      <c r="X101" s="14" t="n">
        <f aca="false">IF(M101=1,IF(OR(Alpha_keep*$A101+X$3&gt;=Floor_c-0.000000001,AND($B101=0,X$3&gt;=Cap_h-0.000000001)),1,0),0)</f>
        <v>1</v>
      </c>
      <c r="Y101" s="14" t="n">
        <f aca="false">SUM(C101:M101)</f>
        <v>11</v>
      </c>
      <c r="Z101" s="14" t="n">
        <f aca="false">SUM(N101:X101)</f>
        <v>1</v>
      </c>
      <c r="AA101" s="12" t="n">
        <f aca="false">INDEX($C$3:$M$3,MATCH(1,C101:M101,0))</f>
        <v>0</v>
      </c>
      <c r="AB101" s="12" t="n">
        <f aca="false">INDEX($N$3:$X$3,MATCH(1,N101:X101,0))+(Z101-1)*Step_h</f>
        <v>2.5</v>
      </c>
    </row>
    <row r="102" customFormat="false" ht="15" hidden="false" customHeight="false" outlineLevel="0" collapsed="false">
      <c r="A102" s="12" t="n">
        <f aca="false">A101+Step_c</f>
        <v>54.25</v>
      </c>
      <c r="B102" s="14" t="n">
        <f aca="false">IF(SUMPRODUCT((Alpha_keep*$A102+$C$3:$M$3&gt;=Floor_c-0.000000001)*(C102:M102))&gt;0,1,0)</f>
        <v>1</v>
      </c>
      <c r="C102" s="14" t="n">
        <f aca="false">IF(AND(Alpha_keep*$A102+C$3-MAX(Loss_w)&gt;=Lo_c-0.000000001,Alpha_keep*$A102+C$3-MIN(Loss_w)&lt;=Hi_c+0.000000001),1,0)</f>
        <v>1</v>
      </c>
      <c r="D102" s="14" t="n">
        <f aca="false">IF(AND(Alpha_keep*$A102+D$3-MAX(Loss_w)&gt;=Lo_c-0.000000001,Alpha_keep*$A102+D$3-MIN(Loss_w)&lt;=Hi_c+0.000000001),1,0)</f>
        <v>1</v>
      </c>
      <c r="E102" s="14" t="n">
        <f aca="false">IF(AND(Alpha_keep*$A102+E$3-MAX(Loss_w)&gt;=Lo_c-0.000000001,Alpha_keep*$A102+E$3-MIN(Loss_w)&lt;=Hi_c+0.000000001),1,0)</f>
        <v>1</v>
      </c>
      <c r="F102" s="14" t="n">
        <f aca="false">IF(AND(Alpha_keep*$A102+F$3-MAX(Loss_w)&gt;=Lo_c-0.000000001,Alpha_keep*$A102+F$3-MIN(Loss_w)&lt;=Hi_c+0.000000001),1,0)</f>
        <v>1</v>
      </c>
      <c r="G102" s="14" t="n">
        <f aca="false">IF(AND(Alpha_keep*$A102+G$3-MAX(Loss_w)&gt;=Lo_c-0.000000001,Alpha_keep*$A102+G$3-MIN(Loss_w)&lt;=Hi_c+0.000000001),1,0)</f>
        <v>1</v>
      </c>
      <c r="H102" s="14" t="n">
        <f aca="false">IF(AND(Alpha_keep*$A102+H$3-MAX(Loss_w)&gt;=Lo_c-0.000000001,Alpha_keep*$A102+H$3-MIN(Loss_w)&lt;=Hi_c+0.000000001),1,0)</f>
        <v>1</v>
      </c>
      <c r="I102" s="14" t="n">
        <f aca="false">IF(AND(Alpha_keep*$A102+I$3-MAX(Loss_w)&gt;=Lo_c-0.000000001,Alpha_keep*$A102+I$3-MIN(Loss_w)&lt;=Hi_c+0.000000001),1,0)</f>
        <v>1</v>
      </c>
      <c r="J102" s="14" t="n">
        <f aca="false">IF(AND(Alpha_keep*$A102+J$3-MAX(Loss_w)&gt;=Lo_c-0.000000001,Alpha_keep*$A102+J$3-MIN(Loss_w)&lt;=Hi_c+0.000000001),1,0)</f>
        <v>1</v>
      </c>
      <c r="K102" s="14" t="n">
        <f aca="false">IF(AND(Alpha_keep*$A102+K$3-MAX(Loss_w)&gt;=Lo_c-0.000000001,Alpha_keep*$A102+K$3-MIN(Loss_w)&lt;=Hi_c+0.000000001),1,0)</f>
        <v>1</v>
      </c>
      <c r="L102" s="14" t="n">
        <f aca="false">IF(AND(Alpha_keep*$A102+L$3-MAX(Loss_w)&gt;=Lo_c-0.000000001,Alpha_keep*$A102+L$3-MIN(Loss_w)&lt;=Hi_c+0.000000001),1,0)</f>
        <v>1</v>
      </c>
      <c r="M102" s="14" t="n">
        <f aca="false">IF(AND(Alpha_keep*$A102+M$3-MAX(Loss_w)&gt;=Lo_c-0.000000001,Alpha_keep*$A102+M$3-MIN(Loss_w)&lt;=Hi_c+0.000000001),1,0)</f>
        <v>1</v>
      </c>
      <c r="N102" s="14" t="n">
        <f aca="false">IF(C102=1,IF(OR(Alpha_keep*$A102+N$3&gt;=Floor_c-0.000000001,AND($B102=0,N$3&gt;=Cap_h-0.000000001)),1,0),0)</f>
        <v>0</v>
      </c>
      <c r="O102" s="14" t="n">
        <f aca="false">IF(D102=1,IF(OR(Alpha_keep*$A102+O$3&gt;=Floor_c-0.000000001,AND($B102=0,O$3&gt;=Cap_h-0.000000001)),1,0),0)</f>
        <v>0</v>
      </c>
      <c r="P102" s="14" t="n">
        <f aca="false">IF(E102=1,IF(OR(Alpha_keep*$A102+P$3&gt;=Floor_c-0.000000001,AND($B102=0,P$3&gt;=Cap_h-0.000000001)),1,0),0)</f>
        <v>0</v>
      </c>
      <c r="Q102" s="14" t="n">
        <f aca="false">IF(F102=1,IF(OR(Alpha_keep*$A102+Q$3&gt;=Floor_c-0.000000001,AND($B102=0,Q$3&gt;=Cap_h-0.000000001)),1,0),0)</f>
        <v>0</v>
      </c>
      <c r="R102" s="14" t="n">
        <f aca="false">IF(G102=1,IF(OR(Alpha_keep*$A102+R$3&gt;=Floor_c-0.000000001,AND($B102=0,R$3&gt;=Cap_h-0.000000001)),1,0),0)</f>
        <v>0</v>
      </c>
      <c r="S102" s="14" t="n">
        <f aca="false">IF(H102=1,IF(OR(Alpha_keep*$A102+S$3&gt;=Floor_c-0.000000001,AND($B102=0,S$3&gt;=Cap_h-0.000000001)),1,0),0)</f>
        <v>0</v>
      </c>
      <c r="T102" s="14" t="n">
        <f aca="false">IF(I102=1,IF(OR(Alpha_keep*$A102+T$3&gt;=Floor_c-0.000000001,AND($B102=0,T$3&gt;=Cap_h-0.000000001)),1,0),0)</f>
        <v>0</v>
      </c>
      <c r="U102" s="14" t="n">
        <f aca="false">IF(J102=1,IF(OR(Alpha_keep*$A102+U$3&gt;=Floor_c-0.000000001,AND($B102=0,U$3&gt;=Cap_h-0.000000001)),1,0),0)</f>
        <v>0</v>
      </c>
      <c r="V102" s="14" t="n">
        <f aca="false">IF(K102=1,IF(OR(Alpha_keep*$A102+V$3&gt;=Floor_c-0.000000001,AND($B102=0,V$3&gt;=Cap_h-0.000000001)),1,0),0)</f>
        <v>0</v>
      </c>
      <c r="W102" s="14" t="n">
        <f aca="false">IF(L102=1,IF(OR(Alpha_keep*$A102+W$3&gt;=Floor_c-0.000000001,AND($B102=0,W$3&gt;=Cap_h-0.000000001)),1,0),0)</f>
        <v>1</v>
      </c>
      <c r="X102" s="14" t="n">
        <f aca="false">IF(M102=1,IF(OR(Alpha_keep*$A102+X$3&gt;=Floor_c-0.000000001,AND($B102=0,X$3&gt;=Cap_h-0.000000001)),1,0),0)</f>
        <v>1</v>
      </c>
      <c r="Y102" s="14" t="n">
        <f aca="false">SUM(C102:M102)</f>
        <v>11</v>
      </c>
      <c r="Z102" s="14" t="n">
        <f aca="false">SUM(N102:X102)</f>
        <v>2</v>
      </c>
      <c r="AA102" s="12" t="n">
        <f aca="false">INDEX($C$3:$M$3,MATCH(1,C102:M102,0))</f>
        <v>0</v>
      </c>
      <c r="AB102" s="12" t="n">
        <f aca="false">INDEX($N$3:$X$3,MATCH(1,N102:X102,0))+(Z102-1)*Step_h</f>
        <v>2.5</v>
      </c>
    </row>
    <row r="103" customFormat="false" ht="15" hidden="false" customHeight="false" outlineLevel="0" collapsed="false">
      <c r="A103" s="12" t="n">
        <f aca="false">A102+Step_c</f>
        <v>54.5</v>
      </c>
      <c r="B103" s="14" t="n">
        <f aca="false">IF(SUMPRODUCT((Alpha_keep*$A103+$C$3:$M$3&gt;=Floor_c-0.000000001)*(C103:M103))&gt;0,1,0)</f>
        <v>1</v>
      </c>
      <c r="C103" s="14" t="n">
        <f aca="false">IF(AND(Alpha_keep*$A103+C$3-MAX(Loss_w)&gt;=Lo_c-0.000000001,Alpha_keep*$A103+C$3-MIN(Loss_w)&lt;=Hi_c+0.000000001),1,0)</f>
        <v>1</v>
      </c>
      <c r="D103" s="14" t="n">
        <f aca="false">IF(AND(Alpha_keep*$A103+D$3-MAX(Loss_w)&gt;=Lo_c-0.000000001,Alpha_keep*$A103+D$3-MIN(Loss_w)&lt;=Hi_c+0.000000001),1,0)</f>
        <v>1</v>
      </c>
      <c r="E103" s="14" t="n">
        <f aca="false">IF(AND(Alpha_keep*$A103+E$3-MAX(Loss_w)&gt;=Lo_c-0.000000001,Alpha_keep*$A103+E$3-MIN(Loss_w)&lt;=Hi_c+0.000000001),1,0)</f>
        <v>1</v>
      </c>
      <c r="F103" s="14" t="n">
        <f aca="false">IF(AND(Alpha_keep*$A103+F$3-MAX(Loss_w)&gt;=Lo_c-0.000000001,Alpha_keep*$A103+F$3-MIN(Loss_w)&lt;=Hi_c+0.000000001),1,0)</f>
        <v>1</v>
      </c>
      <c r="G103" s="14" t="n">
        <f aca="false">IF(AND(Alpha_keep*$A103+G$3-MAX(Loss_w)&gt;=Lo_c-0.000000001,Alpha_keep*$A103+G$3-MIN(Loss_w)&lt;=Hi_c+0.000000001),1,0)</f>
        <v>1</v>
      </c>
      <c r="H103" s="14" t="n">
        <f aca="false">IF(AND(Alpha_keep*$A103+H$3-MAX(Loss_w)&gt;=Lo_c-0.000000001,Alpha_keep*$A103+H$3-MIN(Loss_w)&lt;=Hi_c+0.000000001),1,0)</f>
        <v>1</v>
      </c>
      <c r="I103" s="14" t="n">
        <f aca="false">IF(AND(Alpha_keep*$A103+I$3-MAX(Loss_w)&gt;=Lo_c-0.000000001,Alpha_keep*$A103+I$3-MIN(Loss_w)&lt;=Hi_c+0.000000001),1,0)</f>
        <v>1</v>
      </c>
      <c r="J103" s="14" t="n">
        <f aca="false">IF(AND(Alpha_keep*$A103+J$3-MAX(Loss_w)&gt;=Lo_c-0.000000001,Alpha_keep*$A103+J$3-MIN(Loss_w)&lt;=Hi_c+0.000000001),1,0)</f>
        <v>1</v>
      </c>
      <c r="K103" s="14" t="n">
        <f aca="false">IF(AND(Alpha_keep*$A103+K$3-MAX(Loss_w)&gt;=Lo_c-0.000000001,Alpha_keep*$A103+K$3-MIN(Loss_w)&lt;=Hi_c+0.000000001),1,0)</f>
        <v>1</v>
      </c>
      <c r="L103" s="14" t="n">
        <f aca="false">IF(AND(Alpha_keep*$A103+L$3-MAX(Loss_w)&gt;=Lo_c-0.000000001,Alpha_keep*$A103+L$3-MIN(Loss_w)&lt;=Hi_c+0.000000001),1,0)</f>
        <v>1</v>
      </c>
      <c r="M103" s="14" t="n">
        <f aca="false">IF(AND(Alpha_keep*$A103+M$3-MAX(Loss_w)&gt;=Lo_c-0.000000001,Alpha_keep*$A103+M$3-MIN(Loss_w)&lt;=Hi_c+0.000000001),1,0)</f>
        <v>1</v>
      </c>
      <c r="N103" s="14" t="n">
        <f aca="false">IF(C103=1,IF(OR(Alpha_keep*$A103+N$3&gt;=Floor_c-0.000000001,AND($B103=0,N$3&gt;=Cap_h-0.000000001)),1,0),0)</f>
        <v>0</v>
      </c>
      <c r="O103" s="14" t="n">
        <f aca="false">IF(D103=1,IF(OR(Alpha_keep*$A103+O$3&gt;=Floor_c-0.000000001,AND($B103=0,O$3&gt;=Cap_h-0.000000001)),1,0),0)</f>
        <v>0</v>
      </c>
      <c r="P103" s="14" t="n">
        <f aca="false">IF(E103=1,IF(OR(Alpha_keep*$A103+P$3&gt;=Floor_c-0.000000001,AND($B103=0,P$3&gt;=Cap_h-0.000000001)),1,0),0)</f>
        <v>0</v>
      </c>
      <c r="Q103" s="14" t="n">
        <f aca="false">IF(F103=1,IF(OR(Alpha_keep*$A103+Q$3&gt;=Floor_c-0.000000001,AND($B103=0,Q$3&gt;=Cap_h-0.000000001)),1,0),0)</f>
        <v>0</v>
      </c>
      <c r="R103" s="14" t="n">
        <f aca="false">IF(G103=1,IF(OR(Alpha_keep*$A103+R$3&gt;=Floor_c-0.000000001,AND($B103=0,R$3&gt;=Cap_h-0.000000001)),1,0),0)</f>
        <v>0</v>
      </c>
      <c r="S103" s="14" t="n">
        <f aca="false">IF(H103=1,IF(OR(Alpha_keep*$A103+S$3&gt;=Floor_c-0.000000001,AND($B103=0,S$3&gt;=Cap_h-0.000000001)),1,0),0)</f>
        <v>0</v>
      </c>
      <c r="T103" s="14" t="n">
        <f aca="false">IF(I103=1,IF(OR(Alpha_keep*$A103+T$3&gt;=Floor_c-0.000000001,AND($B103=0,T$3&gt;=Cap_h-0.000000001)),1,0),0)</f>
        <v>0</v>
      </c>
      <c r="U103" s="14" t="n">
        <f aca="false">IF(J103=1,IF(OR(Alpha_keep*$A103+U$3&gt;=Floor_c-0.000000001,AND($B103=0,U$3&gt;=Cap_h-0.000000001)),1,0),0)</f>
        <v>0</v>
      </c>
      <c r="V103" s="14" t="n">
        <f aca="false">IF(K103=1,IF(OR(Alpha_keep*$A103+V$3&gt;=Floor_c-0.000000001,AND($B103=0,V$3&gt;=Cap_h-0.000000001)),1,0),0)</f>
        <v>1</v>
      </c>
      <c r="W103" s="14" t="n">
        <f aca="false">IF(L103=1,IF(OR(Alpha_keep*$A103+W$3&gt;=Floor_c-0.000000001,AND($B103=0,W$3&gt;=Cap_h-0.000000001)),1,0),0)</f>
        <v>1</v>
      </c>
      <c r="X103" s="14" t="n">
        <f aca="false">IF(M103=1,IF(OR(Alpha_keep*$A103+X$3&gt;=Floor_c-0.000000001,AND($B103=0,X$3&gt;=Cap_h-0.000000001)),1,0),0)</f>
        <v>1</v>
      </c>
      <c r="Y103" s="14" t="n">
        <f aca="false">SUM(C103:M103)</f>
        <v>11</v>
      </c>
      <c r="Z103" s="14" t="n">
        <f aca="false">SUM(N103:X103)</f>
        <v>3</v>
      </c>
      <c r="AA103" s="12" t="n">
        <f aca="false">INDEX($C$3:$M$3,MATCH(1,C103:M103,0))</f>
        <v>0</v>
      </c>
      <c r="AB103" s="12" t="n">
        <f aca="false">INDEX($N$3:$X$3,MATCH(1,N103:X103,0))+(Z103-1)*Step_h</f>
        <v>2.5</v>
      </c>
    </row>
    <row r="104" customFormat="false" ht="15" hidden="false" customHeight="false" outlineLevel="0" collapsed="false">
      <c r="A104" s="12" t="n">
        <f aca="false">A103+Step_c</f>
        <v>54.75</v>
      </c>
      <c r="B104" s="14" t="n">
        <f aca="false">IF(SUMPRODUCT((Alpha_keep*$A104+$C$3:$M$3&gt;=Floor_c-0.000000001)*(C104:M104))&gt;0,1,0)</f>
        <v>1</v>
      </c>
      <c r="C104" s="14" t="n">
        <f aca="false">IF(AND(Alpha_keep*$A104+C$3-MAX(Loss_w)&gt;=Lo_c-0.000000001,Alpha_keep*$A104+C$3-MIN(Loss_w)&lt;=Hi_c+0.000000001),1,0)</f>
        <v>1</v>
      </c>
      <c r="D104" s="14" t="n">
        <f aca="false">IF(AND(Alpha_keep*$A104+D$3-MAX(Loss_w)&gt;=Lo_c-0.000000001,Alpha_keep*$A104+D$3-MIN(Loss_w)&lt;=Hi_c+0.000000001),1,0)</f>
        <v>1</v>
      </c>
      <c r="E104" s="14" t="n">
        <f aca="false">IF(AND(Alpha_keep*$A104+E$3-MAX(Loss_w)&gt;=Lo_c-0.000000001,Alpha_keep*$A104+E$3-MIN(Loss_w)&lt;=Hi_c+0.000000001),1,0)</f>
        <v>1</v>
      </c>
      <c r="F104" s="14" t="n">
        <f aca="false">IF(AND(Alpha_keep*$A104+F$3-MAX(Loss_w)&gt;=Lo_c-0.000000001,Alpha_keep*$A104+F$3-MIN(Loss_w)&lt;=Hi_c+0.000000001),1,0)</f>
        <v>1</v>
      </c>
      <c r="G104" s="14" t="n">
        <f aca="false">IF(AND(Alpha_keep*$A104+G$3-MAX(Loss_w)&gt;=Lo_c-0.000000001,Alpha_keep*$A104+G$3-MIN(Loss_w)&lt;=Hi_c+0.000000001),1,0)</f>
        <v>1</v>
      </c>
      <c r="H104" s="14" t="n">
        <f aca="false">IF(AND(Alpha_keep*$A104+H$3-MAX(Loss_w)&gt;=Lo_c-0.000000001,Alpha_keep*$A104+H$3-MIN(Loss_w)&lt;=Hi_c+0.000000001),1,0)</f>
        <v>1</v>
      </c>
      <c r="I104" s="14" t="n">
        <f aca="false">IF(AND(Alpha_keep*$A104+I$3-MAX(Loss_w)&gt;=Lo_c-0.000000001,Alpha_keep*$A104+I$3-MIN(Loss_w)&lt;=Hi_c+0.000000001),1,0)</f>
        <v>1</v>
      </c>
      <c r="J104" s="14" t="n">
        <f aca="false">IF(AND(Alpha_keep*$A104+J$3-MAX(Loss_w)&gt;=Lo_c-0.000000001,Alpha_keep*$A104+J$3-MIN(Loss_w)&lt;=Hi_c+0.000000001),1,0)</f>
        <v>1</v>
      </c>
      <c r="K104" s="14" t="n">
        <f aca="false">IF(AND(Alpha_keep*$A104+K$3-MAX(Loss_w)&gt;=Lo_c-0.000000001,Alpha_keep*$A104+K$3-MIN(Loss_w)&lt;=Hi_c+0.000000001),1,0)</f>
        <v>1</v>
      </c>
      <c r="L104" s="14" t="n">
        <f aca="false">IF(AND(Alpha_keep*$A104+L$3-MAX(Loss_w)&gt;=Lo_c-0.000000001,Alpha_keep*$A104+L$3-MIN(Loss_w)&lt;=Hi_c+0.000000001),1,0)</f>
        <v>1</v>
      </c>
      <c r="M104" s="14" t="n">
        <f aca="false">IF(AND(Alpha_keep*$A104+M$3-MAX(Loss_w)&gt;=Lo_c-0.000000001,Alpha_keep*$A104+M$3-MIN(Loss_w)&lt;=Hi_c+0.000000001),1,0)</f>
        <v>1</v>
      </c>
      <c r="N104" s="14" t="n">
        <f aca="false">IF(C104=1,IF(OR(Alpha_keep*$A104+N$3&gt;=Floor_c-0.000000001,AND($B104=0,N$3&gt;=Cap_h-0.000000001)),1,0),0)</f>
        <v>0</v>
      </c>
      <c r="O104" s="14" t="n">
        <f aca="false">IF(D104=1,IF(OR(Alpha_keep*$A104+O$3&gt;=Floor_c-0.000000001,AND($B104=0,O$3&gt;=Cap_h-0.000000001)),1,0),0)</f>
        <v>0</v>
      </c>
      <c r="P104" s="14" t="n">
        <f aca="false">IF(E104=1,IF(OR(Alpha_keep*$A104+P$3&gt;=Floor_c-0.000000001,AND($B104=0,P$3&gt;=Cap_h-0.000000001)),1,0),0)</f>
        <v>0</v>
      </c>
      <c r="Q104" s="14" t="n">
        <f aca="false">IF(F104=1,IF(OR(Alpha_keep*$A104+Q$3&gt;=Floor_c-0.000000001,AND($B104=0,Q$3&gt;=Cap_h-0.000000001)),1,0),0)</f>
        <v>0</v>
      </c>
      <c r="R104" s="14" t="n">
        <f aca="false">IF(G104=1,IF(OR(Alpha_keep*$A104+R$3&gt;=Floor_c-0.000000001,AND($B104=0,R$3&gt;=Cap_h-0.000000001)),1,0),0)</f>
        <v>0</v>
      </c>
      <c r="S104" s="14" t="n">
        <f aca="false">IF(H104=1,IF(OR(Alpha_keep*$A104+S$3&gt;=Floor_c-0.000000001,AND($B104=0,S$3&gt;=Cap_h-0.000000001)),1,0),0)</f>
        <v>0</v>
      </c>
      <c r="T104" s="14" t="n">
        <f aca="false">IF(I104=1,IF(OR(Alpha_keep*$A104+T$3&gt;=Floor_c-0.000000001,AND($B104=0,T$3&gt;=Cap_h-0.000000001)),1,0),0)</f>
        <v>0</v>
      </c>
      <c r="U104" s="14" t="n">
        <f aca="false">IF(J104=1,IF(OR(Alpha_keep*$A104+U$3&gt;=Floor_c-0.000000001,AND($B104=0,U$3&gt;=Cap_h-0.000000001)),1,0),0)</f>
        <v>1</v>
      </c>
      <c r="V104" s="14" t="n">
        <f aca="false">IF(K104=1,IF(OR(Alpha_keep*$A104+V$3&gt;=Floor_c-0.000000001,AND($B104=0,V$3&gt;=Cap_h-0.000000001)),1,0),0)</f>
        <v>1</v>
      </c>
      <c r="W104" s="14" t="n">
        <f aca="false">IF(L104=1,IF(OR(Alpha_keep*$A104+W$3&gt;=Floor_c-0.000000001,AND($B104=0,W$3&gt;=Cap_h-0.000000001)),1,0),0)</f>
        <v>1</v>
      </c>
      <c r="X104" s="14" t="n">
        <f aca="false">IF(M104=1,IF(OR(Alpha_keep*$A104+X$3&gt;=Floor_c-0.000000001,AND($B104=0,X$3&gt;=Cap_h-0.000000001)),1,0),0)</f>
        <v>1</v>
      </c>
      <c r="Y104" s="14" t="n">
        <f aca="false">SUM(C104:M104)</f>
        <v>11</v>
      </c>
      <c r="Z104" s="14" t="n">
        <f aca="false">SUM(N104:X104)</f>
        <v>4</v>
      </c>
      <c r="AA104" s="12" t="n">
        <f aca="false">INDEX($C$3:$M$3,MATCH(1,C104:M104,0))</f>
        <v>0</v>
      </c>
      <c r="AB104" s="12" t="n">
        <f aca="false">INDEX($N$3:$X$3,MATCH(1,N104:X104,0))+(Z104-1)*Step_h</f>
        <v>2.5</v>
      </c>
    </row>
    <row r="105" customFormat="false" ht="15" hidden="false" customHeight="false" outlineLevel="0" collapsed="false">
      <c r="A105" s="12" t="n">
        <f aca="false">A104+Step_c</f>
        <v>55</v>
      </c>
      <c r="B105" s="14" t="n">
        <f aca="false">IF(SUMPRODUCT((Alpha_keep*$A105+$C$3:$M$3&gt;=Floor_c-0.000000001)*(C105:M105))&gt;0,1,0)</f>
        <v>1</v>
      </c>
      <c r="C105" s="14" t="n">
        <f aca="false">IF(AND(Alpha_keep*$A105+C$3-MAX(Loss_w)&gt;=Lo_c-0.000000001,Alpha_keep*$A105+C$3-MIN(Loss_w)&lt;=Hi_c+0.000000001),1,0)</f>
        <v>1</v>
      </c>
      <c r="D105" s="14" t="n">
        <f aca="false">IF(AND(Alpha_keep*$A105+D$3-MAX(Loss_w)&gt;=Lo_c-0.000000001,Alpha_keep*$A105+D$3-MIN(Loss_w)&lt;=Hi_c+0.000000001),1,0)</f>
        <v>1</v>
      </c>
      <c r="E105" s="14" t="n">
        <f aca="false">IF(AND(Alpha_keep*$A105+E$3-MAX(Loss_w)&gt;=Lo_c-0.000000001,Alpha_keep*$A105+E$3-MIN(Loss_w)&lt;=Hi_c+0.000000001),1,0)</f>
        <v>1</v>
      </c>
      <c r="F105" s="14" t="n">
        <f aca="false">IF(AND(Alpha_keep*$A105+F$3-MAX(Loss_w)&gt;=Lo_c-0.000000001,Alpha_keep*$A105+F$3-MIN(Loss_w)&lt;=Hi_c+0.000000001),1,0)</f>
        <v>1</v>
      </c>
      <c r="G105" s="14" t="n">
        <f aca="false">IF(AND(Alpha_keep*$A105+G$3-MAX(Loss_w)&gt;=Lo_c-0.000000001,Alpha_keep*$A105+G$3-MIN(Loss_w)&lt;=Hi_c+0.000000001),1,0)</f>
        <v>1</v>
      </c>
      <c r="H105" s="14" t="n">
        <f aca="false">IF(AND(Alpha_keep*$A105+H$3-MAX(Loss_w)&gt;=Lo_c-0.000000001,Alpha_keep*$A105+H$3-MIN(Loss_w)&lt;=Hi_c+0.000000001),1,0)</f>
        <v>1</v>
      </c>
      <c r="I105" s="14" t="n">
        <f aca="false">IF(AND(Alpha_keep*$A105+I$3-MAX(Loss_w)&gt;=Lo_c-0.000000001,Alpha_keep*$A105+I$3-MIN(Loss_w)&lt;=Hi_c+0.000000001),1,0)</f>
        <v>1</v>
      </c>
      <c r="J105" s="14" t="n">
        <f aca="false">IF(AND(Alpha_keep*$A105+J$3-MAX(Loss_w)&gt;=Lo_c-0.000000001,Alpha_keep*$A105+J$3-MIN(Loss_w)&lt;=Hi_c+0.000000001),1,0)</f>
        <v>1</v>
      </c>
      <c r="K105" s="14" t="n">
        <f aca="false">IF(AND(Alpha_keep*$A105+K$3-MAX(Loss_w)&gt;=Lo_c-0.000000001,Alpha_keep*$A105+K$3-MIN(Loss_w)&lt;=Hi_c+0.000000001),1,0)</f>
        <v>1</v>
      </c>
      <c r="L105" s="14" t="n">
        <f aca="false">IF(AND(Alpha_keep*$A105+L$3-MAX(Loss_w)&gt;=Lo_c-0.000000001,Alpha_keep*$A105+L$3-MIN(Loss_w)&lt;=Hi_c+0.000000001),1,0)</f>
        <v>1</v>
      </c>
      <c r="M105" s="14" t="n">
        <f aca="false">IF(AND(Alpha_keep*$A105+M$3-MAX(Loss_w)&gt;=Lo_c-0.000000001,Alpha_keep*$A105+M$3-MIN(Loss_w)&lt;=Hi_c+0.000000001),1,0)</f>
        <v>1</v>
      </c>
      <c r="N105" s="14" t="n">
        <f aca="false">IF(C105=1,IF(OR(Alpha_keep*$A105+N$3&gt;=Floor_c-0.000000001,AND($B105=0,N$3&gt;=Cap_h-0.000000001)),1,0),0)</f>
        <v>0</v>
      </c>
      <c r="O105" s="14" t="n">
        <f aca="false">IF(D105=1,IF(OR(Alpha_keep*$A105+O$3&gt;=Floor_c-0.000000001,AND($B105=0,O$3&gt;=Cap_h-0.000000001)),1,0),0)</f>
        <v>0</v>
      </c>
      <c r="P105" s="14" t="n">
        <f aca="false">IF(E105=1,IF(OR(Alpha_keep*$A105+P$3&gt;=Floor_c-0.000000001,AND($B105=0,P$3&gt;=Cap_h-0.000000001)),1,0),0)</f>
        <v>0</v>
      </c>
      <c r="Q105" s="14" t="n">
        <f aca="false">IF(F105=1,IF(OR(Alpha_keep*$A105+Q$3&gt;=Floor_c-0.000000001,AND($B105=0,Q$3&gt;=Cap_h-0.000000001)),1,0),0)</f>
        <v>0</v>
      </c>
      <c r="R105" s="14" t="n">
        <f aca="false">IF(G105=1,IF(OR(Alpha_keep*$A105+R$3&gt;=Floor_c-0.000000001,AND($B105=0,R$3&gt;=Cap_h-0.000000001)),1,0),0)</f>
        <v>0</v>
      </c>
      <c r="S105" s="14" t="n">
        <f aca="false">IF(H105=1,IF(OR(Alpha_keep*$A105+S$3&gt;=Floor_c-0.000000001,AND($B105=0,S$3&gt;=Cap_h-0.000000001)),1,0),0)</f>
        <v>0</v>
      </c>
      <c r="T105" s="14" t="n">
        <f aca="false">IF(I105=1,IF(OR(Alpha_keep*$A105+T$3&gt;=Floor_c-0.000000001,AND($B105=0,T$3&gt;=Cap_h-0.000000001)),1,0),0)</f>
        <v>1</v>
      </c>
      <c r="U105" s="14" t="n">
        <f aca="false">IF(J105=1,IF(OR(Alpha_keep*$A105+U$3&gt;=Floor_c-0.000000001,AND($B105=0,U$3&gt;=Cap_h-0.000000001)),1,0),0)</f>
        <v>1</v>
      </c>
      <c r="V105" s="14" t="n">
        <f aca="false">IF(K105=1,IF(OR(Alpha_keep*$A105+V$3&gt;=Floor_c-0.000000001,AND($B105=0,V$3&gt;=Cap_h-0.000000001)),1,0),0)</f>
        <v>1</v>
      </c>
      <c r="W105" s="14" t="n">
        <f aca="false">IF(L105=1,IF(OR(Alpha_keep*$A105+W$3&gt;=Floor_c-0.000000001,AND($B105=0,W$3&gt;=Cap_h-0.000000001)),1,0),0)</f>
        <v>1</v>
      </c>
      <c r="X105" s="14" t="n">
        <f aca="false">IF(M105=1,IF(OR(Alpha_keep*$A105+X$3&gt;=Floor_c-0.000000001,AND($B105=0,X$3&gt;=Cap_h-0.000000001)),1,0),0)</f>
        <v>1</v>
      </c>
      <c r="Y105" s="14" t="n">
        <f aca="false">SUM(C105:M105)</f>
        <v>11</v>
      </c>
      <c r="Z105" s="14" t="n">
        <f aca="false">SUM(N105:X105)</f>
        <v>5</v>
      </c>
      <c r="AA105" s="12" t="n">
        <f aca="false">INDEX($C$3:$M$3,MATCH(1,C105:M105,0))</f>
        <v>0</v>
      </c>
      <c r="AB105" s="12" t="n">
        <f aca="false">INDEX($N$3:$X$3,MATCH(1,N105:X105,0))+(Z105-1)*Step_h</f>
        <v>2.5</v>
      </c>
    </row>
    <row r="106" customFormat="false" ht="15" hidden="false" customHeight="false" outlineLevel="0" collapsed="false">
      <c r="A106" s="12" t="n">
        <f aca="false">A105+Step_c</f>
        <v>55.25</v>
      </c>
      <c r="B106" s="14" t="n">
        <f aca="false">IF(SUMPRODUCT((Alpha_keep*$A106+$C$3:$M$3&gt;=Floor_c-0.000000001)*(C106:M106))&gt;0,1,0)</f>
        <v>1</v>
      </c>
      <c r="C106" s="14" t="n">
        <f aca="false">IF(AND(Alpha_keep*$A106+C$3-MAX(Loss_w)&gt;=Lo_c-0.000000001,Alpha_keep*$A106+C$3-MIN(Loss_w)&lt;=Hi_c+0.000000001),1,0)</f>
        <v>1</v>
      </c>
      <c r="D106" s="14" t="n">
        <f aca="false">IF(AND(Alpha_keep*$A106+D$3-MAX(Loss_w)&gt;=Lo_c-0.000000001,Alpha_keep*$A106+D$3-MIN(Loss_w)&lt;=Hi_c+0.000000001),1,0)</f>
        <v>1</v>
      </c>
      <c r="E106" s="14" t="n">
        <f aca="false">IF(AND(Alpha_keep*$A106+E$3-MAX(Loss_w)&gt;=Lo_c-0.000000001,Alpha_keep*$A106+E$3-MIN(Loss_w)&lt;=Hi_c+0.000000001),1,0)</f>
        <v>1</v>
      </c>
      <c r="F106" s="14" t="n">
        <f aca="false">IF(AND(Alpha_keep*$A106+F$3-MAX(Loss_w)&gt;=Lo_c-0.000000001,Alpha_keep*$A106+F$3-MIN(Loss_w)&lt;=Hi_c+0.000000001),1,0)</f>
        <v>1</v>
      </c>
      <c r="G106" s="14" t="n">
        <f aca="false">IF(AND(Alpha_keep*$A106+G$3-MAX(Loss_w)&gt;=Lo_c-0.000000001,Alpha_keep*$A106+G$3-MIN(Loss_w)&lt;=Hi_c+0.000000001),1,0)</f>
        <v>1</v>
      </c>
      <c r="H106" s="14" t="n">
        <f aca="false">IF(AND(Alpha_keep*$A106+H$3-MAX(Loss_w)&gt;=Lo_c-0.000000001,Alpha_keep*$A106+H$3-MIN(Loss_w)&lt;=Hi_c+0.000000001),1,0)</f>
        <v>1</v>
      </c>
      <c r="I106" s="14" t="n">
        <f aca="false">IF(AND(Alpha_keep*$A106+I$3-MAX(Loss_w)&gt;=Lo_c-0.000000001,Alpha_keep*$A106+I$3-MIN(Loss_w)&lt;=Hi_c+0.000000001),1,0)</f>
        <v>1</v>
      </c>
      <c r="J106" s="14" t="n">
        <f aca="false">IF(AND(Alpha_keep*$A106+J$3-MAX(Loss_w)&gt;=Lo_c-0.000000001,Alpha_keep*$A106+J$3-MIN(Loss_w)&lt;=Hi_c+0.000000001),1,0)</f>
        <v>1</v>
      </c>
      <c r="K106" s="14" t="n">
        <f aca="false">IF(AND(Alpha_keep*$A106+K$3-MAX(Loss_w)&gt;=Lo_c-0.000000001,Alpha_keep*$A106+K$3-MIN(Loss_w)&lt;=Hi_c+0.000000001),1,0)</f>
        <v>1</v>
      </c>
      <c r="L106" s="14" t="n">
        <f aca="false">IF(AND(Alpha_keep*$A106+L$3-MAX(Loss_w)&gt;=Lo_c-0.000000001,Alpha_keep*$A106+L$3-MIN(Loss_w)&lt;=Hi_c+0.000000001),1,0)</f>
        <v>1</v>
      </c>
      <c r="M106" s="14" t="n">
        <f aca="false">IF(AND(Alpha_keep*$A106+M$3-MAX(Loss_w)&gt;=Lo_c-0.000000001,Alpha_keep*$A106+M$3-MIN(Loss_w)&lt;=Hi_c+0.000000001),1,0)</f>
        <v>1</v>
      </c>
      <c r="N106" s="14" t="n">
        <f aca="false">IF(C106=1,IF(OR(Alpha_keep*$A106+N$3&gt;=Floor_c-0.000000001,AND($B106=0,N$3&gt;=Cap_h-0.000000001)),1,0),0)</f>
        <v>0</v>
      </c>
      <c r="O106" s="14" t="n">
        <f aca="false">IF(D106=1,IF(OR(Alpha_keep*$A106+O$3&gt;=Floor_c-0.000000001,AND($B106=0,O$3&gt;=Cap_h-0.000000001)),1,0),0)</f>
        <v>0</v>
      </c>
      <c r="P106" s="14" t="n">
        <f aca="false">IF(E106=1,IF(OR(Alpha_keep*$A106+P$3&gt;=Floor_c-0.000000001,AND($B106=0,P$3&gt;=Cap_h-0.000000001)),1,0),0)</f>
        <v>0</v>
      </c>
      <c r="Q106" s="14" t="n">
        <f aca="false">IF(F106=1,IF(OR(Alpha_keep*$A106+Q$3&gt;=Floor_c-0.000000001,AND($B106=0,Q$3&gt;=Cap_h-0.000000001)),1,0),0)</f>
        <v>0</v>
      </c>
      <c r="R106" s="14" t="n">
        <f aca="false">IF(G106=1,IF(OR(Alpha_keep*$A106+R$3&gt;=Floor_c-0.000000001,AND($B106=0,R$3&gt;=Cap_h-0.000000001)),1,0),0)</f>
        <v>0</v>
      </c>
      <c r="S106" s="14" t="n">
        <f aca="false">IF(H106=1,IF(OR(Alpha_keep*$A106+S$3&gt;=Floor_c-0.000000001,AND($B106=0,S$3&gt;=Cap_h-0.000000001)),1,0),0)</f>
        <v>1</v>
      </c>
      <c r="T106" s="14" t="n">
        <f aca="false">IF(I106=1,IF(OR(Alpha_keep*$A106+T$3&gt;=Floor_c-0.000000001,AND($B106=0,T$3&gt;=Cap_h-0.000000001)),1,0),0)</f>
        <v>1</v>
      </c>
      <c r="U106" s="14" t="n">
        <f aca="false">IF(J106=1,IF(OR(Alpha_keep*$A106+U$3&gt;=Floor_c-0.000000001,AND($B106=0,U$3&gt;=Cap_h-0.000000001)),1,0),0)</f>
        <v>1</v>
      </c>
      <c r="V106" s="14" t="n">
        <f aca="false">IF(K106=1,IF(OR(Alpha_keep*$A106+V$3&gt;=Floor_c-0.000000001,AND($B106=0,V$3&gt;=Cap_h-0.000000001)),1,0),0)</f>
        <v>1</v>
      </c>
      <c r="W106" s="14" t="n">
        <f aca="false">IF(L106=1,IF(OR(Alpha_keep*$A106+W$3&gt;=Floor_c-0.000000001,AND($B106=0,W$3&gt;=Cap_h-0.000000001)),1,0),0)</f>
        <v>1</v>
      </c>
      <c r="X106" s="14" t="n">
        <f aca="false">IF(M106=1,IF(OR(Alpha_keep*$A106+X$3&gt;=Floor_c-0.000000001,AND($B106=0,X$3&gt;=Cap_h-0.000000001)),1,0),0)</f>
        <v>1</v>
      </c>
      <c r="Y106" s="14" t="n">
        <f aca="false">SUM(C106:M106)</f>
        <v>11</v>
      </c>
      <c r="Z106" s="14" t="n">
        <f aca="false">SUM(N106:X106)</f>
        <v>6</v>
      </c>
      <c r="AA106" s="12" t="n">
        <f aca="false">INDEX($C$3:$M$3,MATCH(1,C106:M106,0))</f>
        <v>0</v>
      </c>
      <c r="AB106" s="12" t="n">
        <f aca="false">INDEX($N$3:$X$3,MATCH(1,N106:X106,0))+(Z106-1)*Step_h</f>
        <v>2.5</v>
      </c>
    </row>
    <row r="107" customFormat="false" ht="15" hidden="false" customHeight="false" outlineLevel="0" collapsed="false">
      <c r="A107" s="12" t="n">
        <f aca="false">A106+Step_c</f>
        <v>55.5</v>
      </c>
      <c r="B107" s="14" t="n">
        <f aca="false">IF(SUMPRODUCT((Alpha_keep*$A107+$C$3:$M$3&gt;=Floor_c-0.000000001)*(C107:M107))&gt;0,1,0)</f>
        <v>1</v>
      </c>
      <c r="C107" s="14" t="n">
        <f aca="false">IF(AND(Alpha_keep*$A107+C$3-MAX(Loss_w)&gt;=Lo_c-0.000000001,Alpha_keep*$A107+C$3-MIN(Loss_w)&lt;=Hi_c+0.000000001),1,0)</f>
        <v>1</v>
      </c>
      <c r="D107" s="14" t="n">
        <f aca="false">IF(AND(Alpha_keep*$A107+D$3-MAX(Loss_w)&gt;=Lo_c-0.000000001,Alpha_keep*$A107+D$3-MIN(Loss_w)&lt;=Hi_c+0.000000001),1,0)</f>
        <v>1</v>
      </c>
      <c r="E107" s="14" t="n">
        <f aca="false">IF(AND(Alpha_keep*$A107+E$3-MAX(Loss_w)&gt;=Lo_c-0.000000001,Alpha_keep*$A107+E$3-MIN(Loss_w)&lt;=Hi_c+0.000000001),1,0)</f>
        <v>1</v>
      </c>
      <c r="F107" s="14" t="n">
        <f aca="false">IF(AND(Alpha_keep*$A107+F$3-MAX(Loss_w)&gt;=Lo_c-0.000000001,Alpha_keep*$A107+F$3-MIN(Loss_w)&lt;=Hi_c+0.000000001),1,0)</f>
        <v>1</v>
      </c>
      <c r="G107" s="14" t="n">
        <f aca="false">IF(AND(Alpha_keep*$A107+G$3-MAX(Loss_w)&gt;=Lo_c-0.000000001,Alpha_keep*$A107+G$3-MIN(Loss_w)&lt;=Hi_c+0.000000001),1,0)</f>
        <v>1</v>
      </c>
      <c r="H107" s="14" t="n">
        <f aca="false">IF(AND(Alpha_keep*$A107+H$3-MAX(Loss_w)&gt;=Lo_c-0.000000001,Alpha_keep*$A107+H$3-MIN(Loss_w)&lt;=Hi_c+0.000000001),1,0)</f>
        <v>1</v>
      </c>
      <c r="I107" s="14" t="n">
        <f aca="false">IF(AND(Alpha_keep*$A107+I$3-MAX(Loss_w)&gt;=Lo_c-0.000000001,Alpha_keep*$A107+I$3-MIN(Loss_w)&lt;=Hi_c+0.000000001),1,0)</f>
        <v>1</v>
      </c>
      <c r="J107" s="14" t="n">
        <f aca="false">IF(AND(Alpha_keep*$A107+J$3-MAX(Loss_w)&gt;=Lo_c-0.000000001,Alpha_keep*$A107+J$3-MIN(Loss_w)&lt;=Hi_c+0.000000001),1,0)</f>
        <v>1</v>
      </c>
      <c r="K107" s="14" t="n">
        <f aca="false">IF(AND(Alpha_keep*$A107+K$3-MAX(Loss_w)&gt;=Lo_c-0.000000001,Alpha_keep*$A107+K$3-MIN(Loss_w)&lt;=Hi_c+0.000000001),1,0)</f>
        <v>1</v>
      </c>
      <c r="L107" s="14" t="n">
        <f aca="false">IF(AND(Alpha_keep*$A107+L$3-MAX(Loss_w)&gt;=Lo_c-0.000000001,Alpha_keep*$A107+L$3-MIN(Loss_w)&lt;=Hi_c+0.000000001),1,0)</f>
        <v>1</v>
      </c>
      <c r="M107" s="14" t="n">
        <f aca="false">IF(AND(Alpha_keep*$A107+M$3-MAX(Loss_w)&gt;=Lo_c-0.000000001,Alpha_keep*$A107+M$3-MIN(Loss_w)&lt;=Hi_c+0.000000001),1,0)</f>
        <v>1</v>
      </c>
      <c r="N107" s="14" t="n">
        <f aca="false">IF(C107=1,IF(OR(Alpha_keep*$A107+N$3&gt;=Floor_c-0.000000001,AND($B107=0,N$3&gt;=Cap_h-0.000000001)),1,0),0)</f>
        <v>0</v>
      </c>
      <c r="O107" s="14" t="n">
        <f aca="false">IF(D107=1,IF(OR(Alpha_keep*$A107+O$3&gt;=Floor_c-0.000000001,AND($B107=0,O$3&gt;=Cap_h-0.000000001)),1,0),0)</f>
        <v>0</v>
      </c>
      <c r="P107" s="14" t="n">
        <f aca="false">IF(E107=1,IF(OR(Alpha_keep*$A107+P$3&gt;=Floor_c-0.000000001,AND($B107=0,P$3&gt;=Cap_h-0.000000001)),1,0),0)</f>
        <v>0</v>
      </c>
      <c r="Q107" s="14" t="n">
        <f aca="false">IF(F107=1,IF(OR(Alpha_keep*$A107+Q$3&gt;=Floor_c-0.000000001,AND($B107=0,Q$3&gt;=Cap_h-0.000000001)),1,0),0)</f>
        <v>0</v>
      </c>
      <c r="R107" s="14" t="n">
        <f aca="false">IF(G107=1,IF(OR(Alpha_keep*$A107+R$3&gt;=Floor_c-0.000000001,AND($B107=0,R$3&gt;=Cap_h-0.000000001)),1,0),0)</f>
        <v>1</v>
      </c>
      <c r="S107" s="14" t="n">
        <f aca="false">IF(H107=1,IF(OR(Alpha_keep*$A107+S$3&gt;=Floor_c-0.000000001,AND($B107=0,S$3&gt;=Cap_h-0.000000001)),1,0),0)</f>
        <v>1</v>
      </c>
      <c r="T107" s="14" t="n">
        <f aca="false">IF(I107=1,IF(OR(Alpha_keep*$A107+T$3&gt;=Floor_c-0.000000001,AND($B107=0,T$3&gt;=Cap_h-0.000000001)),1,0),0)</f>
        <v>1</v>
      </c>
      <c r="U107" s="14" t="n">
        <f aca="false">IF(J107=1,IF(OR(Alpha_keep*$A107+U$3&gt;=Floor_c-0.000000001,AND($B107=0,U$3&gt;=Cap_h-0.000000001)),1,0),0)</f>
        <v>1</v>
      </c>
      <c r="V107" s="14" t="n">
        <f aca="false">IF(K107=1,IF(OR(Alpha_keep*$A107+V$3&gt;=Floor_c-0.000000001,AND($B107=0,V$3&gt;=Cap_h-0.000000001)),1,0),0)</f>
        <v>1</v>
      </c>
      <c r="W107" s="14" t="n">
        <f aca="false">IF(L107=1,IF(OR(Alpha_keep*$A107+W$3&gt;=Floor_c-0.000000001,AND($B107=0,W$3&gt;=Cap_h-0.000000001)),1,0),0)</f>
        <v>1</v>
      </c>
      <c r="X107" s="14" t="n">
        <f aca="false">IF(M107=1,IF(OR(Alpha_keep*$A107+X$3&gt;=Floor_c-0.000000001,AND($B107=0,X$3&gt;=Cap_h-0.000000001)),1,0),0)</f>
        <v>1</v>
      </c>
      <c r="Y107" s="14" t="n">
        <f aca="false">SUM(C107:M107)</f>
        <v>11</v>
      </c>
      <c r="Z107" s="14" t="n">
        <f aca="false">SUM(N107:X107)</f>
        <v>7</v>
      </c>
      <c r="AA107" s="12" t="n">
        <f aca="false">INDEX($C$3:$M$3,MATCH(1,C107:M107,0))</f>
        <v>0</v>
      </c>
      <c r="AB107" s="12" t="n">
        <f aca="false">INDEX($N$3:$X$3,MATCH(1,N107:X107,0))+(Z107-1)*Step_h</f>
        <v>2.5</v>
      </c>
    </row>
    <row r="108" customFormat="false" ht="15" hidden="false" customHeight="false" outlineLevel="0" collapsed="false">
      <c r="A108" s="12" t="n">
        <f aca="false">A107+Step_c</f>
        <v>55.75</v>
      </c>
      <c r="B108" s="14" t="n">
        <f aca="false">IF(SUMPRODUCT((Alpha_keep*$A108+$C$3:$M$3&gt;=Floor_c-0.000000001)*(C108:M108))&gt;0,1,0)</f>
        <v>1</v>
      </c>
      <c r="C108" s="14" t="n">
        <f aca="false">IF(AND(Alpha_keep*$A108+C$3-MAX(Loss_w)&gt;=Lo_c-0.000000001,Alpha_keep*$A108+C$3-MIN(Loss_w)&lt;=Hi_c+0.000000001),1,0)</f>
        <v>1</v>
      </c>
      <c r="D108" s="14" t="n">
        <f aca="false">IF(AND(Alpha_keep*$A108+D$3-MAX(Loss_w)&gt;=Lo_c-0.000000001,Alpha_keep*$A108+D$3-MIN(Loss_w)&lt;=Hi_c+0.000000001),1,0)</f>
        <v>1</v>
      </c>
      <c r="E108" s="14" t="n">
        <f aca="false">IF(AND(Alpha_keep*$A108+E$3-MAX(Loss_w)&gt;=Lo_c-0.000000001,Alpha_keep*$A108+E$3-MIN(Loss_w)&lt;=Hi_c+0.000000001),1,0)</f>
        <v>1</v>
      </c>
      <c r="F108" s="14" t="n">
        <f aca="false">IF(AND(Alpha_keep*$A108+F$3-MAX(Loss_w)&gt;=Lo_c-0.000000001,Alpha_keep*$A108+F$3-MIN(Loss_w)&lt;=Hi_c+0.000000001),1,0)</f>
        <v>1</v>
      </c>
      <c r="G108" s="14" t="n">
        <f aca="false">IF(AND(Alpha_keep*$A108+G$3-MAX(Loss_w)&gt;=Lo_c-0.000000001,Alpha_keep*$A108+G$3-MIN(Loss_w)&lt;=Hi_c+0.000000001),1,0)</f>
        <v>1</v>
      </c>
      <c r="H108" s="14" t="n">
        <f aca="false">IF(AND(Alpha_keep*$A108+H$3-MAX(Loss_w)&gt;=Lo_c-0.000000001,Alpha_keep*$A108+H$3-MIN(Loss_w)&lt;=Hi_c+0.000000001),1,0)</f>
        <v>1</v>
      </c>
      <c r="I108" s="14" t="n">
        <f aca="false">IF(AND(Alpha_keep*$A108+I$3-MAX(Loss_w)&gt;=Lo_c-0.000000001,Alpha_keep*$A108+I$3-MIN(Loss_w)&lt;=Hi_c+0.000000001),1,0)</f>
        <v>1</v>
      </c>
      <c r="J108" s="14" t="n">
        <f aca="false">IF(AND(Alpha_keep*$A108+J$3-MAX(Loss_w)&gt;=Lo_c-0.000000001,Alpha_keep*$A108+J$3-MIN(Loss_w)&lt;=Hi_c+0.000000001),1,0)</f>
        <v>1</v>
      </c>
      <c r="K108" s="14" t="n">
        <f aca="false">IF(AND(Alpha_keep*$A108+K$3-MAX(Loss_w)&gt;=Lo_c-0.000000001,Alpha_keep*$A108+K$3-MIN(Loss_w)&lt;=Hi_c+0.000000001),1,0)</f>
        <v>1</v>
      </c>
      <c r="L108" s="14" t="n">
        <f aca="false">IF(AND(Alpha_keep*$A108+L$3-MAX(Loss_w)&gt;=Lo_c-0.000000001,Alpha_keep*$A108+L$3-MIN(Loss_w)&lt;=Hi_c+0.000000001),1,0)</f>
        <v>1</v>
      </c>
      <c r="M108" s="14" t="n">
        <f aca="false">IF(AND(Alpha_keep*$A108+M$3-MAX(Loss_w)&gt;=Lo_c-0.000000001,Alpha_keep*$A108+M$3-MIN(Loss_w)&lt;=Hi_c+0.000000001),1,0)</f>
        <v>1</v>
      </c>
      <c r="N108" s="14" t="n">
        <f aca="false">IF(C108=1,IF(OR(Alpha_keep*$A108+N$3&gt;=Floor_c-0.000000001,AND($B108=0,N$3&gt;=Cap_h-0.000000001)),1,0),0)</f>
        <v>0</v>
      </c>
      <c r="O108" s="14" t="n">
        <f aca="false">IF(D108=1,IF(OR(Alpha_keep*$A108+O$3&gt;=Floor_c-0.000000001,AND($B108=0,O$3&gt;=Cap_h-0.000000001)),1,0),0)</f>
        <v>0</v>
      </c>
      <c r="P108" s="14" t="n">
        <f aca="false">IF(E108=1,IF(OR(Alpha_keep*$A108+P$3&gt;=Floor_c-0.000000001,AND($B108=0,P$3&gt;=Cap_h-0.000000001)),1,0),0)</f>
        <v>0</v>
      </c>
      <c r="Q108" s="14" t="n">
        <f aca="false">IF(F108=1,IF(OR(Alpha_keep*$A108+Q$3&gt;=Floor_c-0.000000001,AND($B108=0,Q$3&gt;=Cap_h-0.000000001)),1,0),0)</f>
        <v>1</v>
      </c>
      <c r="R108" s="14" t="n">
        <f aca="false">IF(G108=1,IF(OR(Alpha_keep*$A108+R$3&gt;=Floor_c-0.000000001,AND($B108=0,R$3&gt;=Cap_h-0.000000001)),1,0),0)</f>
        <v>1</v>
      </c>
      <c r="S108" s="14" t="n">
        <f aca="false">IF(H108=1,IF(OR(Alpha_keep*$A108+S$3&gt;=Floor_c-0.000000001,AND($B108=0,S$3&gt;=Cap_h-0.000000001)),1,0),0)</f>
        <v>1</v>
      </c>
      <c r="T108" s="14" t="n">
        <f aca="false">IF(I108=1,IF(OR(Alpha_keep*$A108+T$3&gt;=Floor_c-0.000000001,AND($B108=0,T$3&gt;=Cap_h-0.000000001)),1,0),0)</f>
        <v>1</v>
      </c>
      <c r="U108" s="14" t="n">
        <f aca="false">IF(J108=1,IF(OR(Alpha_keep*$A108+U$3&gt;=Floor_c-0.000000001,AND($B108=0,U$3&gt;=Cap_h-0.000000001)),1,0),0)</f>
        <v>1</v>
      </c>
      <c r="V108" s="14" t="n">
        <f aca="false">IF(K108=1,IF(OR(Alpha_keep*$A108+V$3&gt;=Floor_c-0.000000001,AND($B108=0,V$3&gt;=Cap_h-0.000000001)),1,0),0)</f>
        <v>1</v>
      </c>
      <c r="W108" s="14" t="n">
        <f aca="false">IF(L108=1,IF(OR(Alpha_keep*$A108+W$3&gt;=Floor_c-0.000000001,AND($B108=0,W$3&gt;=Cap_h-0.000000001)),1,0),0)</f>
        <v>1</v>
      </c>
      <c r="X108" s="14" t="n">
        <f aca="false">IF(M108=1,IF(OR(Alpha_keep*$A108+X$3&gt;=Floor_c-0.000000001,AND($B108=0,X$3&gt;=Cap_h-0.000000001)),1,0),0)</f>
        <v>1</v>
      </c>
      <c r="Y108" s="14" t="n">
        <f aca="false">SUM(C108:M108)</f>
        <v>11</v>
      </c>
      <c r="Z108" s="14" t="n">
        <f aca="false">SUM(N108:X108)</f>
        <v>8</v>
      </c>
      <c r="AA108" s="12" t="n">
        <f aca="false">INDEX($C$3:$M$3,MATCH(1,C108:M108,0))</f>
        <v>0</v>
      </c>
      <c r="AB108" s="12" t="n">
        <f aca="false">INDEX($N$3:$X$3,MATCH(1,N108:X108,0))+(Z108-1)*Step_h</f>
        <v>2.5</v>
      </c>
    </row>
    <row r="109" customFormat="false" ht="15" hidden="false" customHeight="false" outlineLevel="0" collapsed="false">
      <c r="A109" s="12" t="n">
        <f aca="false">A108+Step_c</f>
        <v>56</v>
      </c>
      <c r="B109" s="14" t="n">
        <f aca="false">IF(SUMPRODUCT((Alpha_keep*$A109+$C$3:$M$3&gt;=Floor_c-0.000000001)*(C109:M109))&gt;0,1,0)</f>
        <v>1</v>
      </c>
      <c r="C109" s="14" t="n">
        <f aca="false">IF(AND(Alpha_keep*$A109+C$3-MAX(Loss_w)&gt;=Lo_c-0.000000001,Alpha_keep*$A109+C$3-MIN(Loss_w)&lt;=Hi_c+0.000000001),1,0)</f>
        <v>1</v>
      </c>
      <c r="D109" s="14" t="n">
        <f aca="false">IF(AND(Alpha_keep*$A109+D$3-MAX(Loss_w)&gt;=Lo_c-0.000000001,Alpha_keep*$A109+D$3-MIN(Loss_w)&lt;=Hi_c+0.000000001),1,0)</f>
        <v>1</v>
      </c>
      <c r="E109" s="14" t="n">
        <f aca="false">IF(AND(Alpha_keep*$A109+E$3-MAX(Loss_w)&gt;=Lo_c-0.000000001,Alpha_keep*$A109+E$3-MIN(Loss_w)&lt;=Hi_c+0.000000001),1,0)</f>
        <v>1</v>
      </c>
      <c r="F109" s="14" t="n">
        <f aca="false">IF(AND(Alpha_keep*$A109+F$3-MAX(Loss_w)&gt;=Lo_c-0.000000001,Alpha_keep*$A109+F$3-MIN(Loss_w)&lt;=Hi_c+0.000000001),1,0)</f>
        <v>1</v>
      </c>
      <c r="G109" s="14" t="n">
        <f aca="false">IF(AND(Alpha_keep*$A109+G$3-MAX(Loss_w)&gt;=Lo_c-0.000000001,Alpha_keep*$A109+G$3-MIN(Loss_w)&lt;=Hi_c+0.000000001),1,0)</f>
        <v>1</v>
      </c>
      <c r="H109" s="14" t="n">
        <f aca="false">IF(AND(Alpha_keep*$A109+H$3-MAX(Loss_w)&gt;=Lo_c-0.000000001,Alpha_keep*$A109+H$3-MIN(Loss_w)&lt;=Hi_c+0.000000001),1,0)</f>
        <v>1</v>
      </c>
      <c r="I109" s="14" t="n">
        <f aca="false">IF(AND(Alpha_keep*$A109+I$3-MAX(Loss_w)&gt;=Lo_c-0.000000001,Alpha_keep*$A109+I$3-MIN(Loss_w)&lt;=Hi_c+0.000000001),1,0)</f>
        <v>1</v>
      </c>
      <c r="J109" s="14" t="n">
        <f aca="false">IF(AND(Alpha_keep*$A109+J$3-MAX(Loss_w)&gt;=Lo_c-0.000000001,Alpha_keep*$A109+J$3-MIN(Loss_w)&lt;=Hi_c+0.000000001),1,0)</f>
        <v>1</v>
      </c>
      <c r="K109" s="14" t="n">
        <f aca="false">IF(AND(Alpha_keep*$A109+K$3-MAX(Loss_w)&gt;=Lo_c-0.000000001,Alpha_keep*$A109+K$3-MIN(Loss_w)&lt;=Hi_c+0.000000001),1,0)</f>
        <v>1</v>
      </c>
      <c r="L109" s="14" t="n">
        <f aca="false">IF(AND(Alpha_keep*$A109+L$3-MAX(Loss_w)&gt;=Lo_c-0.000000001,Alpha_keep*$A109+L$3-MIN(Loss_w)&lt;=Hi_c+0.000000001),1,0)</f>
        <v>1</v>
      </c>
      <c r="M109" s="14" t="n">
        <f aca="false">IF(AND(Alpha_keep*$A109+M$3-MAX(Loss_w)&gt;=Lo_c-0.000000001,Alpha_keep*$A109+M$3-MIN(Loss_w)&lt;=Hi_c+0.000000001),1,0)</f>
        <v>1</v>
      </c>
      <c r="N109" s="14" t="n">
        <f aca="false">IF(C109=1,IF(OR(Alpha_keep*$A109+N$3&gt;=Floor_c-0.000000001,AND($B109=0,N$3&gt;=Cap_h-0.000000001)),1,0),0)</f>
        <v>0</v>
      </c>
      <c r="O109" s="14" t="n">
        <f aca="false">IF(D109=1,IF(OR(Alpha_keep*$A109+O$3&gt;=Floor_c-0.000000001,AND($B109=0,O$3&gt;=Cap_h-0.000000001)),1,0),0)</f>
        <v>0</v>
      </c>
      <c r="P109" s="14" t="n">
        <f aca="false">IF(E109=1,IF(OR(Alpha_keep*$A109+P$3&gt;=Floor_c-0.000000001,AND($B109=0,P$3&gt;=Cap_h-0.000000001)),1,0),0)</f>
        <v>1</v>
      </c>
      <c r="Q109" s="14" t="n">
        <f aca="false">IF(F109=1,IF(OR(Alpha_keep*$A109+Q$3&gt;=Floor_c-0.000000001,AND($B109=0,Q$3&gt;=Cap_h-0.000000001)),1,0),0)</f>
        <v>1</v>
      </c>
      <c r="R109" s="14" t="n">
        <f aca="false">IF(G109=1,IF(OR(Alpha_keep*$A109+R$3&gt;=Floor_c-0.000000001,AND($B109=0,R$3&gt;=Cap_h-0.000000001)),1,0),0)</f>
        <v>1</v>
      </c>
      <c r="S109" s="14" t="n">
        <f aca="false">IF(H109=1,IF(OR(Alpha_keep*$A109+S$3&gt;=Floor_c-0.000000001,AND($B109=0,S$3&gt;=Cap_h-0.000000001)),1,0),0)</f>
        <v>1</v>
      </c>
      <c r="T109" s="14" t="n">
        <f aca="false">IF(I109=1,IF(OR(Alpha_keep*$A109+T$3&gt;=Floor_c-0.000000001,AND($B109=0,T$3&gt;=Cap_h-0.000000001)),1,0),0)</f>
        <v>1</v>
      </c>
      <c r="U109" s="14" t="n">
        <f aca="false">IF(J109=1,IF(OR(Alpha_keep*$A109+U$3&gt;=Floor_c-0.000000001,AND($B109=0,U$3&gt;=Cap_h-0.000000001)),1,0),0)</f>
        <v>1</v>
      </c>
      <c r="V109" s="14" t="n">
        <f aca="false">IF(K109=1,IF(OR(Alpha_keep*$A109+V$3&gt;=Floor_c-0.000000001,AND($B109=0,V$3&gt;=Cap_h-0.000000001)),1,0),0)</f>
        <v>1</v>
      </c>
      <c r="W109" s="14" t="n">
        <f aca="false">IF(L109=1,IF(OR(Alpha_keep*$A109+W$3&gt;=Floor_c-0.000000001,AND($B109=0,W$3&gt;=Cap_h-0.000000001)),1,0),0)</f>
        <v>1</v>
      </c>
      <c r="X109" s="14" t="n">
        <f aca="false">IF(M109=1,IF(OR(Alpha_keep*$A109+X$3&gt;=Floor_c-0.000000001,AND($B109=0,X$3&gt;=Cap_h-0.000000001)),1,0),0)</f>
        <v>1</v>
      </c>
      <c r="Y109" s="14" t="n">
        <f aca="false">SUM(C109:M109)</f>
        <v>11</v>
      </c>
      <c r="Z109" s="14" t="n">
        <f aca="false">SUM(N109:X109)</f>
        <v>9</v>
      </c>
      <c r="AA109" s="12" t="n">
        <f aca="false">INDEX($C$3:$M$3,MATCH(1,C109:M109,0))</f>
        <v>0</v>
      </c>
      <c r="AB109" s="12" t="n">
        <f aca="false">INDEX($N$3:$X$3,MATCH(1,N109:X109,0))+(Z109-1)*Step_h</f>
        <v>2.5</v>
      </c>
    </row>
    <row r="110" customFormat="false" ht="15" hidden="false" customHeight="false" outlineLevel="0" collapsed="false">
      <c r="A110" s="12" t="n">
        <f aca="false">A109+Step_c</f>
        <v>56.25</v>
      </c>
      <c r="B110" s="14" t="n">
        <f aca="false">IF(SUMPRODUCT((Alpha_keep*$A110+$C$3:$M$3&gt;=Floor_c-0.000000001)*(C110:M110))&gt;0,1,0)</f>
        <v>1</v>
      </c>
      <c r="C110" s="14" t="n">
        <f aca="false">IF(AND(Alpha_keep*$A110+C$3-MAX(Loss_w)&gt;=Lo_c-0.000000001,Alpha_keep*$A110+C$3-MIN(Loss_w)&lt;=Hi_c+0.000000001),1,0)</f>
        <v>1</v>
      </c>
      <c r="D110" s="14" t="n">
        <f aca="false">IF(AND(Alpha_keep*$A110+D$3-MAX(Loss_w)&gt;=Lo_c-0.000000001,Alpha_keep*$A110+D$3-MIN(Loss_w)&lt;=Hi_c+0.000000001),1,0)</f>
        <v>1</v>
      </c>
      <c r="E110" s="14" t="n">
        <f aca="false">IF(AND(Alpha_keep*$A110+E$3-MAX(Loss_w)&gt;=Lo_c-0.000000001,Alpha_keep*$A110+E$3-MIN(Loss_w)&lt;=Hi_c+0.000000001),1,0)</f>
        <v>1</v>
      </c>
      <c r="F110" s="14" t="n">
        <f aca="false">IF(AND(Alpha_keep*$A110+F$3-MAX(Loss_w)&gt;=Lo_c-0.000000001,Alpha_keep*$A110+F$3-MIN(Loss_w)&lt;=Hi_c+0.000000001),1,0)</f>
        <v>1</v>
      </c>
      <c r="G110" s="14" t="n">
        <f aca="false">IF(AND(Alpha_keep*$A110+G$3-MAX(Loss_w)&gt;=Lo_c-0.000000001,Alpha_keep*$A110+G$3-MIN(Loss_w)&lt;=Hi_c+0.000000001),1,0)</f>
        <v>1</v>
      </c>
      <c r="H110" s="14" t="n">
        <f aca="false">IF(AND(Alpha_keep*$A110+H$3-MAX(Loss_w)&gt;=Lo_c-0.000000001,Alpha_keep*$A110+H$3-MIN(Loss_w)&lt;=Hi_c+0.000000001),1,0)</f>
        <v>1</v>
      </c>
      <c r="I110" s="14" t="n">
        <f aca="false">IF(AND(Alpha_keep*$A110+I$3-MAX(Loss_w)&gt;=Lo_c-0.000000001,Alpha_keep*$A110+I$3-MIN(Loss_w)&lt;=Hi_c+0.000000001),1,0)</f>
        <v>1</v>
      </c>
      <c r="J110" s="14" t="n">
        <f aca="false">IF(AND(Alpha_keep*$A110+J$3-MAX(Loss_w)&gt;=Lo_c-0.000000001,Alpha_keep*$A110+J$3-MIN(Loss_w)&lt;=Hi_c+0.000000001),1,0)</f>
        <v>1</v>
      </c>
      <c r="K110" s="14" t="n">
        <f aca="false">IF(AND(Alpha_keep*$A110+K$3-MAX(Loss_w)&gt;=Lo_c-0.000000001,Alpha_keep*$A110+K$3-MIN(Loss_w)&lt;=Hi_c+0.000000001),1,0)</f>
        <v>1</v>
      </c>
      <c r="L110" s="14" t="n">
        <f aca="false">IF(AND(Alpha_keep*$A110+L$3-MAX(Loss_w)&gt;=Lo_c-0.000000001,Alpha_keep*$A110+L$3-MIN(Loss_w)&lt;=Hi_c+0.000000001),1,0)</f>
        <v>1</v>
      </c>
      <c r="M110" s="14" t="n">
        <f aca="false">IF(AND(Alpha_keep*$A110+M$3-MAX(Loss_w)&gt;=Lo_c-0.000000001,Alpha_keep*$A110+M$3-MIN(Loss_w)&lt;=Hi_c+0.000000001),1,0)</f>
        <v>1</v>
      </c>
      <c r="N110" s="14" t="n">
        <f aca="false">IF(C110=1,IF(OR(Alpha_keep*$A110+N$3&gt;=Floor_c-0.000000001,AND($B110=0,N$3&gt;=Cap_h-0.000000001)),1,0),0)</f>
        <v>0</v>
      </c>
      <c r="O110" s="14" t="n">
        <f aca="false">IF(D110=1,IF(OR(Alpha_keep*$A110+O$3&gt;=Floor_c-0.000000001,AND($B110=0,O$3&gt;=Cap_h-0.000000001)),1,0),0)</f>
        <v>1</v>
      </c>
      <c r="P110" s="14" t="n">
        <f aca="false">IF(E110=1,IF(OR(Alpha_keep*$A110+P$3&gt;=Floor_c-0.000000001,AND($B110=0,P$3&gt;=Cap_h-0.000000001)),1,0),0)</f>
        <v>1</v>
      </c>
      <c r="Q110" s="14" t="n">
        <f aca="false">IF(F110=1,IF(OR(Alpha_keep*$A110+Q$3&gt;=Floor_c-0.000000001,AND($B110=0,Q$3&gt;=Cap_h-0.000000001)),1,0),0)</f>
        <v>1</v>
      </c>
      <c r="R110" s="14" t="n">
        <f aca="false">IF(G110=1,IF(OR(Alpha_keep*$A110+R$3&gt;=Floor_c-0.000000001,AND($B110=0,R$3&gt;=Cap_h-0.000000001)),1,0),0)</f>
        <v>1</v>
      </c>
      <c r="S110" s="14" t="n">
        <f aca="false">IF(H110=1,IF(OR(Alpha_keep*$A110+S$3&gt;=Floor_c-0.000000001,AND($B110=0,S$3&gt;=Cap_h-0.000000001)),1,0),0)</f>
        <v>1</v>
      </c>
      <c r="T110" s="14" t="n">
        <f aca="false">IF(I110=1,IF(OR(Alpha_keep*$A110+T$3&gt;=Floor_c-0.000000001,AND($B110=0,T$3&gt;=Cap_h-0.000000001)),1,0),0)</f>
        <v>1</v>
      </c>
      <c r="U110" s="14" t="n">
        <f aca="false">IF(J110=1,IF(OR(Alpha_keep*$A110+U$3&gt;=Floor_c-0.000000001,AND($B110=0,U$3&gt;=Cap_h-0.000000001)),1,0),0)</f>
        <v>1</v>
      </c>
      <c r="V110" s="14" t="n">
        <f aca="false">IF(K110=1,IF(OR(Alpha_keep*$A110+V$3&gt;=Floor_c-0.000000001,AND($B110=0,V$3&gt;=Cap_h-0.000000001)),1,0),0)</f>
        <v>1</v>
      </c>
      <c r="W110" s="14" t="n">
        <f aca="false">IF(L110=1,IF(OR(Alpha_keep*$A110+W$3&gt;=Floor_c-0.000000001,AND($B110=0,W$3&gt;=Cap_h-0.000000001)),1,0),0)</f>
        <v>1</v>
      </c>
      <c r="X110" s="14" t="n">
        <f aca="false">IF(M110=1,IF(OR(Alpha_keep*$A110+X$3&gt;=Floor_c-0.000000001,AND($B110=0,X$3&gt;=Cap_h-0.000000001)),1,0),0)</f>
        <v>1</v>
      </c>
      <c r="Y110" s="14" t="n">
        <f aca="false">SUM(C110:M110)</f>
        <v>11</v>
      </c>
      <c r="Z110" s="14" t="n">
        <f aca="false">SUM(N110:X110)</f>
        <v>10</v>
      </c>
      <c r="AA110" s="12" t="n">
        <f aca="false">INDEX($C$3:$M$3,MATCH(1,C110:M110,0))</f>
        <v>0</v>
      </c>
      <c r="AB110" s="12" t="n">
        <f aca="false">INDEX($N$3:$X$3,MATCH(1,N110:X110,0))+(Z110-1)*Step_h</f>
        <v>2.5</v>
      </c>
    </row>
    <row r="111" customFormat="false" ht="15" hidden="false" customHeight="false" outlineLevel="0" collapsed="false">
      <c r="A111" s="12" t="n">
        <f aca="false">A110+Step_c</f>
        <v>56.5</v>
      </c>
      <c r="B111" s="14" t="n">
        <f aca="false">IF(SUMPRODUCT((Alpha_keep*$A111+$C$3:$M$3&gt;=Floor_c-0.000000001)*(C111:M111))&gt;0,1,0)</f>
        <v>1</v>
      </c>
      <c r="C111" s="14" t="n">
        <f aca="false">IF(AND(Alpha_keep*$A111+C$3-MAX(Loss_w)&gt;=Lo_c-0.000000001,Alpha_keep*$A111+C$3-MIN(Loss_w)&lt;=Hi_c+0.000000001),1,0)</f>
        <v>1</v>
      </c>
      <c r="D111" s="14" t="n">
        <f aca="false">IF(AND(Alpha_keep*$A111+D$3-MAX(Loss_w)&gt;=Lo_c-0.000000001,Alpha_keep*$A111+D$3-MIN(Loss_w)&lt;=Hi_c+0.000000001),1,0)</f>
        <v>1</v>
      </c>
      <c r="E111" s="14" t="n">
        <f aca="false">IF(AND(Alpha_keep*$A111+E$3-MAX(Loss_w)&gt;=Lo_c-0.000000001,Alpha_keep*$A111+E$3-MIN(Loss_w)&lt;=Hi_c+0.000000001),1,0)</f>
        <v>1</v>
      </c>
      <c r="F111" s="14" t="n">
        <f aca="false">IF(AND(Alpha_keep*$A111+F$3-MAX(Loss_w)&gt;=Lo_c-0.000000001,Alpha_keep*$A111+F$3-MIN(Loss_w)&lt;=Hi_c+0.000000001),1,0)</f>
        <v>1</v>
      </c>
      <c r="G111" s="14" t="n">
        <f aca="false">IF(AND(Alpha_keep*$A111+G$3-MAX(Loss_w)&gt;=Lo_c-0.000000001,Alpha_keep*$A111+G$3-MIN(Loss_w)&lt;=Hi_c+0.000000001),1,0)</f>
        <v>1</v>
      </c>
      <c r="H111" s="14" t="n">
        <f aca="false">IF(AND(Alpha_keep*$A111+H$3-MAX(Loss_w)&gt;=Lo_c-0.000000001,Alpha_keep*$A111+H$3-MIN(Loss_w)&lt;=Hi_c+0.000000001),1,0)</f>
        <v>1</v>
      </c>
      <c r="I111" s="14" t="n">
        <f aca="false">IF(AND(Alpha_keep*$A111+I$3-MAX(Loss_w)&gt;=Lo_c-0.000000001,Alpha_keep*$A111+I$3-MIN(Loss_w)&lt;=Hi_c+0.000000001),1,0)</f>
        <v>1</v>
      </c>
      <c r="J111" s="14" t="n">
        <f aca="false">IF(AND(Alpha_keep*$A111+J$3-MAX(Loss_w)&gt;=Lo_c-0.000000001,Alpha_keep*$A111+J$3-MIN(Loss_w)&lt;=Hi_c+0.000000001),1,0)</f>
        <v>1</v>
      </c>
      <c r="K111" s="14" t="n">
        <f aca="false">IF(AND(Alpha_keep*$A111+K$3-MAX(Loss_w)&gt;=Lo_c-0.000000001,Alpha_keep*$A111+K$3-MIN(Loss_w)&lt;=Hi_c+0.000000001),1,0)</f>
        <v>1</v>
      </c>
      <c r="L111" s="14" t="n">
        <f aca="false">IF(AND(Alpha_keep*$A111+L$3-MAX(Loss_w)&gt;=Lo_c-0.000000001,Alpha_keep*$A111+L$3-MIN(Loss_w)&lt;=Hi_c+0.000000001),1,0)</f>
        <v>1</v>
      </c>
      <c r="M111" s="14" t="n">
        <f aca="false">IF(AND(Alpha_keep*$A111+M$3-MAX(Loss_w)&gt;=Lo_c-0.000000001,Alpha_keep*$A111+M$3-MIN(Loss_w)&lt;=Hi_c+0.000000001),1,0)</f>
        <v>1</v>
      </c>
      <c r="N111" s="14" t="n">
        <f aca="false">IF(C111=1,IF(OR(Alpha_keep*$A111+N$3&gt;=Floor_c-0.000000001,AND($B111=0,N$3&gt;=Cap_h-0.000000001)),1,0),0)</f>
        <v>1</v>
      </c>
      <c r="O111" s="14" t="n">
        <f aca="false">IF(D111=1,IF(OR(Alpha_keep*$A111+O$3&gt;=Floor_c-0.000000001,AND($B111=0,O$3&gt;=Cap_h-0.000000001)),1,0),0)</f>
        <v>1</v>
      </c>
      <c r="P111" s="14" t="n">
        <f aca="false">IF(E111=1,IF(OR(Alpha_keep*$A111+P$3&gt;=Floor_c-0.000000001,AND($B111=0,P$3&gt;=Cap_h-0.000000001)),1,0),0)</f>
        <v>1</v>
      </c>
      <c r="Q111" s="14" t="n">
        <f aca="false">IF(F111=1,IF(OR(Alpha_keep*$A111+Q$3&gt;=Floor_c-0.000000001,AND($B111=0,Q$3&gt;=Cap_h-0.000000001)),1,0),0)</f>
        <v>1</v>
      </c>
      <c r="R111" s="14" t="n">
        <f aca="false">IF(G111=1,IF(OR(Alpha_keep*$A111+R$3&gt;=Floor_c-0.000000001,AND($B111=0,R$3&gt;=Cap_h-0.000000001)),1,0),0)</f>
        <v>1</v>
      </c>
      <c r="S111" s="14" t="n">
        <f aca="false">IF(H111=1,IF(OR(Alpha_keep*$A111+S$3&gt;=Floor_c-0.000000001,AND($B111=0,S$3&gt;=Cap_h-0.000000001)),1,0),0)</f>
        <v>1</v>
      </c>
      <c r="T111" s="14" t="n">
        <f aca="false">IF(I111=1,IF(OR(Alpha_keep*$A111+T$3&gt;=Floor_c-0.000000001,AND($B111=0,T$3&gt;=Cap_h-0.000000001)),1,0),0)</f>
        <v>1</v>
      </c>
      <c r="U111" s="14" t="n">
        <f aca="false">IF(J111=1,IF(OR(Alpha_keep*$A111+U$3&gt;=Floor_c-0.000000001,AND($B111=0,U$3&gt;=Cap_h-0.000000001)),1,0),0)</f>
        <v>1</v>
      </c>
      <c r="V111" s="14" t="n">
        <f aca="false">IF(K111=1,IF(OR(Alpha_keep*$A111+V$3&gt;=Floor_c-0.000000001,AND($B111=0,V$3&gt;=Cap_h-0.000000001)),1,0),0)</f>
        <v>1</v>
      </c>
      <c r="W111" s="14" t="n">
        <f aca="false">IF(L111=1,IF(OR(Alpha_keep*$A111+W$3&gt;=Floor_c-0.000000001,AND($B111=0,W$3&gt;=Cap_h-0.000000001)),1,0),0)</f>
        <v>1</v>
      </c>
      <c r="X111" s="14" t="n">
        <f aca="false">IF(M111=1,IF(OR(Alpha_keep*$A111+X$3&gt;=Floor_c-0.000000001,AND($B111=0,X$3&gt;=Cap_h-0.000000001)),1,0),0)</f>
        <v>1</v>
      </c>
      <c r="Y111" s="14" t="n">
        <f aca="false">SUM(C111:M111)</f>
        <v>11</v>
      </c>
      <c r="Z111" s="14" t="n">
        <f aca="false">SUM(N111:X111)</f>
        <v>11</v>
      </c>
      <c r="AA111" s="12" t="n">
        <f aca="false">INDEX($C$3:$M$3,MATCH(1,C111:M111,0))</f>
        <v>0</v>
      </c>
      <c r="AB111" s="12" t="n">
        <f aca="false">INDEX($N$3:$X$3,MATCH(1,N111:X111,0))+(Z111-1)*Step_h</f>
        <v>2.5</v>
      </c>
    </row>
    <row r="112" customFormat="false" ht="15" hidden="false" customHeight="false" outlineLevel="0" collapsed="false">
      <c r="A112" s="12" t="n">
        <f aca="false">A111+Step_c</f>
        <v>56.75</v>
      </c>
      <c r="B112" s="14" t="n">
        <f aca="false">IF(SUMPRODUCT((Alpha_keep*$A112+$C$3:$M$3&gt;=Floor_c-0.000000001)*(C112:M112))&gt;0,1,0)</f>
        <v>1</v>
      </c>
      <c r="C112" s="14" t="n">
        <f aca="false">IF(AND(Alpha_keep*$A112+C$3-MAX(Loss_w)&gt;=Lo_c-0.000000001,Alpha_keep*$A112+C$3-MIN(Loss_w)&lt;=Hi_c+0.000000001),1,0)</f>
        <v>1</v>
      </c>
      <c r="D112" s="14" t="n">
        <f aca="false">IF(AND(Alpha_keep*$A112+D$3-MAX(Loss_w)&gt;=Lo_c-0.000000001,Alpha_keep*$A112+D$3-MIN(Loss_w)&lt;=Hi_c+0.000000001),1,0)</f>
        <v>1</v>
      </c>
      <c r="E112" s="14" t="n">
        <f aca="false">IF(AND(Alpha_keep*$A112+E$3-MAX(Loss_w)&gt;=Lo_c-0.000000001,Alpha_keep*$A112+E$3-MIN(Loss_w)&lt;=Hi_c+0.000000001),1,0)</f>
        <v>1</v>
      </c>
      <c r="F112" s="14" t="n">
        <f aca="false">IF(AND(Alpha_keep*$A112+F$3-MAX(Loss_w)&gt;=Lo_c-0.000000001,Alpha_keep*$A112+F$3-MIN(Loss_w)&lt;=Hi_c+0.000000001),1,0)</f>
        <v>1</v>
      </c>
      <c r="G112" s="14" t="n">
        <f aca="false">IF(AND(Alpha_keep*$A112+G$3-MAX(Loss_w)&gt;=Lo_c-0.000000001,Alpha_keep*$A112+G$3-MIN(Loss_w)&lt;=Hi_c+0.000000001),1,0)</f>
        <v>1</v>
      </c>
      <c r="H112" s="14" t="n">
        <f aca="false">IF(AND(Alpha_keep*$A112+H$3-MAX(Loss_w)&gt;=Lo_c-0.000000001,Alpha_keep*$A112+H$3-MIN(Loss_w)&lt;=Hi_c+0.000000001),1,0)</f>
        <v>1</v>
      </c>
      <c r="I112" s="14" t="n">
        <f aca="false">IF(AND(Alpha_keep*$A112+I$3-MAX(Loss_w)&gt;=Lo_c-0.000000001,Alpha_keep*$A112+I$3-MIN(Loss_w)&lt;=Hi_c+0.000000001),1,0)</f>
        <v>1</v>
      </c>
      <c r="J112" s="14" t="n">
        <f aca="false">IF(AND(Alpha_keep*$A112+J$3-MAX(Loss_w)&gt;=Lo_c-0.000000001,Alpha_keep*$A112+J$3-MIN(Loss_w)&lt;=Hi_c+0.000000001),1,0)</f>
        <v>1</v>
      </c>
      <c r="K112" s="14" t="n">
        <f aca="false">IF(AND(Alpha_keep*$A112+K$3-MAX(Loss_w)&gt;=Lo_c-0.000000001,Alpha_keep*$A112+K$3-MIN(Loss_w)&lt;=Hi_c+0.000000001),1,0)</f>
        <v>1</v>
      </c>
      <c r="L112" s="14" t="n">
        <f aca="false">IF(AND(Alpha_keep*$A112+L$3-MAX(Loss_w)&gt;=Lo_c-0.000000001,Alpha_keep*$A112+L$3-MIN(Loss_w)&lt;=Hi_c+0.000000001),1,0)</f>
        <v>1</v>
      </c>
      <c r="M112" s="14" t="n">
        <f aca="false">IF(AND(Alpha_keep*$A112+M$3-MAX(Loss_w)&gt;=Lo_c-0.000000001,Alpha_keep*$A112+M$3-MIN(Loss_w)&lt;=Hi_c+0.000000001),1,0)</f>
        <v>1</v>
      </c>
      <c r="N112" s="14" t="n">
        <f aca="false">IF(C112=1,IF(OR(Alpha_keep*$A112+N$3&gt;=Floor_c-0.000000001,AND($B112=0,N$3&gt;=Cap_h-0.000000001)),1,0),0)</f>
        <v>1</v>
      </c>
      <c r="O112" s="14" t="n">
        <f aca="false">IF(D112=1,IF(OR(Alpha_keep*$A112+O$3&gt;=Floor_c-0.000000001,AND($B112=0,O$3&gt;=Cap_h-0.000000001)),1,0),0)</f>
        <v>1</v>
      </c>
      <c r="P112" s="14" t="n">
        <f aca="false">IF(E112=1,IF(OR(Alpha_keep*$A112+P$3&gt;=Floor_c-0.000000001,AND($B112=0,P$3&gt;=Cap_h-0.000000001)),1,0),0)</f>
        <v>1</v>
      </c>
      <c r="Q112" s="14" t="n">
        <f aca="false">IF(F112=1,IF(OR(Alpha_keep*$A112+Q$3&gt;=Floor_c-0.000000001,AND($B112=0,Q$3&gt;=Cap_h-0.000000001)),1,0),0)</f>
        <v>1</v>
      </c>
      <c r="R112" s="14" t="n">
        <f aca="false">IF(G112=1,IF(OR(Alpha_keep*$A112+R$3&gt;=Floor_c-0.000000001,AND($B112=0,R$3&gt;=Cap_h-0.000000001)),1,0),0)</f>
        <v>1</v>
      </c>
      <c r="S112" s="14" t="n">
        <f aca="false">IF(H112=1,IF(OR(Alpha_keep*$A112+S$3&gt;=Floor_c-0.000000001,AND($B112=0,S$3&gt;=Cap_h-0.000000001)),1,0),0)</f>
        <v>1</v>
      </c>
      <c r="T112" s="14" t="n">
        <f aca="false">IF(I112=1,IF(OR(Alpha_keep*$A112+T$3&gt;=Floor_c-0.000000001,AND($B112=0,T$3&gt;=Cap_h-0.000000001)),1,0),0)</f>
        <v>1</v>
      </c>
      <c r="U112" s="14" t="n">
        <f aca="false">IF(J112=1,IF(OR(Alpha_keep*$A112+U$3&gt;=Floor_c-0.000000001,AND($B112=0,U$3&gt;=Cap_h-0.000000001)),1,0),0)</f>
        <v>1</v>
      </c>
      <c r="V112" s="14" t="n">
        <f aca="false">IF(K112=1,IF(OR(Alpha_keep*$A112+V$3&gt;=Floor_c-0.000000001,AND($B112=0,V$3&gt;=Cap_h-0.000000001)),1,0),0)</f>
        <v>1</v>
      </c>
      <c r="W112" s="14" t="n">
        <f aca="false">IF(L112=1,IF(OR(Alpha_keep*$A112+W$3&gt;=Floor_c-0.000000001,AND($B112=0,W$3&gt;=Cap_h-0.000000001)),1,0),0)</f>
        <v>1</v>
      </c>
      <c r="X112" s="14" t="n">
        <f aca="false">IF(M112=1,IF(OR(Alpha_keep*$A112+X$3&gt;=Floor_c-0.000000001,AND($B112=0,X$3&gt;=Cap_h-0.000000001)),1,0),0)</f>
        <v>1</v>
      </c>
      <c r="Y112" s="14" t="n">
        <f aca="false">SUM(C112:M112)</f>
        <v>11</v>
      </c>
      <c r="Z112" s="14" t="n">
        <f aca="false">SUM(N112:X112)</f>
        <v>11</v>
      </c>
      <c r="AA112" s="12" t="n">
        <f aca="false">INDEX($C$3:$M$3,MATCH(1,C112:M112,0))</f>
        <v>0</v>
      </c>
      <c r="AB112" s="12" t="n">
        <f aca="false">INDEX($N$3:$X$3,MATCH(1,N112:X112,0))+(Z112-1)*Step_h</f>
        <v>2.5</v>
      </c>
    </row>
    <row r="113" customFormat="false" ht="15" hidden="false" customHeight="false" outlineLevel="0" collapsed="false">
      <c r="A113" s="12" t="n">
        <f aca="false">A112+Step_c</f>
        <v>57</v>
      </c>
      <c r="B113" s="14" t="n">
        <f aca="false">IF(SUMPRODUCT((Alpha_keep*$A113+$C$3:$M$3&gt;=Floor_c-0.000000001)*(C113:M113))&gt;0,1,0)</f>
        <v>1</v>
      </c>
      <c r="C113" s="14" t="n">
        <f aca="false">IF(AND(Alpha_keep*$A113+C$3-MAX(Loss_w)&gt;=Lo_c-0.000000001,Alpha_keep*$A113+C$3-MIN(Loss_w)&lt;=Hi_c+0.000000001),1,0)</f>
        <v>1</v>
      </c>
      <c r="D113" s="14" t="n">
        <f aca="false">IF(AND(Alpha_keep*$A113+D$3-MAX(Loss_w)&gt;=Lo_c-0.000000001,Alpha_keep*$A113+D$3-MIN(Loss_w)&lt;=Hi_c+0.000000001),1,0)</f>
        <v>1</v>
      </c>
      <c r="E113" s="14" t="n">
        <f aca="false">IF(AND(Alpha_keep*$A113+E$3-MAX(Loss_w)&gt;=Lo_c-0.000000001,Alpha_keep*$A113+E$3-MIN(Loss_w)&lt;=Hi_c+0.000000001),1,0)</f>
        <v>1</v>
      </c>
      <c r="F113" s="14" t="n">
        <f aca="false">IF(AND(Alpha_keep*$A113+F$3-MAX(Loss_w)&gt;=Lo_c-0.000000001,Alpha_keep*$A113+F$3-MIN(Loss_w)&lt;=Hi_c+0.000000001),1,0)</f>
        <v>1</v>
      </c>
      <c r="G113" s="14" t="n">
        <f aca="false">IF(AND(Alpha_keep*$A113+G$3-MAX(Loss_w)&gt;=Lo_c-0.000000001,Alpha_keep*$A113+G$3-MIN(Loss_w)&lt;=Hi_c+0.000000001),1,0)</f>
        <v>1</v>
      </c>
      <c r="H113" s="14" t="n">
        <f aca="false">IF(AND(Alpha_keep*$A113+H$3-MAX(Loss_w)&gt;=Lo_c-0.000000001,Alpha_keep*$A113+H$3-MIN(Loss_w)&lt;=Hi_c+0.000000001),1,0)</f>
        <v>1</v>
      </c>
      <c r="I113" s="14" t="n">
        <f aca="false">IF(AND(Alpha_keep*$A113+I$3-MAX(Loss_w)&gt;=Lo_c-0.000000001,Alpha_keep*$A113+I$3-MIN(Loss_w)&lt;=Hi_c+0.000000001),1,0)</f>
        <v>1</v>
      </c>
      <c r="J113" s="14" t="n">
        <f aca="false">IF(AND(Alpha_keep*$A113+J$3-MAX(Loss_w)&gt;=Lo_c-0.000000001,Alpha_keep*$A113+J$3-MIN(Loss_w)&lt;=Hi_c+0.000000001),1,0)</f>
        <v>1</v>
      </c>
      <c r="K113" s="14" t="n">
        <f aca="false">IF(AND(Alpha_keep*$A113+K$3-MAX(Loss_w)&gt;=Lo_c-0.000000001,Alpha_keep*$A113+K$3-MIN(Loss_w)&lt;=Hi_c+0.000000001),1,0)</f>
        <v>1</v>
      </c>
      <c r="L113" s="14" t="n">
        <f aca="false">IF(AND(Alpha_keep*$A113+L$3-MAX(Loss_w)&gt;=Lo_c-0.000000001,Alpha_keep*$A113+L$3-MIN(Loss_w)&lt;=Hi_c+0.000000001),1,0)</f>
        <v>1</v>
      </c>
      <c r="M113" s="14" t="n">
        <f aca="false">IF(AND(Alpha_keep*$A113+M$3-MAX(Loss_w)&gt;=Lo_c-0.000000001,Alpha_keep*$A113+M$3-MIN(Loss_w)&lt;=Hi_c+0.000000001),1,0)</f>
        <v>1</v>
      </c>
      <c r="N113" s="14" t="n">
        <f aca="false">IF(C113=1,IF(OR(Alpha_keep*$A113+N$3&gt;=Floor_c-0.000000001,AND($B113=0,N$3&gt;=Cap_h-0.000000001)),1,0),0)</f>
        <v>1</v>
      </c>
      <c r="O113" s="14" t="n">
        <f aca="false">IF(D113=1,IF(OR(Alpha_keep*$A113+O$3&gt;=Floor_c-0.000000001,AND($B113=0,O$3&gt;=Cap_h-0.000000001)),1,0),0)</f>
        <v>1</v>
      </c>
      <c r="P113" s="14" t="n">
        <f aca="false">IF(E113=1,IF(OR(Alpha_keep*$A113+P$3&gt;=Floor_c-0.000000001,AND($B113=0,P$3&gt;=Cap_h-0.000000001)),1,0),0)</f>
        <v>1</v>
      </c>
      <c r="Q113" s="14" t="n">
        <f aca="false">IF(F113=1,IF(OR(Alpha_keep*$A113+Q$3&gt;=Floor_c-0.000000001,AND($B113=0,Q$3&gt;=Cap_h-0.000000001)),1,0),0)</f>
        <v>1</v>
      </c>
      <c r="R113" s="14" t="n">
        <f aca="false">IF(G113=1,IF(OR(Alpha_keep*$A113+R$3&gt;=Floor_c-0.000000001,AND($B113=0,R$3&gt;=Cap_h-0.000000001)),1,0),0)</f>
        <v>1</v>
      </c>
      <c r="S113" s="14" t="n">
        <f aca="false">IF(H113=1,IF(OR(Alpha_keep*$A113+S$3&gt;=Floor_c-0.000000001,AND($B113=0,S$3&gt;=Cap_h-0.000000001)),1,0),0)</f>
        <v>1</v>
      </c>
      <c r="T113" s="14" t="n">
        <f aca="false">IF(I113=1,IF(OR(Alpha_keep*$A113+T$3&gt;=Floor_c-0.000000001,AND($B113=0,T$3&gt;=Cap_h-0.000000001)),1,0),0)</f>
        <v>1</v>
      </c>
      <c r="U113" s="14" t="n">
        <f aca="false">IF(J113=1,IF(OR(Alpha_keep*$A113+U$3&gt;=Floor_c-0.000000001,AND($B113=0,U$3&gt;=Cap_h-0.000000001)),1,0),0)</f>
        <v>1</v>
      </c>
      <c r="V113" s="14" t="n">
        <f aca="false">IF(K113=1,IF(OR(Alpha_keep*$A113+V$3&gt;=Floor_c-0.000000001,AND($B113=0,V$3&gt;=Cap_h-0.000000001)),1,0),0)</f>
        <v>1</v>
      </c>
      <c r="W113" s="14" t="n">
        <f aca="false">IF(L113=1,IF(OR(Alpha_keep*$A113+W$3&gt;=Floor_c-0.000000001,AND($B113=0,W$3&gt;=Cap_h-0.000000001)),1,0),0)</f>
        <v>1</v>
      </c>
      <c r="X113" s="14" t="n">
        <f aca="false">IF(M113=1,IF(OR(Alpha_keep*$A113+X$3&gt;=Floor_c-0.000000001,AND($B113=0,X$3&gt;=Cap_h-0.000000001)),1,0),0)</f>
        <v>1</v>
      </c>
      <c r="Y113" s="14" t="n">
        <f aca="false">SUM(C113:M113)</f>
        <v>11</v>
      </c>
      <c r="Z113" s="14" t="n">
        <f aca="false">SUM(N113:X113)</f>
        <v>11</v>
      </c>
      <c r="AA113" s="12" t="n">
        <f aca="false">INDEX($C$3:$M$3,MATCH(1,C113:M113,0))</f>
        <v>0</v>
      </c>
      <c r="AB113" s="12" t="n">
        <f aca="false">INDEX($N$3:$X$3,MATCH(1,N113:X113,0))+(Z113-1)*Step_h</f>
        <v>2.5</v>
      </c>
    </row>
    <row r="114" customFormat="false" ht="15" hidden="false" customHeight="false" outlineLevel="0" collapsed="false">
      <c r="A114" s="12" t="n">
        <f aca="false">A113+Step_c</f>
        <v>57.25</v>
      </c>
      <c r="B114" s="14" t="n">
        <f aca="false">IF(SUMPRODUCT((Alpha_keep*$A114+$C$3:$M$3&gt;=Floor_c-0.000000001)*(C114:M114))&gt;0,1,0)</f>
        <v>1</v>
      </c>
      <c r="C114" s="14" t="n">
        <f aca="false">IF(AND(Alpha_keep*$A114+C$3-MAX(Loss_w)&gt;=Lo_c-0.000000001,Alpha_keep*$A114+C$3-MIN(Loss_w)&lt;=Hi_c+0.000000001),1,0)</f>
        <v>1</v>
      </c>
      <c r="D114" s="14" t="n">
        <f aca="false">IF(AND(Alpha_keep*$A114+D$3-MAX(Loss_w)&gt;=Lo_c-0.000000001,Alpha_keep*$A114+D$3-MIN(Loss_w)&lt;=Hi_c+0.000000001),1,0)</f>
        <v>1</v>
      </c>
      <c r="E114" s="14" t="n">
        <f aca="false">IF(AND(Alpha_keep*$A114+E$3-MAX(Loss_w)&gt;=Lo_c-0.000000001,Alpha_keep*$A114+E$3-MIN(Loss_w)&lt;=Hi_c+0.000000001),1,0)</f>
        <v>1</v>
      </c>
      <c r="F114" s="14" t="n">
        <f aca="false">IF(AND(Alpha_keep*$A114+F$3-MAX(Loss_w)&gt;=Lo_c-0.000000001,Alpha_keep*$A114+F$3-MIN(Loss_w)&lt;=Hi_c+0.000000001),1,0)</f>
        <v>1</v>
      </c>
      <c r="G114" s="14" t="n">
        <f aca="false">IF(AND(Alpha_keep*$A114+G$3-MAX(Loss_w)&gt;=Lo_c-0.000000001,Alpha_keep*$A114+G$3-MIN(Loss_w)&lt;=Hi_c+0.000000001),1,0)</f>
        <v>1</v>
      </c>
      <c r="H114" s="14" t="n">
        <f aca="false">IF(AND(Alpha_keep*$A114+H$3-MAX(Loss_w)&gt;=Lo_c-0.000000001,Alpha_keep*$A114+H$3-MIN(Loss_w)&lt;=Hi_c+0.000000001),1,0)</f>
        <v>1</v>
      </c>
      <c r="I114" s="14" t="n">
        <f aca="false">IF(AND(Alpha_keep*$A114+I$3-MAX(Loss_w)&gt;=Lo_c-0.000000001,Alpha_keep*$A114+I$3-MIN(Loss_w)&lt;=Hi_c+0.000000001),1,0)</f>
        <v>1</v>
      </c>
      <c r="J114" s="14" t="n">
        <f aca="false">IF(AND(Alpha_keep*$A114+J$3-MAX(Loss_w)&gt;=Lo_c-0.000000001,Alpha_keep*$A114+J$3-MIN(Loss_w)&lt;=Hi_c+0.000000001),1,0)</f>
        <v>1</v>
      </c>
      <c r="K114" s="14" t="n">
        <f aca="false">IF(AND(Alpha_keep*$A114+K$3-MAX(Loss_w)&gt;=Lo_c-0.000000001,Alpha_keep*$A114+K$3-MIN(Loss_w)&lt;=Hi_c+0.000000001),1,0)</f>
        <v>1</v>
      </c>
      <c r="L114" s="14" t="n">
        <f aca="false">IF(AND(Alpha_keep*$A114+L$3-MAX(Loss_w)&gt;=Lo_c-0.000000001,Alpha_keep*$A114+L$3-MIN(Loss_w)&lt;=Hi_c+0.000000001),1,0)</f>
        <v>1</v>
      </c>
      <c r="M114" s="14" t="n">
        <f aca="false">IF(AND(Alpha_keep*$A114+M$3-MAX(Loss_w)&gt;=Lo_c-0.000000001,Alpha_keep*$A114+M$3-MIN(Loss_w)&lt;=Hi_c+0.000000001),1,0)</f>
        <v>1</v>
      </c>
      <c r="N114" s="14" t="n">
        <f aca="false">IF(C114=1,IF(OR(Alpha_keep*$A114+N$3&gt;=Floor_c-0.000000001,AND($B114=0,N$3&gt;=Cap_h-0.000000001)),1,0),0)</f>
        <v>1</v>
      </c>
      <c r="O114" s="14" t="n">
        <f aca="false">IF(D114=1,IF(OR(Alpha_keep*$A114+O$3&gt;=Floor_c-0.000000001,AND($B114=0,O$3&gt;=Cap_h-0.000000001)),1,0),0)</f>
        <v>1</v>
      </c>
      <c r="P114" s="14" t="n">
        <f aca="false">IF(E114=1,IF(OR(Alpha_keep*$A114+P$3&gt;=Floor_c-0.000000001,AND($B114=0,P$3&gt;=Cap_h-0.000000001)),1,0),0)</f>
        <v>1</v>
      </c>
      <c r="Q114" s="14" t="n">
        <f aca="false">IF(F114=1,IF(OR(Alpha_keep*$A114+Q$3&gt;=Floor_c-0.000000001,AND($B114=0,Q$3&gt;=Cap_h-0.000000001)),1,0),0)</f>
        <v>1</v>
      </c>
      <c r="R114" s="14" t="n">
        <f aca="false">IF(G114=1,IF(OR(Alpha_keep*$A114+R$3&gt;=Floor_c-0.000000001,AND($B114=0,R$3&gt;=Cap_h-0.000000001)),1,0),0)</f>
        <v>1</v>
      </c>
      <c r="S114" s="14" t="n">
        <f aca="false">IF(H114=1,IF(OR(Alpha_keep*$A114+S$3&gt;=Floor_c-0.000000001,AND($B114=0,S$3&gt;=Cap_h-0.000000001)),1,0),0)</f>
        <v>1</v>
      </c>
      <c r="T114" s="14" t="n">
        <f aca="false">IF(I114=1,IF(OR(Alpha_keep*$A114+T$3&gt;=Floor_c-0.000000001,AND($B114=0,T$3&gt;=Cap_h-0.000000001)),1,0),0)</f>
        <v>1</v>
      </c>
      <c r="U114" s="14" t="n">
        <f aca="false">IF(J114=1,IF(OR(Alpha_keep*$A114+U$3&gt;=Floor_c-0.000000001,AND($B114=0,U$3&gt;=Cap_h-0.000000001)),1,0),0)</f>
        <v>1</v>
      </c>
      <c r="V114" s="14" t="n">
        <f aca="false">IF(K114=1,IF(OR(Alpha_keep*$A114+V$3&gt;=Floor_c-0.000000001,AND($B114=0,V$3&gt;=Cap_h-0.000000001)),1,0),0)</f>
        <v>1</v>
      </c>
      <c r="W114" s="14" t="n">
        <f aca="false">IF(L114=1,IF(OR(Alpha_keep*$A114+W$3&gt;=Floor_c-0.000000001,AND($B114=0,W$3&gt;=Cap_h-0.000000001)),1,0),0)</f>
        <v>1</v>
      </c>
      <c r="X114" s="14" t="n">
        <f aca="false">IF(M114=1,IF(OR(Alpha_keep*$A114+X$3&gt;=Floor_c-0.000000001,AND($B114=0,X$3&gt;=Cap_h-0.000000001)),1,0),0)</f>
        <v>1</v>
      </c>
      <c r="Y114" s="14" t="n">
        <f aca="false">SUM(C114:M114)</f>
        <v>11</v>
      </c>
      <c r="Z114" s="14" t="n">
        <f aca="false">SUM(N114:X114)</f>
        <v>11</v>
      </c>
      <c r="AA114" s="12" t="n">
        <f aca="false">INDEX($C$3:$M$3,MATCH(1,C114:M114,0))</f>
        <v>0</v>
      </c>
      <c r="AB114" s="12" t="n">
        <f aca="false">INDEX($N$3:$X$3,MATCH(1,N114:X114,0))+(Z114-1)*Step_h</f>
        <v>2.5</v>
      </c>
    </row>
    <row r="115" customFormat="false" ht="15" hidden="false" customHeight="false" outlineLevel="0" collapsed="false">
      <c r="A115" s="12" t="n">
        <f aca="false">A114+Step_c</f>
        <v>57.5</v>
      </c>
      <c r="B115" s="14" t="n">
        <f aca="false">IF(SUMPRODUCT((Alpha_keep*$A115+$C$3:$M$3&gt;=Floor_c-0.000000001)*(C115:M115))&gt;0,1,0)</f>
        <v>1</v>
      </c>
      <c r="C115" s="14" t="n">
        <f aca="false">IF(AND(Alpha_keep*$A115+C$3-MAX(Loss_w)&gt;=Lo_c-0.000000001,Alpha_keep*$A115+C$3-MIN(Loss_w)&lt;=Hi_c+0.000000001),1,0)</f>
        <v>1</v>
      </c>
      <c r="D115" s="14" t="n">
        <f aca="false">IF(AND(Alpha_keep*$A115+D$3-MAX(Loss_w)&gt;=Lo_c-0.000000001,Alpha_keep*$A115+D$3-MIN(Loss_w)&lt;=Hi_c+0.000000001),1,0)</f>
        <v>1</v>
      </c>
      <c r="E115" s="14" t="n">
        <f aca="false">IF(AND(Alpha_keep*$A115+E$3-MAX(Loss_w)&gt;=Lo_c-0.000000001,Alpha_keep*$A115+E$3-MIN(Loss_w)&lt;=Hi_c+0.000000001),1,0)</f>
        <v>1</v>
      </c>
      <c r="F115" s="14" t="n">
        <f aca="false">IF(AND(Alpha_keep*$A115+F$3-MAX(Loss_w)&gt;=Lo_c-0.000000001,Alpha_keep*$A115+F$3-MIN(Loss_w)&lt;=Hi_c+0.000000001),1,0)</f>
        <v>1</v>
      </c>
      <c r="G115" s="14" t="n">
        <f aca="false">IF(AND(Alpha_keep*$A115+G$3-MAX(Loss_w)&gt;=Lo_c-0.000000001,Alpha_keep*$A115+G$3-MIN(Loss_w)&lt;=Hi_c+0.000000001),1,0)</f>
        <v>1</v>
      </c>
      <c r="H115" s="14" t="n">
        <f aca="false">IF(AND(Alpha_keep*$A115+H$3-MAX(Loss_w)&gt;=Lo_c-0.000000001,Alpha_keep*$A115+H$3-MIN(Loss_w)&lt;=Hi_c+0.000000001),1,0)</f>
        <v>1</v>
      </c>
      <c r="I115" s="14" t="n">
        <f aca="false">IF(AND(Alpha_keep*$A115+I$3-MAX(Loss_w)&gt;=Lo_c-0.000000001,Alpha_keep*$A115+I$3-MIN(Loss_w)&lt;=Hi_c+0.000000001),1,0)</f>
        <v>1</v>
      </c>
      <c r="J115" s="14" t="n">
        <f aca="false">IF(AND(Alpha_keep*$A115+J$3-MAX(Loss_w)&gt;=Lo_c-0.000000001,Alpha_keep*$A115+J$3-MIN(Loss_w)&lt;=Hi_c+0.000000001),1,0)</f>
        <v>1</v>
      </c>
      <c r="K115" s="14" t="n">
        <f aca="false">IF(AND(Alpha_keep*$A115+K$3-MAX(Loss_w)&gt;=Lo_c-0.000000001,Alpha_keep*$A115+K$3-MIN(Loss_w)&lt;=Hi_c+0.000000001),1,0)</f>
        <v>1</v>
      </c>
      <c r="L115" s="14" t="n">
        <f aca="false">IF(AND(Alpha_keep*$A115+L$3-MAX(Loss_w)&gt;=Lo_c-0.000000001,Alpha_keep*$A115+L$3-MIN(Loss_w)&lt;=Hi_c+0.000000001),1,0)</f>
        <v>1</v>
      </c>
      <c r="M115" s="14" t="n">
        <f aca="false">IF(AND(Alpha_keep*$A115+M$3-MAX(Loss_w)&gt;=Lo_c-0.000000001,Alpha_keep*$A115+M$3-MIN(Loss_w)&lt;=Hi_c+0.000000001),1,0)</f>
        <v>1</v>
      </c>
      <c r="N115" s="14" t="n">
        <f aca="false">IF(C115=1,IF(OR(Alpha_keep*$A115+N$3&gt;=Floor_c-0.000000001,AND($B115=0,N$3&gt;=Cap_h-0.000000001)),1,0),0)</f>
        <v>1</v>
      </c>
      <c r="O115" s="14" t="n">
        <f aca="false">IF(D115=1,IF(OR(Alpha_keep*$A115+O$3&gt;=Floor_c-0.000000001,AND($B115=0,O$3&gt;=Cap_h-0.000000001)),1,0),0)</f>
        <v>1</v>
      </c>
      <c r="P115" s="14" t="n">
        <f aca="false">IF(E115=1,IF(OR(Alpha_keep*$A115+P$3&gt;=Floor_c-0.000000001,AND($B115=0,P$3&gt;=Cap_h-0.000000001)),1,0),0)</f>
        <v>1</v>
      </c>
      <c r="Q115" s="14" t="n">
        <f aca="false">IF(F115=1,IF(OR(Alpha_keep*$A115+Q$3&gt;=Floor_c-0.000000001,AND($B115=0,Q$3&gt;=Cap_h-0.000000001)),1,0),0)</f>
        <v>1</v>
      </c>
      <c r="R115" s="14" t="n">
        <f aca="false">IF(G115=1,IF(OR(Alpha_keep*$A115+R$3&gt;=Floor_c-0.000000001,AND($B115=0,R$3&gt;=Cap_h-0.000000001)),1,0),0)</f>
        <v>1</v>
      </c>
      <c r="S115" s="14" t="n">
        <f aca="false">IF(H115=1,IF(OR(Alpha_keep*$A115+S$3&gt;=Floor_c-0.000000001,AND($B115=0,S$3&gt;=Cap_h-0.000000001)),1,0),0)</f>
        <v>1</v>
      </c>
      <c r="T115" s="14" t="n">
        <f aca="false">IF(I115=1,IF(OR(Alpha_keep*$A115+T$3&gt;=Floor_c-0.000000001,AND($B115=0,T$3&gt;=Cap_h-0.000000001)),1,0),0)</f>
        <v>1</v>
      </c>
      <c r="U115" s="14" t="n">
        <f aca="false">IF(J115=1,IF(OR(Alpha_keep*$A115+U$3&gt;=Floor_c-0.000000001,AND($B115=0,U$3&gt;=Cap_h-0.000000001)),1,0),0)</f>
        <v>1</v>
      </c>
      <c r="V115" s="14" t="n">
        <f aca="false">IF(K115=1,IF(OR(Alpha_keep*$A115+V$3&gt;=Floor_c-0.000000001,AND($B115=0,V$3&gt;=Cap_h-0.000000001)),1,0),0)</f>
        <v>1</v>
      </c>
      <c r="W115" s="14" t="n">
        <f aca="false">IF(L115=1,IF(OR(Alpha_keep*$A115+W$3&gt;=Floor_c-0.000000001,AND($B115=0,W$3&gt;=Cap_h-0.000000001)),1,0),0)</f>
        <v>1</v>
      </c>
      <c r="X115" s="14" t="n">
        <f aca="false">IF(M115=1,IF(OR(Alpha_keep*$A115+X$3&gt;=Floor_c-0.000000001,AND($B115=0,X$3&gt;=Cap_h-0.000000001)),1,0),0)</f>
        <v>1</v>
      </c>
      <c r="Y115" s="14" t="n">
        <f aca="false">SUM(C115:M115)</f>
        <v>11</v>
      </c>
      <c r="Z115" s="14" t="n">
        <f aca="false">SUM(N115:X115)</f>
        <v>11</v>
      </c>
      <c r="AA115" s="12" t="n">
        <f aca="false">INDEX($C$3:$M$3,MATCH(1,C115:M115,0))</f>
        <v>0</v>
      </c>
      <c r="AB115" s="12" t="n">
        <f aca="false">INDEX($N$3:$X$3,MATCH(1,N115:X115,0))+(Z115-1)*Step_h</f>
        <v>2.5</v>
      </c>
    </row>
    <row r="116" customFormat="false" ht="15" hidden="false" customHeight="false" outlineLevel="0" collapsed="false">
      <c r="A116" s="12" t="n">
        <f aca="false">A115+Step_c</f>
        <v>57.75</v>
      </c>
      <c r="B116" s="14" t="n">
        <f aca="false">IF(SUMPRODUCT((Alpha_keep*$A116+$C$3:$M$3&gt;=Floor_c-0.000000001)*(C116:M116))&gt;0,1,0)</f>
        <v>1</v>
      </c>
      <c r="C116" s="14" t="n">
        <f aca="false">IF(AND(Alpha_keep*$A116+C$3-MAX(Loss_w)&gt;=Lo_c-0.000000001,Alpha_keep*$A116+C$3-MIN(Loss_w)&lt;=Hi_c+0.000000001),1,0)</f>
        <v>1</v>
      </c>
      <c r="D116" s="14" t="n">
        <f aca="false">IF(AND(Alpha_keep*$A116+D$3-MAX(Loss_w)&gt;=Lo_c-0.000000001,Alpha_keep*$A116+D$3-MIN(Loss_w)&lt;=Hi_c+0.000000001),1,0)</f>
        <v>1</v>
      </c>
      <c r="E116" s="14" t="n">
        <f aca="false">IF(AND(Alpha_keep*$A116+E$3-MAX(Loss_w)&gt;=Lo_c-0.000000001,Alpha_keep*$A116+E$3-MIN(Loss_w)&lt;=Hi_c+0.000000001),1,0)</f>
        <v>1</v>
      </c>
      <c r="F116" s="14" t="n">
        <f aca="false">IF(AND(Alpha_keep*$A116+F$3-MAX(Loss_w)&gt;=Lo_c-0.000000001,Alpha_keep*$A116+F$3-MIN(Loss_w)&lt;=Hi_c+0.000000001),1,0)</f>
        <v>1</v>
      </c>
      <c r="G116" s="14" t="n">
        <f aca="false">IF(AND(Alpha_keep*$A116+G$3-MAX(Loss_w)&gt;=Lo_c-0.000000001,Alpha_keep*$A116+G$3-MIN(Loss_w)&lt;=Hi_c+0.000000001),1,0)</f>
        <v>1</v>
      </c>
      <c r="H116" s="14" t="n">
        <f aca="false">IF(AND(Alpha_keep*$A116+H$3-MAX(Loss_w)&gt;=Lo_c-0.000000001,Alpha_keep*$A116+H$3-MIN(Loss_w)&lt;=Hi_c+0.000000001),1,0)</f>
        <v>1</v>
      </c>
      <c r="I116" s="14" t="n">
        <f aca="false">IF(AND(Alpha_keep*$A116+I$3-MAX(Loss_w)&gt;=Lo_c-0.000000001,Alpha_keep*$A116+I$3-MIN(Loss_w)&lt;=Hi_c+0.000000001),1,0)</f>
        <v>1</v>
      </c>
      <c r="J116" s="14" t="n">
        <f aca="false">IF(AND(Alpha_keep*$A116+J$3-MAX(Loss_w)&gt;=Lo_c-0.000000001,Alpha_keep*$A116+J$3-MIN(Loss_w)&lt;=Hi_c+0.000000001),1,0)</f>
        <v>1</v>
      </c>
      <c r="K116" s="14" t="n">
        <f aca="false">IF(AND(Alpha_keep*$A116+K$3-MAX(Loss_w)&gt;=Lo_c-0.000000001,Alpha_keep*$A116+K$3-MIN(Loss_w)&lt;=Hi_c+0.000000001),1,0)</f>
        <v>1</v>
      </c>
      <c r="L116" s="14" t="n">
        <f aca="false">IF(AND(Alpha_keep*$A116+L$3-MAX(Loss_w)&gt;=Lo_c-0.000000001,Alpha_keep*$A116+L$3-MIN(Loss_w)&lt;=Hi_c+0.000000001),1,0)</f>
        <v>1</v>
      </c>
      <c r="M116" s="14" t="n">
        <f aca="false">IF(AND(Alpha_keep*$A116+M$3-MAX(Loss_w)&gt;=Lo_c-0.000000001,Alpha_keep*$A116+M$3-MIN(Loss_w)&lt;=Hi_c+0.000000001),1,0)</f>
        <v>1</v>
      </c>
      <c r="N116" s="14" t="n">
        <f aca="false">IF(C116=1,IF(OR(Alpha_keep*$A116+N$3&gt;=Floor_c-0.000000001,AND($B116=0,N$3&gt;=Cap_h-0.000000001)),1,0),0)</f>
        <v>1</v>
      </c>
      <c r="O116" s="14" t="n">
        <f aca="false">IF(D116=1,IF(OR(Alpha_keep*$A116+O$3&gt;=Floor_c-0.000000001,AND($B116=0,O$3&gt;=Cap_h-0.000000001)),1,0),0)</f>
        <v>1</v>
      </c>
      <c r="P116" s="14" t="n">
        <f aca="false">IF(E116=1,IF(OR(Alpha_keep*$A116+P$3&gt;=Floor_c-0.000000001,AND($B116=0,P$3&gt;=Cap_h-0.000000001)),1,0),0)</f>
        <v>1</v>
      </c>
      <c r="Q116" s="14" t="n">
        <f aca="false">IF(F116=1,IF(OR(Alpha_keep*$A116+Q$3&gt;=Floor_c-0.000000001,AND($B116=0,Q$3&gt;=Cap_h-0.000000001)),1,0),0)</f>
        <v>1</v>
      </c>
      <c r="R116" s="14" t="n">
        <f aca="false">IF(G116=1,IF(OR(Alpha_keep*$A116+R$3&gt;=Floor_c-0.000000001,AND($B116=0,R$3&gt;=Cap_h-0.000000001)),1,0),0)</f>
        <v>1</v>
      </c>
      <c r="S116" s="14" t="n">
        <f aca="false">IF(H116=1,IF(OR(Alpha_keep*$A116+S$3&gt;=Floor_c-0.000000001,AND($B116=0,S$3&gt;=Cap_h-0.000000001)),1,0),0)</f>
        <v>1</v>
      </c>
      <c r="T116" s="14" t="n">
        <f aca="false">IF(I116=1,IF(OR(Alpha_keep*$A116+T$3&gt;=Floor_c-0.000000001,AND($B116=0,T$3&gt;=Cap_h-0.000000001)),1,0),0)</f>
        <v>1</v>
      </c>
      <c r="U116" s="14" t="n">
        <f aca="false">IF(J116=1,IF(OR(Alpha_keep*$A116+U$3&gt;=Floor_c-0.000000001,AND($B116=0,U$3&gt;=Cap_h-0.000000001)),1,0),0)</f>
        <v>1</v>
      </c>
      <c r="V116" s="14" t="n">
        <f aca="false">IF(K116=1,IF(OR(Alpha_keep*$A116+V$3&gt;=Floor_c-0.000000001,AND($B116=0,V$3&gt;=Cap_h-0.000000001)),1,0),0)</f>
        <v>1</v>
      </c>
      <c r="W116" s="14" t="n">
        <f aca="false">IF(L116=1,IF(OR(Alpha_keep*$A116+W$3&gt;=Floor_c-0.000000001,AND($B116=0,W$3&gt;=Cap_h-0.000000001)),1,0),0)</f>
        <v>1</v>
      </c>
      <c r="X116" s="14" t="n">
        <f aca="false">IF(M116=1,IF(OR(Alpha_keep*$A116+X$3&gt;=Floor_c-0.000000001,AND($B116=0,X$3&gt;=Cap_h-0.000000001)),1,0),0)</f>
        <v>1</v>
      </c>
      <c r="Y116" s="14" t="n">
        <f aca="false">SUM(C116:M116)</f>
        <v>11</v>
      </c>
      <c r="Z116" s="14" t="n">
        <f aca="false">SUM(N116:X116)</f>
        <v>11</v>
      </c>
      <c r="AA116" s="12" t="n">
        <f aca="false">INDEX($C$3:$M$3,MATCH(1,C116:M116,0))</f>
        <v>0</v>
      </c>
      <c r="AB116" s="12" t="n">
        <f aca="false">INDEX($N$3:$X$3,MATCH(1,N116:X116,0))+(Z116-1)*Step_h</f>
        <v>2.5</v>
      </c>
    </row>
    <row r="117" customFormat="false" ht="15" hidden="false" customHeight="false" outlineLevel="0" collapsed="false">
      <c r="A117" s="12" t="n">
        <f aca="false">A116+Step_c</f>
        <v>58</v>
      </c>
      <c r="B117" s="14" t="n">
        <f aca="false">IF(SUMPRODUCT((Alpha_keep*$A117+$C$3:$M$3&gt;=Floor_c-0.000000001)*(C117:M117))&gt;0,1,0)</f>
        <v>1</v>
      </c>
      <c r="C117" s="14" t="n">
        <f aca="false">IF(AND(Alpha_keep*$A117+C$3-MAX(Loss_w)&gt;=Lo_c-0.000000001,Alpha_keep*$A117+C$3-MIN(Loss_w)&lt;=Hi_c+0.000000001),1,0)</f>
        <v>1</v>
      </c>
      <c r="D117" s="14" t="n">
        <f aca="false">IF(AND(Alpha_keep*$A117+D$3-MAX(Loss_w)&gt;=Lo_c-0.000000001,Alpha_keep*$A117+D$3-MIN(Loss_w)&lt;=Hi_c+0.000000001),1,0)</f>
        <v>1</v>
      </c>
      <c r="E117" s="14" t="n">
        <f aca="false">IF(AND(Alpha_keep*$A117+E$3-MAX(Loss_w)&gt;=Lo_c-0.000000001,Alpha_keep*$A117+E$3-MIN(Loss_w)&lt;=Hi_c+0.000000001),1,0)</f>
        <v>1</v>
      </c>
      <c r="F117" s="14" t="n">
        <f aca="false">IF(AND(Alpha_keep*$A117+F$3-MAX(Loss_w)&gt;=Lo_c-0.000000001,Alpha_keep*$A117+F$3-MIN(Loss_w)&lt;=Hi_c+0.000000001),1,0)</f>
        <v>1</v>
      </c>
      <c r="G117" s="14" t="n">
        <f aca="false">IF(AND(Alpha_keep*$A117+G$3-MAX(Loss_w)&gt;=Lo_c-0.000000001,Alpha_keep*$A117+G$3-MIN(Loss_w)&lt;=Hi_c+0.000000001),1,0)</f>
        <v>1</v>
      </c>
      <c r="H117" s="14" t="n">
        <f aca="false">IF(AND(Alpha_keep*$A117+H$3-MAX(Loss_w)&gt;=Lo_c-0.000000001,Alpha_keep*$A117+H$3-MIN(Loss_w)&lt;=Hi_c+0.000000001),1,0)</f>
        <v>1</v>
      </c>
      <c r="I117" s="14" t="n">
        <f aca="false">IF(AND(Alpha_keep*$A117+I$3-MAX(Loss_w)&gt;=Lo_c-0.000000001,Alpha_keep*$A117+I$3-MIN(Loss_w)&lt;=Hi_c+0.000000001),1,0)</f>
        <v>1</v>
      </c>
      <c r="J117" s="14" t="n">
        <f aca="false">IF(AND(Alpha_keep*$A117+J$3-MAX(Loss_w)&gt;=Lo_c-0.000000001,Alpha_keep*$A117+J$3-MIN(Loss_w)&lt;=Hi_c+0.000000001),1,0)</f>
        <v>1</v>
      </c>
      <c r="K117" s="14" t="n">
        <f aca="false">IF(AND(Alpha_keep*$A117+K$3-MAX(Loss_w)&gt;=Lo_c-0.000000001,Alpha_keep*$A117+K$3-MIN(Loss_w)&lt;=Hi_c+0.000000001),1,0)</f>
        <v>1</v>
      </c>
      <c r="L117" s="14" t="n">
        <f aca="false">IF(AND(Alpha_keep*$A117+L$3-MAX(Loss_w)&gt;=Lo_c-0.000000001,Alpha_keep*$A117+L$3-MIN(Loss_w)&lt;=Hi_c+0.000000001),1,0)</f>
        <v>1</v>
      </c>
      <c r="M117" s="14" t="n">
        <f aca="false">IF(AND(Alpha_keep*$A117+M$3-MAX(Loss_w)&gt;=Lo_c-0.000000001,Alpha_keep*$A117+M$3-MIN(Loss_w)&lt;=Hi_c+0.000000001),1,0)</f>
        <v>1</v>
      </c>
      <c r="N117" s="14" t="n">
        <f aca="false">IF(C117=1,IF(OR(Alpha_keep*$A117+N$3&gt;=Floor_c-0.000000001,AND($B117=0,N$3&gt;=Cap_h-0.000000001)),1,0),0)</f>
        <v>1</v>
      </c>
      <c r="O117" s="14" t="n">
        <f aca="false">IF(D117=1,IF(OR(Alpha_keep*$A117+O$3&gt;=Floor_c-0.000000001,AND($B117=0,O$3&gt;=Cap_h-0.000000001)),1,0),0)</f>
        <v>1</v>
      </c>
      <c r="P117" s="14" t="n">
        <f aca="false">IF(E117=1,IF(OR(Alpha_keep*$A117+P$3&gt;=Floor_c-0.000000001,AND($B117=0,P$3&gt;=Cap_h-0.000000001)),1,0),0)</f>
        <v>1</v>
      </c>
      <c r="Q117" s="14" t="n">
        <f aca="false">IF(F117=1,IF(OR(Alpha_keep*$A117+Q$3&gt;=Floor_c-0.000000001,AND($B117=0,Q$3&gt;=Cap_h-0.000000001)),1,0),0)</f>
        <v>1</v>
      </c>
      <c r="R117" s="14" t="n">
        <f aca="false">IF(G117=1,IF(OR(Alpha_keep*$A117+R$3&gt;=Floor_c-0.000000001,AND($B117=0,R$3&gt;=Cap_h-0.000000001)),1,0),0)</f>
        <v>1</v>
      </c>
      <c r="S117" s="14" t="n">
        <f aca="false">IF(H117=1,IF(OR(Alpha_keep*$A117+S$3&gt;=Floor_c-0.000000001,AND($B117=0,S$3&gt;=Cap_h-0.000000001)),1,0),0)</f>
        <v>1</v>
      </c>
      <c r="T117" s="14" t="n">
        <f aca="false">IF(I117=1,IF(OR(Alpha_keep*$A117+T$3&gt;=Floor_c-0.000000001,AND($B117=0,T$3&gt;=Cap_h-0.000000001)),1,0),0)</f>
        <v>1</v>
      </c>
      <c r="U117" s="14" t="n">
        <f aca="false">IF(J117=1,IF(OR(Alpha_keep*$A117+U$3&gt;=Floor_c-0.000000001,AND($B117=0,U$3&gt;=Cap_h-0.000000001)),1,0),0)</f>
        <v>1</v>
      </c>
      <c r="V117" s="14" t="n">
        <f aca="false">IF(K117=1,IF(OR(Alpha_keep*$A117+V$3&gt;=Floor_c-0.000000001,AND($B117=0,V$3&gt;=Cap_h-0.000000001)),1,0),0)</f>
        <v>1</v>
      </c>
      <c r="W117" s="14" t="n">
        <f aca="false">IF(L117=1,IF(OR(Alpha_keep*$A117+W$3&gt;=Floor_c-0.000000001,AND($B117=0,W$3&gt;=Cap_h-0.000000001)),1,0),0)</f>
        <v>1</v>
      </c>
      <c r="X117" s="14" t="n">
        <f aca="false">IF(M117=1,IF(OR(Alpha_keep*$A117+X$3&gt;=Floor_c-0.000000001,AND($B117=0,X$3&gt;=Cap_h-0.000000001)),1,0),0)</f>
        <v>1</v>
      </c>
      <c r="Y117" s="14" t="n">
        <f aca="false">SUM(C117:M117)</f>
        <v>11</v>
      </c>
      <c r="Z117" s="14" t="n">
        <f aca="false">SUM(N117:X117)</f>
        <v>11</v>
      </c>
      <c r="AA117" s="12" t="n">
        <f aca="false">INDEX($C$3:$M$3,MATCH(1,C117:M117,0))</f>
        <v>0</v>
      </c>
      <c r="AB117" s="12" t="n">
        <f aca="false">INDEX($N$3:$X$3,MATCH(1,N117:X117,0))+(Z117-1)*Step_h</f>
        <v>2.5</v>
      </c>
    </row>
    <row r="118" customFormat="false" ht="15" hidden="false" customHeight="false" outlineLevel="0" collapsed="false">
      <c r="A118" s="12" t="n">
        <f aca="false">A117+Step_c</f>
        <v>58.25</v>
      </c>
      <c r="B118" s="14" t="n">
        <f aca="false">IF(SUMPRODUCT((Alpha_keep*$A118+$C$3:$M$3&gt;=Floor_c-0.000000001)*(C118:M118))&gt;0,1,0)</f>
        <v>1</v>
      </c>
      <c r="C118" s="14" t="n">
        <f aca="false">IF(AND(Alpha_keep*$A118+C$3-MAX(Loss_w)&gt;=Lo_c-0.000000001,Alpha_keep*$A118+C$3-MIN(Loss_w)&lt;=Hi_c+0.000000001),1,0)</f>
        <v>1</v>
      </c>
      <c r="D118" s="14" t="n">
        <f aca="false">IF(AND(Alpha_keep*$A118+D$3-MAX(Loss_w)&gt;=Lo_c-0.000000001,Alpha_keep*$A118+D$3-MIN(Loss_w)&lt;=Hi_c+0.000000001),1,0)</f>
        <v>1</v>
      </c>
      <c r="E118" s="14" t="n">
        <f aca="false">IF(AND(Alpha_keep*$A118+E$3-MAX(Loss_w)&gt;=Lo_c-0.000000001,Alpha_keep*$A118+E$3-MIN(Loss_w)&lt;=Hi_c+0.000000001),1,0)</f>
        <v>1</v>
      </c>
      <c r="F118" s="14" t="n">
        <f aca="false">IF(AND(Alpha_keep*$A118+F$3-MAX(Loss_w)&gt;=Lo_c-0.000000001,Alpha_keep*$A118+F$3-MIN(Loss_w)&lt;=Hi_c+0.000000001),1,0)</f>
        <v>1</v>
      </c>
      <c r="G118" s="14" t="n">
        <f aca="false">IF(AND(Alpha_keep*$A118+G$3-MAX(Loss_w)&gt;=Lo_c-0.000000001,Alpha_keep*$A118+G$3-MIN(Loss_w)&lt;=Hi_c+0.000000001),1,0)</f>
        <v>1</v>
      </c>
      <c r="H118" s="14" t="n">
        <f aca="false">IF(AND(Alpha_keep*$A118+H$3-MAX(Loss_w)&gt;=Lo_c-0.000000001,Alpha_keep*$A118+H$3-MIN(Loss_w)&lt;=Hi_c+0.000000001),1,0)</f>
        <v>1</v>
      </c>
      <c r="I118" s="14" t="n">
        <f aca="false">IF(AND(Alpha_keep*$A118+I$3-MAX(Loss_w)&gt;=Lo_c-0.000000001,Alpha_keep*$A118+I$3-MIN(Loss_w)&lt;=Hi_c+0.000000001),1,0)</f>
        <v>1</v>
      </c>
      <c r="J118" s="14" t="n">
        <f aca="false">IF(AND(Alpha_keep*$A118+J$3-MAX(Loss_w)&gt;=Lo_c-0.000000001,Alpha_keep*$A118+J$3-MIN(Loss_w)&lt;=Hi_c+0.000000001),1,0)</f>
        <v>1</v>
      </c>
      <c r="K118" s="14" t="n">
        <f aca="false">IF(AND(Alpha_keep*$A118+K$3-MAX(Loss_w)&gt;=Lo_c-0.000000001,Alpha_keep*$A118+K$3-MIN(Loss_w)&lt;=Hi_c+0.000000001),1,0)</f>
        <v>1</v>
      </c>
      <c r="L118" s="14" t="n">
        <f aca="false">IF(AND(Alpha_keep*$A118+L$3-MAX(Loss_w)&gt;=Lo_c-0.000000001,Alpha_keep*$A118+L$3-MIN(Loss_w)&lt;=Hi_c+0.000000001),1,0)</f>
        <v>1</v>
      </c>
      <c r="M118" s="14" t="n">
        <f aca="false">IF(AND(Alpha_keep*$A118+M$3-MAX(Loss_w)&gt;=Lo_c-0.000000001,Alpha_keep*$A118+M$3-MIN(Loss_w)&lt;=Hi_c+0.000000001),1,0)</f>
        <v>1</v>
      </c>
      <c r="N118" s="14" t="n">
        <f aca="false">IF(C118=1,IF(OR(Alpha_keep*$A118+N$3&gt;=Floor_c-0.000000001,AND($B118=0,N$3&gt;=Cap_h-0.000000001)),1,0),0)</f>
        <v>1</v>
      </c>
      <c r="O118" s="14" t="n">
        <f aca="false">IF(D118=1,IF(OR(Alpha_keep*$A118+O$3&gt;=Floor_c-0.000000001,AND($B118=0,O$3&gt;=Cap_h-0.000000001)),1,0),0)</f>
        <v>1</v>
      </c>
      <c r="P118" s="14" t="n">
        <f aca="false">IF(E118=1,IF(OR(Alpha_keep*$A118+P$3&gt;=Floor_c-0.000000001,AND($B118=0,P$3&gt;=Cap_h-0.000000001)),1,0),0)</f>
        <v>1</v>
      </c>
      <c r="Q118" s="14" t="n">
        <f aca="false">IF(F118=1,IF(OR(Alpha_keep*$A118+Q$3&gt;=Floor_c-0.000000001,AND($B118=0,Q$3&gt;=Cap_h-0.000000001)),1,0),0)</f>
        <v>1</v>
      </c>
      <c r="R118" s="14" t="n">
        <f aca="false">IF(G118=1,IF(OR(Alpha_keep*$A118+R$3&gt;=Floor_c-0.000000001,AND($B118=0,R$3&gt;=Cap_h-0.000000001)),1,0),0)</f>
        <v>1</v>
      </c>
      <c r="S118" s="14" t="n">
        <f aca="false">IF(H118=1,IF(OR(Alpha_keep*$A118+S$3&gt;=Floor_c-0.000000001,AND($B118=0,S$3&gt;=Cap_h-0.000000001)),1,0),0)</f>
        <v>1</v>
      </c>
      <c r="T118" s="14" t="n">
        <f aca="false">IF(I118=1,IF(OR(Alpha_keep*$A118+T$3&gt;=Floor_c-0.000000001,AND($B118=0,T$3&gt;=Cap_h-0.000000001)),1,0),0)</f>
        <v>1</v>
      </c>
      <c r="U118" s="14" t="n">
        <f aca="false">IF(J118=1,IF(OR(Alpha_keep*$A118+U$3&gt;=Floor_c-0.000000001,AND($B118=0,U$3&gt;=Cap_h-0.000000001)),1,0),0)</f>
        <v>1</v>
      </c>
      <c r="V118" s="14" t="n">
        <f aca="false">IF(K118=1,IF(OR(Alpha_keep*$A118+V$3&gt;=Floor_c-0.000000001,AND($B118=0,V$3&gt;=Cap_h-0.000000001)),1,0),0)</f>
        <v>1</v>
      </c>
      <c r="W118" s="14" t="n">
        <f aca="false">IF(L118=1,IF(OR(Alpha_keep*$A118+W$3&gt;=Floor_c-0.000000001,AND($B118=0,W$3&gt;=Cap_h-0.000000001)),1,0),0)</f>
        <v>1</v>
      </c>
      <c r="X118" s="14" t="n">
        <f aca="false">IF(M118=1,IF(OR(Alpha_keep*$A118+X$3&gt;=Floor_c-0.000000001,AND($B118=0,X$3&gt;=Cap_h-0.000000001)),1,0),0)</f>
        <v>1</v>
      </c>
      <c r="Y118" s="14" t="n">
        <f aca="false">SUM(C118:M118)</f>
        <v>11</v>
      </c>
      <c r="Z118" s="14" t="n">
        <f aca="false">SUM(N118:X118)</f>
        <v>11</v>
      </c>
      <c r="AA118" s="12" t="n">
        <f aca="false">INDEX($C$3:$M$3,MATCH(1,C118:M118,0))</f>
        <v>0</v>
      </c>
      <c r="AB118" s="12" t="n">
        <f aca="false">INDEX($N$3:$X$3,MATCH(1,N118:X118,0))+(Z118-1)*Step_h</f>
        <v>2.5</v>
      </c>
    </row>
    <row r="119" customFormat="false" ht="15" hidden="false" customHeight="false" outlineLevel="0" collapsed="false">
      <c r="A119" s="12" t="n">
        <f aca="false">A118+Step_c</f>
        <v>58.5</v>
      </c>
      <c r="B119" s="14" t="n">
        <f aca="false">IF(SUMPRODUCT((Alpha_keep*$A119+$C$3:$M$3&gt;=Floor_c-0.000000001)*(C119:M119))&gt;0,1,0)</f>
        <v>1</v>
      </c>
      <c r="C119" s="14" t="n">
        <f aca="false">IF(AND(Alpha_keep*$A119+C$3-MAX(Loss_w)&gt;=Lo_c-0.000000001,Alpha_keep*$A119+C$3-MIN(Loss_w)&lt;=Hi_c+0.000000001),1,0)</f>
        <v>1</v>
      </c>
      <c r="D119" s="14" t="n">
        <f aca="false">IF(AND(Alpha_keep*$A119+D$3-MAX(Loss_w)&gt;=Lo_c-0.000000001,Alpha_keep*$A119+D$3-MIN(Loss_w)&lt;=Hi_c+0.000000001),1,0)</f>
        <v>1</v>
      </c>
      <c r="E119" s="14" t="n">
        <f aca="false">IF(AND(Alpha_keep*$A119+E$3-MAX(Loss_w)&gt;=Lo_c-0.000000001,Alpha_keep*$A119+E$3-MIN(Loss_w)&lt;=Hi_c+0.000000001),1,0)</f>
        <v>1</v>
      </c>
      <c r="F119" s="14" t="n">
        <f aca="false">IF(AND(Alpha_keep*$A119+F$3-MAX(Loss_w)&gt;=Lo_c-0.000000001,Alpha_keep*$A119+F$3-MIN(Loss_w)&lt;=Hi_c+0.000000001),1,0)</f>
        <v>1</v>
      </c>
      <c r="G119" s="14" t="n">
        <f aca="false">IF(AND(Alpha_keep*$A119+G$3-MAX(Loss_w)&gt;=Lo_c-0.000000001,Alpha_keep*$A119+G$3-MIN(Loss_w)&lt;=Hi_c+0.000000001),1,0)</f>
        <v>1</v>
      </c>
      <c r="H119" s="14" t="n">
        <f aca="false">IF(AND(Alpha_keep*$A119+H$3-MAX(Loss_w)&gt;=Lo_c-0.000000001,Alpha_keep*$A119+H$3-MIN(Loss_w)&lt;=Hi_c+0.000000001),1,0)</f>
        <v>1</v>
      </c>
      <c r="I119" s="14" t="n">
        <f aca="false">IF(AND(Alpha_keep*$A119+I$3-MAX(Loss_w)&gt;=Lo_c-0.000000001,Alpha_keep*$A119+I$3-MIN(Loss_w)&lt;=Hi_c+0.000000001),1,0)</f>
        <v>1</v>
      </c>
      <c r="J119" s="14" t="n">
        <f aca="false">IF(AND(Alpha_keep*$A119+J$3-MAX(Loss_w)&gt;=Lo_c-0.000000001,Alpha_keep*$A119+J$3-MIN(Loss_w)&lt;=Hi_c+0.000000001),1,0)</f>
        <v>1</v>
      </c>
      <c r="K119" s="14" t="n">
        <f aca="false">IF(AND(Alpha_keep*$A119+K$3-MAX(Loss_w)&gt;=Lo_c-0.000000001,Alpha_keep*$A119+K$3-MIN(Loss_w)&lt;=Hi_c+0.000000001),1,0)</f>
        <v>1</v>
      </c>
      <c r="L119" s="14" t="n">
        <f aca="false">IF(AND(Alpha_keep*$A119+L$3-MAX(Loss_w)&gt;=Lo_c-0.000000001,Alpha_keep*$A119+L$3-MIN(Loss_w)&lt;=Hi_c+0.000000001),1,0)</f>
        <v>1</v>
      </c>
      <c r="M119" s="14" t="n">
        <f aca="false">IF(AND(Alpha_keep*$A119+M$3-MAX(Loss_w)&gt;=Lo_c-0.000000001,Alpha_keep*$A119+M$3-MIN(Loss_w)&lt;=Hi_c+0.000000001),1,0)</f>
        <v>1</v>
      </c>
      <c r="N119" s="14" t="n">
        <f aca="false">IF(C119=1,IF(OR(Alpha_keep*$A119+N$3&gt;=Floor_c-0.000000001,AND($B119=0,N$3&gt;=Cap_h-0.000000001)),1,0),0)</f>
        <v>1</v>
      </c>
      <c r="O119" s="14" t="n">
        <f aca="false">IF(D119=1,IF(OR(Alpha_keep*$A119+O$3&gt;=Floor_c-0.000000001,AND($B119=0,O$3&gt;=Cap_h-0.000000001)),1,0),0)</f>
        <v>1</v>
      </c>
      <c r="P119" s="14" t="n">
        <f aca="false">IF(E119=1,IF(OR(Alpha_keep*$A119+P$3&gt;=Floor_c-0.000000001,AND($B119=0,P$3&gt;=Cap_h-0.000000001)),1,0),0)</f>
        <v>1</v>
      </c>
      <c r="Q119" s="14" t="n">
        <f aca="false">IF(F119=1,IF(OR(Alpha_keep*$A119+Q$3&gt;=Floor_c-0.000000001,AND($B119=0,Q$3&gt;=Cap_h-0.000000001)),1,0),0)</f>
        <v>1</v>
      </c>
      <c r="R119" s="14" t="n">
        <f aca="false">IF(G119=1,IF(OR(Alpha_keep*$A119+R$3&gt;=Floor_c-0.000000001,AND($B119=0,R$3&gt;=Cap_h-0.000000001)),1,0),0)</f>
        <v>1</v>
      </c>
      <c r="S119" s="14" t="n">
        <f aca="false">IF(H119=1,IF(OR(Alpha_keep*$A119+S$3&gt;=Floor_c-0.000000001,AND($B119=0,S$3&gt;=Cap_h-0.000000001)),1,0),0)</f>
        <v>1</v>
      </c>
      <c r="T119" s="14" t="n">
        <f aca="false">IF(I119=1,IF(OR(Alpha_keep*$A119+T$3&gt;=Floor_c-0.000000001,AND($B119=0,T$3&gt;=Cap_h-0.000000001)),1,0),0)</f>
        <v>1</v>
      </c>
      <c r="U119" s="14" t="n">
        <f aca="false">IF(J119=1,IF(OR(Alpha_keep*$A119+U$3&gt;=Floor_c-0.000000001,AND($B119=0,U$3&gt;=Cap_h-0.000000001)),1,0),0)</f>
        <v>1</v>
      </c>
      <c r="V119" s="14" t="n">
        <f aca="false">IF(K119=1,IF(OR(Alpha_keep*$A119+V$3&gt;=Floor_c-0.000000001,AND($B119=0,V$3&gt;=Cap_h-0.000000001)),1,0),0)</f>
        <v>1</v>
      </c>
      <c r="W119" s="14" t="n">
        <f aca="false">IF(L119=1,IF(OR(Alpha_keep*$A119+W$3&gt;=Floor_c-0.000000001,AND($B119=0,W$3&gt;=Cap_h-0.000000001)),1,0),0)</f>
        <v>1</v>
      </c>
      <c r="X119" s="14" t="n">
        <f aca="false">IF(M119=1,IF(OR(Alpha_keep*$A119+X$3&gt;=Floor_c-0.000000001,AND($B119=0,X$3&gt;=Cap_h-0.000000001)),1,0),0)</f>
        <v>1</v>
      </c>
      <c r="Y119" s="14" t="n">
        <f aca="false">SUM(C119:M119)</f>
        <v>11</v>
      </c>
      <c r="Z119" s="14" t="n">
        <f aca="false">SUM(N119:X119)</f>
        <v>11</v>
      </c>
      <c r="AA119" s="12" t="n">
        <f aca="false">INDEX($C$3:$M$3,MATCH(1,C119:M119,0))</f>
        <v>0</v>
      </c>
      <c r="AB119" s="12" t="n">
        <f aca="false">INDEX($N$3:$X$3,MATCH(1,N119:X119,0))+(Z119-1)*Step_h</f>
        <v>2.5</v>
      </c>
    </row>
    <row r="120" customFormat="false" ht="15" hidden="false" customHeight="false" outlineLevel="0" collapsed="false">
      <c r="A120" s="12" t="n">
        <f aca="false">A119+Step_c</f>
        <v>58.75</v>
      </c>
      <c r="B120" s="14" t="n">
        <f aca="false">IF(SUMPRODUCT((Alpha_keep*$A120+$C$3:$M$3&gt;=Floor_c-0.000000001)*(C120:M120))&gt;0,1,0)</f>
        <v>1</v>
      </c>
      <c r="C120" s="14" t="n">
        <f aca="false">IF(AND(Alpha_keep*$A120+C$3-MAX(Loss_w)&gt;=Lo_c-0.000000001,Alpha_keep*$A120+C$3-MIN(Loss_w)&lt;=Hi_c+0.000000001),1,0)</f>
        <v>1</v>
      </c>
      <c r="D120" s="14" t="n">
        <f aca="false">IF(AND(Alpha_keep*$A120+D$3-MAX(Loss_w)&gt;=Lo_c-0.000000001,Alpha_keep*$A120+D$3-MIN(Loss_w)&lt;=Hi_c+0.000000001),1,0)</f>
        <v>1</v>
      </c>
      <c r="E120" s="14" t="n">
        <f aca="false">IF(AND(Alpha_keep*$A120+E$3-MAX(Loss_w)&gt;=Lo_c-0.000000001,Alpha_keep*$A120+E$3-MIN(Loss_w)&lt;=Hi_c+0.000000001),1,0)</f>
        <v>1</v>
      </c>
      <c r="F120" s="14" t="n">
        <f aca="false">IF(AND(Alpha_keep*$A120+F$3-MAX(Loss_w)&gt;=Lo_c-0.000000001,Alpha_keep*$A120+F$3-MIN(Loss_w)&lt;=Hi_c+0.000000001),1,0)</f>
        <v>1</v>
      </c>
      <c r="G120" s="14" t="n">
        <f aca="false">IF(AND(Alpha_keep*$A120+G$3-MAX(Loss_w)&gt;=Lo_c-0.000000001,Alpha_keep*$A120+G$3-MIN(Loss_w)&lt;=Hi_c+0.000000001),1,0)</f>
        <v>1</v>
      </c>
      <c r="H120" s="14" t="n">
        <f aca="false">IF(AND(Alpha_keep*$A120+H$3-MAX(Loss_w)&gt;=Lo_c-0.000000001,Alpha_keep*$A120+H$3-MIN(Loss_w)&lt;=Hi_c+0.000000001),1,0)</f>
        <v>1</v>
      </c>
      <c r="I120" s="14" t="n">
        <f aca="false">IF(AND(Alpha_keep*$A120+I$3-MAX(Loss_w)&gt;=Lo_c-0.000000001,Alpha_keep*$A120+I$3-MIN(Loss_w)&lt;=Hi_c+0.000000001),1,0)</f>
        <v>1</v>
      </c>
      <c r="J120" s="14" t="n">
        <f aca="false">IF(AND(Alpha_keep*$A120+J$3-MAX(Loss_w)&gt;=Lo_c-0.000000001,Alpha_keep*$A120+J$3-MIN(Loss_w)&lt;=Hi_c+0.000000001),1,0)</f>
        <v>1</v>
      </c>
      <c r="K120" s="14" t="n">
        <f aca="false">IF(AND(Alpha_keep*$A120+K$3-MAX(Loss_w)&gt;=Lo_c-0.000000001,Alpha_keep*$A120+K$3-MIN(Loss_w)&lt;=Hi_c+0.000000001),1,0)</f>
        <v>1</v>
      </c>
      <c r="L120" s="14" t="n">
        <f aca="false">IF(AND(Alpha_keep*$A120+L$3-MAX(Loss_w)&gt;=Lo_c-0.000000001,Alpha_keep*$A120+L$3-MIN(Loss_w)&lt;=Hi_c+0.000000001),1,0)</f>
        <v>1</v>
      </c>
      <c r="M120" s="14" t="n">
        <f aca="false">IF(AND(Alpha_keep*$A120+M$3-MAX(Loss_w)&gt;=Lo_c-0.000000001,Alpha_keep*$A120+M$3-MIN(Loss_w)&lt;=Hi_c+0.000000001),1,0)</f>
        <v>1</v>
      </c>
      <c r="N120" s="14" t="n">
        <f aca="false">IF(C120=1,IF(OR(Alpha_keep*$A120+N$3&gt;=Floor_c-0.000000001,AND($B120=0,N$3&gt;=Cap_h-0.000000001)),1,0),0)</f>
        <v>1</v>
      </c>
      <c r="O120" s="14" t="n">
        <f aca="false">IF(D120=1,IF(OR(Alpha_keep*$A120+O$3&gt;=Floor_c-0.000000001,AND($B120=0,O$3&gt;=Cap_h-0.000000001)),1,0),0)</f>
        <v>1</v>
      </c>
      <c r="P120" s="14" t="n">
        <f aca="false">IF(E120=1,IF(OR(Alpha_keep*$A120+P$3&gt;=Floor_c-0.000000001,AND($B120=0,P$3&gt;=Cap_h-0.000000001)),1,0),0)</f>
        <v>1</v>
      </c>
      <c r="Q120" s="14" t="n">
        <f aca="false">IF(F120=1,IF(OR(Alpha_keep*$A120+Q$3&gt;=Floor_c-0.000000001,AND($B120=0,Q$3&gt;=Cap_h-0.000000001)),1,0),0)</f>
        <v>1</v>
      </c>
      <c r="R120" s="14" t="n">
        <f aca="false">IF(G120=1,IF(OR(Alpha_keep*$A120+R$3&gt;=Floor_c-0.000000001,AND($B120=0,R$3&gt;=Cap_h-0.000000001)),1,0),0)</f>
        <v>1</v>
      </c>
      <c r="S120" s="14" t="n">
        <f aca="false">IF(H120=1,IF(OR(Alpha_keep*$A120+S$3&gt;=Floor_c-0.000000001,AND($B120=0,S$3&gt;=Cap_h-0.000000001)),1,0),0)</f>
        <v>1</v>
      </c>
      <c r="T120" s="14" t="n">
        <f aca="false">IF(I120=1,IF(OR(Alpha_keep*$A120+T$3&gt;=Floor_c-0.000000001,AND($B120=0,T$3&gt;=Cap_h-0.000000001)),1,0),0)</f>
        <v>1</v>
      </c>
      <c r="U120" s="14" t="n">
        <f aca="false">IF(J120=1,IF(OR(Alpha_keep*$A120+U$3&gt;=Floor_c-0.000000001,AND($B120=0,U$3&gt;=Cap_h-0.000000001)),1,0),0)</f>
        <v>1</v>
      </c>
      <c r="V120" s="14" t="n">
        <f aca="false">IF(K120=1,IF(OR(Alpha_keep*$A120+V$3&gt;=Floor_c-0.000000001,AND($B120=0,V$3&gt;=Cap_h-0.000000001)),1,0),0)</f>
        <v>1</v>
      </c>
      <c r="W120" s="14" t="n">
        <f aca="false">IF(L120=1,IF(OR(Alpha_keep*$A120+W$3&gt;=Floor_c-0.000000001,AND($B120=0,W$3&gt;=Cap_h-0.000000001)),1,0),0)</f>
        <v>1</v>
      </c>
      <c r="X120" s="14" t="n">
        <f aca="false">IF(M120=1,IF(OR(Alpha_keep*$A120+X$3&gt;=Floor_c-0.000000001,AND($B120=0,X$3&gt;=Cap_h-0.000000001)),1,0),0)</f>
        <v>1</v>
      </c>
      <c r="Y120" s="14" t="n">
        <f aca="false">SUM(C120:M120)</f>
        <v>11</v>
      </c>
      <c r="Z120" s="14" t="n">
        <f aca="false">SUM(N120:X120)</f>
        <v>11</v>
      </c>
      <c r="AA120" s="12" t="n">
        <f aca="false">INDEX($C$3:$M$3,MATCH(1,C120:M120,0))</f>
        <v>0</v>
      </c>
      <c r="AB120" s="12" t="n">
        <f aca="false">INDEX($N$3:$X$3,MATCH(1,N120:X120,0))+(Z120-1)*Step_h</f>
        <v>2.5</v>
      </c>
    </row>
    <row r="121" customFormat="false" ht="15" hidden="false" customHeight="false" outlineLevel="0" collapsed="false">
      <c r="A121" s="12" t="n">
        <f aca="false">A120+Step_c</f>
        <v>59</v>
      </c>
      <c r="B121" s="14" t="n">
        <f aca="false">IF(SUMPRODUCT((Alpha_keep*$A121+$C$3:$M$3&gt;=Floor_c-0.000000001)*(C121:M121))&gt;0,1,0)</f>
        <v>1</v>
      </c>
      <c r="C121" s="14" t="n">
        <f aca="false">IF(AND(Alpha_keep*$A121+C$3-MAX(Loss_w)&gt;=Lo_c-0.000000001,Alpha_keep*$A121+C$3-MIN(Loss_w)&lt;=Hi_c+0.000000001),1,0)</f>
        <v>1</v>
      </c>
      <c r="D121" s="14" t="n">
        <f aca="false">IF(AND(Alpha_keep*$A121+D$3-MAX(Loss_w)&gt;=Lo_c-0.000000001,Alpha_keep*$A121+D$3-MIN(Loss_w)&lt;=Hi_c+0.000000001),1,0)</f>
        <v>1</v>
      </c>
      <c r="E121" s="14" t="n">
        <f aca="false">IF(AND(Alpha_keep*$A121+E$3-MAX(Loss_w)&gt;=Lo_c-0.000000001,Alpha_keep*$A121+E$3-MIN(Loss_w)&lt;=Hi_c+0.000000001),1,0)</f>
        <v>1</v>
      </c>
      <c r="F121" s="14" t="n">
        <f aca="false">IF(AND(Alpha_keep*$A121+F$3-MAX(Loss_w)&gt;=Lo_c-0.000000001,Alpha_keep*$A121+F$3-MIN(Loss_w)&lt;=Hi_c+0.000000001),1,0)</f>
        <v>1</v>
      </c>
      <c r="G121" s="14" t="n">
        <f aca="false">IF(AND(Alpha_keep*$A121+G$3-MAX(Loss_w)&gt;=Lo_c-0.000000001,Alpha_keep*$A121+G$3-MIN(Loss_w)&lt;=Hi_c+0.000000001),1,0)</f>
        <v>1</v>
      </c>
      <c r="H121" s="14" t="n">
        <f aca="false">IF(AND(Alpha_keep*$A121+H$3-MAX(Loss_w)&gt;=Lo_c-0.000000001,Alpha_keep*$A121+H$3-MIN(Loss_w)&lt;=Hi_c+0.000000001),1,0)</f>
        <v>1</v>
      </c>
      <c r="I121" s="14" t="n">
        <f aca="false">IF(AND(Alpha_keep*$A121+I$3-MAX(Loss_w)&gt;=Lo_c-0.000000001,Alpha_keep*$A121+I$3-MIN(Loss_w)&lt;=Hi_c+0.000000001),1,0)</f>
        <v>1</v>
      </c>
      <c r="J121" s="14" t="n">
        <f aca="false">IF(AND(Alpha_keep*$A121+J$3-MAX(Loss_w)&gt;=Lo_c-0.000000001,Alpha_keep*$A121+J$3-MIN(Loss_w)&lt;=Hi_c+0.000000001),1,0)</f>
        <v>1</v>
      </c>
      <c r="K121" s="14" t="n">
        <f aca="false">IF(AND(Alpha_keep*$A121+K$3-MAX(Loss_w)&gt;=Lo_c-0.000000001,Alpha_keep*$A121+K$3-MIN(Loss_w)&lt;=Hi_c+0.000000001),1,0)</f>
        <v>1</v>
      </c>
      <c r="L121" s="14" t="n">
        <f aca="false">IF(AND(Alpha_keep*$A121+L$3-MAX(Loss_w)&gt;=Lo_c-0.000000001,Alpha_keep*$A121+L$3-MIN(Loss_w)&lt;=Hi_c+0.000000001),1,0)</f>
        <v>1</v>
      </c>
      <c r="M121" s="14" t="n">
        <f aca="false">IF(AND(Alpha_keep*$A121+M$3-MAX(Loss_w)&gt;=Lo_c-0.000000001,Alpha_keep*$A121+M$3-MIN(Loss_w)&lt;=Hi_c+0.000000001),1,0)</f>
        <v>1</v>
      </c>
      <c r="N121" s="14" t="n">
        <f aca="false">IF(C121=1,IF(OR(Alpha_keep*$A121+N$3&gt;=Floor_c-0.000000001,AND($B121=0,N$3&gt;=Cap_h-0.000000001)),1,0),0)</f>
        <v>1</v>
      </c>
      <c r="O121" s="14" t="n">
        <f aca="false">IF(D121=1,IF(OR(Alpha_keep*$A121+O$3&gt;=Floor_c-0.000000001,AND($B121=0,O$3&gt;=Cap_h-0.000000001)),1,0),0)</f>
        <v>1</v>
      </c>
      <c r="P121" s="14" t="n">
        <f aca="false">IF(E121=1,IF(OR(Alpha_keep*$A121+P$3&gt;=Floor_c-0.000000001,AND($B121=0,P$3&gt;=Cap_h-0.000000001)),1,0),0)</f>
        <v>1</v>
      </c>
      <c r="Q121" s="14" t="n">
        <f aca="false">IF(F121=1,IF(OR(Alpha_keep*$A121+Q$3&gt;=Floor_c-0.000000001,AND($B121=0,Q$3&gt;=Cap_h-0.000000001)),1,0),0)</f>
        <v>1</v>
      </c>
      <c r="R121" s="14" t="n">
        <f aca="false">IF(G121=1,IF(OR(Alpha_keep*$A121+R$3&gt;=Floor_c-0.000000001,AND($B121=0,R$3&gt;=Cap_h-0.000000001)),1,0),0)</f>
        <v>1</v>
      </c>
      <c r="S121" s="14" t="n">
        <f aca="false">IF(H121=1,IF(OR(Alpha_keep*$A121+S$3&gt;=Floor_c-0.000000001,AND($B121=0,S$3&gt;=Cap_h-0.000000001)),1,0),0)</f>
        <v>1</v>
      </c>
      <c r="T121" s="14" t="n">
        <f aca="false">IF(I121=1,IF(OR(Alpha_keep*$A121+T$3&gt;=Floor_c-0.000000001,AND($B121=0,T$3&gt;=Cap_h-0.000000001)),1,0),0)</f>
        <v>1</v>
      </c>
      <c r="U121" s="14" t="n">
        <f aca="false">IF(J121=1,IF(OR(Alpha_keep*$A121+U$3&gt;=Floor_c-0.000000001,AND($B121=0,U$3&gt;=Cap_h-0.000000001)),1,0),0)</f>
        <v>1</v>
      </c>
      <c r="V121" s="14" t="n">
        <f aca="false">IF(K121=1,IF(OR(Alpha_keep*$A121+V$3&gt;=Floor_c-0.000000001,AND($B121=0,V$3&gt;=Cap_h-0.000000001)),1,0),0)</f>
        <v>1</v>
      </c>
      <c r="W121" s="14" t="n">
        <f aca="false">IF(L121=1,IF(OR(Alpha_keep*$A121+W$3&gt;=Floor_c-0.000000001,AND($B121=0,W$3&gt;=Cap_h-0.000000001)),1,0),0)</f>
        <v>1</v>
      </c>
      <c r="X121" s="14" t="n">
        <f aca="false">IF(M121=1,IF(OR(Alpha_keep*$A121+X$3&gt;=Floor_c-0.000000001,AND($B121=0,X$3&gt;=Cap_h-0.000000001)),1,0),0)</f>
        <v>1</v>
      </c>
      <c r="Y121" s="14" t="n">
        <f aca="false">SUM(C121:M121)</f>
        <v>11</v>
      </c>
      <c r="Z121" s="14" t="n">
        <f aca="false">SUM(N121:X121)</f>
        <v>11</v>
      </c>
      <c r="AA121" s="12" t="n">
        <f aca="false">INDEX($C$3:$M$3,MATCH(1,C121:M121,0))</f>
        <v>0</v>
      </c>
      <c r="AB121" s="12" t="n">
        <f aca="false">INDEX($N$3:$X$3,MATCH(1,N121:X121,0))+(Z121-1)*Step_h</f>
        <v>2.5</v>
      </c>
    </row>
    <row r="122" customFormat="false" ht="15" hidden="false" customHeight="false" outlineLevel="0" collapsed="false">
      <c r="A122" s="12" t="n">
        <f aca="false">A121+Step_c</f>
        <v>59.25</v>
      </c>
      <c r="B122" s="14" t="n">
        <f aca="false">IF(SUMPRODUCT((Alpha_keep*$A122+$C$3:$M$3&gt;=Floor_c-0.000000001)*(C122:M122))&gt;0,1,0)</f>
        <v>1</v>
      </c>
      <c r="C122" s="14" t="n">
        <f aca="false">IF(AND(Alpha_keep*$A122+C$3-MAX(Loss_w)&gt;=Lo_c-0.000000001,Alpha_keep*$A122+C$3-MIN(Loss_w)&lt;=Hi_c+0.000000001),1,0)</f>
        <v>1</v>
      </c>
      <c r="D122" s="14" t="n">
        <f aca="false">IF(AND(Alpha_keep*$A122+D$3-MAX(Loss_w)&gt;=Lo_c-0.000000001,Alpha_keep*$A122+D$3-MIN(Loss_w)&lt;=Hi_c+0.000000001),1,0)</f>
        <v>1</v>
      </c>
      <c r="E122" s="14" t="n">
        <f aca="false">IF(AND(Alpha_keep*$A122+E$3-MAX(Loss_w)&gt;=Lo_c-0.000000001,Alpha_keep*$A122+E$3-MIN(Loss_w)&lt;=Hi_c+0.000000001),1,0)</f>
        <v>1</v>
      </c>
      <c r="F122" s="14" t="n">
        <f aca="false">IF(AND(Alpha_keep*$A122+F$3-MAX(Loss_w)&gt;=Lo_c-0.000000001,Alpha_keep*$A122+F$3-MIN(Loss_w)&lt;=Hi_c+0.000000001),1,0)</f>
        <v>1</v>
      </c>
      <c r="G122" s="14" t="n">
        <f aca="false">IF(AND(Alpha_keep*$A122+G$3-MAX(Loss_w)&gt;=Lo_c-0.000000001,Alpha_keep*$A122+G$3-MIN(Loss_w)&lt;=Hi_c+0.000000001),1,0)</f>
        <v>1</v>
      </c>
      <c r="H122" s="14" t="n">
        <f aca="false">IF(AND(Alpha_keep*$A122+H$3-MAX(Loss_w)&gt;=Lo_c-0.000000001,Alpha_keep*$A122+H$3-MIN(Loss_w)&lt;=Hi_c+0.000000001),1,0)</f>
        <v>1</v>
      </c>
      <c r="I122" s="14" t="n">
        <f aca="false">IF(AND(Alpha_keep*$A122+I$3-MAX(Loss_w)&gt;=Lo_c-0.000000001,Alpha_keep*$A122+I$3-MIN(Loss_w)&lt;=Hi_c+0.000000001),1,0)</f>
        <v>1</v>
      </c>
      <c r="J122" s="14" t="n">
        <f aca="false">IF(AND(Alpha_keep*$A122+J$3-MAX(Loss_w)&gt;=Lo_c-0.000000001,Alpha_keep*$A122+J$3-MIN(Loss_w)&lt;=Hi_c+0.000000001),1,0)</f>
        <v>1</v>
      </c>
      <c r="K122" s="14" t="n">
        <f aca="false">IF(AND(Alpha_keep*$A122+K$3-MAX(Loss_w)&gt;=Lo_c-0.000000001,Alpha_keep*$A122+K$3-MIN(Loss_w)&lt;=Hi_c+0.000000001),1,0)</f>
        <v>1</v>
      </c>
      <c r="L122" s="14" t="n">
        <f aca="false">IF(AND(Alpha_keep*$A122+L$3-MAX(Loss_w)&gt;=Lo_c-0.000000001,Alpha_keep*$A122+L$3-MIN(Loss_w)&lt;=Hi_c+0.000000001),1,0)</f>
        <v>1</v>
      </c>
      <c r="M122" s="14" t="n">
        <f aca="false">IF(AND(Alpha_keep*$A122+M$3-MAX(Loss_w)&gt;=Lo_c-0.000000001,Alpha_keep*$A122+M$3-MIN(Loss_w)&lt;=Hi_c+0.000000001),1,0)</f>
        <v>1</v>
      </c>
      <c r="N122" s="14" t="n">
        <f aca="false">IF(C122=1,IF(OR(Alpha_keep*$A122+N$3&gt;=Floor_c-0.000000001,AND($B122=0,N$3&gt;=Cap_h-0.000000001)),1,0),0)</f>
        <v>1</v>
      </c>
      <c r="O122" s="14" t="n">
        <f aca="false">IF(D122=1,IF(OR(Alpha_keep*$A122+O$3&gt;=Floor_c-0.000000001,AND($B122=0,O$3&gt;=Cap_h-0.000000001)),1,0),0)</f>
        <v>1</v>
      </c>
      <c r="P122" s="14" t="n">
        <f aca="false">IF(E122=1,IF(OR(Alpha_keep*$A122+P$3&gt;=Floor_c-0.000000001,AND($B122=0,P$3&gt;=Cap_h-0.000000001)),1,0),0)</f>
        <v>1</v>
      </c>
      <c r="Q122" s="14" t="n">
        <f aca="false">IF(F122=1,IF(OR(Alpha_keep*$A122+Q$3&gt;=Floor_c-0.000000001,AND($B122=0,Q$3&gt;=Cap_h-0.000000001)),1,0),0)</f>
        <v>1</v>
      </c>
      <c r="R122" s="14" t="n">
        <f aca="false">IF(G122=1,IF(OR(Alpha_keep*$A122+R$3&gt;=Floor_c-0.000000001,AND($B122=0,R$3&gt;=Cap_h-0.000000001)),1,0),0)</f>
        <v>1</v>
      </c>
      <c r="S122" s="14" t="n">
        <f aca="false">IF(H122=1,IF(OR(Alpha_keep*$A122+S$3&gt;=Floor_c-0.000000001,AND($B122=0,S$3&gt;=Cap_h-0.000000001)),1,0),0)</f>
        <v>1</v>
      </c>
      <c r="T122" s="14" t="n">
        <f aca="false">IF(I122=1,IF(OR(Alpha_keep*$A122+T$3&gt;=Floor_c-0.000000001,AND($B122=0,T$3&gt;=Cap_h-0.000000001)),1,0),0)</f>
        <v>1</v>
      </c>
      <c r="U122" s="14" t="n">
        <f aca="false">IF(J122=1,IF(OR(Alpha_keep*$A122+U$3&gt;=Floor_c-0.000000001,AND($B122=0,U$3&gt;=Cap_h-0.000000001)),1,0),0)</f>
        <v>1</v>
      </c>
      <c r="V122" s="14" t="n">
        <f aca="false">IF(K122=1,IF(OR(Alpha_keep*$A122+V$3&gt;=Floor_c-0.000000001,AND($B122=0,V$3&gt;=Cap_h-0.000000001)),1,0),0)</f>
        <v>1</v>
      </c>
      <c r="W122" s="14" t="n">
        <f aca="false">IF(L122=1,IF(OR(Alpha_keep*$A122+W$3&gt;=Floor_c-0.000000001,AND($B122=0,W$3&gt;=Cap_h-0.000000001)),1,0),0)</f>
        <v>1</v>
      </c>
      <c r="X122" s="14" t="n">
        <f aca="false">IF(M122=1,IF(OR(Alpha_keep*$A122+X$3&gt;=Floor_c-0.000000001,AND($B122=0,X$3&gt;=Cap_h-0.000000001)),1,0),0)</f>
        <v>1</v>
      </c>
      <c r="Y122" s="14" t="n">
        <f aca="false">SUM(C122:M122)</f>
        <v>11</v>
      </c>
      <c r="Z122" s="14" t="n">
        <f aca="false">SUM(N122:X122)</f>
        <v>11</v>
      </c>
      <c r="AA122" s="12" t="n">
        <f aca="false">INDEX($C$3:$M$3,MATCH(1,C122:M122,0))</f>
        <v>0</v>
      </c>
      <c r="AB122" s="12" t="n">
        <f aca="false">INDEX($N$3:$X$3,MATCH(1,N122:X122,0))+(Z122-1)*Step_h</f>
        <v>2.5</v>
      </c>
    </row>
    <row r="123" customFormat="false" ht="15" hidden="false" customHeight="false" outlineLevel="0" collapsed="false">
      <c r="A123" s="12" t="n">
        <f aca="false">A122+Step_c</f>
        <v>59.5</v>
      </c>
      <c r="B123" s="14" t="n">
        <f aca="false">IF(SUMPRODUCT((Alpha_keep*$A123+$C$3:$M$3&gt;=Floor_c-0.000000001)*(C123:M123))&gt;0,1,0)</f>
        <v>1</v>
      </c>
      <c r="C123" s="14" t="n">
        <f aca="false">IF(AND(Alpha_keep*$A123+C$3-MAX(Loss_w)&gt;=Lo_c-0.000000001,Alpha_keep*$A123+C$3-MIN(Loss_w)&lt;=Hi_c+0.000000001),1,0)</f>
        <v>1</v>
      </c>
      <c r="D123" s="14" t="n">
        <f aca="false">IF(AND(Alpha_keep*$A123+D$3-MAX(Loss_w)&gt;=Lo_c-0.000000001,Alpha_keep*$A123+D$3-MIN(Loss_w)&lt;=Hi_c+0.000000001),1,0)</f>
        <v>1</v>
      </c>
      <c r="E123" s="14" t="n">
        <f aca="false">IF(AND(Alpha_keep*$A123+E$3-MAX(Loss_w)&gt;=Lo_c-0.000000001,Alpha_keep*$A123+E$3-MIN(Loss_w)&lt;=Hi_c+0.000000001),1,0)</f>
        <v>1</v>
      </c>
      <c r="F123" s="14" t="n">
        <f aca="false">IF(AND(Alpha_keep*$A123+F$3-MAX(Loss_w)&gt;=Lo_c-0.000000001,Alpha_keep*$A123+F$3-MIN(Loss_w)&lt;=Hi_c+0.000000001),1,0)</f>
        <v>1</v>
      </c>
      <c r="G123" s="14" t="n">
        <f aca="false">IF(AND(Alpha_keep*$A123+G$3-MAX(Loss_w)&gt;=Lo_c-0.000000001,Alpha_keep*$A123+G$3-MIN(Loss_w)&lt;=Hi_c+0.000000001),1,0)</f>
        <v>1</v>
      </c>
      <c r="H123" s="14" t="n">
        <f aca="false">IF(AND(Alpha_keep*$A123+H$3-MAX(Loss_w)&gt;=Lo_c-0.000000001,Alpha_keep*$A123+H$3-MIN(Loss_w)&lt;=Hi_c+0.000000001),1,0)</f>
        <v>1</v>
      </c>
      <c r="I123" s="14" t="n">
        <f aca="false">IF(AND(Alpha_keep*$A123+I$3-MAX(Loss_w)&gt;=Lo_c-0.000000001,Alpha_keep*$A123+I$3-MIN(Loss_w)&lt;=Hi_c+0.000000001),1,0)</f>
        <v>1</v>
      </c>
      <c r="J123" s="14" t="n">
        <f aca="false">IF(AND(Alpha_keep*$A123+J$3-MAX(Loss_w)&gt;=Lo_c-0.000000001,Alpha_keep*$A123+J$3-MIN(Loss_w)&lt;=Hi_c+0.000000001),1,0)</f>
        <v>1</v>
      </c>
      <c r="K123" s="14" t="n">
        <f aca="false">IF(AND(Alpha_keep*$A123+K$3-MAX(Loss_w)&gt;=Lo_c-0.000000001,Alpha_keep*$A123+K$3-MIN(Loss_w)&lt;=Hi_c+0.000000001),1,0)</f>
        <v>1</v>
      </c>
      <c r="L123" s="14" t="n">
        <f aca="false">IF(AND(Alpha_keep*$A123+L$3-MAX(Loss_w)&gt;=Lo_c-0.000000001,Alpha_keep*$A123+L$3-MIN(Loss_w)&lt;=Hi_c+0.000000001),1,0)</f>
        <v>1</v>
      </c>
      <c r="M123" s="14" t="n">
        <f aca="false">IF(AND(Alpha_keep*$A123+M$3-MAX(Loss_w)&gt;=Lo_c-0.000000001,Alpha_keep*$A123+M$3-MIN(Loss_w)&lt;=Hi_c+0.000000001),1,0)</f>
        <v>1</v>
      </c>
      <c r="N123" s="14" t="n">
        <f aca="false">IF(C123=1,IF(OR(Alpha_keep*$A123+N$3&gt;=Floor_c-0.000000001,AND($B123=0,N$3&gt;=Cap_h-0.000000001)),1,0),0)</f>
        <v>1</v>
      </c>
      <c r="O123" s="14" t="n">
        <f aca="false">IF(D123=1,IF(OR(Alpha_keep*$A123+O$3&gt;=Floor_c-0.000000001,AND($B123=0,O$3&gt;=Cap_h-0.000000001)),1,0),0)</f>
        <v>1</v>
      </c>
      <c r="P123" s="14" t="n">
        <f aca="false">IF(E123=1,IF(OR(Alpha_keep*$A123+P$3&gt;=Floor_c-0.000000001,AND($B123=0,P$3&gt;=Cap_h-0.000000001)),1,0),0)</f>
        <v>1</v>
      </c>
      <c r="Q123" s="14" t="n">
        <f aca="false">IF(F123=1,IF(OR(Alpha_keep*$A123+Q$3&gt;=Floor_c-0.000000001,AND($B123=0,Q$3&gt;=Cap_h-0.000000001)),1,0),0)</f>
        <v>1</v>
      </c>
      <c r="R123" s="14" t="n">
        <f aca="false">IF(G123=1,IF(OR(Alpha_keep*$A123+R$3&gt;=Floor_c-0.000000001,AND($B123=0,R$3&gt;=Cap_h-0.000000001)),1,0),0)</f>
        <v>1</v>
      </c>
      <c r="S123" s="14" t="n">
        <f aca="false">IF(H123=1,IF(OR(Alpha_keep*$A123+S$3&gt;=Floor_c-0.000000001,AND($B123=0,S$3&gt;=Cap_h-0.000000001)),1,0),0)</f>
        <v>1</v>
      </c>
      <c r="T123" s="14" t="n">
        <f aca="false">IF(I123=1,IF(OR(Alpha_keep*$A123+T$3&gt;=Floor_c-0.000000001,AND($B123=0,T$3&gt;=Cap_h-0.000000001)),1,0),0)</f>
        <v>1</v>
      </c>
      <c r="U123" s="14" t="n">
        <f aca="false">IF(J123=1,IF(OR(Alpha_keep*$A123+U$3&gt;=Floor_c-0.000000001,AND($B123=0,U$3&gt;=Cap_h-0.000000001)),1,0),0)</f>
        <v>1</v>
      </c>
      <c r="V123" s="14" t="n">
        <f aca="false">IF(K123=1,IF(OR(Alpha_keep*$A123+V$3&gt;=Floor_c-0.000000001,AND($B123=0,V$3&gt;=Cap_h-0.000000001)),1,0),0)</f>
        <v>1</v>
      </c>
      <c r="W123" s="14" t="n">
        <f aca="false">IF(L123=1,IF(OR(Alpha_keep*$A123+W$3&gt;=Floor_c-0.000000001,AND($B123=0,W$3&gt;=Cap_h-0.000000001)),1,0),0)</f>
        <v>1</v>
      </c>
      <c r="X123" s="14" t="n">
        <f aca="false">IF(M123=1,IF(OR(Alpha_keep*$A123+X$3&gt;=Floor_c-0.000000001,AND($B123=0,X$3&gt;=Cap_h-0.000000001)),1,0),0)</f>
        <v>1</v>
      </c>
      <c r="Y123" s="14" t="n">
        <f aca="false">SUM(C123:M123)</f>
        <v>11</v>
      </c>
      <c r="Z123" s="14" t="n">
        <f aca="false">SUM(N123:X123)</f>
        <v>11</v>
      </c>
      <c r="AA123" s="12" t="n">
        <f aca="false">INDEX($C$3:$M$3,MATCH(1,C123:M123,0))</f>
        <v>0</v>
      </c>
      <c r="AB123" s="12" t="n">
        <f aca="false">INDEX($N$3:$X$3,MATCH(1,N123:X123,0))+(Z123-1)*Step_h</f>
        <v>2.5</v>
      </c>
    </row>
    <row r="124" customFormat="false" ht="15" hidden="false" customHeight="false" outlineLevel="0" collapsed="false">
      <c r="A124" s="12" t="n">
        <f aca="false">A123+Step_c</f>
        <v>59.75</v>
      </c>
      <c r="B124" s="14" t="n">
        <f aca="false">IF(SUMPRODUCT((Alpha_keep*$A124+$C$3:$M$3&gt;=Floor_c-0.000000001)*(C124:M124))&gt;0,1,0)</f>
        <v>1</v>
      </c>
      <c r="C124" s="14" t="n">
        <f aca="false">IF(AND(Alpha_keep*$A124+C$3-MAX(Loss_w)&gt;=Lo_c-0.000000001,Alpha_keep*$A124+C$3-MIN(Loss_w)&lt;=Hi_c+0.000000001),1,0)</f>
        <v>1</v>
      </c>
      <c r="D124" s="14" t="n">
        <f aca="false">IF(AND(Alpha_keep*$A124+D$3-MAX(Loss_w)&gt;=Lo_c-0.000000001,Alpha_keep*$A124+D$3-MIN(Loss_w)&lt;=Hi_c+0.000000001),1,0)</f>
        <v>1</v>
      </c>
      <c r="E124" s="14" t="n">
        <f aca="false">IF(AND(Alpha_keep*$A124+E$3-MAX(Loss_w)&gt;=Lo_c-0.000000001,Alpha_keep*$A124+E$3-MIN(Loss_w)&lt;=Hi_c+0.000000001),1,0)</f>
        <v>1</v>
      </c>
      <c r="F124" s="14" t="n">
        <f aca="false">IF(AND(Alpha_keep*$A124+F$3-MAX(Loss_w)&gt;=Lo_c-0.000000001,Alpha_keep*$A124+F$3-MIN(Loss_w)&lt;=Hi_c+0.000000001),1,0)</f>
        <v>1</v>
      </c>
      <c r="G124" s="14" t="n">
        <f aca="false">IF(AND(Alpha_keep*$A124+G$3-MAX(Loss_w)&gt;=Lo_c-0.000000001,Alpha_keep*$A124+G$3-MIN(Loss_w)&lt;=Hi_c+0.000000001),1,0)</f>
        <v>1</v>
      </c>
      <c r="H124" s="14" t="n">
        <f aca="false">IF(AND(Alpha_keep*$A124+H$3-MAX(Loss_w)&gt;=Lo_c-0.000000001,Alpha_keep*$A124+H$3-MIN(Loss_w)&lt;=Hi_c+0.000000001),1,0)</f>
        <v>1</v>
      </c>
      <c r="I124" s="14" t="n">
        <f aca="false">IF(AND(Alpha_keep*$A124+I$3-MAX(Loss_w)&gt;=Lo_c-0.000000001,Alpha_keep*$A124+I$3-MIN(Loss_w)&lt;=Hi_c+0.000000001),1,0)</f>
        <v>1</v>
      </c>
      <c r="J124" s="14" t="n">
        <f aca="false">IF(AND(Alpha_keep*$A124+J$3-MAX(Loss_w)&gt;=Lo_c-0.000000001,Alpha_keep*$A124+J$3-MIN(Loss_w)&lt;=Hi_c+0.000000001),1,0)</f>
        <v>1</v>
      </c>
      <c r="K124" s="14" t="n">
        <f aca="false">IF(AND(Alpha_keep*$A124+K$3-MAX(Loss_w)&gt;=Lo_c-0.000000001,Alpha_keep*$A124+K$3-MIN(Loss_w)&lt;=Hi_c+0.000000001),1,0)</f>
        <v>1</v>
      </c>
      <c r="L124" s="14" t="n">
        <f aca="false">IF(AND(Alpha_keep*$A124+L$3-MAX(Loss_w)&gt;=Lo_c-0.000000001,Alpha_keep*$A124+L$3-MIN(Loss_w)&lt;=Hi_c+0.000000001),1,0)</f>
        <v>1</v>
      </c>
      <c r="M124" s="14" t="n">
        <f aca="false">IF(AND(Alpha_keep*$A124+M$3-MAX(Loss_w)&gt;=Lo_c-0.000000001,Alpha_keep*$A124+M$3-MIN(Loss_w)&lt;=Hi_c+0.000000001),1,0)</f>
        <v>1</v>
      </c>
      <c r="N124" s="14" t="n">
        <f aca="false">IF(C124=1,IF(OR(Alpha_keep*$A124+N$3&gt;=Floor_c-0.000000001,AND($B124=0,N$3&gt;=Cap_h-0.000000001)),1,0),0)</f>
        <v>1</v>
      </c>
      <c r="O124" s="14" t="n">
        <f aca="false">IF(D124=1,IF(OR(Alpha_keep*$A124+O$3&gt;=Floor_c-0.000000001,AND($B124=0,O$3&gt;=Cap_h-0.000000001)),1,0),0)</f>
        <v>1</v>
      </c>
      <c r="P124" s="14" t="n">
        <f aca="false">IF(E124=1,IF(OR(Alpha_keep*$A124+P$3&gt;=Floor_c-0.000000001,AND($B124=0,P$3&gt;=Cap_h-0.000000001)),1,0),0)</f>
        <v>1</v>
      </c>
      <c r="Q124" s="14" t="n">
        <f aca="false">IF(F124=1,IF(OR(Alpha_keep*$A124+Q$3&gt;=Floor_c-0.000000001,AND($B124=0,Q$3&gt;=Cap_h-0.000000001)),1,0),0)</f>
        <v>1</v>
      </c>
      <c r="R124" s="14" t="n">
        <f aca="false">IF(G124=1,IF(OR(Alpha_keep*$A124+R$3&gt;=Floor_c-0.000000001,AND($B124=0,R$3&gt;=Cap_h-0.000000001)),1,0),0)</f>
        <v>1</v>
      </c>
      <c r="S124" s="14" t="n">
        <f aca="false">IF(H124=1,IF(OR(Alpha_keep*$A124+S$3&gt;=Floor_c-0.000000001,AND($B124=0,S$3&gt;=Cap_h-0.000000001)),1,0),0)</f>
        <v>1</v>
      </c>
      <c r="T124" s="14" t="n">
        <f aca="false">IF(I124=1,IF(OR(Alpha_keep*$A124+T$3&gt;=Floor_c-0.000000001,AND($B124=0,T$3&gt;=Cap_h-0.000000001)),1,0),0)</f>
        <v>1</v>
      </c>
      <c r="U124" s="14" t="n">
        <f aca="false">IF(J124=1,IF(OR(Alpha_keep*$A124+U$3&gt;=Floor_c-0.000000001,AND($B124=0,U$3&gt;=Cap_h-0.000000001)),1,0),0)</f>
        <v>1</v>
      </c>
      <c r="V124" s="14" t="n">
        <f aca="false">IF(K124=1,IF(OR(Alpha_keep*$A124+V$3&gt;=Floor_c-0.000000001,AND($B124=0,V$3&gt;=Cap_h-0.000000001)),1,0),0)</f>
        <v>1</v>
      </c>
      <c r="W124" s="14" t="n">
        <f aca="false">IF(L124=1,IF(OR(Alpha_keep*$A124+W$3&gt;=Floor_c-0.000000001,AND($B124=0,W$3&gt;=Cap_h-0.000000001)),1,0),0)</f>
        <v>1</v>
      </c>
      <c r="X124" s="14" t="n">
        <f aca="false">IF(M124=1,IF(OR(Alpha_keep*$A124+X$3&gt;=Floor_c-0.000000001,AND($B124=0,X$3&gt;=Cap_h-0.000000001)),1,0),0)</f>
        <v>1</v>
      </c>
      <c r="Y124" s="14" t="n">
        <f aca="false">SUM(C124:M124)</f>
        <v>11</v>
      </c>
      <c r="Z124" s="14" t="n">
        <f aca="false">SUM(N124:X124)</f>
        <v>11</v>
      </c>
      <c r="AA124" s="12" t="n">
        <f aca="false">INDEX($C$3:$M$3,MATCH(1,C124:M124,0))</f>
        <v>0</v>
      </c>
      <c r="AB124" s="12" t="n">
        <f aca="false">INDEX($N$3:$X$3,MATCH(1,N124:X124,0))+(Z124-1)*Step_h</f>
        <v>2.5</v>
      </c>
    </row>
    <row r="125" customFormat="false" ht="15" hidden="false" customHeight="false" outlineLevel="0" collapsed="false">
      <c r="A125" s="12" t="n">
        <f aca="false">A124+Step_c</f>
        <v>60</v>
      </c>
      <c r="B125" s="14" t="n">
        <f aca="false">IF(SUMPRODUCT((Alpha_keep*$A125+$C$3:$M$3&gt;=Floor_c-0.000000001)*(C125:M125))&gt;0,1,0)</f>
        <v>1</v>
      </c>
      <c r="C125" s="14" t="n">
        <f aca="false">IF(AND(Alpha_keep*$A125+C$3-MAX(Loss_w)&gt;=Lo_c-0.000000001,Alpha_keep*$A125+C$3-MIN(Loss_w)&lt;=Hi_c+0.000000001),1,0)</f>
        <v>1</v>
      </c>
      <c r="D125" s="14" t="n">
        <f aca="false">IF(AND(Alpha_keep*$A125+D$3-MAX(Loss_w)&gt;=Lo_c-0.000000001,Alpha_keep*$A125+D$3-MIN(Loss_w)&lt;=Hi_c+0.000000001),1,0)</f>
        <v>1</v>
      </c>
      <c r="E125" s="14" t="n">
        <f aca="false">IF(AND(Alpha_keep*$A125+E$3-MAX(Loss_w)&gt;=Lo_c-0.000000001,Alpha_keep*$A125+E$3-MIN(Loss_w)&lt;=Hi_c+0.000000001),1,0)</f>
        <v>1</v>
      </c>
      <c r="F125" s="14" t="n">
        <f aca="false">IF(AND(Alpha_keep*$A125+F$3-MAX(Loss_w)&gt;=Lo_c-0.000000001,Alpha_keep*$A125+F$3-MIN(Loss_w)&lt;=Hi_c+0.000000001),1,0)</f>
        <v>1</v>
      </c>
      <c r="G125" s="14" t="n">
        <f aca="false">IF(AND(Alpha_keep*$A125+G$3-MAX(Loss_w)&gt;=Lo_c-0.000000001,Alpha_keep*$A125+G$3-MIN(Loss_w)&lt;=Hi_c+0.000000001),1,0)</f>
        <v>1</v>
      </c>
      <c r="H125" s="14" t="n">
        <f aca="false">IF(AND(Alpha_keep*$A125+H$3-MAX(Loss_w)&gt;=Lo_c-0.000000001,Alpha_keep*$A125+H$3-MIN(Loss_w)&lt;=Hi_c+0.000000001),1,0)</f>
        <v>1</v>
      </c>
      <c r="I125" s="14" t="n">
        <f aca="false">IF(AND(Alpha_keep*$A125+I$3-MAX(Loss_w)&gt;=Lo_c-0.000000001,Alpha_keep*$A125+I$3-MIN(Loss_w)&lt;=Hi_c+0.000000001),1,0)</f>
        <v>1</v>
      </c>
      <c r="J125" s="14" t="n">
        <f aca="false">IF(AND(Alpha_keep*$A125+J$3-MAX(Loss_w)&gt;=Lo_c-0.000000001,Alpha_keep*$A125+J$3-MIN(Loss_w)&lt;=Hi_c+0.000000001),1,0)</f>
        <v>1</v>
      </c>
      <c r="K125" s="14" t="n">
        <f aca="false">IF(AND(Alpha_keep*$A125+K$3-MAX(Loss_w)&gt;=Lo_c-0.000000001,Alpha_keep*$A125+K$3-MIN(Loss_w)&lt;=Hi_c+0.000000001),1,0)</f>
        <v>1</v>
      </c>
      <c r="L125" s="14" t="n">
        <f aca="false">IF(AND(Alpha_keep*$A125+L$3-MAX(Loss_w)&gt;=Lo_c-0.000000001,Alpha_keep*$A125+L$3-MIN(Loss_w)&lt;=Hi_c+0.000000001),1,0)</f>
        <v>1</v>
      </c>
      <c r="M125" s="14" t="n">
        <f aca="false">IF(AND(Alpha_keep*$A125+M$3-MAX(Loss_w)&gt;=Lo_c-0.000000001,Alpha_keep*$A125+M$3-MIN(Loss_w)&lt;=Hi_c+0.000000001),1,0)</f>
        <v>1</v>
      </c>
      <c r="N125" s="14" t="n">
        <f aca="false">IF(C125=1,IF(OR(Alpha_keep*$A125+N$3&gt;=Floor_c-0.000000001,AND($B125=0,N$3&gt;=Cap_h-0.000000001)),1,0),0)</f>
        <v>1</v>
      </c>
      <c r="O125" s="14" t="n">
        <f aca="false">IF(D125=1,IF(OR(Alpha_keep*$A125+O$3&gt;=Floor_c-0.000000001,AND($B125=0,O$3&gt;=Cap_h-0.000000001)),1,0),0)</f>
        <v>1</v>
      </c>
      <c r="P125" s="14" t="n">
        <f aca="false">IF(E125=1,IF(OR(Alpha_keep*$A125+P$3&gt;=Floor_c-0.000000001,AND($B125=0,P$3&gt;=Cap_h-0.000000001)),1,0),0)</f>
        <v>1</v>
      </c>
      <c r="Q125" s="14" t="n">
        <f aca="false">IF(F125=1,IF(OR(Alpha_keep*$A125+Q$3&gt;=Floor_c-0.000000001,AND($B125=0,Q$3&gt;=Cap_h-0.000000001)),1,0),0)</f>
        <v>1</v>
      </c>
      <c r="R125" s="14" t="n">
        <f aca="false">IF(G125=1,IF(OR(Alpha_keep*$A125+R$3&gt;=Floor_c-0.000000001,AND($B125=0,R$3&gt;=Cap_h-0.000000001)),1,0),0)</f>
        <v>1</v>
      </c>
      <c r="S125" s="14" t="n">
        <f aca="false">IF(H125=1,IF(OR(Alpha_keep*$A125+S$3&gt;=Floor_c-0.000000001,AND($B125=0,S$3&gt;=Cap_h-0.000000001)),1,0),0)</f>
        <v>1</v>
      </c>
      <c r="T125" s="14" t="n">
        <f aca="false">IF(I125=1,IF(OR(Alpha_keep*$A125+T$3&gt;=Floor_c-0.000000001,AND($B125=0,T$3&gt;=Cap_h-0.000000001)),1,0),0)</f>
        <v>1</v>
      </c>
      <c r="U125" s="14" t="n">
        <f aca="false">IF(J125=1,IF(OR(Alpha_keep*$A125+U$3&gt;=Floor_c-0.000000001,AND($B125=0,U$3&gt;=Cap_h-0.000000001)),1,0),0)</f>
        <v>1</v>
      </c>
      <c r="V125" s="14" t="n">
        <f aca="false">IF(K125=1,IF(OR(Alpha_keep*$A125+V$3&gt;=Floor_c-0.000000001,AND($B125=0,V$3&gt;=Cap_h-0.000000001)),1,0),0)</f>
        <v>1</v>
      </c>
      <c r="W125" s="14" t="n">
        <f aca="false">IF(L125=1,IF(OR(Alpha_keep*$A125+W$3&gt;=Floor_c-0.000000001,AND($B125=0,W$3&gt;=Cap_h-0.000000001)),1,0),0)</f>
        <v>1</v>
      </c>
      <c r="X125" s="14" t="n">
        <f aca="false">IF(M125=1,IF(OR(Alpha_keep*$A125+X$3&gt;=Floor_c-0.000000001,AND($B125=0,X$3&gt;=Cap_h-0.000000001)),1,0),0)</f>
        <v>1</v>
      </c>
      <c r="Y125" s="14" t="n">
        <f aca="false">SUM(C125:M125)</f>
        <v>11</v>
      </c>
      <c r="Z125" s="14" t="n">
        <f aca="false">SUM(N125:X125)</f>
        <v>11</v>
      </c>
      <c r="AA125" s="12" t="n">
        <f aca="false">INDEX($C$3:$M$3,MATCH(1,C125:M125,0))</f>
        <v>0</v>
      </c>
      <c r="AB125" s="12" t="n">
        <f aca="false">INDEX($N$3:$X$3,MATCH(1,N125:X125,0))+(Z125-1)*Step_h</f>
        <v>2.5</v>
      </c>
    </row>
    <row r="126" customFormat="false" ht="15" hidden="false" customHeight="false" outlineLevel="0" collapsed="false">
      <c r="A126" s="12" t="n">
        <f aca="false">A125+Step_c</f>
        <v>60.25</v>
      </c>
      <c r="B126" s="14" t="n">
        <f aca="false">IF(SUMPRODUCT((Alpha_keep*$A126+$C$3:$M$3&gt;=Floor_c-0.000000001)*(C126:M126))&gt;0,1,0)</f>
        <v>1</v>
      </c>
      <c r="C126" s="14" t="n">
        <f aca="false">IF(AND(Alpha_keep*$A126+C$3-MAX(Loss_w)&gt;=Lo_c-0.000000001,Alpha_keep*$A126+C$3-MIN(Loss_w)&lt;=Hi_c+0.000000001),1,0)</f>
        <v>1</v>
      </c>
      <c r="D126" s="14" t="n">
        <f aca="false">IF(AND(Alpha_keep*$A126+D$3-MAX(Loss_w)&gt;=Lo_c-0.000000001,Alpha_keep*$A126+D$3-MIN(Loss_w)&lt;=Hi_c+0.000000001),1,0)</f>
        <v>1</v>
      </c>
      <c r="E126" s="14" t="n">
        <f aca="false">IF(AND(Alpha_keep*$A126+E$3-MAX(Loss_w)&gt;=Lo_c-0.000000001,Alpha_keep*$A126+E$3-MIN(Loss_w)&lt;=Hi_c+0.000000001),1,0)</f>
        <v>1</v>
      </c>
      <c r="F126" s="14" t="n">
        <f aca="false">IF(AND(Alpha_keep*$A126+F$3-MAX(Loss_w)&gt;=Lo_c-0.000000001,Alpha_keep*$A126+F$3-MIN(Loss_w)&lt;=Hi_c+0.000000001),1,0)</f>
        <v>1</v>
      </c>
      <c r="G126" s="14" t="n">
        <f aca="false">IF(AND(Alpha_keep*$A126+G$3-MAX(Loss_w)&gt;=Lo_c-0.000000001,Alpha_keep*$A126+G$3-MIN(Loss_w)&lt;=Hi_c+0.000000001),1,0)</f>
        <v>1</v>
      </c>
      <c r="H126" s="14" t="n">
        <f aca="false">IF(AND(Alpha_keep*$A126+H$3-MAX(Loss_w)&gt;=Lo_c-0.000000001,Alpha_keep*$A126+H$3-MIN(Loss_w)&lt;=Hi_c+0.000000001),1,0)</f>
        <v>1</v>
      </c>
      <c r="I126" s="14" t="n">
        <f aca="false">IF(AND(Alpha_keep*$A126+I$3-MAX(Loss_w)&gt;=Lo_c-0.000000001,Alpha_keep*$A126+I$3-MIN(Loss_w)&lt;=Hi_c+0.000000001),1,0)</f>
        <v>1</v>
      </c>
      <c r="J126" s="14" t="n">
        <f aca="false">IF(AND(Alpha_keep*$A126+J$3-MAX(Loss_w)&gt;=Lo_c-0.000000001,Alpha_keep*$A126+J$3-MIN(Loss_w)&lt;=Hi_c+0.000000001),1,0)</f>
        <v>1</v>
      </c>
      <c r="K126" s="14" t="n">
        <f aca="false">IF(AND(Alpha_keep*$A126+K$3-MAX(Loss_w)&gt;=Lo_c-0.000000001,Alpha_keep*$A126+K$3-MIN(Loss_w)&lt;=Hi_c+0.000000001),1,0)</f>
        <v>1</v>
      </c>
      <c r="L126" s="14" t="n">
        <f aca="false">IF(AND(Alpha_keep*$A126+L$3-MAX(Loss_w)&gt;=Lo_c-0.000000001,Alpha_keep*$A126+L$3-MIN(Loss_w)&lt;=Hi_c+0.000000001),1,0)</f>
        <v>1</v>
      </c>
      <c r="M126" s="14" t="n">
        <f aca="false">IF(AND(Alpha_keep*$A126+M$3-MAX(Loss_w)&gt;=Lo_c-0.000000001,Alpha_keep*$A126+M$3-MIN(Loss_w)&lt;=Hi_c+0.000000001),1,0)</f>
        <v>1</v>
      </c>
      <c r="N126" s="14" t="n">
        <f aca="false">IF(C126=1,IF(OR(Alpha_keep*$A126+N$3&gt;=Floor_c-0.000000001,AND($B126=0,N$3&gt;=Cap_h-0.000000001)),1,0),0)</f>
        <v>1</v>
      </c>
      <c r="O126" s="14" t="n">
        <f aca="false">IF(D126=1,IF(OR(Alpha_keep*$A126+O$3&gt;=Floor_c-0.000000001,AND($B126=0,O$3&gt;=Cap_h-0.000000001)),1,0),0)</f>
        <v>1</v>
      </c>
      <c r="P126" s="14" t="n">
        <f aca="false">IF(E126=1,IF(OR(Alpha_keep*$A126+P$3&gt;=Floor_c-0.000000001,AND($B126=0,P$3&gt;=Cap_h-0.000000001)),1,0),0)</f>
        <v>1</v>
      </c>
      <c r="Q126" s="14" t="n">
        <f aca="false">IF(F126=1,IF(OR(Alpha_keep*$A126+Q$3&gt;=Floor_c-0.000000001,AND($B126=0,Q$3&gt;=Cap_h-0.000000001)),1,0),0)</f>
        <v>1</v>
      </c>
      <c r="R126" s="14" t="n">
        <f aca="false">IF(G126=1,IF(OR(Alpha_keep*$A126+R$3&gt;=Floor_c-0.000000001,AND($B126=0,R$3&gt;=Cap_h-0.000000001)),1,0),0)</f>
        <v>1</v>
      </c>
      <c r="S126" s="14" t="n">
        <f aca="false">IF(H126=1,IF(OR(Alpha_keep*$A126+S$3&gt;=Floor_c-0.000000001,AND($B126=0,S$3&gt;=Cap_h-0.000000001)),1,0),0)</f>
        <v>1</v>
      </c>
      <c r="T126" s="14" t="n">
        <f aca="false">IF(I126=1,IF(OR(Alpha_keep*$A126+T$3&gt;=Floor_c-0.000000001,AND($B126=0,T$3&gt;=Cap_h-0.000000001)),1,0),0)</f>
        <v>1</v>
      </c>
      <c r="U126" s="14" t="n">
        <f aca="false">IF(J126=1,IF(OR(Alpha_keep*$A126+U$3&gt;=Floor_c-0.000000001,AND($B126=0,U$3&gt;=Cap_h-0.000000001)),1,0),0)</f>
        <v>1</v>
      </c>
      <c r="V126" s="14" t="n">
        <f aca="false">IF(K126=1,IF(OR(Alpha_keep*$A126+V$3&gt;=Floor_c-0.000000001,AND($B126=0,V$3&gt;=Cap_h-0.000000001)),1,0),0)</f>
        <v>1</v>
      </c>
      <c r="W126" s="14" t="n">
        <f aca="false">IF(L126=1,IF(OR(Alpha_keep*$A126+W$3&gt;=Floor_c-0.000000001,AND($B126=0,W$3&gt;=Cap_h-0.000000001)),1,0),0)</f>
        <v>1</v>
      </c>
      <c r="X126" s="14" t="n">
        <f aca="false">IF(M126=1,IF(OR(Alpha_keep*$A126+X$3&gt;=Floor_c-0.000000001,AND($B126=0,X$3&gt;=Cap_h-0.000000001)),1,0),0)</f>
        <v>1</v>
      </c>
      <c r="Y126" s="14" t="n">
        <f aca="false">SUM(C126:M126)</f>
        <v>11</v>
      </c>
      <c r="Z126" s="14" t="n">
        <f aca="false">SUM(N126:X126)</f>
        <v>11</v>
      </c>
      <c r="AA126" s="12" t="n">
        <f aca="false">INDEX($C$3:$M$3,MATCH(1,C126:M126,0))</f>
        <v>0</v>
      </c>
      <c r="AB126" s="12" t="n">
        <f aca="false">INDEX($N$3:$X$3,MATCH(1,N126:X126,0))+(Z126-1)*Step_h</f>
        <v>2.5</v>
      </c>
    </row>
    <row r="127" customFormat="false" ht="15" hidden="false" customHeight="false" outlineLevel="0" collapsed="false">
      <c r="A127" s="12" t="n">
        <f aca="false">A126+Step_c</f>
        <v>60.5</v>
      </c>
      <c r="B127" s="14" t="n">
        <f aca="false">IF(SUMPRODUCT((Alpha_keep*$A127+$C$3:$M$3&gt;=Floor_c-0.000000001)*(C127:M127))&gt;0,1,0)</f>
        <v>1</v>
      </c>
      <c r="C127" s="14" t="n">
        <f aca="false">IF(AND(Alpha_keep*$A127+C$3-MAX(Loss_w)&gt;=Lo_c-0.000000001,Alpha_keep*$A127+C$3-MIN(Loss_w)&lt;=Hi_c+0.000000001),1,0)</f>
        <v>1</v>
      </c>
      <c r="D127" s="14" t="n">
        <f aca="false">IF(AND(Alpha_keep*$A127+D$3-MAX(Loss_w)&gt;=Lo_c-0.000000001,Alpha_keep*$A127+D$3-MIN(Loss_w)&lt;=Hi_c+0.000000001),1,0)</f>
        <v>1</v>
      </c>
      <c r="E127" s="14" t="n">
        <f aca="false">IF(AND(Alpha_keep*$A127+E$3-MAX(Loss_w)&gt;=Lo_c-0.000000001,Alpha_keep*$A127+E$3-MIN(Loss_w)&lt;=Hi_c+0.000000001),1,0)</f>
        <v>1</v>
      </c>
      <c r="F127" s="14" t="n">
        <f aca="false">IF(AND(Alpha_keep*$A127+F$3-MAX(Loss_w)&gt;=Lo_c-0.000000001,Alpha_keep*$A127+F$3-MIN(Loss_w)&lt;=Hi_c+0.000000001),1,0)</f>
        <v>1</v>
      </c>
      <c r="G127" s="14" t="n">
        <f aca="false">IF(AND(Alpha_keep*$A127+G$3-MAX(Loss_w)&gt;=Lo_c-0.000000001,Alpha_keep*$A127+G$3-MIN(Loss_w)&lt;=Hi_c+0.000000001),1,0)</f>
        <v>1</v>
      </c>
      <c r="H127" s="14" t="n">
        <f aca="false">IF(AND(Alpha_keep*$A127+H$3-MAX(Loss_w)&gt;=Lo_c-0.000000001,Alpha_keep*$A127+H$3-MIN(Loss_w)&lt;=Hi_c+0.000000001),1,0)</f>
        <v>1</v>
      </c>
      <c r="I127" s="14" t="n">
        <f aca="false">IF(AND(Alpha_keep*$A127+I$3-MAX(Loss_w)&gt;=Lo_c-0.000000001,Alpha_keep*$A127+I$3-MIN(Loss_w)&lt;=Hi_c+0.000000001),1,0)</f>
        <v>1</v>
      </c>
      <c r="J127" s="14" t="n">
        <f aca="false">IF(AND(Alpha_keep*$A127+J$3-MAX(Loss_w)&gt;=Lo_c-0.000000001,Alpha_keep*$A127+J$3-MIN(Loss_w)&lt;=Hi_c+0.000000001),1,0)</f>
        <v>1</v>
      </c>
      <c r="K127" s="14" t="n">
        <f aca="false">IF(AND(Alpha_keep*$A127+K$3-MAX(Loss_w)&gt;=Lo_c-0.000000001,Alpha_keep*$A127+K$3-MIN(Loss_w)&lt;=Hi_c+0.000000001),1,0)</f>
        <v>1</v>
      </c>
      <c r="L127" s="14" t="n">
        <f aca="false">IF(AND(Alpha_keep*$A127+L$3-MAX(Loss_w)&gt;=Lo_c-0.000000001,Alpha_keep*$A127+L$3-MIN(Loss_w)&lt;=Hi_c+0.000000001),1,0)</f>
        <v>1</v>
      </c>
      <c r="M127" s="14" t="n">
        <f aca="false">IF(AND(Alpha_keep*$A127+M$3-MAX(Loss_w)&gt;=Lo_c-0.000000001,Alpha_keep*$A127+M$3-MIN(Loss_w)&lt;=Hi_c+0.000000001),1,0)</f>
        <v>1</v>
      </c>
      <c r="N127" s="14" t="n">
        <f aca="false">IF(C127=1,IF(OR(Alpha_keep*$A127+N$3&gt;=Floor_c-0.000000001,AND($B127=0,N$3&gt;=Cap_h-0.000000001)),1,0),0)</f>
        <v>1</v>
      </c>
      <c r="O127" s="14" t="n">
        <f aca="false">IF(D127=1,IF(OR(Alpha_keep*$A127+O$3&gt;=Floor_c-0.000000001,AND($B127=0,O$3&gt;=Cap_h-0.000000001)),1,0),0)</f>
        <v>1</v>
      </c>
      <c r="P127" s="14" t="n">
        <f aca="false">IF(E127=1,IF(OR(Alpha_keep*$A127+P$3&gt;=Floor_c-0.000000001,AND($B127=0,P$3&gt;=Cap_h-0.000000001)),1,0),0)</f>
        <v>1</v>
      </c>
      <c r="Q127" s="14" t="n">
        <f aca="false">IF(F127=1,IF(OR(Alpha_keep*$A127+Q$3&gt;=Floor_c-0.000000001,AND($B127=0,Q$3&gt;=Cap_h-0.000000001)),1,0),0)</f>
        <v>1</v>
      </c>
      <c r="R127" s="14" t="n">
        <f aca="false">IF(G127=1,IF(OR(Alpha_keep*$A127+R$3&gt;=Floor_c-0.000000001,AND($B127=0,R$3&gt;=Cap_h-0.000000001)),1,0),0)</f>
        <v>1</v>
      </c>
      <c r="S127" s="14" t="n">
        <f aca="false">IF(H127=1,IF(OR(Alpha_keep*$A127+S$3&gt;=Floor_c-0.000000001,AND($B127=0,S$3&gt;=Cap_h-0.000000001)),1,0),0)</f>
        <v>1</v>
      </c>
      <c r="T127" s="14" t="n">
        <f aca="false">IF(I127=1,IF(OR(Alpha_keep*$A127+T$3&gt;=Floor_c-0.000000001,AND($B127=0,T$3&gt;=Cap_h-0.000000001)),1,0),0)</f>
        <v>1</v>
      </c>
      <c r="U127" s="14" t="n">
        <f aca="false">IF(J127=1,IF(OR(Alpha_keep*$A127+U$3&gt;=Floor_c-0.000000001,AND($B127=0,U$3&gt;=Cap_h-0.000000001)),1,0),0)</f>
        <v>1</v>
      </c>
      <c r="V127" s="14" t="n">
        <f aca="false">IF(K127=1,IF(OR(Alpha_keep*$A127+V$3&gt;=Floor_c-0.000000001,AND($B127=0,V$3&gt;=Cap_h-0.000000001)),1,0),0)</f>
        <v>1</v>
      </c>
      <c r="W127" s="14" t="n">
        <f aca="false">IF(L127=1,IF(OR(Alpha_keep*$A127+W$3&gt;=Floor_c-0.000000001,AND($B127=0,W$3&gt;=Cap_h-0.000000001)),1,0),0)</f>
        <v>1</v>
      </c>
      <c r="X127" s="14" t="n">
        <f aca="false">IF(M127=1,IF(OR(Alpha_keep*$A127+X$3&gt;=Floor_c-0.000000001,AND($B127=0,X$3&gt;=Cap_h-0.000000001)),1,0),0)</f>
        <v>1</v>
      </c>
      <c r="Y127" s="14" t="n">
        <f aca="false">SUM(C127:M127)</f>
        <v>11</v>
      </c>
      <c r="Z127" s="14" t="n">
        <f aca="false">SUM(N127:X127)</f>
        <v>11</v>
      </c>
      <c r="AA127" s="12" t="n">
        <f aca="false">INDEX($C$3:$M$3,MATCH(1,C127:M127,0))</f>
        <v>0</v>
      </c>
      <c r="AB127" s="12" t="n">
        <f aca="false">INDEX($N$3:$X$3,MATCH(1,N127:X127,0))+(Z127-1)*Step_h</f>
        <v>2.5</v>
      </c>
    </row>
    <row r="128" customFormat="false" ht="15" hidden="false" customHeight="false" outlineLevel="0" collapsed="false">
      <c r="A128" s="12" t="n">
        <f aca="false">A127+Step_c</f>
        <v>60.75</v>
      </c>
      <c r="B128" s="14" t="n">
        <f aca="false">IF(SUMPRODUCT((Alpha_keep*$A128+$C$3:$M$3&gt;=Floor_c-0.000000001)*(C128:M128))&gt;0,1,0)</f>
        <v>1</v>
      </c>
      <c r="C128" s="14" t="n">
        <f aca="false">IF(AND(Alpha_keep*$A128+C$3-MAX(Loss_w)&gt;=Lo_c-0.000000001,Alpha_keep*$A128+C$3-MIN(Loss_w)&lt;=Hi_c+0.000000001),1,0)</f>
        <v>1</v>
      </c>
      <c r="D128" s="14" t="n">
        <f aca="false">IF(AND(Alpha_keep*$A128+D$3-MAX(Loss_w)&gt;=Lo_c-0.000000001,Alpha_keep*$A128+D$3-MIN(Loss_w)&lt;=Hi_c+0.000000001),1,0)</f>
        <v>1</v>
      </c>
      <c r="E128" s="14" t="n">
        <f aca="false">IF(AND(Alpha_keep*$A128+E$3-MAX(Loss_w)&gt;=Lo_c-0.000000001,Alpha_keep*$A128+E$3-MIN(Loss_w)&lt;=Hi_c+0.000000001),1,0)</f>
        <v>1</v>
      </c>
      <c r="F128" s="14" t="n">
        <f aca="false">IF(AND(Alpha_keep*$A128+F$3-MAX(Loss_w)&gt;=Lo_c-0.000000001,Alpha_keep*$A128+F$3-MIN(Loss_w)&lt;=Hi_c+0.000000001),1,0)</f>
        <v>1</v>
      </c>
      <c r="G128" s="14" t="n">
        <f aca="false">IF(AND(Alpha_keep*$A128+G$3-MAX(Loss_w)&gt;=Lo_c-0.000000001,Alpha_keep*$A128+G$3-MIN(Loss_w)&lt;=Hi_c+0.000000001),1,0)</f>
        <v>1</v>
      </c>
      <c r="H128" s="14" t="n">
        <f aca="false">IF(AND(Alpha_keep*$A128+H$3-MAX(Loss_w)&gt;=Lo_c-0.000000001,Alpha_keep*$A128+H$3-MIN(Loss_w)&lt;=Hi_c+0.000000001),1,0)</f>
        <v>1</v>
      </c>
      <c r="I128" s="14" t="n">
        <f aca="false">IF(AND(Alpha_keep*$A128+I$3-MAX(Loss_w)&gt;=Lo_c-0.000000001,Alpha_keep*$A128+I$3-MIN(Loss_w)&lt;=Hi_c+0.000000001),1,0)</f>
        <v>1</v>
      </c>
      <c r="J128" s="14" t="n">
        <f aca="false">IF(AND(Alpha_keep*$A128+J$3-MAX(Loss_w)&gt;=Lo_c-0.000000001,Alpha_keep*$A128+J$3-MIN(Loss_w)&lt;=Hi_c+0.000000001),1,0)</f>
        <v>1</v>
      </c>
      <c r="K128" s="14" t="n">
        <f aca="false">IF(AND(Alpha_keep*$A128+K$3-MAX(Loss_w)&gt;=Lo_c-0.000000001,Alpha_keep*$A128+K$3-MIN(Loss_w)&lt;=Hi_c+0.000000001),1,0)</f>
        <v>1</v>
      </c>
      <c r="L128" s="14" t="n">
        <f aca="false">IF(AND(Alpha_keep*$A128+L$3-MAX(Loss_w)&gt;=Lo_c-0.000000001,Alpha_keep*$A128+L$3-MIN(Loss_w)&lt;=Hi_c+0.000000001),1,0)</f>
        <v>1</v>
      </c>
      <c r="M128" s="14" t="n">
        <f aca="false">IF(AND(Alpha_keep*$A128+M$3-MAX(Loss_w)&gt;=Lo_c-0.000000001,Alpha_keep*$A128+M$3-MIN(Loss_w)&lt;=Hi_c+0.000000001),1,0)</f>
        <v>1</v>
      </c>
      <c r="N128" s="14" t="n">
        <f aca="false">IF(C128=1,IF(OR(Alpha_keep*$A128+N$3&gt;=Floor_c-0.000000001,AND($B128=0,N$3&gt;=Cap_h-0.000000001)),1,0),0)</f>
        <v>1</v>
      </c>
      <c r="O128" s="14" t="n">
        <f aca="false">IF(D128=1,IF(OR(Alpha_keep*$A128+O$3&gt;=Floor_c-0.000000001,AND($B128=0,O$3&gt;=Cap_h-0.000000001)),1,0),0)</f>
        <v>1</v>
      </c>
      <c r="P128" s="14" t="n">
        <f aca="false">IF(E128=1,IF(OR(Alpha_keep*$A128+P$3&gt;=Floor_c-0.000000001,AND($B128=0,P$3&gt;=Cap_h-0.000000001)),1,0),0)</f>
        <v>1</v>
      </c>
      <c r="Q128" s="14" t="n">
        <f aca="false">IF(F128=1,IF(OR(Alpha_keep*$A128+Q$3&gt;=Floor_c-0.000000001,AND($B128=0,Q$3&gt;=Cap_h-0.000000001)),1,0),0)</f>
        <v>1</v>
      </c>
      <c r="R128" s="14" t="n">
        <f aca="false">IF(G128=1,IF(OR(Alpha_keep*$A128+R$3&gt;=Floor_c-0.000000001,AND($B128=0,R$3&gt;=Cap_h-0.000000001)),1,0),0)</f>
        <v>1</v>
      </c>
      <c r="S128" s="14" t="n">
        <f aca="false">IF(H128=1,IF(OR(Alpha_keep*$A128+S$3&gt;=Floor_c-0.000000001,AND($B128=0,S$3&gt;=Cap_h-0.000000001)),1,0),0)</f>
        <v>1</v>
      </c>
      <c r="T128" s="14" t="n">
        <f aca="false">IF(I128=1,IF(OR(Alpha_keep*$A128+T$3&gt;=Floor_c-0.000000001,AND($B128=0,T$3&gt;=Cap_h-0.000000001)),1,0),0)</f>
        <v>1</v>
      </c>
      <c r="U128" s="14" t="n">
        <f aca="false">IF(J128=1,IF(OR(Alpha_keep*$A128+U$3&gt;=Floor_c-0.000000001,AND($B128=0,U$3&gt;=Cap_h-0.000000001)),1,0),0)</f>
        <v>1</v>
      </c>
      <c r="V128" s="14" t="n">
        <f aca="false">IF(K128=1,IF(OR(Alpha_keep*$A128+V$3&gt;=Floor_c-0.000000001,AND($B128=0,V$3&gt;=Cap_h-0.000000001)),1,0),0)</f>
        <v>1</v>
      </c>
      <c r="W128" s="14" t="n">
        <f aca="false">IF(L128=1,IF(OR(Alpha_keep*$A128+W$3&gt;=Floor_c-0.000000001,AND($B128=0,W$3&gt;=Cap_h-0.000000001)),1,0),0)</f>
        <v>1</v>
      </c>
      <c r="X128" s="14" t="n">
        <f aca="false">IF(M128=1,IF(OR(Alpha_keep*$A128+X$3&gt;=Floor_c-0.000000001,AND($B128=0,X$3&gt;=Cap_h-0.000000001)),1,0),0)</f>
        <v>1</v>
      </c>
      <c r="Y128" s="14" t="n">
        <f aca="false">SUM(C128:M128)</f>
        <v>11</v>
      </c>
      <c r="Z128" s="14" t="n">
        <f aca="false">SUM(N128:X128)</f>
        <v>11</v>
      </c>
      <c r="AA128" s="12" t="n">
        <f aca="false">INDEX($C$3:$M$3,MATCH(1,C128:M128,0))</f>
        <v>0</v>
      </c>
      <c r="AB128" s="12" t="n">
        <f aca="false">INDEX($N$3:$X$3,MATCH(1,N128:X128,0))+(Z128-1)*Step_h</f>
        <v>2.5</v>
      </c>
    </row>
    <row r="129" customFormat="false" ht="15" hidden="false" customHeight="false" outlineLevel="0" collapsed="false">
      <c r="A129" s="12" t="n">
        <f aca="false">A128+Step_c</f>
        <v>61</v>
      </c>
      <c r="B129" s="14" t="n">
        <f aca="false">IF(SUMPRODUCT((Alpha_keep*$A129+$C$3:$M$3&gt;=Floor_c-0.000000001)*(C129:M129))&gt;0,1,0)</f>
        <v>1</v>
      </c>
      <c r="C129" s="14" t="n">
        <f aca="false">IF(AND(Alpha_keep*$A129+C$3-MAX(Loss_w)&gt;=Lo_c-0.000000001,Alpha_keep*$A129+C$3-MIN(Loss_w)&lt;=Hi_c+0.000000001),1,0)</f>
        <v>1</v>
      </c>
      <c r="D129" s="14" t="n">
        <f aca="false">IF(AND(Alpha_keep*$A129+D$3-MAX(Loss_w)&gt;=Lo_c-0.000000001,Alpha_keep*$A129+D$3-MIN(Loss_w)&lt;=Hi_c+0.000000001),1,0)</f>
        <v>1</v>
      </c>
      <c r="E129" s="14" t="n">
        <f aca="false">IF(AND(Alpha_keep*$A129+E$3-MAX(Loss_w)&gt;=Lo_c-0.000000001,Alpha_keep*$A129+E$3-MIN(Loss_w)&lt;=Hi_c+0.000000001),1,0)</f>
        <v>1</v>
      </c>
      <c r="F129" s="14" t="n">
        <f aca="false">IF(AND(Alpha_keep*$A129+F$3-MAX(Loss_w)&gt;=Lo_c-0.000000001,Alpha_keep*$A129+F$3-MIN(Loss_w)&lt;=Hi_c+0.000000001),1,0)</f>
        <v>1</v>
      </c>
      <c r="G129" s="14" t="n">
        <f aca="false">IF(AND(Alpha_keep*$A129+G$3-MAX(Loss_w)&gt;=Lo_c-0.000000001,Alpha_keep*$A129+G$3-MIN(Loss_w)&lt;=Hi_c+0.000000001),1,0)</f>
        <v>1</v>
      </c>
      <c r="H129" s="14" t="n">
        <f aca="false">IF(AND(Alpha_keep*$A129+H$3-MAX(Loss_w)&gt;=Lo_c-0.000000001,Alpha_keep*$A129+H$3-MIN(Loss_w)&lt;=Hi_c+0.000000001),1,0)</f>
        <v>1</v>
      </c>
      <c r="I129" s="14" t="n">
        <f aca="false">IF(AND(Alpha_keep*$A129+I$3-MAX(Loss_w)&gt;=Lo_c-0.000000001,Alpha_keep*$A129+I$3-MIN(Loss_w)&lt;=Hi_c+0.000000001),1,0)</f>
        <v>1</v>
      </c>
      <c r="J129" s="14" t="n">
        <f aca="false">IF(AND(Alpha_keep*$A129+J$3-MAX(Loss_w)&gt;=Lo_c-0.000000001,Alpha_keep*$A129+J$3-MIN(Loss_w)&lt;=Hi_c+0.000000001),1,0)</f>
        <v>1</v>
      </c>
      <c r="K129" s="14" t="n">
        <f aca="false">IF(AND(Alpha_keep*$A129+K$3-MAX(Loss_w)&gt;=Lo_c-0.000000001,Alpha_keep*$A129+K$3-MIN(Loss_w)&lt;=Hi_c+0.000000001),1,0)</f>
        <v>1</v>
      </c>
      <c r="L129" s="14" t="n">
        <f aca="false">IF(AND(Alpha_keep*$A129+L$3-MAX(Loss_w)&gt;=Lo_c-0.000000001,Alpha_keep*$A129+L$3-MIN(Loss_w)&lt;=Hi_c+0.000000001),1,0)</f>
        <v>1</v>
      </c>
      <c r="M129" s="14" t="n">
        <f aca="false">IF(AND(Alpha_keep*$A129+M$3-MAX(Loss_w)&gt;=Lo_c-0.000000001,Alpha_keep*$A129+M$3-MIN(Loss_w)&lt;=Hi_c+0.000000001),1,0)</f>
        <v>1</v>
      </c>
      <c r="N129" s="14" t="n">
        <f aca="false">IF(C129=1,IF(OR(Alpha_keep*$A129+N$3&gt;=Floor_c-0.000000001,AND($B129=0,N$3&gt;=Cap_h-0.000000001)),1,0),0)</f>
        <v>1</v>
      </c>
      <c r="O129" s="14" t="n">
        <f aca="false">IF(D129=1,IF(OR(Alpha_keep*$A129+O$3&gt;=Floor_c-0.000000001,AND($B129=0,O$3&gt;=Cap_h-0.000000001)),1,0),0)</f>
        <v>1</v>
      </c>
      <c r="P129" s="14" t="n">
        <f aca="false">IF(E129=1,IF(OR(Alpha_keep*$A129+P$3&gt;=Floor_c-0.000000001,AND($B129=0,P$3&gt;=Cap_h-0.000000001)),1,0),0)</f>
        <v>1</v>
      </c>
      <c r="Q129" s="14" t="n">
        <f aca="false">IF(F129=1,IF(OR(Alpha_keep*$A129+Q$3&gt;=Floor_c-0.000000001,AND($B129=0,Q$3&gt;=Cap_h-0.000000001)),1,0),0)</f>
        <v>1</v>
      </c>
      <c r="R129" s="14" t="n">
        <f aca="false">IF(G129=1,IF(OR(Alpha_keep*$A129+R$3&gt;=Floor_c-0.000000001,AND($B129=0,R$3&gt;=Cap_h-0.000000001)),1,0),0)</f>
        <v>1</v>
      </c>
      <c r="S129" s="14" t="n">
        <f aca="false">IF(H129=1,IF(OR(Alpha_keep*$A129+S$3&gt;=Floor_c-0.000000001,AND($B129=0,S$3&gt;=Cap_h-0.000000001)),1,0),0)</f>
        <v>1</v>
      </c>
      <c r="T129" s="14" t="n">
        <f aca="false">IF(I129=1,IF(OR(Alpha_keep*$A129+T$3&gt;=Floor_c-0.000000001,AND($B129=0,T$3&gt;=Cap_h-0.000000001)),1,0),0)</f>
        <v>1</v>
      </c>
      <c r="U129" s="14" t="n">
        <f aca="false">IF(J129=1,IF(OR(Alpha_keep*$A129+U$3&gt;=Floor_c-0.000000001,AND($B129=0,U$3&gt;=Cap_h-0.000000001)),1,0),0)</f>
        <v>1</v>
      </c>
      <c r="V129" s="14" t="n">
        <f aca="false">IF(K129=1,IF(OR(Alpha_keep*$A129+V$3&gt;=Floor_c-0.000000001,AND($B129=0,V$3&gt;=Cap_h-0.000000001)),1,0),0)</f>
        <v>1</v>
      </c>
      <c r="W129" s="14" t="n">
        <f aca="false">IF(L129=1,IF(OR(Alpha_keep*$A129+W$3&gt;=Floor_c-0.000000001,AND($B129=0,W$3&gt;=Cap_h-0.000000001)),1,0),0)</f>
        <v>1</v>
      </c>
      <c r="X129" s="14" t="n">
        <f aca="false">IF(M129=1,IF(OR(Alpha_keep*$A129+X$3&gt;=Floor_c-0.000000001,AND($B129=0,X$3&gt;=Cap_h-0.000000001)),1,0),0)</f>
        <v>1</v>
      </c>
      <c r="Y129" s="14" t="n">
        <f aca="false">SUM(C129:M129)</f>
        <v>11</v>
      </c>
      <c r="Z129" s="14" t="n">
        <f aca="false">SUM(N129:X129)</f>
        <v>11</v>
      </c>
      <c r="AA129" s="12" t="n">
        <f aca="false">INDEX($C$3:$M$3,MATCH(1,C129:M129,0))</f>
        <v>0</v>
      </c>
      <c r="AB129" s="12" t="n">
        <f aca="false">INDEX($N$3:$X$3,MATCH(1,N129:X129,0))+(Z129-1)*Step_h</f>
        <v>2.5</v>
      </c>
    </row>
    <row r="130" customFormat="false" ht="15" hidden="false" customHeight="false" outlineLevel="0" collapsed="false">
      <c r="A130" s="12" t="n">
        <f aca="false">A129+Step_c</f>
        <v>61.25</v>
      </c>
      <c r="B130" s="14" t="n">
        <f aca="false">IF(SUMPRODUCT((Alpha_keep*$A130+$C$3:$M$3&gt;=Floor_c-0.000000001)*(C130:M130))&gt;0,1,0)</f>
        <v>1</v>
      </c>
      <c r="C130" s="14" t="n">
        <f aca="false">IF(AND(Alpha_keep*$A130+C$3-MAX(Loss_w)&gt;=Lo_c-0.000000001,Alpha_keep*$A130+C$3-MIN(Loss_w)&lt;=Hi_c+0.000000001),1,0)</f>
        <v>1</v>
      </c>
      <c r="D130" s="14" t="n">
        <f aca="false">IF(AND(Alpha_keep*$A130+D$3-MAX(Loss_w)&gt;=Lo_c-0.000000001,Alpha_keep*$A130+D$3-MIN(Loss_w)&lt;=Hi_c+0.000000001),1,0)</f>
        <v>1</v>
      </c>
      <c r="E130" s="14" t="n">
        <f aca="false">IF(AND(Alpha_keep*$A130+E$3-MAX(Loss_w)&gt;=Lo_c-0.000000001,Alpha_keep*$A130+E$3-MIN(Loss_w)&lt;=Hi_c+0.000000001),1,0)</f>
        <v>1</v>
      </c>
      <c r="F130" s="14" t="n">
        <f aca="false">IF(AND(Alpha_keep*$A130+F$3-MAX(Loss_w)&gt;=Lo_c-0.000000001,Alpha_keep*$A130+F$3-MIN(Loss_w)&lt;=Hi_c+0.000000001),1,0)</f>
        <v>1</v>
      </c>
      <c r="G130" s="14" t="n">
        <f aca="false">IF(AND(Alpha_keep*$A130+G$3-MAX(Loss_w)&gt;=Lo_c-0.000000001,Alpha_keep*$A130+G$3-MIN(Loss_w)&lt;=Hi_c+0.000000001),1,0)</f>
        <v>1</v>
      </c>
      <c r="H130" s="14" t="n">
        <f aca="false">IF(AND(Alpha_keep*$A130+H$3-MAX(Loss_w)&gt;=Lo_c-0.000000001,Alpha_keep*$A130+H$3-MIN(Loss_w)&lt;=Hi_c+0.000000001),1,0)</f>
        <v>1</v>
      </c>
      <c r="I130" s="14" t="n">
        <f aca="false">IF(AND(Alpha_keep*$A130+I$3-MAX(Loss_w)&gt;=Lo_c-0.000000001,Alpha_keep*$A130+I$3-MIN(Loss_w)&lt;=Hi_c+0.000000001),1,0)</f>
        <v>1</v>
      </c>
      <c r="J130" s="14" t="n">
        <f aca="false">IF(AND(Alpha_keep*$A130+J$3-MAX(Loss_w)&gt;=Lo_c-0.000000001,Alpha_keep*$A130+J$3-MIN(Loss_w)&lt;=Hi_c+0.000000001),1,0)</f>
        <v>1</v>
      </c>
      <c r="K130" s="14" t="n">
        <f aca="false">IF(AND(Alpha_keep*$A130+K$3-MAX(Loss_w)&gt;=Lo_c-0.000000001,Alpha_keep*$A130+K$3-MIN(Loss_w)&lt;=Hi_c+0.000000001),1,0)</f>
        <v>1</v>
      </c>
      <c r="L130" s="14" t="n">
        <f aca="false">IF(AND(Alpha_keep*$A130+L$3-MAX(Loss_w)&gt;=Lo_c-0.000000001,Alpha_keep*$A130+L$3-MIN(Loss_w)&lt;=Hi_c+0.000000001),1,0)</f>
        <v>1</v>
      </c>
      <c r="M130" s="14" t="n">
        <f aca="false">IF(AND(Alpha_keep*$A130+M$3-MAX(Loss_w)&gt;=Lo_c-0.000000001,Alpha_keep*$A130+M$3-MIN(Loss_w)&lt;=Hi_c+0.000000001),1,0)</f>
        <v>1</v>
      </c>
      <c r="N130" s="14" t="n">
        <f aca="false">IF(C130=1,IF(OR(Alpha_keep*$A130+N$3&gt;=Floor_c-0.000000001,AND($B130=0,N$3&gt;=Cap_h-0.000000001)),1,0),0)</f>
        <v>1</v>
      </c>
      <c r="O130" s="14" t="n">
        <f aca="false">IF(D130=1,IF(OR(Alpha_keep*$A130+O$3&gt;=Floor_c-0.000000001,AND($B130=0,O$3&gt;=Cap_h-0.000000001)),1,0),0)</f>
        <v>1</v>
      </c>
      <c r="P130" s="14" t="n">
        <f aca="false">IF(E130=1,IF(OR(Alpha_keep*$A130+P$3&gt;=Floor_c-0.000000001,AND($B130=0,P$3&gt;=Cap_h-0.000000001)),1,0),0)</f>
        <v>1</v>
      </c>
      <c r="Q130" s="14" t="n">
        <f aca="false">IF(F130=1,IF(OR(Alpha_keep*$A130+Q$3&gt;=Floor_c-0.000000001,AND($B130=0,Q$3&gt;=Cap_h-0.000000001)),1,0),0)</f>
        <v>1</v>
      </c>
      <c r="R130" s="14" t="n">
        <f aca="false">IF(G130=1,IF(OR(Alpha_keep*$A130+R$3&gt;=Floor_c-0.000000001,AND($B130=0,R$3&gt;=Cap_h-0.000000001)),1,0),0)</f>
        <v>1</v>
      </c>
      <c r="S130" s="14" t="n">
        <f aca="false">IF(H130=1,IF(OR(Alpha_keep*$A130+S$3&gt;=Floor_c-0.000000001,AND($B130=0,S$3&gt;=Cap_h-0.000000001)),1,0),0)</f>
        <v>1</v>
      </c>
      <c r="T130" s="14" t="n">
        <f aca="false">IF(I130=1,IF(OR(Alpha_keep*$A130+T$3&gt;=Floor_c-0.000000001,AND($B130=0,T$3&gt;=Cap_h-0.000000001)),1,0),0)</f>
        <v>1</v>
      </c>
      <c r="U130" s="14" t="n">
        <f aca="false">IF(J130=1,IF(OR(Alpha_keep*$A130+U$3&gt;=Floor_c-0.000000001,AND($B130=0,U$3&gt;=Cap_h-0.000000001)),1,0),0)</f>
        <v>1</v>
      </c>
      <c r="V130" s="14" t="n">
        <f aca="false">IF(K130=1,IF(OR(Alpha_keep*$A130+V$3&gt;=Floor_c-0.000000001,AND($B130=0,V$3&gt;=Cap_h-0.000000001)),1,0),0)</f>
        <v>1</v>
      </c>
      <c r="W130" s="14" t="n">
        <f aca="false">IF(L130=1,IF(OR(Alpha_keep*$A130+W$3&gt;=Floor_c-0.000000001,AND($B130=0,W$3&gt;=Cap_h-0.000000001)),1,0),0)</f>
        <v>1</v>
      </c>
      <c r="X130" s="14" t="n">
        <f aca="false">IF(M130=1,IF(OR(Alpha_keep*$A130+X$3&gt;=Floor_c-0.000000001,AND($B130=0,X$3&gt;=Cap_h-0.000000001)),1,0),0)</f>
        <v>1</v>
      </c>
      <c r="Y130" s="14" t="n">
        <f aca="false">SUM(C130:M130)</f>
        <v>11</v>
      </c>
      <c r="Z130" s="14" t="n">
        <f aca="false">SUM(N130:X130)</f>
        <v>11</v>
      </c>
      <c r="AA130" s="12" t="n">
        <f aca="false">INDEX($C$3:$M$3,MATCH(1,C130:M130,0))</f>
        <v>0</v>
      </c>
      <c r="AB130" s="12" t="n">
        <f aca="false">INDEX($N$3:$X$3,MATCH(1,N130:X130,0))+(Z130-1)*Step_h</f>
        <v>2.5</v>
      </c>
    </row>
    <row r="131" customFormat="false" ht="15" hidden="false" customHeight="false" outlineLevel="0" collapsed="false">
      <c r="A131" s="12" t="n">
        <f aca="false">A130+Step_c</f>
        <v>61.5</v>
      </c>
      <c r="B131" s="14" t="n">
        <f aca="false">IF(SUMPRODUCT((Alpha_keep*$A131+$C$3:$M$3&gt;=Floor_c-0.000000001)*(C131:M131))&gt;0,1,0)</f>
        <v>1</v>
      </c>
      <c r="C131" s="14" t="n">
        <f aca="false">IF(AND(Alpha_keep*$A131+C$3-MAX(Loss_w)&gt;=Lo_c-0.000000001,Alpha_keep*$A131+C$3-MIN(Loss_w)&lt;=Hi_c+0.000000001),1,0)</f>
        <v>1</v>
      </c>
      <c r="D131" s="14" t="n">
        <f aca="false">IF(AND(Alpha_keep*$A131+D$3-MAX(Loss_w)&gt;=Lo_c-0.000000001,Alpha_keep*$A131+D$3-MIN(Loss_w)&lt;=Hi_c+0.000000001),1,0)</f>
        <v>1</v>
      </c>
      <c r="E131" s="14" t="n">
        <f aca="false">IF(AND(Alpha_keep*$A131+E$3-MAX(Loss_w)&gt;=Lo_c-0.000000001,Alpha_keep*$A131+E$3-MIN(Loss_w)&lt;=Hi_c+0.000000001),1,0)</f>
        <v>1</v>
      </c>
      <c r="F131" s="14" t="n">
        <f aca="false">IF(AND(Alpha_keep*$A131+F$3-MAX(Loss_w)&gt;=Lo_c-0.000000001,Alpha_keep*$A131+F$3-MIN(Loss_w)&lt;=Hi_c+0.000000001),1,0)</f>
        <v>1</v>
      </c>
      <c r="G131" s="14" t="n">
        <f aca="false">IF(AND(Alpha_keep*$A131+G$3-MAX(Loss_w)&gt;=Lo_c-0.000000001,Alpha_keep*$A131+G$3-MIN(Loss_w)&lt;=Hi_c+0.000000001),1,0)</f>
        <v>1</v>
      </c>
      <c r="H131" s="14" t="n">
        <f aca="false">IF(AND(Alpha_keep*$A131+H$3-MAX(Loss_w)&gt;=Lo_c-0.000000001,Alpha_keep*$A131+H$3-MIN(Loss_w)&lt;=Hi_c+0.000000001),1,0)</f>
        <v>1</v>
      </c>
      <c r="I131" s="14" t="n">
        <f aca="false">IF(AND(Alpha_keep*$A131+I$3-MAX(Loss_w)&gt;=Lo_c-0.000000001,Alpha_keep*$A131+I$3-MIN(Loss_w)&lt;=Hi_c+0.000000001),1,0)</f>
        <v>1</v>
      </c>
      <c r="J131" s="14" t="n">
        <f aca="false">IF(AND(Alpha_keep*$A131+J$3-MAX(Loss_w)&gt;=Lo_c-0.000000001,Alpha_keep*$A131+J$3-MIN(Loss_w)&lt;=Hi_c+0.000000001),1,0)</f>
        <v>1</v>
      </c>
      <c r="K131" s="14" t="n">
        <f aca="false">IF(AND(Alpha_keep*$A131+K$3-MAX(Loss_w)&gt;=Lo_c-0.000000001,Alpha_keep*$A131+K$3-MIN(Loss_w)&lt;=Hi_c+0.000000001),1,0)</f>
        <v>1</v>
      </c>
      <c r="L131" s="14" t="n">
        <f aca="false">IF(AND(Alpha_keep*$A131+L$3-MAX(Loss_w)&gt;=Lo_c-0.000000001,Alpha_keep*$A131+L$3-MIN(Loss_w)&lt;=Hi_c+0.000000001),1,0)</f>
        <v>1</v>
      </c>
      <c r="M131" s="14" t="n">
        <f aca="false">IF(AND(Alpha_keep*$A131+M$3-MAX(Loss_w)&gt;=Lo_c-0.000000001,Alpha_keep*$A131+M$3-MIN(Loss_w)&lt;=Hi_c+0.000000001),1,0)</f>
        <v>1</v>
      </c>
      <c r="N131" s="14" t="n">
        <f aca="false">IF(C131=1,IF(OR(Alpha_keep*$A131+N$3&gt;=Floor_c-0.000000001,AND($B131=0,N$3&gt;=Cap_h-0.000000001)),1,0),0)</f>
        <v>1</v>
      </c>
      <c r="O131" s="14" t="n">
        <f aca="false">IF(D131=1,IF(OR(Alpha_keep*$A131+O$3&gt;=Floor_c-0.000000001,AND($B131=0,O$3&gt;=Cap_h-0.000000001)),1,0),0)</f>
        <v>1</v>
      </c>
      <c r="P131" s="14" t="n">
        <f aca="false">IF(E131=1,IF(OR(Alpha_keep*$A131+P$3&gt;=Floor_c-0.000000001,AND($B131=0,P$3&gt;=Cap_h-0.000000001)),1,0),0)</f>
        <v>1</v>
      </c>
      <c r="Q131" s="14" t="n">
        <f aca="false">IF(F131=1,IF(OR(Alpha_keep*$A131+Q$3&gt;=Floor_c-0.000000001,AND($B131=0,Q$3&gt;=Cap_h-0.000000001)),1,0),0)</f>
        <v>1</v>
      </c>
      <c r="R131" s="14" t="n">
        <f aca="false">IF(G131=1,IF(OR(Alpha_keep*$A131+R$3&gt;=Floor_c-0.000000001,AND($B131=0,R$3&gt;=Cap_h-0.000000001)),1,0),0)</f>
        <v>1</v>
      </c>
      <c r="S131" s="14" t="n">
        <f aca="false">IF(H131=1,IF(OR(Alpha_keep*$A131+S$3&gt;=Floor_c-0.000000001,AND($B131=0,S$3&gt;=Cap_h-0.000000001)),1,0),0)</f>
        <v>1</v>
      </c>
      <c r="T131" s="14" t="n">
        <f aca="false">IF(I131=1,IF(OR(Alpha_keep*$A131+T$3&gt;=Floor_c-0.000000001,AND($B131=0,T$3&gt;=Cap_h-0.000000001)),1,0),0)</f>
        <v>1</v>
      </c>
      <c r="U131" s="14" t="n">
        <f aca="false">IF(J131=1,IF(OR(Alpha_keep*$A131+U$3&gt;=Floor_c-0.000000001,AND($B131=0,U$3&gt;=Cap_h-0.000000001)),1,0),0)</f>
        <v>1</v>
      </c>
      <c r="V131" s="14" t="n">
        <f aca="false">IF(K131=1,IF(OR(Alpha_keep*$A131+V$3&gt;=Floor_c-0.000000001,AND($B131=0,V$3&gt;=Cap_h-0.000000001)),1,0),0)</f>
        <v>1</v>
      </c>
      <c r="W131" s="14" t="n">
        <f aca="false">IF(L131=1,IF(OR(Alpha_keep*$A131+W$3&gt;=Floor_c-0.000000001,AND($B131=0,W$3&gt;=Cap_h-0.000000001)),1,0),0)</f>
        <v>1</v>
      </c>
      <c r="X131" s="14" t="n">
        <f aca="false">IF(M131=1,IF(OR(Alpha_keep*$A131+X$3&gt;=Floor_c-0.000000001,AND($B131=0,X$3&gt;=Cap_h-0.000000001)),1,0),0)</f>
        <v>1</v>
      </c>
      <c r="Y131" s="14" t="n">
        <f aca="false">SUM(C131:M131)</f>
        <v>11</v>
      </c>
      <c r="Z131" s="14" t="n">
        <f aca="false">SUM(N131:X131)</f>
        <v>11</v>
      </c>
      <c r="AA131" s="12" t="n">
        <f aca="false">INDEX($C$3:$M$3,MATCH(1,C131:M131,0))</f>
        <v>0</v>
      </c>
      <c r="AB131" s="12" t="n">
        <f aca="false">INDEX($N$3:$X$3,MATCH(1,N131:X131,0))+(Z131-1)*Step_h</f>
        <v>2.5</v>
      </c>
    </row>
    <row r="132" customFormat="false" ht="15" hidden="false" customHeight="false" outlineLevel="0" collapsed="false">
      <c r="A132" s="12" t="n">
        <f aca="false">A131+Step_c</f>
        <v>61.75</v>
      </c>
      <c r="B132" s="14" t="n">
        <f aca="false">IF(SUMPRODUCT((Alpha_keep*$A132+$C$3:$M$3&gt;=Floor_c-0.000000001)*(C132:M132))&gt;0,1,0)</f>
        <v>1</v>
      </c>
      <c r="C132" s="14" t="n">
        <f aca="false">IF(AND(Alpha_keep*$A132+C$3-MAX(Loss_w)&gt;=Lo_c-0.000000001,Alpha_keep*$A132+C$3-MIN(Loss_w)&lt;=Hi_c+0.000000001),1,0)</f>
        <v>1</v>
      </c>
      <c r="D132" s="14" t="n">
        <f aca="false">IF(AND(Alpha_keep*$A132+D$3-MAX(Loss_w)&gt;=Lo_c-0.000000001,Alpha_keep*$A132+D$3-MIN(Loss_w)&lt;=Hi_c+0.000000001),1,0)</f>
        <v>1</v>
      </c>
      <c r="E132" s="14" t="n">
        <f aca="false">IF(AND(Alpha_keep*$A132+E$3-MAX(Loss_w)&gt;=Lo_c-0.000000001,Alpha_keep*$A132+E$3-MIN(Loss_w)&lt;=Hi_c+0.000000001),1,0)</f>
        <v>1</v>
      </c>
      <c r="F132" s="14" t="n">
        <f aca="false">IF(AND(Alpha_keep*$A132+F$3-MAX(Loss_w)&gt;=Lo_c-0.000000001,Alpha_keep*$A132+F$3-MIN(Loss_w)&lt;=Hi_c+0.000000001),1,0)</f>
        <v>1</v>
      </c>
      <c r="G132" s="14" t="n">
        <f aca="false">IF(AND(Alpha_keep*$A132+G$3-MAX(Loss_w)&gt;=Lo_c-0.000000001,Alpha_keep*$A132+G$3-MIN(Loss_w)&lt;=Hi_c+0.000000001),1,0)</f>
        <v>1</v>
      </c>
      <c r="H132" s="14" t="n">
        <f aca="false">IF(AND(Alpha_keep*$A132+H$3-MAX(Loss_w)&gt;=Lo_c-0.000000001,Alpha_keep*$A132+H$3-MIN(Loss_w)&lt;=Hi_c+0.000000001),1,0)</f>
        <v>1</v>
      </c>
      <c r="I132" s="14" t="n">
        <f aca="false">IF(AND(Alpha_keep*$A132+I$3-MAX(Loss_w)&gt;=Lo_c-0.000000001,Alpha_keep*$A132+I$3-MIN(Loss_w)&lt;=Hi_c+0.000000001),1,0)</f>
        <v>1</v>
      </c>
      <c r="J132" s="14" t="n">
        <f aca="false">IF(AND(Alpha_keep*$A132+J$3-MAX(Loss_w)&gt;=Lo_c-0.000000001,Alpha_keep*$A132+J$3-MIN(Loss_w)&lt;=Hi_c+0.000000001),1,0)</f>
        <v>1</v>
      </c>
      <c r="K132" s="14" t="n">
        <f aca="false">IF(AND(Alpha_keep*$A132+K$3-MAX(Loss_w)&gt;=Lo_c-0.000000001,Alpha_keep*$A132+K$3-MIN(Loss_w)&lt;=Hi_c+0.000000001),1,0)</f>
        <v>1</v>
      </c>
      <c r="L132" s="14" t="n">
        <f aca="false">IF(AND(Alpha_keep*$A132+L$3-MAX(Loss_w)&gt;=Lo_c-0.000000001,Alpha_keep*$A132+L$3-MIN(Loss_w)&lt;=Hi_c+0.000000001),1,0)</f>
        <v>1</v>
      </c>
      <c r="M132" s="14" t="n">
        <f aca="false">IF(AND(Alpha_keep*$A132+M$3-MAX(Loss_w)&gt;=Lo_c-0.000000001,Alpha_keep*$A132+M$3-MIN(Loss_w)&lt;=Hi_c+0.000000001),1,0)</f>
        <v>1</v>
      </c>
      <c r="N132" s="14" t="n">
        <f aca="false">IF(C132=1,IF(OR(Alpha_keep*$A132+N$3&gt;=Floor_c-0.000000001,AND($B132=0,N$3&gt;=Cap_h-0.000000001)),1,0),0)</f>
        <v>1</v>
      </c>
      <c r="O132" s="14" t="n">
        <f aca="false">IF(D132=1,IF(OR(Alpha_keep*$A132+O$3&gt;=Floor_c-0.000000001,AND($B132=0,O$3&gt;=Cap_h-0.000000001)),1,0),0)</f>
        <v>1</v>
      </c>
      <c r="P132" s="14" t="n">
        <f aca="false">IF(E132=1,IF(OR(Alpha_keep*$A132+P$3&gt;=Floor_c-0.000000001,AND($B132=0,P$3&gt;=Cap_h-0.000000001)),1,0),0)</f>
        <v>1</v>
      </c>
      <c r="Q132" s="14" t="n">
        <f aca="false">IF(F132=1,IF(OR(Alpha_keep*$A132+Q$3&gt;=Floor_c-0.000000001,AND($B132=0,Q$3&gt;=Cap_h-0.000000001)),1,0),0)</f>
        <v>1</v>
      </c>
      <c r="R132" s="14" t="n">
        <f aca="false">IF(G132=1,IF(OR(Alpha_keep*$A132+R$3&gt;=Floor_c-0.000000001,AND($B132=0,R$3&gt;=Cap_h-0.000000001)),1,0),0)</f>
        <v>1</v>
      </c>
      <c r="S132" s="14" t="n">
        <f aca="false">IF(H132=1,IF(OR(Alpha_keep*$A132+S$3&gt;=Floor_c-0.000000001,AND($B132=0,S$3&gt;=Cap_h-0.000000001)),1,0),0)</f>
        <v>1</v>
      </c>
      <c r="T132" s="14" t="n">
        <f aca="false">IF(I132=1,IF(OR(Alpha_keep*$A132+T$3&gt;=Floor_c-0.000000001,AND($B132=0,T$3&gt;=Cap_h-0.000000001)),1,0),0)</f>
        <v>1</v>
      </c>
      <c r="U132" s="14" t="n">
        <f aca="false">IF(J132=1,IF(OR(Alpha_keep*$A132+U$3&gt;=Floor_c-0.000000001,AND($B132=0,U$3&gt;=Cap_h-0.000000001)),1,0),0)</f>
        <v>1</v>
      </c>
      <c r="V132" s="14" t="n">
        <f aca="false">IF(K132=1,IF(OR(Alpha_keep*$A132+V$3&gt;=Floor_c-0.000000001,AND($B132=0,V$3&gt;=Cap_h-0.000000001)),1,0),0)</f>
        <v>1</v>
      </c>
      <c r="W132" s="14" t="n">
        <f aca="false">IF(L132=1,IF(OR(Alpha_keep*$A132+W$3&gt;=Floor_c-0.000000001,AND($B132=0,W$3&gt;=Cap_h-0.000000001)),1,0),0)</f>
        <v>1</v>
      </c>
      <c r="X132" s="14" t="n">
        <f aca="false">IF(M132=1,IF(OR(Alpha_keep*$A132+X$3&gt;=Floor_c-0.000000001,AND($B132=0,X$3&gt;=Cap_h-0.000000001)),1,0),0)</f>
        <v>1</v>
      </c>
      <c r="Y132" s="14" t="n">
        <f aca="false">SUM(C132:M132)</f>
        <v>11</v>
      </c>
      <c r="Z132" s="14" t="n">
        <f aca="false">SUM(N132:X132)</f>
        <v>11</v>
      </c>
      <c r="AA132" s="12" t="n">
        <f aca="false">INDEX($C$3:$M$3,MATCH(1,C132:M132,0))</f>
        <v>0</v>
      </c>
      <c r="AB132" s="12" t="n">
        <f aca="false">INDEX($N$3:$X$3,MATCH(1,N132:X132,0))+(Z132-1)*Step_h</f>
        <v>2.5</v>
      </c>
    </row>
    <row r="133" customFormat="false" ht="15" hidden="false" customHeight="false" outlineLevel="0" collapsed="false">
      <c r="A133" s="12" t="n">
        <f aca="false">A132+Step_c</f>
        <v>62</v>
      </c>
      <c r="B133" s="14" t="n">
        <f aca="false">IF(SUMPRODUCT((Alpha_keep*$A133+$C$3:$M$3&gt;=Floor_c-0.000000001)*(C133:M133))&gt;0,1,0)</f>
        <v>1</v>
      </c>
      <c r="C133" s="14" t="n">
        <f aca="false">IF(AND(Alpha_keep*$A133+C$3-MAX(Loss_w)&gt;=Lo_c-0.000000001,Alpha_keep*$A133+C$3-MIN(Loss_w)&lt;=Hi_c+0.000000001),1,0)</f>
        <v>1</v>
      </c>
      <c r="D133" s="14" t="n">
        <f aca="false">IF(AND(Alpha_keep*$A133+D$3-MAX(Loss_w)&gt;=Lo_c-0.000000001,Alpha_keep*$A133+D$3-MIN(Loss_w)&lt;=Hi_c+0.000000001),1,0)</f>
        <v>1</v>
      </c>
      <c r="E133" s="14" t="n">
        <f aca="false">IF(AND(Alpha_keep*$A133+E$3-MAX(Loss_w)&gt;=Lo_c-0.000000001,Alpha_keep*$A133+E$3-MIN(Loss_w)&lt;=Hi_c+0.000000001),1,0)</f>
        <v>1</v>
      </c>
      <c r="F133" s="14" t="n">
        <f aca="false">IF(AND(Alpha_keep*$A133+F$3-MAX(Loss_w)&gt;=Lo_c-0.000000001,Alpha_keep*$A133+F$3-MIN(Loss_w)&lt;=Hi_c+0.000000001),1,0)</f>
        <v>1</v>
      </c>
      <c r="G133" s="14" t="n">
        <f aca="false">IF(AND(Alpha_keep*$A133+G$3-MAX(Loss_w)&gt;=Lo_c-0.000000001,Alpha_keep*$A133+G$3-MIN(Loss_w)&lt;=Hi_c+0.000000001),1,0)</f>
        <v>1</v>
      </c>
      <c r="H133" s="14" t="n">
        <f aca="false">IF(AND(Alpha_keep*$A133+H$3-MAX(Loss_w)&gt;=Lo_c-0.000000001,Alpha_keep*$A133+H$3-MIN(Loss_w)&lt;=Hi_c+0.000000001),1,0)</f>
        <v>1</v>
      </c>
      <c r="I133" s="14" t="n">
        <f aca="false">IF(AND(Alpha_keep*$A133+I$3-MAX(Loss_w)&gt;=Lo_c-0.000000001,Alpha_keep*$A133+I$3-MIN(Loss_w)&lt;=Hi_c+0.000000001),1,0)</f>
        <v>1</v>
      </c>
      <c r="J133" s="14" t="n">
        <f aca="false">IF(AND(Alpha_keep*$A133+J$3-MAX(Loss_w)&gt;=Lo_c-0.000000001,Alpha_keep*$A133+J$3-MIN(Loss_w)&lt;=Hi_c+0.000000001),1,0)</f>
        <v>1</v>
      </c>
      <c r="K133" s="14" t="n">
        <f aca="false">IF(AND(Alpha_keep*$A133+K$3-MAX(Loss_w)&gt;=Lo_c-0.000000001,Alpha_keep*$A133+K$3-MIN(Loss_w)&lt;=Hi_c+0.000000001),1,0)</f>
        <v>1</v>
      </c>
      <c r="L133" s="14" t="n">
        <f aca="false">IF(AND(Alpha_keep*$A133+L$3-MAX(Loss_w)&gt;=Lo_c-0.000000001,Alpha_keep*$A133+L$3-MIN(Loss_w)&lt;=Hi_c+0.000000001),1,0)</f>
        <v>1</v>
      </c>
      <c r="M133" s="14" t="n">
        <f aca="false">IF(AND(Alpha_keep*$A133+M$3-MAX(Loss_w)&gt;=Lo_c-0.000000001,Alpha_keep*$A133+M$3-MIN(Loss_w)&lt;=Hi_c+0.000000001),1,0)</f>
        <v>1</v>
      </c>
      <c r="N133" s="14" t="n">
        <f aca="false">IF(C133=1,IF(OR(Alpha_keep*$A133+N$3&gt;=Floor_c-0.000000001,AND($B133=0,N$3&gt;=Cap_h-0.000000001)),1,0),0)</f>
        <v>1</v>
      </c>
      <c r="O133" s="14" t="n">
        <f aca="false">IF(D133=1,IF(OR(Alpha_keep*$A133+O$3&gt;=Floor_c-0.000000001,AND($B133=0,O$3&gt;=Cap_h-0.000000001)),1,0),0)</f>
        <v>1</v>
      </c>
      <c r="P133" s="14" t="n">
        <f aca="false">IF(E133=1,IF(OR(Alpha_keep*$A133+P$3&gt;=Floor_c-0.000000001,AND($B133=0,P$3&gt;=Cap_h-0.000000001)),1,0),0)</f>
        <v>1</v>
      </c>
      <c r="Q133" s="14" t="n">
        <f aca="false">IF(F133=1,IF(OR(Alpha_keep*$A133+Q$3&gt;=Floor_c-0.000000001,AND($B133=0,Q$3&gt;=Cap_h-0.000000001)),1,0),0)</f>
        <v>1</v>
      </c>
      <c r="R133" s="14" t="n">
        <f aca="false">IF(G133=1,IF(OR(Alpha_keep*$A133+R$3&gt;=Floor_c-0.000000001,AND($B133=0,R$3&gt;=Cap_h-0.000000001)),1,0),0)</f>
        <v>1</v>
      </c>
      <c r="S133" s="14" t="n">
        <f aca="false">IF(H133=1,IF(OR(Alpha_keep*$A133+S$3&gt;=Floor_c-0.000000001,AND($B133=0,S$3&gt;=Cap_h-0.000000001)),1,0),0)</f>
        <v>1</v>
      </c>
      <c r="T133" s="14" t="n">
        <f aca="false">IF(I133=1,IF(OR(Alpha_keep*$A133+T$3&gt;=Floor_c-0.000000001,AND($B133=0,T$3&gt;=Cap_h-0.000000001)),1,0),0)</f>
        <v>1</v>
      </c>
      <c r="U133" s="14" t="n">
        <f aca="false">IF(J133=1,IF(OR(Alpha_keep*$A133+U$3&gt;=Floor_c-0.000000001,AND($B133=0,U$3&gt;=Cap_h-0.000000001)),1,0),0)</f>
        <v>1</v>
      </c>
      <c r="V133" s="14" t="n">
        <f aca="false">IF(K133=1,IF(OR(Alpha_keep*$A133+V$3&gt;=Floor_c-0.000000001,AND($B133=0,V$3&gt;=Cap_h-0.000000001)),1,0),0)</f>
        <v>1</v>
      </c>
      <c r="W133" s="14" t="n">
        <f aca="false">IF(L133=1,IF(OR(Alpha_keep*$A133+W$3&gt;=Floor_c-0.000000001,AND($B133=0,W$3&gt;=Cap_h-0.000000001)),1,0),0)</f>
        <v>1</v>
      </c>
      <c r="X133" s="14" t="n">
        <f aca="false">IF(M133=1,IF(OR(Alpha_keep*$A133+X$3&gt;=Floor_c-0.000000001,AND($B133=0,X$3&gt;=Cap_h-0.000000001)),1,0),0)</f>
        <v>1</v>
      </c>
      <c r="Y133" s="14" t="n">
        <f aca="false">SUM(C133:M133)</f>
        <v>11</v>
      </c>
      <c r="Z133" s="14" t="n">
        <f aca="false">SUM(N133:X133)</f>
        <v>11</v>
      </c>
      <c r="AA133" s="12" t="n">
        <f aca="false">INDEX($C$3:$M$3,MATCH(1,C133:M133,0))</f>
        <v>0</v>
      </c>
      <c r="AB133" s="12" t="n">
        <f aca="false">INDEX($N$3:$X$3,MATCH(1,N133:X133,0))+(Z133-1)*Step_h</f>
        <v>2.5</v>
      </c>
    </row>
    <row r="134" customFormat="false" ht="15" hidden="false" customHeight="false" outlineLevel="0" collapsed="false">
      <c r="A134" s="12" t="n">
        <f aca="false">A133+Step_c</f>
        <v>62.25</v>
      </c>
      <c r="B134" s="14" t="n">
        <f aca="false">IF(SUMPRODUCT((Alpha_keep*$A134+$C$3:$M$3&gt;=Floor_c-0.000000001)*(C134:M134))&gt;0,1,0)</f>
        <v>1</v>
      </c>
      <c r="C134" s="14" t="n">
        <f aca="false">IF(AND(Alpha_keep*$A134+C$3-MAX(Loss_w)&gt;=Lo_c-0.000000001,Alpha_keep*$A134+C$3-MIN(Loss_w)&lt;=Hi_c+0.000000001),1,0)</f>
        <v>1</v>
      </c>
      <c r="D134" s="14" t="n">
        <f aca="false">IF(AND(Alpha_keep*$A134+D$3-MAX(Loss_w)&gt;=Lo_c-0.000000001,Alpha_keep*$A134+D$3-MIN(Loss_w)&lt;=Hi_c+0.000000001),1,0)</f>
        <v>1</v>
      </c>
      <c r="E134" s="14" t="n">
        <f aca="false">IF(AND(Alpha_keep*$A134+E$3-MAX(Loss_w)&gt;=Lo_c-0.000000001,Alpha_keep*$A134+E$3-MIN(Loss_w)&lt;=Hi_c+0.000000001),1,0)</f>
        <v>1</v>
      </c>
      <c r="F134" s="14" t="n">
        <f aca="false">IF(AND(Alpha_keep*$A134+F$3-MAX(Loss_w)&gt;=Lo_c-0.000000001,Alpha_keep*$A134+F$3-MIN(Loss_w)&lt;=Hi_c+0.000000001),1,0)</f>
        <v>1</v>
      </c>
      <c r="G134" s="14" t="n">
        <f aca="false">IF(AND(Alpha_keep*$A134+G$3-MAX(Loss_w)&gt;=Lo_c-0.000000001,Alpha_keep*$A134+G$3-MIN(Loss_w)&lt;=Hi_c+0.000000001),1,0)</f>
        <v>1</v>
      </c>
      <c r="H134" s="14" t="n">
        <f aca="false">IF(AND(Alpha_keep*$A134+H$3-MAX(Loss_w)&gt;=Lo_c-0.000000001,Alpha_keep*$A134+H$3-MIN(Loss_w)&lt;=Hi_c+0.000000001),1,0)</f>
        <v>1</v>
      </c>
      <c r="I134" s="14" t="n">
        <f aca="false">IF(AND(Alpha_keep*$A134+I$3-MAX(Loss_w)&gt;=Lo_c-0.000000001,Alpha_keep*$A134+I$3-MIN(Loss_w)&lt;=Hi_c+0.000000001),1,0)</f>
        <v>1</v>
      </c>
      <c r="J134" s="14" t="n">
        <f aca="false">IF(AND(Alpha_keep*$A134+J$3-MAX(Loss_w)&gt;=Lo_c-0.000000001,Alpha_keep*$A134+J$3-MIN(Loss_w)&lt;=Hi_c+0.000000001),1,0)</f>
        <v>1</v>
      </c>
      <c r="K134" s="14" t="n">
        <f aca="false">IF(AND(Alpha_keep*$A134+K$3-MAX(Loss_w)&gt;=Lo_c-0.000000001,Alpha_keep*$A134+K$3-MIN(Loss_w)&lt;=Hi_c+0.000000001),1,0)</f>
        <v>1</v>
      </c>
      <c r="L134" s="14" t="n">
        <f aca="false">IF(AND(Alpha_keep*$A134+L$3-MAX(Loss_w)&gt;=Lo_c-0.000000001,Alpha_keep*$A134+L$3-MIN(Loss_w)&lt;=Hi_c+0.000000001),1,0)</f>
        <v>1</v>
      </c>
      <c r="M134" s="14" t="n">
        <f aca="false">IF(AND(Alpha_keep*$A134+M$3-MAX(Loss_w)&gt;=Lo_c-0.000000001,Alpha_keep*$A134+M$3-MIN(Loss_w)&lt;=Hi_c+0.000000001),1,0)</f>
        <v>1</v>
      </c>
      <c r="N134" s="14" t="n">
        <f aca="false">IF(C134=1,IF(OR(Alpha_keep*$A134+N$3&gt;=Floor_c-0.000000001,AND($B134=0,N$3&gt;=Cap_h-0.000000001)),1,0),0)</f>
        <v>1</v>
      </c>
      <c r="O134" s="14" t="n">
        <f aca="false">IF(D134=1,IF(OR(Alpha_keep*$A134+O$3&gt;=Floor_c-0.000000001,AND($B134=0,O$3&gt;=Cap_h-0.000000001)),1,0),0)</f>
        <v>1</v>
      </c>
      <c r="P134" s="14" t="n">
        <f aca="false">IF(E134=1,IF(OR(Alpha_keep*$A134+P$3&gt;=Floor_c-0.000000001,AND($B134=0,P$3&gt;=Cap_h-0.000000001)),1,0),0)</f>
        <v>1</v>
      </c>
      <c r="Q134" s="14" t="n">
        <f aca="false">IF(F134=1,IF(OR(Alpha_keep*$A134+Q$3&gt;=Floor_c-0.000000001,AND($B134=0,Q$3&gt;=Cap_h-0.000000001)),1,0),0)</f>
        <v>1</v>
      </c>
      <c r="R134" s="14" t="n">
        <f aca="false">IF(G134=1,IF(OR(Alpha_keep*$A134+R$3&gt;=Floor_c-0.000000001,AND($B134=0,R$3&gt;=Cap_h-0.000000001)),1,0),0)</f>
        <v>1</v>
      </c>
      <c r="S134" s="14" t="n">
        <f aca="false">IF(H134=1,IF(OR(Alpha_keep*$A134+S$3&gt;=Floor_c-0.000000001,AND($B134=0,S$3&gt;=Cap_h-0.000000001)),1,0),0)</f>
        <v>1</v>
      </c>
      <c r="T134" s="14" t="n">
        <f aca="false">IF(I134=1,IF(OR(Alpha_keep*$A134+T$3&gt;=Floor_c-0.000000001,AND($B134=0,T$3&gt;=Cap_h-0.000000001)),1,0),0)</f>
        <v>1</v>
      </c>
      <c r="U134" s="14" t="n">
        <f aca="false">IF(J134=1,IF(OR(Alpha_keep*$A134+U$3&gt;=Floor_c-0.000000001,AND($B134=0,U$3&gt;=Cap_h-0.000000001)),1,0),0)</f>
        <v>1</v>
      </c>
      <c r="V134" s="14" t="n">
        <f aca="false">IF(K134=1,IF(OR(Alpha_keep*$A134+V$3&gt;=Floor_c-0.000000001,AND($B134=0,V$3&gt;=Cap_h-0.000000001)),1,0),0)</f>
        <v>1</v>
      </c>
      <c r="W134" s="14" t="n">
        <f aca="false">IF(L134=1,IF(OR(Alpha_keep*$A134+W$3&gt;=Floor_c-0.000000001,AND($B134=0,W$3&gt;=Cap_h-0.000000001)),1,0),0)</f>
        <v>1</v>
      </c>
      <c r="X134" s="14" t="n">
        <f aca="false">IF(M134=1,IF(OR(Alpha_keep*$A134+X$3&gt;=Floor_c-0.000000001,AND($B134=0,X$3&gt;=Cap_h-0.000000001)),1,0),0)</f>
        <v>1</v>
      </c>
      <c r="Y134" s="14" t="n">
        <f aca="false">SUM(C134:M134)</f>
        <v>11</v>
      </c>
      <c r="Z134" s="14" t="n">
        <f aca="false">SUM(N134:X134)</f>
        <v>11</v>
      </c>
      <c r="AA134" s="12" t="n">
        <f aca="false">INDEX($C$3:$M$3,MATCH(1,C134:M134,0))</f>
        <v>0</v>
      </c>
      <c r="AB134" s="12" t="n">
        <f aca="false">INDEX($N$3:$X$3,MATCH(1,N134:X134,0))+(Z134-1)*Step_h</f>
        <v>2.5</v>
      </c>
    </row>
    <row r="135" customFormat="false" ht="15" hidden="false" customHeight="false" outlineLevel="0" collapsed="false">
      <c r="A135" s="12" t="n">
        <f aca="false">A134+Step_c</f>
        <v>62.5</v>
      </c>
      <c r="B135" s="14" t="n">
        <f aca="false">IF(SUMPRODUCT((Alpha_keep*$A135+$C$3:$M$3&gt;=Floor_c-0.000000001)*(C135:M135))&gt;0,1,0)</f>
        <v>1</v>
      </c>
      <c r="C135" s="14" t="n">
        <f aca="false">IF(AND(Alpha_keep*$A135+C$3-MAX(Loss_w)&gt;=Lo_c-0.000000001,Alpha_keep*$A135+C$3-MIN(Loss_w)&lt;=Hi_c+0.000000001),1,0)</f>
        <v>1</v>
      </c>
      <c r="D135" s="14" t="n">
        <f aca="false">IF(AND(Alpha_keep*$A135+D$3-MAX(Loss_w)&gt;=Lo_c-0.000000001,Alpha_keep*$A135+D$3-MIN(Loss_w)&lt;=Hi_c+0.000000001),1,0)</f>
        <v>1</v>
      </c>
      <c r="E135" s="14" t="n">
        <f aca="false">IF(AND(Alpha_keep*$A135+E$3-MAX(Loss_w)&gt;=Lo_c-0.000000001,Alpha_keep*$A135+E$3-MIN(Loss_w)&lt;=Hi_c+0.000000001),1,0)</f>
        <v>1</v>
      </c>
      <c r="F135" s="14" t="n">
        <f aca="false">IF(AND(Alpha_keep*$A135+F$3-MAX(Loss_w)&gt;=Lo_c-0.000000001,Alpha_keep*$A135+F$3-MIN(Loss_w)&lt;=Hi_c+0.000000001),1,0)</f>
        <v>1</v>
      </c>
      <c r="G135" s="14" t="n">
        <f aca="false">IF(AND(Alpha_keep*$A135+G$3-MAX(Loss_w)&gt;=Lo_c-0.000000001,Alpha_keep*$A135+G$3-MIN(Loss_w)&lt;=Hi_c+0.000000001),1,0)</f>
        <v>1</v>
      </c>
      <c r="H135" s="14" t="n">
        <f aca="false">IF(AND(Alpha_keep*$A135+H$3-MAX(Loss_w)&gt;=Lo_c-0.000000001,Alpha_keep*$A135+H$3-MIN(Loss_w)&lt;=Hi_c+0.000000001),1,0)</f>
        <v>1</v>
      </c>
      <c r="I135" s="14" t="n">
        <f aca="false">IF(AND(Alpha_keep*$A135+I$3-MAX(Loss_w)&gt;=Lo_c-0.000000001,Alpha_keep*$A135+I$3-MIN(Loss_w)&lt;=Hi_c+0.000000001),1,0)</f>
        <v>1</v>
      </c>
      <c r="J135" s="14" t="n">
        <f aca="false">IF(AND(Alpha_keep*$A135+J$3-MAX(Loss_w)&gt;=Lo_c-0.000000001,Alpha_keep*$A135+J$3-MIN(Loss_w)&lt;=Hi_c+0.000000001),1,0)</f>
        <v>1</v>
      </c>
      <c r="K135" s="14" t="n">
        <f aca="false">IF(AND(Alpha_keep*$A135+K$3-MAX(Loss_w)&gt;=Lo_c-0.000000001,Alpha_keep*$A135+K$3-MIN(Loss_w)&lt;=Hi_c+0.000000001),1,0)</f>
        <v>1</v>
      </c>
      <c r="L135" s="14" t="n">
        <f aca="false">IF(AND(Alpha_keep*$A135+L$3-MAX(Loss_w)&gt;=Lo_c-0.000000001,Alpha_keep*$A135+L$3-MIN(Loss_w)&lt;=Hi_c+0.000000001),1,0)</f>
        <v>1</v>
      </c>
      <c r="M135" s="14" t="n">
        <f aca="false">IF(AND(Alpha_keep*$A135+M$3-MAX(Loss_w)&gt;=Lo_c-0.000000001,Alpha_keep*$A135+M$3-MIN(Loss_w)&lt;=Hi_c+0.000000001),1,0)</f>
        <v>1</v>
      </c>
      <c r="N135" s="14" t="n">
        <f aca="false">IF(C135=1,IF(OR(Alpha_keep*$A135+N$3&gt;=Floor_c-0.000000001,AND($B135=0,N$3&gt;=Cap_h-0.000000001)),1,0),0)</f>
        <v>1</v>
      </c>
      <c r="O135" s="14" t="n">
        <f aca="false">IF(D135=1,IF(OR(Alpha_keep*$A135+O$3&gt;=Floor_c-0.000000001,AND($B135=0,O$3&gt;=Cap_h-0.000000001)),1,0),0)</f>
        <v>1</v>
      </c>
      <c r="P135" s="14" t="n">
        <f aca="false">IF(E135=1,IF(OR(Alpha_keep*$A135+P$3&gt;=Floor_c-0.000000001,AND($B135=0,P$3&gt;=Cap_h-0.000000001)),1,0),0)</f>
        <v>1</v>
      </c>
      <c r="Q135" s="14" t="n">
        <f aca="false">IF(F135=1,IF(OR(Alpha_keep*$A135+Q$3&gt;=Floor_c-0.000000001,AND($B135=0,Q$3&gt;=Cap_h-0.000000001)),1,0),0)</f>
        <v>1</v>
      </c>
      <c r="R135" s="14" t="n">
        <f aca="false">IF(G135=1,IF(OR(Alpha_keep*$A135+R$3&gt;=Floor_c-0.000000001,AND($B135=0,R$3&gt;=Cap_h-0.000000001)),1,0),0)</f>
        <v>1</v>
      </c>
      <c r="S135" s="14" t="n">
        <f aca="false">IF(H135=1,IF(OR(Alpha_keep*$A135+S$3&gt;=Floor_c-0.000000001,AND($B135=0,S$3&gt;=Cap_h-0.000000001)),1,0),0)</f>
        <v>1</v>
      </c>
      <c r="T135" s="14" t="n">
        <f aca="false">IF(I135=1,IF(OR(Alpha_keep*$A135+T$3&gt;=Floor_c-0.000000001,AND($B135=0,T$3&gt;=Cap_h-0.000000001)),1,0),0)</f>
        <v>1</v>
      </c>
      <c r="U135" s="14" t="n">
        <f aca="false">IF(J135=1,IF(OR(Alpha_keep*$A135+U$3&gt;=Floor_c-0.000000001,AND($B135=0,U$3&gt;=Cap_h-0.000000001)),1,0),0)</f>
        <v>1</v>
      </c>
      <c r="V135" s="14" t="n">
        <f aca="false">IF(K135=1,IF(OR(Alpha_keep*$A135+V$3&gt;=Floor_c-0.000000001,AND($B135=0,V$3&gt;=Cap_h-0.000000001)),1,0),0)</f>
        <v>1</v>
      </c>
      <c r="W135" s="14" t="n">
        <f aca="false">IF(L135=1,IF(OR(Alpha_keep*$A135+W$3&gt;=Floor_c-0.000000001,AND($B135=0,W$3&gt;=Cap_h-0.000000001)),1,0),0)</f>
        <v>1</v>
      </c>
      <c r="X135" s="14" t="n">
        <f aca="false">IF(M135=1,IF(OR(Alpha_keep*$A135+X$3&gt;=Floor_c-0.000000001,AND($B135=0,X$3&gt;=Cap_h-0.000000001)),1,0),0)</f>
        <v>1</v>
      </c>
      <c r="Y135" s="14" t="n">
        <f aca="false">SUM(C135:M135)</f>
        <v>11</v>
      </c>
      <c r="Z135" s="14" t="n">
        <f aca="false">SUM(N135:X135)</f>
        <v>11</v>
      </c>
      <c r="AA135" s="12" t="n">
        <f aca="false">INDEX($C$3:$M$3,MATCH(1,C135:M135,0))</f>
        <v>0</v>
      </c>
      <c r="AB135" s="12" t="n">
        <f aca="false">INDEX($N$3:$X$3,MATCH(1,N135:X135,0))+(Z135-1)*Step_h</f>
        <v>2.5</v>
      </c>
    </row>
    <row r="136" customFormat="false" ht="15" hidden="false" customHeight="false" outlineLevel="0" collapsed="false">
      <c r="A136" s="12" t="n">
        <f aca="false">A135+Step_c</f>
        <v>62.75</v>
      </c>
      <c r="B136" s="14" t="n">
        <f aca="false">IF(SUMPRODUCT((Alpha_keep*$A136+$C$3:$M$3&gt;=Floor_c-0.000000001)*(C136:M136))&gt;0,1,0)</f>
        <v>1</v>
      </c>
      <c r="C136" s="14" t="n">
        <f aca="false">IF(AND(Alpha_keep*$A136+C$3-MAX(Loss_w)&gt;=Lo_c-0.000000001,Alpha_keep*$A136+C$3-MIN(Loss_w)&lt;=Hi_c+0.000000001),1,0)</f>
        <v>1</v>
      </c>
      <c r="D136" s="14" t="n">
        <f aca="false">IF(AND(Alpha_keep*$A136+D$3-MAX(Loss_w)&gt;=Lo_c-0.000000001,Alpha_keep*$A136+D$3-MIN(Loss_w)&lt;=Hi_c+0.000000001),1,0)</f>
        <v>1</v>
      </c>
      <c r="E136" s="14" t="n">
        <f aca="false">IF(AND(Alpha_keep*$A136+E$3-MAX(Loss_w)&gt;=Lo_c-0.000000001,Alpha_keep*$A136+E$3-MIN(Loss_w)&lt;=Hi_c+0.000000001),1,0)</f>
        <v>1</v>
      </c>
      <c r="F136" s="14" t="n">
        <f aca="false">IF(AND(Alpha_keep*$A136+F$3-MAX(Loss_w)&gt;=Lo_c-0.000000001,Alpha_keep*$A136+F$3-MIN(Loss_w)&lt;=Hi_c+0.000000001),1,0)</f>
        <v>1</v>
      </c>
      <c r="G136" s="14" t="n">
        <f aca="false">IF(AND(Alpha_keep*$A136+G$3-MAX(Loss_w)&gt;=Lo_c-0.000000001,Alpha_keep*$A136+G$3-MIN(Loss_w)&lt;=Hi_c+0.000000001),1,0)</f>
        <v>1</v>
      </c>
      <c r="H136" s="14" t="n">
        <f aca="false">IF(AND(Alpha_keep*$A136+H$3-MAX(Loss_w)&gt;=Lo_c-0.000000001,Alpha_keep*$A136+H$3-MIN(Loss_w)&lt;=Hi_c+0.000000001),1,0)</f>
        <v>1</v>
      </c>
      <c r="I136" s="14" t="n">
        <f aca="false">IF(AND(Alpha_keep*$A136+I$3-MAX(Loss_w)&gt;=Lo_c-0.000000001,Alpha_keep*$A136+I$3-MIN(Loss_w)&lt;=Hi_c+0.000000001),1,0)</f>
        <v>1</v>
      </c>
      <c r="J136" s="14" t="n">
        <f aca="false">IF(AND(Alpha_keep*$A136+J$3-MAX(Loss_w)&gt;=Lo_c-0.000000001,Alpha_keep*$A136+J$3-MIN(Loss_w)&lt;=Hi_c+0.000000001),1,0)</f>
        <v>1</v>
      </c>
      <c r="K136" s="14" t="n">
        <f aca="false">IF(AND(Alpha_keep*$A136+K$3-MAX(Loss_w)&gt;=Lo_c-0.000000001,Alpha_keep*$A136+K$3-MIN(Loss_w)&lt;=Hi_c+0.000000001),1,0)</f>
        <v>1</v>
      </c>
      <c r="L136" s="14" t="n">
        <f aca="false">IF(AND(Alpha_keep*$A136+L$3-MAX(Loss_w)&gt;=Lo_c-0.000000001,Alpha_keep*$A136+L$3-MIN(Loss_w)&lt;=Hi_c+0.000000001),1,0)</f>
        <v>1</v>
      </c>
      <c r="M136" s="14" t="n">
        <f aca="false">IF(AND(Alpha_keep*$A136+M$3-MAX(Loss_w)&gt;=Lo_c-0.000000001,Alpha_keep*$A136+M$3-MIN(Loss_w)&lt;=Hi_c+0.000000001),1,0)</f>
        <v>1</v>
      </c>
      <c r="N136" s="14" t="n">
        <f aca="false">IF(C136=1,IF(OR(Alpha_keep*$A136+N$3&gt;=Floor_c-0.000000001,AND($B136=0,N$3&gt;=Cap_h-0.000000001)),1,0),0)</f>
        <v>1</v>
      </c>
      <c r="O136" s="14" t="n">
        <f aca="false">IF(D136=1,IF(OR(Alpha_keep*$A136+O$3&gt;=Floor_c-0.000000001,AND($B136=0,O$3&gt;=Cap_h-0.000000001)),1,0),0)</f>
        <v>1</v>
      </c>
      <c r="P136" s="14" t="n">
        <f aca="false">IF(E136=1,IF(OR(Alpha_keep*$A136+P$3&gt;=Floor_c-0.000000001,AND($B136=0,P$3&gt;=Cap_h-0.000000001)),1,0),0)</f>
        <v>1</v>
      </c>
      <c r="Q136" s="14" t="n">
        <f aca="false">IF(F136=1,IF(OR(Alpha_keep*$A136+Q$3&gt;=Floor_c-0.000000001,AND($B136=0,Q$3&gt;=Cap_h-0.000000001)),1,0),0)</f>
        <v>1</v>
      </c>
      <c r="R136" s="14" t="n">
        <f aca="false">IF(G136=1,IF(OR(Alpha_keep*$A136+R$3&gt;=Floor_c-0.000000001,AND($B136=0,R$3&gt;=Cap_h-0.000000001)),1,0),0)</f>
        <v>1</v>
      </c>
      <c r="S136" s="14" t="n">
        <f aca="false">IF(H136=1,IF(OR(Alpha_keep*$A136+S$3&gt;=Floor_c-0.000000001,AND($B136=0,S$3&gt;=Cap_h-0.000000001)),1,0),0)</f>
        <v>1</v>
      </c>
      <c r="T136" s="14" t="n">
        <f aca="false">IF(I136=1,IF(OR(Alpha_keep*$A136+T$3&gt;=Floor_c-0.000000001,AND($B136=0,T$3&gt;=Cap_h-0.000000001)),1,0),0)</f>
        <v>1</v>
      </c>
      <c r="U136" s="14" t="n">
        <f aca="false">IF(J136=1,IF(OR(Alpha_keep*$A136+U$3&gt;=Floor_c-0.000000001,AND($B136=0,U$3&gt;=Cap_h-0.000000001)),1,0),0)</f>
        <v>1</v>
      </c>
      <c r="V136" s="14" t="n">
        <f aca="false">IF(K136=1,IF(OR(Alpha_keep*$A136+V$3&gt;=Floor_c-0.000000001,AND($B136=0,V$3&gt;=Cap_h-0.000000001)),1,0),0)</f>
        <v>1</v>
      </c>
      <c r="W136" s="14" t="n">
        <f aca="false">IF(L136=1,IF(OR(Alpha_keep*$A136+W$3&gt;=Floor_c-0.000000001,AND($B136=0,W$3&gt;=Cap_h-0.000000001)),1,0),0)</f>
        <v>1</v>
      </c>
      <c r="X136" s="14" t="n">
        <f aca="false">IF(M136=1,IF(OR(Alpha_keep*$A136+X$3&gt;=Floor_c-0.000000001,AND($B136=0,X$3&gt;=Cap_h-0.000000001)),1,0),0)</f>
        <v>1</v>
      </c>
      <c r="Y136" s="14" t="n">
        <f aca="false">SUM(C136:M136)</f>
        <v>11</v>
      </c>
      <c r="Z136" s="14" t="n">
        <f aca="false">SUM(N136:X136)</f>
        <v>11</v>
      </c>
      <c r="AA136" s="12" t="n">
        <f aca="false">INDEX($C$3:$M$3,MATCH(1,C136:M136,0))</f>
        <v>0</v>
      </c>
      <c r="AB136" s="12" t="n">
        <f aca="false">INDEX($N$3:$X$3,MATCH(1,N136:X136,0))+(Z136-1)*Step_h</f>
        <v>2.5</v>
      </c>
    </row>
    <row r="137" customFormat="false" ht="15" hidden="false" customHeight="false" outlineLevel="0" collapsed="false">
      <c r="A137" s="12" t="n">
        <f aca="false">A136+Step_c</f>
        <v>63</v>
      </c>
      <c r="B137" s="14" t="n">
        <f aca="false">IF(SUMPRODUCT((Alpha_keep*$A137+$C$3:$M$3&gt;=Floor_c-0.000000001)*(C137:M137))&gt;0,1,0)</f>
        <v>1</v>
      </c>
      <c r="C137" s="14" t="n">
        <f aca="false">IF(AND(Alpha_keep*$A137+C$3-MAX(Loss_w)&gt;=Lo_c-0.000000001,Alpha_keep*$A137+C$3-MIN(Loss_w)&lt;=Hi_c+0.000000001),1,0)</f>
        <v>1</v>
      </c>
      <c r="D137" s="14" t="n">
        <f aca="false">IF(AND(Alpha_keep*$A137+D$3-MAX(Loss_w)&gt;=Lo_c-0.000000001,Alpha_keep*$A137+D$3-MIN(Loss_w)&lt;=Hi_c+0.000000001),1,0)</f>
        <v>1</v>
      </c>
      <c r="E137" s="14" t="n">
        <f aca="false">IF(AND(Alpha_keep*$A137+E$3-MAX(Loss_w)&gt;=Lo_c-0.000000001,Alpha_keep*$A137+E$3-MIN(Loss_w)&lt;=Hi_c+0.000000001),1,0)</f>
        <v>1</v>
      </c>
      <c r="F137" s="14" t="n">
        <f aca="false">IF(AND(Alpha_keep*$A137+F$3-MAX(Loss_w)&gt;=Lo_c-0.000000001,Alpha_keep*$A137+F$3-MIN(Loss_w)&lt;=Hi_c+0.000000001),1,0)</f>
        <v>1</v>
      </c>
      <c r="G137" s="14" t="n">
        <f aca="false">IF(AND(Alpha_keep*$A137+G$3-MAX(Loss_w)&gt;=Lo_c-0.000000001,Alpha_keep*$A137+G$3-MIN(Loss_w)&lt;=Hi_c+0.000000001),1,0)</f>
        <v>1</v>
      </c>
      <c r="H137" s="14" t="n">
        <f aca="false">IF(AND(Alpha_keep*$A137+H$3-MAX(Loss_w)&gt;=Lo_c-0.000000001,Alpha_keep*$A137+H$3-MIN(Loss_w)&lt;=Hi_c+0.000000001),1,0)</f>
        <v>1</v>
      </c>
      <c r="I137" s="14" t="n">
        <f aca="false">IF(AND(Alpha_keep*$A137+I$3-MAX(Loss_w)&gt;=Lo_c-0.000000001,Alpha_keep*$A137+I$3-MIN(Loss_w)&lt;=Hi_c+0.000000001),1,0)</f>
        <v>1</v>
      </c>
      <c r="J137" s="14" t="n">
        <f aca="false">IF(AND(Alpha_keep*$A137+J$3-MAX(Loss_w)&gt;=Lo_c-0.000000001,Alpha_keep*$A137+J$3-MIN(Loss_w)&lt;=Hi_c+0.000000001),1,0)</f>
        <v>1</v>
      </c>
      <c r="K137" s="14" t="n">
        <f aca="false">IF(AND(Alpha_keep*$A137+K$3-MAX(Loss_w)&gt;=Lo_c-0.000000001,Alpha_keep*$A137+K$3-MIN(Loss_w)&lt;=Hi_c+0.000000001),1,0)</f>
        <v>1</v>
      </c>
      <c r="L137" s="14" t="n">
        <f aca="false">IF(AND(Alpha_keep*$A137+L$3-MAX(Loss_w)&gt;=Lo_c-0.000000001,Alpha_keep*$A137+L$3-MIN(Loss_w)&lt;=Hi_c+0.000000001),1,0)</f>
        <v>1</v>
      </c>
      <c r="M137" s="14" t="n">
        <f aca="false">IF(AND(Alpha_keep*$A137+M$3-MAX(Loss_w)&gt;=Lo_c-0.000000001,Alpha_keep*$A137+M$3-MIN(Loss_w)&lt;=Hi_c+0.000000001),1,0)</f>
        <v>1</v>
      </c>
      <c r="N137" s="14" t="n">
        <f aca="false">IF(C137=1,IF(OR(Alpha_keep*$A137+N$3&gt;=Floor_c-0.000000001,AND($B137=0,N$3&gt;=Cap_h-0.000000001)),1,0),0)</f>
        <v>1</v>
      </c>
      <c r="O137" s="14" t="n">
        <f aca="false">IF(D137=1,IF(OR(Alpha_keep*$A137+O$3&gt;=Floor_c-0.000000001,AND($B137=0,O$3&gt;=Cap_h-0.000000001)),1,0),0)</f>
        <v>1</v>
      </c>
      <c r="P137" s="14" t="n">
        <f aca="false">IF(E137=1,IF(OR(Alpha_keep*$A137+P$3&gt;=Floor_c-0.000000001,AND($B137=0,P$3&gt;=Cap_h-0.000000001)),1,0),0)</f>
        <v>1</v>
      </c>
      <c r="Q137" s="14" t="n">
        <f aca="false">IF(F137=1,IF(OR(Alpha_keep*$A137+Q$3&gt;=Floor_c-0.000000001,AND($B137=0,Q$3&gt;=Cap_h-0.000000001)),1,0),0)</f>
        <v>1</v>
      </c>
      <c r="R137" s="14" t="n">
        <f aca="false">IF(G137=1,IF(OR(Alpha_keep*$A137+R$3&gt;=Floor_c-0.000000001,AND($B137=0,R$3&gt;=Cap_h-0.000000001)),1,0),0)</f>
        <v>1</v>
      </c>
      <c r="S137" s="14" t="n">
        <f aca="false">IF(H137=1,IF(OR(Alpha_keep*$A137+S$3&gt;=Floor_c-0.000000001,AND($B137=0,S$3&gt;=Cap_h-0.000000001)),1,0),0)</f>
        <v>1</v>
      </c>
      <c r="T137" s="14" t="n">
        <f aca="false">IF(I137=1,IF(OR(Alpha_keep*$A137+T$3&gt;=Floor_c-0.000000001,AND($B137=0,T$3&gt;=Cap_h-0.000000001)),1,0),0)</f>
        <v>1</v>
      </c>
      <c r="U137" s="14" t="n">
        <f aca="false">IF(J137=1,IF(OR(Alpha_keep*$A137+U$3&gt;=Floor_c-0.000000001,AND($B137=0,U$3&gt;=Cap_h-0.000000001)),1,0),0)</f>
        <v>1</v>
      </c>
      <c r="V137" s="14" t="n">
        <f aca="false">IF(K137=1,IF(OR(Alpha_keep*$A137+V$3&gt;=Floor_c-0.000000001,AND($B137=0,V$3&gt;=Cap_h-0.000000001)),1,0),0)</f>
        <v>1</v>
      </c>
      <c r="W137" s="14" t="n">
        <f aca="false">IF(L137=1,IF(OR(Alpha_keep*$A137+W$3&gt;=Floor_c-0.000000001,AND($B137=0,W$3&gt;=Cap_h-0.000000001)),1,0),0)</f>
        <v>1</v>
      </c>
      <c r="X137" s="14" t="n">
        <f aca="false">IF(M137=1,IF(OR(Alpha_keep*$A137+X$3&gt;=Floor_c-0.000000001,AND($B137=0,X$3&gt;=Cap_h-0.000000001)),1,0),0)</f>
        <v>1</v>
      </c>
      <c r="Y137" s="14" t="n">
        <f aca="false">SUM(C137:M137)</f>
        <v>11</v>
      </c>
      <c r="Z137" s="14" t="n">
        <f aca="false">SUM(N137:X137)</f>
        <v>11</v>
      </c>
      <c r="AA137" s="12" t="n">
        <f aca="false">INDEX($C$3:$M$3,MATCH(1,C137:M137,0))</f>
        <v>0</v>
      </c>
      <c r="AB137" s="12" t="n">
        <f aca="false">INDEX($N$3:$X$3,MATCH(1,N137:X137,0))+(Z137-1)*Step_h</f>
        <v>2.5</v>
      </c>
    </row>
    <row r="138" customFormat="false" ht="15" hidden="false" customHeight="false" outlineLevel="0" collapsed="false">
      <c r="A138" s="12" t="n">
        <f aca="false">A137+Step_c</f>
        <v>63.25</v>
      </c>
      <c r="B138" s="14" t="n">
        <f aca="false">IF(SUMPRODUCT((Alpha_keep*$A138+$C$3:$M$3&gt;=Floor_c-0.000000001)*(C138:M138))&gt;0,1,0)</f>
        <v>1</v>
      </c>
      <c r="C138" s="14" t="n">
        <f aca="false">IF(AND(Alpha_keep*$A138+C$3-MAX(Loss_w)&gt;=Lo_c-0.000000001,Alpha_keep*$A138+C$3-MIN(Loss_w)&lt;=Hi_c+0.000000001),1,0)</f>
        <v>1</v>
      </c>
      <c r="D138" s="14" t="n">
        <f aca="false">IF(AND(Alpha_keep*$A138+D$3-MAX(Loss_w)&gt;=Lo_c-0.000000001,Alpha_keep*$A138+D$3-MIN(Loss_w)&lt;=Hi_c+0.000000001),1,0)</f>
        <v>1</v>
      </c>
      <c r="E138" s="14" t="n">
        <f aca="false">IF(AND(Alpha_keep*$A138+E$3-MAX(Loss_w)&gt;=Lo_c-0.000000001,Alpha_keep*$A138+E$3-MIN(Loss_w)&lt;=Hi_c+0.000000001),1,0)</f>
        <v>1</v>
      </c>
      <c r="F138" s="14" t="n">
        <f aca="false">IF(AND(Alpha_keep*$A138+F$3-MAX(Loss_w)&gt;=Lo_c-0.000000001,Alpha_keep*$A138+F$3-MIN(Loss_w)&lt;=Hi_c+0.000000001),1,0)</f>
        <v>1</v>
      </c>
      <c r="G138" s="14" t="n">
        <f aca="false">IF(AND(Alpha_keep*$A138+G$3-MAX(Loss_w)&gt;=Lo_c-0.000000001,Alpha_keep*$A138+G$3-MIN(Loss_w)&lt;=Hi_c+0.000000001),1,0)</f>
        <v>1</v>
      </c>
      <c r="H138" s="14" t="n">
        <f aca="false">IF(AND(Alpha_keep*$A138+H$3-MAX(Loss_w)&gt;=Lo_c-0.000000001,Alpha_keep*$A138+H$3-MIN(Loss_w)&lt;=Hi_c+0.000000001),1,0)</f>
        <v>1</v>
      </c>
      <c r="I138" s="14" t="n">
        <f aca="false">IF(AND(Alpha_keep*$A138+I$3-MAX(Loss_w)&gt;=Lo_c-0.000000001,Alpha_keep*$A138+I$3-MIN(Loss_w)&lt;=Hi_c+0.000000001),1,0)</f>
        <v>1</v>
      </c>
      <c r="J138" s="14" t="n">
        <f aca="false">IF(AND(Alpha_keep*$A138+J$3-MAX(Loss_w)&gt;=Lo_c-0.000000001,Alpha_keep*$A138+J$3-MIN(Loss_w)&lt;=Hi_c+0.000000001),1,0)</f>
        <v>1</v>
      </c>
      <c r="K138" s="14" t="n">
        <f aca="false">IF(AND(Alpha_keep*$A138+K$3-MAX(Loss_w)&gt;=Lo_c-0.000000001,Alpha_keep*$A138+K$3-MIN(Loss_w)&lt;=Hi_c+0.000000001),1,0)</f>
        <v>1</v>
      </c>
      <c r="L138" s="14" t="n">
        <f aca="false">IF(AND(Alpha_keep*$A138+L$3-MAX(Loss_w)&gt;=Lo_c-0.000000001,Alpha_keep*$A138+L$3-MIN(Loss_w)&lt;=Hi_c+0.000000001),1,0)</f>
        <v>1</v>
      </c>
      <c r="M138" s="14" t="n">
        <f aca="false">IF(AND(Alpha_keep*$A138+M$3-MAX(Loss_w)&gt;=Lo_c-0.000000001,Alpha_keep*$A138+M$3-MIN(Loss_w)&lt;=Hi_c+0.000000001),1,0)</f>
        <v>1</v>
      </c>
      <c r="N138" s="14" t="n">
        <f aca="false">IF(C138=1,IF(OR(Alpha_keep*$A138+N$3&gt;=Floor_c-0.000000001,AND($B138=0,N$3&gt;=Cap_h-0.000000001)),1,0),0)</f>
        <v>1</v>
      </c>
      <c r="O138" s="14" t="n">
        <f aca="false">IF(D138=1,IF(OR(Alpha_keep*$A138+O$3&gt;=Floor_c-0.000000001,AND($B138=0,O$3&gt;=Cap_h-0.000000001)),1,0),0)</f>
        <v>1</v>
      </c>
      <c r="P138" s="14" t="n">
        <f aca="false">IF(E138=1,IF(OR(Alpha_keep*$A138+P$3&gt;=Floor_c-0.000000001,AND($B138=0,P$3&gt;=Cap_h-0.000000001)),1,0),0)</f>
        <v>1</v>
      </c>
      <c r="Q138" s="14" t="n">
        <f aca="false">IF(F138=1,IF(OR(Alpha_keep*$A138+Q$3&gt;=Floor_c-0.000000001,AND($B138=0,Q$3&gt;=Cap_h-0.000000001)),1,0),0)</f>
        <v>1</v>
      </c>
      <c r="R138" s="14" t="n">
        <f aca="false">IF(G138=1,IF(OR(Alpha_keep*$A138+R$3&gt;=Floor_c-0.000000001,AND($B138=0,R$3&gt;=Cap_h-0.000000001)),1,0),0)</f>
        <v>1</v>
      </c>
      <c r="S138" s="14" t="n">
        <f aca="false">IF(H138=1,IF(OR(Alpha_keep*$A138+S$3&gt;=Floor_c-0.000000001,AND($B138=0,S$3&gt;=Cap_h-0.000000001)),1,0),0)</f>
        <v>1</v>
      </c>
      <c r="T138" s="14" t="n">
        <f aca="false">IF(I138=1,IF(OR(Alpha_keep*$A138+T$3&gt;=Floor_c-0.000000001,AND($B138=0,T$3&gt;=Cap_h-0.000000001)),1,0),0)</f>
        <v>1</v>
      </c>
      <c r="U138" s="14" t="n">
        <f aca="false">IF(J138=1,IF(OR(Alpha_keep*$A138+U$3&gt;=Floor_c-0.000000001,AND($B138=0,U$3&gt;=Cap_h-0.000000001)),1,0),0)</f>
        <v>1</v>
      </c>
      <c r="V138" s="14" t="n">
        <f aca="false">IF(K138=1,IF(OR(Alpha_keep*$A138+V$3&gt;=Floor_c-0.000000001,AND($B138=0,V$3&gt;=Cap_h-0.000000001)),1,0),0)</f>
        <v>1</v>
      </c>
      <c r="W138" s="14" t="n">
        <f aca="false">IF(L138=1,IF(OR(Alpha_keep*$A138+W$3&gt;=Floor_c-0.000000001,AND($B138=0,W$3&gt;=Cap_h-0.000000001)),1,0),0)</f>
        <v>1</v>
      </c>
      <c r="X138" s="14" t="n">
        <f aca="false">IF(M138=1,IF(OR(Alpha_keep*$A138+X$3&gt;=Floor_c-0.000000001,AND($B138=0,X$3&gt;=Cap_h-0.000000001)),1,0),0)</f>
        <v>1</v>
      </c>
      <c r="Y138" s="14" t="n">
        <f aca="false">SUM(C138:M138)</f>
        <v>11</v>
      </c>
      <c r="Z138" s="14" t="n">
        <f aca="false">SUM(N138:X138)</f>
        <v>11</v>
      </c>
      <c r="AA138" s="12" t="n">
        <f aca="false">INDEX($C$3:$M$3,MATCH(1,C138:M138,0))</f>
        <v>0</v>
      </c>
      <c r="AB138" s="12" t="n">
        <f aca="false">INDEX($N$3:$X$3,MATCH(1,N138:X138,0))+(Z138-1)*Step_h</f>
        <v>2.5</v>
      </c>
    </row>
    <row r="139" customFormat="false" ht="15" hidden="false" customHeight="false" outlineLevel="0" collapsed="false">
      <c r="A139" s="12" t="n">
        <f aca="false">A138+Step_c</f>
        <v>63.5</v>
      </c>
      <c r="B139" s="14" t="n">
        <f aca="false">IF(SUMPRODUCT((Alpha_keep*$A139+$C$3:$M$3&gt;=Floor_c-0.000000001)*(C139:M139))&gt;0,1,0)</f>
        <v>1</v>
      </c>
      <c r="C139" s="14" t="n">
        <f aca="false">IF(AND(Alpha_keep*$A139+C$3-MAX(Loss_w)&gt;=Lo_c-0.000000001,Alpha_keep*$A139+C$3-MIN(Loss_w)&lt;=Hi_c+0.000000001),1,0)</f>
        <v>1</v>
      </c>
      <c r="D139" s="14" t="n">
        <f aca="false">IF(AND(Alpha_keep*$A139+D$3-MAX(Loss_w)&gt;=Lo_c-0.000000001,Alpha_keep*$A139+D$3-MIN(Loss_w)&lt;=Hi_c+0.000000001),1,0)</f>
        <v>1</v>
      </c>
      <c r="E139" s="14" t="n">
        <f aca="false">IF(AND(Alpha_keep*$A139+E$3-MAX(Loss_w)&gt;=Lo_c-0.000000001,Alpha_keep*$A139+E$3-MIN(Loss_w)&lt;=Hi_c+0.000000001),1,0)</f>
        <v>1</v>
      </c>
      <c r="F139" s="14" t="n">
        <f aca="false">IF(AND(Alpha_keep*$A139+F$3-MAX(Loss_w)&gt;=Lo_c-0.000000001,Alpha_keep*$A139+F$3-MIN(Loss_w)&lt;=Hi_c+0.000000001),1,0)</f>
        <v>1</v>
      </c>
      <c r="G139" s="14" t="n">
        <f aca="false">IF(AND(Alpha_keep*$A139+G$3-MAX(Loss_w)&gt;=Lo_c-0.000000001,Alpha_keep*$A139+G$3-MIN(Loss_w)&lt;=Hi_c+0.000000001),1,0)</f>
        <v>1</v>
      </c>
      <c r="H139" s="14" t="n">
        <f aca="false">IF(AND(Alpha_keep*$A139+H$3-MAX(Loss_w)&gt;=Lo_c-0.000000001,Alpha_keep*$A139+H$3-MIN(Loss_w)&lt;=Hi_c+0.000000001),1,0)</f>
        <v>1</v>
      </c>
      <c r="I139" s="14" t="n">
        <f aca="false">IF(AND(Alpha_keep*$A139+I$3-MAX(Loss_w)&gt;=Lo_c-0.000000001,Alpha_keep*$A139+I$3-MIN(Loss_w)&lt;=Hi_c+0.000000001),1,0)</f>
        <v>1</v>
      </c>
      <c r="J139" s="14" t="n">
        <f aca="false">IF(AND(Alpha_keep*$A139+J$3-MAX(Loss_w)&gt;=Lo_c-0.000000001,Alpha_keep*$A139+J$3-MIN(Loss_w)&lt;=Hi_c+0.000000001),1,0)</f>
        <v>1</v>
      </c>
      <c r="K139" s="14" t="n">
        <f aca="false">IF(AND(Alpha_keep*$A139+K$3-MAX(Loss_w)&gt;=Lo_c-0.000000001,Alpha_keep*$A139+K$3-MIN(Loss_w)&lt;=Hi_c+0.000000001),1,0)</f>
        <v>1</v>
      </c>
      <c r="L139" s="14" t="n">
        <f aca="false">IF(AND(Alpha_keep*$A139+L$3-MAX(Loss_w)&gt;=Lo_c-0.000000001,Alpha_keep*$A139+L$3-MIN(Loss_w)&lt;=Hi_c+0.000000001),1,0)</f>
        <v>1</v>
      </c>
      <c r="M139" s="14" t="n">
        <f aca="false">IF(AND(Alpha_keep*$A139+M$3-MAX(Loss_w)&gt;=Lo_c-0.000000001,Alpha_keep*$A139+M$3-MIN(Loss_w)&lt;=Hi_c+0.000000001),1,0)</f>
        <v>1</v>
      </c>
      <c r="N139" s="14" t="n">
        <f aca="false">IF(C139=1,IF(OR(Alpha_keep*$A139+N$3&gt;=Floor_c-0.000000001,AND($B139=0,N$3&gt;=Cap_h-0.000000001)),1,0),0)</f>
        <v>1</v>
      </c>
      <c r="O139" s="14" t="n">
        <f aca="false">IF(D139=1,IF(OR(Alpha_keep*$A139+O$3&gt;=Floor_c-0.000000001,AND($B139=0,O$3&gt;=Cap_h-0.000000001)),1,0),0)</f>
        <v>1</v>
      </c>
      <c r="P139" s="14" t="n">
        <f aca="false">IF(E139=1,IF(OR(Alpha_keep*$A139+P$3&gt;=Floor_c-0.000000001,AND($B139=0,P$3&gt;=Cap_h-0.000000001)),1,0),0)</f>
        <v>1</v>
      </c>
      <c r="Q139" s="14" t="n">
        <f aca="false">IF(F139=1,IF(OR(Alpha_keep*$A139+Q$3&gt;=Floor_c-0.000000001,AND($B139=0,Q$3&gt;=Cap_h-0.000000001)),1,0),0)</f>
        <v>1</v>
      </c>
      <c r="R139" s="14" t="n">
        <f aca="false">IF(G139=1,IF(OR(Alpha_keep*$A139+R$3&gt;=Floor_c-0.000000001,AND($B139=0,R$3&gt;=Cap_h-0.000000001)),1,0),0)</f>
        <v>1</v>
      </c>
      <c r="S139" s="14" t="n">
        <f aca="false">IF(H139=1,IF(OR(Alpha_keep*$A139+S$3&gt;=Floor_c-0.000000001,AND($B139=0,S$3&gt;=Cap_h-0.000000001)),1,0),0)</f>
        <v>1</v>
      </c>
      <c r="T139" s="14" t="n">
        <f aca="false">IF(I139=1,IF(OR(Alpha_keep*$A139+T$3&gt;=Floor_c-0.000000001,AND($B139=0,T$3&gt;=Cap_h-0.000000001)),1,0),0)</f>
        <v>1</v>
      </c>
      <c r="U139" s="14" t="n">
        <f aca="false">IF(J139=1,IF(OR(Alpha_keep*$A139+U$3&gt;=Floor_c-0.000000001,AND($B139=0,U$3&gt;=Cap_h-0.000000001)),1,0),0)</f>
        <v>1</v>
      </c>
      <c r="V139" s="14" t="n">
        <f aca="false">IF(K139=1,IF(OR(Alpha_keep*$A139+V$3&gt;=Floor_c-0.000000001,AND($B139=0,V$3&gt;=Cap_h-0.000000001)),1,0),0)</f>
        <v>1</v>
      </c>
      <c r="W139" s="14" t="n">
        <f aca="false">IF(L139=1,IF(OR(Alpha_keep*$A139+W$3&gt;=Floor_c-0.000000001,AND($B139=0,W$3&gt;=Cap_h-0.000000001)),1,0),0)</f>
        <v>1</v>
      </c>
      <c r="X139" s="14" t="n">
        <f aca="false">IF(M139=1,IF(OR(Alpha_keep*$A139+X$3&gt;=Floor_c-0.000000001,AND($B139=0,X$3&gt;=Cap_h-0.000000001)),1,0),0)</f>
        <v>1</v>
      </c>
      <c r="Y139" s="14" t="n">
        <f aca="false">SUM(C139:M139)</f>
        <v>11</v>
      </c>
      <c r="Z139" s="14" t="n">
        <f aca="false">SUM(N139:X139)</f>
        <v>11</v>
      </c>
      <c r="AA139" s="12" t="n">
        <f aca="false">INDEX($C$3:$M$3,MATCH(1,C139:M139,0))</f>
        <v>0</v>
      </c>
      <c r="AB139" s="12" t="n">
        <f aca="false">INDEX($N$3:$X$3,MATCH(1,N139:X139,0))+(Z139-1)*Step_h</f>
        <v>2.5</v>
      </c>
    </row>
    <row r="140" customFormat="false" ht="15" hidden="false" customHeight="false" outlineLevel="0" collapsed="false">
      <c r="A140" s="12" t="n">
        <f aca="false">A139+Step_c</f>
        <v>63.75</v>
      </c>
      <c r="B140" s="14" t="n">
        <f aca="false">IF(SUMPRODUCT((Alpha_keep*$A140+$C$3:$M$3&gt;=Floor_c-0.000000001)*(C140:M140))&gt;0,1,0)</f>
        <v>1</v>
      </c>
      <c r="C140" s="14" t="n">
        <f aca="false">IF(AND(Alpha_keep*$A140+C$3-MAX(Loss_w)&gt;=Lo_c-0.000000001,Alpha_keep*$A140+C$3-MIN(Loss_w)&lt;=Hi_c+0.000000001),1,0)</f>
        <v>1</v>
      </c>
      <c r="D140" s="14" t="n">
        <f aca="false">IF(AND(Alpha_keep*$A140+D$3-MAX(Loss_w)&gt;=Lo_c-0.000000001,Alpha_keep*$A140+D$3-MIN(Loss_w)&lt;=Hi_c+0.000000001),1,0)</f>
        <v>1</v>
      </c>
      <c r="E140" s="14" t="n">
        <f aca="false">IF(AND(Alpha_keep*$A140+E$3-MAX(Loss_w)&gt;=Lo_c-0.000000001,Alpha_keep*$A140+E$3-MIN(Loss_w)&lt;=Hi_c+0.000000001),1,0)</f>
        <v>1</v>
      </c>
      <c r="F140" s="14" t="n">
        <f aca="false">IF(AND(Alpha_keep*$A140+F$3-MAX(Loss_w)&gt;=Lo_c-0.000000001,Alpha_keep*$A140+F$3-MIN(Loss_w)&lt;=Hi_c+0.000000001),1,0)</f>
        <v>1</v>
      </c>
      <c r="G140" s="14" t="n">
        <f aca="false">IF(AND(Alpha_keep*$A140+G$3-MAX(Loss_w)&gt;=Lo_c-0.000000001,Alpha_keep*$A140+G$3-MIN(Loss_w)&lt;=Hi_c+0.000000001),1,0)</f>
        <v>1</v>
      </c>
      <c r="H140" s="14" t="n">
        <f aca="false">IF(AND(Alpha_keep*$A140+H$3-MAX(Loss_w)&gt;=Lo_c-0.000000001,Alpha_keep*$A140+H$3-MIN(Loss_w)&lt;=Hi_c+0.000000001),1,0)</f>
        <v>1</v>
      </c>
      <c r="I140" s="14" t="n">
        <f aca="false">IF(AND(Alpha_keep*$A140+I$3-MAX(Loss_w)&gt;=Lo_c-0.000000001,Alpha_keep*$A140+I$3-MIN(Loss_w)&lt;=Hi_c+0.000000001),1,0)</f>
        <v>1</v>
      </c>
      <c r="J140" s="14" t="n">
        <f aca="false">IF(AND(Alpha_keep*$A140+J$3-MAX(Loss_w)&gt;=Lo_c-0.000000001,Alpha_keep*$A140+J$3-MIN(Loss_w)&lt;=Hi_c+0.000000001),1,0)</f>
        <v>1</v>
      </c>
      <c r="K140" s="14" t="n">
        <f aca="false">IF(AND(Alpha_keep*$A140+K$3-MAX(Loss_w)&gt;=Lo_c-0.000000001,Alpha_keep*$A140+K$3-MIN(Loss_w)&lt;=Hi_c+0.000000001),1,0)</f>
        <v>1</v>
      </c>
      <c r="L140" s="14" t="n">
        <f aca="false">IF(AND(Alpha_keep*$A140+L$3-MAX(Loss_w)&gt;=Lo_c-0.000000001,Alpha_keep*$A140+L$3-MIN(Loss_w)&lt;=Hi_c+0.000000001),1,0)</f>
        <v>1</v>
      </c>
      <c r="M140" s="14" t="n">
        <f aca="false">IF(AND(Alpha_keep*$A140+M$3-MAX(Loss_w)&gt;=Lo_c-0.000000001,Alpha_keep*$A140+M$3-MIN(Loss_w)&lt;=Hi_c+0.000000001),1,0)</f>
        <v>1</v>
      </c>
      <c r="N140" s="14" t="n">
        <f aca="false">IF(C140=1,IF(OR(Alpha_keep*$A140+N$3&gt;=Floor_c-0.000000001,AND($B140=0,N$3&gt;=Cap_h-0.000000001)),1,0),0)</f>
        <v>1</v>
      </c>
      <c r="O140" s="14" t="n">
        <f aca="false">IF(D140=1,IF(OR(Alpha_keep*$A140+O$3&gt;=Floor_c-0.000000001,AND($B140=0,O$3&gt;=Cap_h-0.000000001)),1,0),0)</f>
        <v>1</v>
      </c>
      <c r="P140" s="14" t="n">
        <f aca="false">IF(E140=1,IF(OR(Alpha_keep*$A140+P$3&gt;=Floor_c-0.000000001,AND($B140=0,P$3&gt;=Cap_h-0.000000001)),1,0),0)</f>
        <v>1</v>
      </c>
      <c r="Q140" s="14" t="n">
        <f aca="false">IF(F140=1,IF(OR(Alpha_keep*$A140+Q$3&gt;=Floor_c-0.000000001,AND($B140=0,Q$3&gt;=Cap_h-0.000000001)),1,0),0)</f>
        <v>1</v>
      </c>
      <c r="R140" s="14" t="n">
        <f aca="false">IF(G140=1,IF(OR(Alpha_keep*$A140+R$3&gt;=Floor_c-0.000000001,AND($B140=0,R$3&gt;=Cap_h-0.000000001)),1,0),0)</f>
        <v>1</v>
      </c>
      <c r="S140" s="14" t="n">
        <f aca="false">IF(H140=1,IF(OR(Alpha_keep*$A140+S$3&gt;=Floor_c-0.000000001,AND($B140=0,S$3&gt;=Cap_h-0.000000001)),1,0),0)</f>
        <v>1</v>
      </c>
      <c r="T140" s="14" t="n">
        <f aca="false">IF(I140=1,IF(OR(Alpha_keep*$A140+T$3&gt;=Floor_c-0.000000001,AND($B140=0,T$3&gt;=Cap_h-0.000000001)),1,0),0)</f>
        <v>1</v>
      </c>
      <c r="U140" s="14" t="n">
        <f aca="false">IF(J140=1,IF(OR(Alpha_keep*$A140+U$3&gt;=Floor_c-0.000000001,AND($B140=0,U$3&gt;=Cap_h-0.000000001)),1,0),0)</f>
        <v>1</v>
      </c>
      <c r="V140" s="14" t="n">
        <f aca="false">IF(K140=1,IF(OR(Alpha_keep*$A140+V$3&gt;=Floor_c-0.000000001,AND($B140=0,V$3&gt;=Cap_h-0.000000001)),1,0),0)</f>
        <v>1</v>
      </c>
      <c r="W140" s="14" t="n">
        <f aca="false">IF(L140=1,IF(OR(Alpha_keep*$A140+W$3&gt;=Floor_c-0.000000001,AND($B140=0,W$3&gt;=Cap_h-0.000000001)),1,0),0)</f>
        <v>1</v>
      </c>
      <c r="X140" s="14" t="n">
        <f aca="false">IF(M140=1,IF(OR(Alpha_keep*$A140+X$3&gt;=Floor_c-0.000000001,AND($B140=0,X$3&gt;=Cap_h-0.000000001)),1,0),0)</f>
        <v>1</v>
      </c>
      <c r="Y140" s="14" t="n">
        <f aca="false">SUM(C140:M140)</f>
        <v>11</v>
      </c>
      <c r="Z140" s="14" t="n">
        <f aca="false">SUM(N140:X140)</f>
        <v>11</v>
      </c>
      <c r="AA140" s="12" t="n">
        <f aca="false">INDEX($C$3:$M$3,MATCH(1,C140:M140,0))</f>
        <v>0</v>
      </c>
      <c r="AB140" s="12" t="n">
        <f aca="false">INDEX($N$3:$X$3,MATCH(1,N140:X140,0))+(Z140-1)*Step_h</f>
        <v>2.5</v>
      </c>
    </row>
    <row r="141" customFormat="false" ht="15" hidden="false" customHeight="false" outlineLevel="0" collapsed="false">
      <c r="A141" s="12" t="n">
        <f aca="false">A140+Step_c</f>
        <v>64</v>
      </c>
      <c r="B141" s="14" t="n">
        <f aca="false">IF(SUMPRODUCT((Alpha_keep*$A141+$C$3:$M$3&gt;=Floor_c-0.000000001)*(C141:M141))&gt;0,1,0)</f>
        <v>1</v>
      </c>
      <c r="C141" s="14" t="n">
        <f aca="false">IF(AND(Alpha_keep*$A141+C$3-MAX(Loss_w)&gt;=Lo_c-0.000000001,Alpha_keep*$A141+C$3-MIN(Loss_w)&lt;=Hi_c+0.000000001),1,0)</f>
        <v>1</v>
      </c>
      <c r="D141" s="14" t="n">
        <f aca="false">IF(AND(Alpha_keep*$A141+D$3-MAX(Loss_w)&gt;=Lo_c-0.000000001,Alpha_keep*$A141+D$3-MIN(Loss_w)&lt;=Hi_c+0.000000001),1,0)</f>
        <v>1</v>
      </c>
      <c r="E141" s="14" t="n">
        <f aca="false">IF(AND(Alpha_keep*$A141+E$3-MAX(Loss_w)&gt;=Lo_c-0.000000001,Alpha_keep*$A141+E$3-MIN(Loss_w)&lt;=Hi_c+0.000000001),1,0)</f>
        <v>1</v>
      </c>
      <c r="F141" s="14" t="n">
        <f aca="false">IF(AND(Alpha_keep*$A141+F$3-MAX(Loss_w)&gt;=Lo_c-0.000000001,Alpha_keep*$A141+F$3-MIN(Loss_w)&lt;=Hi_c+0.000000001),1,0)</f>
        <v>1</v>
      </c>
      <c r="G141" s="14" t="n">
        <f aca="false">IF(AND(Alpha_keep*$A141+G$3-MAX(Loss_w)&gt;=Lo_c-0.000000001,Alpha_keep*$A141+G$3-MIN(Loss_w)&lt;=Hi_c+0.000000001),1,0)</f>
        <v>1</v>
      </c>
      <c r="H141" s="14" t="n">
        <f aca="false">IF(AND(Alpha_keep*$A141+H$3-MAX(Loss_w)&gt;=Lo_c-0.000000001,Alpha_keep*$A141+H$3-MIN(Loss_w)&lt;=Hi_c+0.000000001),1,0)</f>
        <v>1</v>
      </c>
      <c r="I141" s="14" t="n">
        <f aca="false">IF(AND(Alpha_keep*$A141+I$3-MAX(Loss_w)&gt;=Lo_c-0.000000001,Alpha_keep*$A141+I$3-MIN(Loss_w)&lt;=Hi_c+0.000000001),1,0)</f>
        <v>1</v>
      </c>
      <c r="J141" s="14" t="n">
        <f aca="false">IF(AND(Alpha_keep*$A141+J$3-MAX(Loss_w)&gt;=Lo_c-0.000000001,Alpha_keep*$A141+J$3-MIN(Loss_w)&lt;=Hi_c+0.000000001),1,0)</f>
        <v>1</v>
      </c>
      <c r="K141" s="14" t="n">
        <f aca="false">IF(AND(Alpha_keep*$A141+K$3-MAX(Loss_w)&gt;=Lo_c-0.000000001,Alpha_keep*$A141+K$3-MIN(Loss_w)&lt;=Hi_c+0.000000001),1,0)</f>
        <v>1</v>
      </c>
      <c r="L141" s="14" t="n">
        <f aca="false">IF(AND(Alpha_keep*$A141+L$3-MAX(Loss_w)&gt;=Lo_c-0.000000001,Alpha_keep*$A141+L$3-MIN(Loss_w)&lt;=Hi_c+0.000000001),1,0)</f>
        <v>1</v>
      </c>
      <c r="M141" s="14" t="n">
        <f aca="false">IF(AND(Alpha_keep*$A141+M$3-MAX(Loss_w)&gt;=Lo_c-0.000000001,Alpha_keep*$A141+M$3-MIN(Loss_w)&lt;=Hi_c+0.000000001),1,0)</f>
        <v>1</v>
      </c>
      <c r="N141" s="14" t="n">
        <f aca="false">IF(C141=1,IF(OR(Alpha_keep*$A141+N$3&gt;=Floor_c-0.000000001,AND($B141=0,N$3&gt;=Cap_h-0.000000001)),1,0),0)</f>
        <v>1</v>
      </c>
      <c r="O141" s="14" t="n">
        <f aca="false">IF(D141=1,IF(OR(Alpha_keep*$A141+O$3&gt;=Floor_c-0.000000001,AND($B141=0,O$3&gt;=Cap_h-0.000000001)),1,0),0)</f>
        <v>1</v>
      </c>
      <c r="P141" s="14" t="n">
        <f aca="false">IF(E141=1,IF(OR(Alpha_keep*$A141+P$3&gt;=Floor_c-0.000000001,AND($B141=0,P$3&gt;=Cap_h-0.000000001)),1,0),0)</f>
        <v>1</v>
      </c>
      <c r="Q141" s="14" t="n">
        <f aca="false">IF(F141=1,IF(OR(Alpha_keep*$A141+Q$3&gt;=Floor_c-0.000000001,AND($B141=0,Q$3&gt;=Cap_h-0.000000001)),1,0),0)</f>
        <v>1</v>
      </c>
      <c r="R141" s="14" t="n">
        <f aca="false">IF(G141=1,IF(OR(Alpha_keep*$A141+R$3&gt;=Floor_c-0.000000001,AND($B141=0,R$3&gt;=Cap_h-0.000000001)),1,0),0)</f>
        <v>1</v>
      </c>
      <c r="S141" s="14" t="n">
        <f aca="false">IF(H141=1,IF(OR(Alpha_keep*$A141+S$3&gt;=Floor_c-0.000000001,AND($B141=0,S$3&gt;=Cap_h-0.000000001)),1,0),0)</f>
        <v>1</v>
      </c>
      <c r="T141" s="14" t="n">
        <f aca="false">IF(I141=1,IF(OR(Alpha_keep*$A141+T$3&gt;=Floor_c-0.000000001,AND($B141=0,T$3&gt;=Cap_h-0.000000001)),1,0),0)</f>
        <v>1</v>
      </c>
      <c r="U141" s="14" t="n">
        <f aca="false">IF(J141=1,IF(OR(Alpha_keep*$A141+U$3&gt;=Floor_c-0.000000001,AND($B141=0,U$3&gt;=Cap_h-0.000000001)),1,0),0)</f>
        <v>1</v>
      </c>
      <c r="V141" s="14" t="n">
        <f aca="false">IF(K141=1,IF(OR(Alpha_keep*$A141+V$3&gt;=Floor_c-0.000000001,AND($B141=0,V$3&gt;=Cap_h-0.000000001)),1,0),0)</f>
        <v>1</v>
      </c>
      <c r="W141" s="14" t="n">
        <f aca="false">IF(L141=1,IF(OR(Alpha_keep*$A141+W$3&gt;=Floor_c-0.000000001,AND($B141=0,W$3&gt;=Cap_h-0.000000001)),1,0),0)</f>
        <v>1</v>
      </c>
      <c r="X141" s="14" t="n">
        <f aca="false">IF(M141=1,IF(OR(Alpha_keep*$A141+X$3&gt;=Floor_c-0.000000001,AND($B141=0,X$3&gt;=Cap_h-0.000000001)),1,0),0)</f>
        <v>1</v>
      </c>
      <c r="Y141" s="14" t="n">
        <f aca="false">SUM(C141:M141)</f>
        <v>11</v>
      </c>
      <c r="Z141" s="14" t="n">
        <f aca="false">SUM(N141:X141)</f>
        <v>11</v>
      </c>
      <c r="AA141" s="12" t="n">
        <f aca="false">INDEX($C$3:$M$3,MATCH(1,C141:M141,0))</f>
        <v>0</v>
      </c>
      <c r="AB141" s="12" t="n">
        <f aca="false">INDEX($N$3:$X$3,MATCH(1,N141:X141,0))+(Z141-1)*Step_h</f>
        <v>2.5</v>
      </c>
    </row>
    <row r="142" customFormat="false" ht="15" hidden="false" customHeight="false" outlineLevel="0" collapsed="false">
      <c r="A142" s="12" t="n">
        <f aca="false">A141+Step_c</f>
        <v>64.25</v>
      </c>
      <c r="B142" s="14" t="n">
        <f aca="false">IF(SUMPRODUCT((Alpha_keep*$A142+$C$3:$M$3&gt;=Floor_c-0.000000001)*(C142:M142))&gt;0,1,0)</f>
        <v>1</v>
      </c>
      <c r="C142" s="14" t="n">
        <f aca="false">IF(AND(Alpha_keep*$A142+C$3-MAX(Loss_w)&gt;=Lo_c-0.000000001,Alpha_keep*$A142+C$3-MIN(Loss_w)&lt;=Hi_c+0.000000001),1,0)</f>
        <v>1</v>
      </c>
      <c r="D142" s="14" t="n">
        <f aca="false">IF(AND(Alpha_keep*$A142+D$3-MAX(Loss_w)&gt;=Lo_c-0.000000001,Alpha_keep*$A142+D$3-MIN(Loss_w)&lt;=Hi_c+0.000000001),1,0)</f>
        <v>1</v>
      </c>
      <c r="E142" s="14" t="n">
        <f aca="false">IF(AND(Alpha_keep*$A142+E$3-MAX(Loss_w)&gt;=Lo_c-0.000000001,Alpha_keep*$A142+E$3-MIN(Loss_w)&lt;=Hi_c+0.000000001),1,0)</f>
        <v>1</v>
      </c>
      <c r="F142" s="14" t="n">
        <f aca="false">IF(AND(Alpha_keep*$A142+F$3-MAX(Loss_w)&gt;=Lo_c-0.000000001,Alpha_keep*$A142+F$3-MIN(Loss_w)&lt;=Hi_c+0.000000001),1,0)</f>
        <v>1</v>
      </c>
      <c r="G142" s="14" t="n">
        <f aca="false">IF(AND(Alpha_keep*$A142+G$3-MAX(Loss_w)&gt;=Lo_c-0.000000001,Alpha_keep*$A142+G$3-MIN(Loss_w)&lt;=Hi_c+0.000000001),1,0)</f>
        <v>1</v>
      </c>
      <c r="H142" s="14" t="n">
        <f aca="false">IF(AND(Alpha_keep*$A142+H$3-MAX(Loss_w)&gt;=Lo_c-0.000000001,Alpha_keep*$A142+H$3-MIN(Loss_w)&lt;=Hi_c+0.000000001),1,0)</f>
        <v>1</v>
      </c>
      <c r="I142" s="14" t="n">
        <f aca="false">IF(AND(Alpha_keep*$A142+I$3-MAX(Loss_w)&gt;=Lo_c-0.000000001,Alpha_keep*$A142+I$3-MIN(Loss_w)&lt;=Hi_c+0.000000001),1,0)</f>
        <v>1</v>
      </c>
      <c r="J142" s="14" t="n">
        <f aca="false">IF(AND(Alpha_keep*$A142+J$3-MAX(Loss_w)&gt;=Lo_c-0.000000001,Alpha_keep*$A142+J$3-MIN(Loss_w)&lt;=Hi_c+0.000000001),1,0)</f>
        <v>1</v>
      </c>
      <c r="K142" s="14" t="n">
        <f aca="false">IF(AND(Alpha_keep*$A142+K$3-MAX(Loss_w)&gt;=Lo_c-0.000000001,Alpha_keep*$A142+K$3-MIN(Loss_w)&lt;=Hi_c+0.000000001),1,0)</f>
        <v>1</v>
      </c>
      <c r="L142" s="14" t="n">
        <f aca="false">IF(AND(Alpha_keep*$A142+L$3-MAX(Loss_w)&gt;=Lo_c-0.000000001,Alpha_keep*$A142+L$3-MIN(Loss_w)&lt;=Hi_c+0.000000001),1,0)</f>
        <v>1</v>
      </c>
      <c r="M142" s="14" t="n">
        <f aca="false">IF(AND(Alpha_keep*$A142+M$3-MAX(Loss_w)&gt;=Lo_c-0.000000001,Alpha_keep*$A142+M$3-MIN(Loss_w)&lt;=Hi_c+0.000000001),1,0)</f>
        <v>1</v>
      </c>
      <c r="N142" s="14" t="n">
        <f aca="false">IF(C142=1,IF(OR(Alpha_keep*$A142+N$3&gt;=Floor_c-0.000000001,AND($B142=0,N$3&gt;=Cap_h-0.000000001)),1,0),0)</f>
        <v>1</v>
      </c>
      <c r="O142" s="14" t="n">
        <f aca="false">IF(D142=1,IF(OR(Alpha_keep*$A142+O$3&gt;=Floor_c-0.000000001,AND($B142=0,O$3&gt;=Cap_h-0.000000001)),1,0),0)</f>
        <v>1</v>
      </c>
      <c r="P142" s="14" t="n">
        <f aca="false">IF(E142=1,IF(OR(Alpha_keep*$A142+P$3&gt;=Floor_c-0.000000001,AND($B142=0,P$3&gt;=Cap_h-0.000000001)),1,0),0)</f>
        <v>1</v>
      </c>
      <c r="Q142" s="14" t="n">
        <f aca="false">IF(F142=1,IF(OR(Alpha_keep*$A142+Q$3&gt;=Floor_c-0.000000001,AND($B142=0,Q$3&gt;=Cap_h-0.000000001)),1,0),0)</f>
        <v>1</v>
      </c>
      <c r="R142" s="14" t="n">
        <f aca="false">IF(G142=1,IF(OR(Alpha_keep*$A142+R$3&gt;=Floor_c-0.000000001,AND($B142=0,R$3&gt;=Cap_h-0.000000001)),1,0),0)</f>
        <v>1</v>
      </c>
      <c r="S142" s="14" t="n">
        <f aca="false">IF(H142=1,IF(OR(Alpha_keep*$A142+S$3&gt;=Floor_c-0.000000001,AND($B142=0,S$3&gt;=Cap_h-0.000000001)),1,0),0)</f>
        <v>1</v>
      </c>
      <c r="T142" s="14" t="n">
        <f aca="false">IF(I142=1,IF(OR(Alpha_keep*$A142+T$3&gt;=Floor_c-0.000000001,AND($B142=0,T$3&gt;=Cap_h-0.000000001)),1,0),0)</f>
        <v>1</v>
      </c>
      <c r="U142" s="14" t="n">
        <f aca="false">IF(J142=1,IF(OR(Alpha_keep*$A142+U$3&gt;=Floor_c-0.000000001,AND($B142=0,U$3&gt;=Cap_h-0.000000001)),1,0),0)</f>
        <v>1</v>
      </c>
      <c r="V142" s="14" t="n">
        <f aca="false">IF(K142=1,IF(OR(Alpha_keep*$A142+V$3&gt;=Floor_c-0.000000001,AND($B142=0,V$3&gt;=Cap_h-0.000000001)),1,0),0)</f>
        <v>1</v>
      </c>
      <c r="W142" s="14" t="n">
        <f aca="false">IF(L142=1,IF(OR(Alpha_keep*$A142+W$3&gt;=Floor_c-0.000000001,AND($B142=0,W$3&gt;=Cap_h-0.000000001)),1,0),0)</f>
        <v>1</v>
      </c>
      <c r="X142" s="14" t="n">
        <f aca="false">IF(M142=1,IF(OR(Alpha_keep*$A142+X$3&gt;=Floor_c-0.000000001,AND($B142=0,X$3&gt;=Cap_h-0.000000001)),1,0),0)</f>
        <v>1</v>
      </c>
      <c r="Y142" s="14" t="n">
        <f aca="false">SUM(C142:M142)</f>
        <v>11</v>
      </c>
      <c r="Z142" s="14" t="n">
        <f aca="false">SUM(N142:X142)</f>
        <v>11</v>
      </c>
      <c r="AA142" s="12" t="n">
        <f aca="false">INDEX($C$3:$M$3,MATCH(1,C142:M142,0))</f>
        <v>0</v>
      </c>
      <c r="AB142" s="12" t="n">
        <f aca="false">INDEX($N$3:$X$3,MATCH(1,N142:X142,0))+(Z142-1)*Step_h</f>
        <v>2.5</v>
      </c>
    </row>
    <row r="143" customFormat="false" ht="15" hidden="false" customHeight="false" outlineLevel="0" collapsed="false">
      <c r="A143" s="12" t="n">
        <f aca="false">A142+Step_c</f>
        <v>64.5</v>
      </c>
      <c r="B143" s="14" t="n">
        <f aca="false">IF(SUMPRODUCT((Alpha_keep*$A143+$C$3:$M$3&gt;=Floor_c-0.000000001)*(C143:M143))&gt;0,1,0)</f>
        <v>1</v>
      </c>
      <c r="C143" s="14" t="n">
        <f aca="false">IF(AND(Alpha_keep*$A143+C$3-MAX(Loss_w)&gt;=Lo_c-0.000000001,Alpha_keep*$A143+C$3-MIN(Loss_w)&lt;=Hi_c+0.000000001),1,0)</f>
        <v>1</v>
      </c>
      <c r="D143" s="14" t="n">
        <f aca="false">IF(AND(Alpha_keep*$A143+D$3-MAX(Loss_w)&gt;=Lo_c-0.000000001,Alpha_keep*$A143+D$3-MIN(Loss_w)&lt;=Hi_c+0.000000001),1,0)</f>
        <v>1</v>
      </c>
      <c r="E143" s="14" t="n">
        <f aca="false">IF(AND(Alpha_keep*$A143+E$3-MAX(Loss_w)&gt;=Lo_c-0.000000001,Alpha_keep*$A143+E$3-MIN(Loss_w)&lt;=Hi_c+0.000000001),1,0)</f>
        <v>1</v>
      </c>
      <c r="F143" s="14" t="n">
        <f aca="false">IF(AND(Alpha_keep*$A143+F$3-MAX(Loss_w)&gt;=Lo_c-0.000000001,Alpha_keep*$A143+F$3-MIN(Loss_w)&lt;=Hi_c+0.000000001),1,0)</f>
        <v>1</v>
      </c>
      <c r="G143" s="14" t="n">
        <f aca="false">IF(AND(Alpha_keep*$A143+G$3-MAX(Loss_w)&gt;=Lo_c-0.000000001,Alpha_keep*$A143+G$3-MIN(Loss_w)&lt;=Hi_c+0.000000001),1,0)</f>
        <v>1</v>
      </c>
      <c r="H143" s="14" t="n">
        <f aca="false">IF(AND(Alpha_keep*$A143+H$3-MAX(Loss_w)&gt;=Lo_c-0.000000001,Alpha_keep*$A143+H$3-MIN(Loss_w)&lt;=Hi_c+0.000000001),1,0)</f>
        <v>1</v>
      </c>
      <c r="I143" s="14" t="n">
        <f aca="false">IF(AND(Alpha_keep*$A143+I$3-MAX(Loss_w)&gt;=Lo_c-0.000000001,Alpha_keep*$A143+I$3-MIN(Loss_w)&lt;=Hi_c+0.000000001),1,0)</f>
        <v>1</v>
      </c>
      <c r="J143" s="14" t="n">
        <f aca="false">IF(AND(Alpha_keep*$A143+J$3-MAX(Loss_w)&gt;=Lo_c-0.000000001,Alpha_keep*$A143+J$3-MIN(Loss_w)&lt;=Hi_c+0.000000001),1,0)</f>
        <v>1</v>
      </c>
      <c r="K143" s="14" t="n">
        <f aca="false">IF(AND(Alpha_keep*$A143+K$3-MAX(Loss_w)&gt;=Lo_c-0.000000001,Alpha_keep*$A143+K$3-MIN(Loss_w)&lt;=Hi_c+0.000000001),1,0)</f>
        <v>1</v>
      </c>
      <c r="L143" s="14" t="n">
        <f aca="false">IF(AND(Alpha_keep*$A143+L$3-MAX(Loss_w)&gt;=Lo_c-0.000000001,Alpha_keep*$A143+L$3-MIN(Loss_w)&lt;=Hi_c+0.000000001),1,0)</f>
        <v>1</v>
      </c>
      <c r="M143" s="14" t="n">
        <f aca="false">IF(AND(Alpha_keep*$A143+M$3-MAX(Loss_w)&gt;=Lo_c-0.000000001,Alpha_keep*$A143+M$3-MIN(Loss_w)&lt;=Hi_c+0.000000001),1,0)</f>
        <v>1</v>
      </c>
      <c r="N143" s="14" t="n">
        <f aca="false">IF(C143=1,IF(OR(Alpha_keep*$A143+N$3&gt;=Floor_c-0.000000001,AND($B143=0,N$3&gt;=Cap_h-0.000000001)),1,0),0)</f>
        <v>1</v>
      </c>
      <c r="O143" s="14" t="n">
        <f aca="false">IF(D143=1,IF(OR(Alpha_keep*$A143+O$3&gt;=Floor_c-0.000000001,AND($B143=0,O$3&gt;=Cap_h-0.000000001)),1,0),0)</f>
        <v>1</v>
      </c>
      <c r="P143" s="14" t="n">
        <f aca="false">IF(E143=1,IF(OR(Alpha_keep*$A143+P$3&gt;=Floor_c-0.000000001,AND($B143=0,P$3&gt;=Cap_h-0.000000001)),1,0),0)</f>
        <v>1</v>
      </c>
      <c r="Q143" s="14" t="n">
        <f aca="false">IF(F143=1,IF(OR(Alpha_keep*$A143+Q$3&gt;=Floor_c-0.000000001,AND($B143=0,Q$3&gt;=Cap_h-0.000000001)),1,0),0)</f>
        <v>1</v>
      </c>
      <c r="R143" s="14" t="n">
        <f aca="false">IF(G143=1,IF(OR(Alpha_keep*$A143+R$3&gt;=Floor_c-0.000000001,AND($B143=0,R$3&gt;=Cap_h-0.000000001)),1,0),0)</f>
        <v>1</v>
      </c>
      <c r="S143" s="14" t="n">
        <f aca="false">IF(H143=1,IF(OR(Alpha_keep*$A143+S$3&gt;=Floor_c-0.000000001,AND($B143=0,S$3&gt;=Cap_h-0.000000001)),1,0),0)</f>
        <v>1</v>
      </c>
      <c r="T143" s="14" t="n">
        <f aca="false">IF(I143=1,IF(OR(Alpha_keep*$A143+T$3&gt;=Floor_c-0.000000001,AND($B143=0,T$3&gt;=Cap_h-0.000000001)),1,0),0)</f>
        <v>1</v>
      </c>
      <c r="U143" s="14" t="n">
        <f aca="false">IF(J143=1,IF(OR(Alpha_keep*$A143+U$3&gt;=Floor_c-0.000000001,AND($B143=0,U$3&gt;=Cap_h-0.000000001)),1,0),0)</f>
        <v>1</v>
      </c>
      <c r="V143" s="14" t="n">
        <f aca="false">IF(K143=1,IF(OR(Alpha_keep*$A143+V$3&gt;=Floor_c-0.000000001,AND($B143=0,V$3&gt;=Cap_h-0.000000001)),1,0),0)</f>
        <v>1</v>
      </c>
      <c r="W143" s="14" t="n">
        <f aca="false">IF(L143=1,IF(OR(Alpha_keep*$A143+W$3&gt;=Floor_c-0.000000001,AND($B143=0,W$3&gt;=Cap_h-0.000000001)),1,0),0)</f>
        <v>1</v>
      </c>
      <c r="X143" s="14" t="n">
        <f aca="false">IF(M143=1,IF(OR(Alpha_keep*$A143+X$3&gt;=Floor_c-0.000000001,AND($B143=0,X$3&gt;=Cap_h-0.000000001)),1,0),0)</f>
        <v>1</v>
      </c>
      <c r="Y143" s="14" t="n">
        <f aca="false">SUM(C143:M143)</f>
        <v>11</v>
      </c>
      <c r="Z143" s="14" t="n">
        <f aca="false">SUM(N143:X143)</f>
        <v>11</v>
      </c>
      <c r="AA143" s="12" t="n">
        <f aca="false">INDEX($C$3:$M$3,MATCH(1,C143:M143,0))</f>
        <v>0</v>
      </c>
      <c r="AB143" s="12" t="n">
        <f aca="false">INDEX($N$3:$X$3,MATCH(1,N143:X143,0))+(Z143-1)*Step_h</f>
        <v>2.5</v>
      </c>
    </row>
    <row r="144" customFormat="false" ht="15" hidden="false" customHeight="false" outlineLevel="0" collapsed="false">
      <c r="A144" s="12" t="n">
        <f aca="false">A143+Step_c</f>
        <v>64.75</v>
      </c>
      <c r="B144" s="14" t="n">
        <f aca="false">IF(SUMPRODUCT((Alpha_keep*$A144+$C$3:$M$3&gt;=Floor_c-0.000000001)*(C144:M144))&gt;0,1,0)</f>
        <v>1</v>
      </c>
      <c r="C144" s="14" t="n">
        <f aca="false">IF(AND(Alpha_keep*$A144+C$3-MAX(Loss_w)&gt;=Lo_c-0.000000001,Alpha_keep*$A144+C$3-MIN(Loss_w)&lt;=Hi_c+0.000000001),1,0)</f>
        <v>1</v>
      </c>
      <c r="D144" s="14" t="n">
        <f aca="false">IF(AND(Alpha_keep*$A144+D$3-MAX(Loss_w)&gt;=Lo_c-0.000000001,Alpha_keep*$A144+D$3-MIN(Loss_w)&lt;=Hi_c+0.000000001),1,0)</f>
        <v>1</v>
      </c>
      <c r="E144" s="14" t="n">
        <f aca="false">IF(AND(Alpha_keep*$A144+E$3-MAX(Loss_w)&gt;=Lo_c-0.000000001,Alpha_keep*$A144+E$3-MIN(Loss_w)&lt;=Hi_c+0.000000001),1,0)</f>
        <v>1</v>
      </c>
      <c r="F144" s="14" t="n">
        <f aca="false">IF(AND(Alpha_keep*$A144+F$3-MAX(Loss_w)&gt;=Lo_c-0.000000001,Alpha_keep*$A144+F$3-MIN(Loss_w)&lt;=Hi_c+0.000000001),1,0)</f>
        <v>1</v>
      </c>
      <c r="G144" s="14" t="n">
        <f aca="false">IF(AND(Alpha_keep*$A144+G$3-MAX(Loss_w)&gt;=Lo_c-0.000000001,Alpha_keep*$A144+G$3-MIN(Loss_w)&lt;=Hi_c+0.000000001),1,0)</f>
        <v>1</v>
      </c>
      <c r="H144" s="14" t="n">
        <f aca="false">IF(AND(Alpha_keep*$A144+H$3-MAX(Loss_w)&gt;=Lo_c-0.000000001,Alpha_keep*$A144+H$3-MIN(Loss_w)&lt;=Hi_c+0.000000001),1,0)</f>
        <v>1</v>
      </c>
      <c r="I144" s="14" t="n">
        <f aca="false">IF(AND(Alpha_keep*$A144+I$3-MAX(Loss_w)&gt;=Lo_c-0.000000001,Alpha_keep*$A144+I$3-MIN(Loss_w)&lt;=Hi_c+0.000000001),1,0)</f>
        <v>1</v>
      </c>
      <c r="J144" s="14" t="n">
        <f aca="false">IF(AND(Alpha_keep*$A144+J$3-MAX(Loss_w)&gt;=Lo_c-0.000000001,Alpha_keep*$A144+J$3-MIN(Loss_w)&lt;=Hi_c+0.000000001),1,0)</f>
        <v>1</v>
      </c>
      <c r="K144" s="14" t="n">
        <f aca="false">IF(AND(Alpha_keep*$A144+K$3-MAX(Loss_w)&gt;=Lo_c-0.000000001,Alpha_keep*$A144+K$3-MIN(Loss_w)&lt;=Hi_c+0.000000001),1,0)</f>
        <v>1</v>
      </c>
      <c r="L144" s="14" t="n">
        <f aca="false">IF(AND(Alpha_keep*$A144+L$3-MAX(Loss_w)&gt;=Lo_c-0.000000001,Alpha_keep*$A144+L$3-MIN(Loss_w)&lt;=Hi_c+0.000000001),1,0)</f>
        <v>1</v>
      </c>
      <c r="M144" s="14" t="n">
        <f aca="false">IF(AND(Alpha_keep*$A144+M$3-MAX(Loss_w)&gt;=Lo_c-0.000000001,Alpha_keep*$A144+M$3-MIN(Loss_w)&lt;=Hi_c+0.000000001),1,0)</f>
        <v>1</v>
      </c>
      <c r="N144" s="14" t="n">
        <f aca="false">IF(C144=1,IF(OR(Alpha_keep*$A144+N$3&gt;=Floor_c-0.000000001,AND($B144=0,N$3&gt;=Cap_h-0.000000001)),1,0),0)</f>
        <v>1</v>
      </c>
      <c r="O144" s="14" t="n">
        <f aca="false">IF(D144=1,IF(OR(Alpha_keep*$A144+O$3&gt;=Floor_c-0.000000001,AND($B144=0,O$3&gt;=Cap_h-0.000000001)),1,0),0)</f>
        <v>1</v>
      </c>
      <c r="P144" s="14" t="n">
        <f aca="false">IF(E144=1,IF(OR(Alpha_keep*$A144+P$3&gt;=Floor_c-0.000000001,AND($B144=0,P$3&gt;=Cap_h-0.000000001)),1,0),0)</f>
        <v>1</v>
      </c>
      <c r="Q144" s="14" t="n">
        <f aca="false">IF(F144=1,IF(OR(Alpha_keep*$A144+Q$3&gt;=Floor_c-0.000000001,AND($B144=0,Q$3&gt;=Cap_h-0.000000001)),1,0),0)</f>
        <v>1</v>
      </c>
      <c r="R144" s="14" t="n">
        <f aca="false">IF(G144=1,IF(OR(Alpha_keep*$A144+R$3&gt;=Floor_c-0.000000001,AND($B144=0,R$3&gt;=Cap_h-0.000000001)),1,0),0)</f>
        <v>1</v>
      </c>
      <c r="S144" s="14" t="n">
        <f aca="false">IF(H144=1,IF(OR(Alpha_keep*$A144+S$3&gt;=Floor_c-0.000000001,AND($B144=0,S$3&gt;=Cap_h-0.000000001)),1,0),0)</f>
        <v>1</v>
      </c>
      <c r="T144" s="14" t="n">
        <f aca="false">IF(I144=1,IF(OR(Alpha_keep*$A144+T$3&gt;=Floor_c-0.000000001,AND($B144=0,T$3&gt;=Cap_h-0.000000001)),1,0),0)</f>
        <v>1</v>
      </c>
      <c r="U144" s="14" t="n">
        <f aca="false">IF(J144=1,IF(OR(Alpha_keep*$A144+U$3&gt;=Floor_c-0.000000001,AND($B144=0,U$3&gt;=Cap_h-0.000000001)),1,0),0)</f>
        <v>1</v>
      </c>
      <c r="V144" s="14" t="n">
        <f aca="false">IF(K144=1,IF(OR(Alpha_keep*$A144+V$3&gt;=Floor_c-0.000000001,AND($B144=0,V$3&gt;=Cap_h-0.000000001)),1,0),0)</f>
        <v>1</v>
      </c>
      <c r="W144" s="14" t="n">
        <f aca="false">IF(L144=1,IF(OR(Alpha_keep*$A144+W$3&gt;=Floor_c-0.000000001,AND($B144=0,W$3&gt;=Cap_h-0.000000001)),1,0),0)</f>
        <v>1</v>
      </c>
      <c r="X144" s="14" t="n">
        <f aca="false">IF(M144=1,IF(OR(Alpha_keep*$A144+X$3&gt;=Floor_c-0.000000001,AND($B144=0,X$3&gt;=Cap_h-0.000000001)),1,0),0)</f>
        <v>1</v>
      </c>
      <c r="Y144" s="14" t="n">
        <f aca="false">SUM(C144:M144)</f>
        <v>11</v>
      </c>
      <c r="Z144" s="14" t="n">
        <f aca="false">SUM(N144:X144)</f>
        <v>11</v>
      </c>
      <c r="AA144" s="12" t="n">
        <f aca="false">INDEX($C$3:$M$3,MATCH(1,C144:M144,0))</f>
        <v>0</v>
      </c>
      <c r="AB144" s="12" t="n">
        <f aca="false">INDEX($N$3:$X$3,MATCH(1,N144:X144,0))+(Z144-1)*Step_h</f>
        <v>2.5</v>
      </c>
    </row>
    <row r="145" customFormat="false" ht="15" hidden="false" customHeight="false" outlineLevel="0" collapsed="false">
      <c r="A145" s="12" t="n">
        <f aca="false">A144+Step_c</f>
        <v>65</v>
      </c>
      <c r="B145" s="14" t="n">
        <f aca="false">IF(SUMPRODUCT((Alpha_keep*$A145+$C$3:$M$3&gt;=Floor_c-0.000000001)*(C145:M145))&gt;0,1,0)</f>
        <v>1</v>
      </c>
      <c r="C145" s="14" t="n">
        <f aca="false">IF(AND(Alpha_keep*$A145+C$3-MAX(Loss_w)&gt;=Lo_c-0.000000001,Alpha_keep*$A145+C$3-MIN(Loss_w)&lt;=Hi_c+0.000000001),1,0)</f>
        <v>1</v>
      </c>
      <c r="D145" s="14" t="n">
        <f aca="false">IF(AND(Alpha_keep*$A145+D$3-MAX(Loss_w)&gt;=Lo_c-0.000000001,Alpha_keep*$A145+D$3-MIN(Loss_w)&lt;=Hi_c+0.000000001),1,0)</f>
        <v>1</v>
      </c>
      <c r="E145" s="14" t="n">
        <f aca="false">IF(AND(Alpha_keep*$A145+E$3-MAX(Loss_w)&gt;=Lo_c-0.000000001,Alpha_keep*$A145+E$3-MIN(Loss_w)&lt;=Hi_c+0.000000001),1,0)</f>
        <v>1</v>
      </c>
      <c r="F145" s="14" t="n">
        <f aca="false">IF(AND(Alpha_keep*$A145+F$3-MAX(Loss_w)&gt;=Lo_c-0.000000001,Alpha_keep*$A145+F$3-MIN(Loss_w)&lt;=Hi_c+0.000000001),1,0)</f>
        <v>1</v>
      </c>
      <c r="G145" s="14" t="n">
        <f aca="false">IF(AND(Alpha_keep*$A145+G$3-MAX(Loss_w)&gt;=Lo_c-0.000000001,Alpha_keep*$A145+G$3-MIN(Loss_w)&lt;=Hi_c+0.000000001),1,0)</f>
        <v>1</v>
      </c>
      <c r="H145" s="14" t="n">
        <f aca="false">IF(AND(Alpha_keep*$A145+H$3-MAX(Loss_w)&gt;=Lo_c-0.000000001,Alpha_keep*$A145+H$3-MIN(Loss_w)&lt;=Hi_c+0.000000001),1,0)</f>
        <v>1</v>
      </c>
      <c r="I145" s="14" t="n">
        <f aca="false">IF(AND(Alpha_keep*$A145+I$3-MAX(Loss_w)&gt;=Lo_c-0.000000001,Alpha_keep*$A145+I$3-MIN(Loss_w)&lt;=Hi_c+0.000000001),1,0)</f>
        <v>1</v>
      </c>
      <c r="J145" s="14" t="n">
        <f aca="false">IF(AND(Alpha_keep*$A145+J$3-MAX(Loss_w)&gt;=Lo_c-0.000000001,Alpha_keep*$A145+J$3-MIN(Loss_w)&lt;=Hi_c+0.000000001),1,0)</f>
        <v>1</v>
      </c>
      <c r="K145" s="14" t="n">
        <f aca="false">IF(AND(Alpha_keep*$A145+K$3-MAX(Loss_w)&gt;=Lo_c-0.000000001,Alpha_keep*$A145+K$3-MIN(Loss_w)&lt;=Hi_c+0.000000001),1,0)</f>
        <v>1</v>
      </c>
      <c r="L145" s="14" t="n">
        <f aca="false">IF(AND(Alpha_keep*$A145+L$3-MAX(Loss_w)&gt;=Lo_c-0.000000001,Alpha_keep*$A145+L$3-MIN(Loss_w)&lt;=Hi_c+0.000000001),1,0)</f>
        <v>1</v>
      </c>
      <c r="M145" s="14" t="n">
        <f aca="false">IF(AND(Alpha_keep*$A145+M$3-MAX(Loss_w)&gt;=Lo_c-0.000000001,Alpha_keep*$A145+M$3-MIN(Loss_w)&lt;=Hi_c+0.000000001),1,0)</f>
        <v>1</v>
      </c>
      <c r="N145" s="14" t="n">
        <f aca="false">IF(C145=1,IF(OR(Alpha_keep*$A145+N$3&gt;=Floor_c-0.000000001,AND($B145=0,N$3&gt;=Cap_h-0.000000001)),1,0),0)</f>
        <v>1</v>
      </c>
      <c r="O145" s="14" t="n">
        <f aca="false">IF(D145=1,IF(OR(Alpha_keep*$A145+O$3&gt;=Floor_c-0.000000001,AND($B145=0,O$3&gt;=Cap_h-0.000000001)),1,0),0)</f>
        <v>1</v>
      </c>
      <c r="P145" s="14" t="n">
        <f aca="false">IF(E145=1,IF(OR(Alpha_keep*$A145+P$3&gt;=Floor_c-0.000000001,AND($B145=0,P$3&gt;=Cap_h-0.000000001)),1,0),0)</f>
        <v>1</v>
      </c>
      <c r="Q145" s="14" t="n">
        <f aca="false">IF(F145=1,IF(OR(Alpha_keep*$A145+Q$3&gt;=Floor_c-0.000000001,AND($B145=0,Q$3&gt;=Cap_h-0.000000001)),1,0),0)</f>
        <v>1</v>
      </c>
      <c r="R145" s="14" t="n">
        <f aca="false">IF(G145=1,IF(OR(Alpha_keep*$A145+R$3&gt;=Floor_c-0.000000001,AND($B145=0,R$3&gt;=Cap_h-0.000000001)),1,0),0)</f>
        <v>1</v>
      </c>
      <c r="S145" s="14" t="n">
        <f aca="false">IF(H145=1,IF(OR(Alpha_keep*$A145+S$3&gt;=Floor_c-0.000000001,AND($B145=0,S$3&gt;=Cap_h-0.000000001)),1,0),0)</f>
        <v>1</v>
      </c>
      <c r="T145" s="14" t="n">
        <f aca="false">IF(I145=1,IF(OR(Alpha_keep*$A145+T$3&gt;=Floor_c-0.000000001,AND($B145=0,T$3&gt;=Cap_h-0.000000001)),1,0),0)</f>
        <v>1</v>
      </c>
      <c r="U145" s="14" t="n">
        <f aca="false">IF(J145=1,IF(OR(Alpha_keep*$A145+U$3&gt;=Floor_c-0.000000001,AND($B145=0,U$3&gt;=Cap_h-0.000000001)),1,0),0)</f>
        <v>1</v>
      </c>
      <c r="V145" s="14" t="n">
        <f aca="false">IF(K145=1,IF(OR(Alpha_keep*$A145+V$3&gt;=Floor_c-0.000000001,AND($B145=0,V$3&gt;=Cap_h-0.000000001)),1,0),0)</f>
        <v>1</v>
      </c>
      <c r="W145" s="14" t="n">
        <f aca="false">IF(L145=1,IF(OR(Alpha_keep*$A145+W$3&gt;=Floor_c-0.000000001,AND($B145=0,W$3&gt;=Cap_h-0.000000001)),1,0),0)</f>
        <v>1</v>
      </c>
      <c r="X145" s="14" t="n">
        <f aca="false">IF(M145=1,IF(OR(Alpha_keep*$A145+X$3&gt;=Floor_c-0.000000001,AND($B145=0,X$3&gt;=Cap_h-0.000000001)),1,0),0)</f>
        <v>1</v>
      </c>
      <c r="Y145" s="14" t="n">
        <f aca="false">SUM(C145:M145)</f>
        <v>11</v>
      </c>
      <c r="Z145" s="14" t="n">
        <f aca="false">SUM(N145:X145)</f>
        <v>11</v>
      </c>
      <c r="AA145" s="12" t="n">
        <f aca="false">INDEX($C$3:$M$3,MATCH(1,C145:M145,0))</f>
        <v>0</v>
      </c>
      <c r="AB145" s="12" t="n">
        <f aca="false">INDEX($N$3:$X$3,MATCH(1,N145:X145,0))+(Z145-1)*Step_h</f>
        <v>2.5</v>
      </c>
    </row>
    <row r="146" customFormat="false" ht="15" hidden="false" customHeight="false" outlineLevel="0" collapsed="false">
      <c r="A146" s="12" t="n">
        <f aca="false">A145+Step_c</f>
        <v>65.25</v>
      </c>
      <c r="B146" s="14" t="n">
        <f aca="false">IF(SUMPRODUCT((Alpha_keep*$A146+$C$3:$M$3&gt;=Floor_c-0.000000001)*(C146:M146))&gt;0,1,0)</f>
        <v>1</v>
      </c>
      <c r="C146" s="14" t="n">
        <f aca="false">IF(AND(Alpha_keep*$A146+C$3-MAX(Loss_w)&gt;=Lo_c-0.000000001,Alpha_keep*$A146+C$3-MIN(Loss_w)&lt;=Hi_c+0.000000001),1,0)</f>
        <v>1</v>
      </c>
      <c r="D146" s="14" t="n">
        <f aca="false">IF(AND(Alpha_keep*$A146+D$3-MAX(Loss_w)&gt;=Lo_c-0.000000001,Alpha_keep*$A146+D$3-MIN(Loss_w)&lt;=Hi_c+0.000000001),1,0)</f>
        <v>1</v>
      </c>
      <c r="E146" s="14" t="n">
        <f aca="false">IF(AND(Alpha_keep*$A146+E$3-MAX(Loss_w)&gt;=Lo_c-0.000000001,Alpha_keep*$A146+E$3-MIN(Loss_w)&lt;=Hi_c+0.000000001),1,0)</f>
        <v>1</v>
      </c>
      <c r="F146" s="14" t="n">
        <f aca="false">IF(AND(Alpha_keep*$A146+F$3-MAX(Loss_w)&gt;=Lo_c-0.000000001,Alpha_keep*$A146+F$3-MIN(Loss_w)&lt;=Hi_c+0.000000001),1,0)</f>
        <v>1</v>
      </c>
      <c r="G146" s="14" t="n">
        <f aca="false">IF(AND(Alpha_keep*$A146+G$3-MAX(Loss_w)&gt;=Lo_c-0.000000001,Alpha_keep*$A146+G$3-MIN(Loss_w)&lt;=Hi_c+0.000000001),1,0)</f>
        <v>1</v>
      </c>
      <c r="H146" s="14" t="n">
        <f aca="false">IF(AND(Alpha_keep*$A146+H$3-MAX(Loss_w)&gt;=Lo_c-0.000000001,Alpha_keep*$A146+H$3-MIN(Loss_w)&lt;=Hi_c+0.000000001),1,0)</f>
        <v>1</v>
      </c>
      <c r="I146" s="14" t="n">
        <f aca="false">IF(AND(Alpha_keep*$A146+I$3-MAX(Loss_w)&gt;=Lo_c-0.000000001,Alpha_keep*$A146+I$3-MIN(Loss_w)&lt;=Hi_c+0.000000001),1,0)</f>
        <v>1</v>
      </c>
      <c r="J146" s="14" t="n">
        <f aca="false">IF(AND(Alpha_keep*$A146+J$3-MAX(Loss_w)&gt;=Lo_c-0.000000001,Alpha_keep*$A146+J$3-MIN(Loss_w)&lt;=Hi_c+0.000000001),1,0)</f>
        <v>1</v>
      </c>
      <c r="K146" s="14" t="n">
        <f aca="false">IF(AND(Alpha_keep*$A146+K$3-MAX(Loss_w)&gt;=Lo_c-0.000000001,Alpha_keep*$A146+K$3-MIN(Loss_w)&lt;=Hi_c+0.000000001),1,0)</f>
        <v>1</v>
      </c>
      <c r="L146" s="14" t="n">
        <f aca="false">IF(AND(Alpha_keep*$A146+L$3-MAX(Loss_w)&gt;=Lo_c-0.000000001,Alpha_keep*$A146+L$3-MIN(Loss_w)&lt;=Hi_c+0.000000001),1,0)</f>
        <v>1</v>
      </c>
      <c r="M146" s="14" t="n">
        <f aca="false">IF(AND(Alpha_keep*$A146+M$3-MAX(Loss_w)&gt;=Lo_c-0.000000001,Alpha_keep*$A146+M$3-MIN(Loss_w)&lt;=Hi_c+0.000000001),1,0)</f>
        <v>1</v>
      </c>
      <c r="N146" s="14" t="n">
        <f aca="false">IF(C146=1,IF(OR(Alpha_keep*$A146+N$3&gt;=Floor_c-0.000000001,AND($B146=0,N$3&gt;=Cap_h-0.000000001)),1,0),0)</f>
        <v>1</v>
      </c>
      <c r="O146" s="14" t="n">
        <f aca="false">IF(D146=1,IF(OR(Alpha_keep*$A146+O$3&gt;=Floor_c-0.000000001,AND($B146=0,O$3&gt;=Cap_h-0.000000001)),1,0),0)</f>
        <v>1</v>
      </c>
      <c r="P146" s="14" t="n">
        <f aca="false">IF(E146=1,IF(OR(Alpha_keep*$A146+P$3&gt;=Floor_c-0.000000001,AND($B146=0,P$3&gt;=Cap_h-0.000000001)),1,0),0)</f>
        <v>1</v>
      </c>
      <c r="Q146" s="14" t="n">
        <f aca="false">IF(F146=1,IF(OR(Alpha_keep*$A146+Q$3&gt;=Floor_c-0.000000001,AND($B146=0,Q$3&gt;=Cap_h-0.000000001)),1,0),0)</f>
        <v>1</v>
      </c>
      <c r="R146" s="14" t="n">
        <f aca="false">IF(G146=1,IF(OR(Alpha_keep*$A146+R$3&gt;=Floor_c-0.000000001,AND($B146=0,R$3&gt;=Cap_h-0.000000001)),1,0),0)</f>
        <v>1</v>
      </c>
      <c r="S146" s="14" t="n">
        <f aca="false">IF(H146=1,IF(OR(Alpha_keep*$A146+S$3&gt;=Floor_c-0.000000001,AND($B146=0,S$3&gt;=Cap_h-0.000000001)),1,0),0)</f>
        <v>1</v>
      </c>
      <c r="T146" s="14" t="n">
        <f aca="false">IF(I146=1,IF(OR(Alpha_keep*$A146+T$3&gt;=Floor_c-0.000000001,AND($B146=0,T$3&gt;=Cap_h-0.000000001)),1,0),0)</f>
        <v>1</v>
      </c>
      <c r="U146" s="14" t="n">
        <f aca="false">IF(J146=1,IF(OR(Alpha_keep*$A146+U$3&gt;=Floor_c-0.000000001,AND($B146=0,U$3&gt;=Cap_h-0.000000001)),1,0),0)</f>
        <v>1</v>
      </c>
      <c r="V146" s="14" t="n">
        <f aca="false">IF(K146=1,IF(OR(Alpha_keep*$A146+V$3&gt;=Floor_c-0.000000001,AND($B146=0,V$3&gt;=Cap_h-0.000000001)),1,0),0)</f>
        <v>1</v>
      </c>
      <c r="W146" s="14" t="n">
        <f aca="false">IF(L146=1,IF(OR(Alpha_keep*$A146+W$3&gt;=Floor_c-0.000000001,AND($B146=0,W$3&gt;=Cap_h-0.000000001)),1,0),0)</f>
        <v>1</v>
      </c>
      <c r="X146" s="14" t="n">
        <f aca="false">IF(M146=1,IF(OR(Alpha_keep*$A146+X$3&gt;=Floor_c-0.000000001,AND($B146=0,X$3&gt;=Cap_h-0.000000001)),1,0),0)</f>
        <v>1</v>
      </c>
      <c r="Y146" s="14" t="n">
        <f aca="false">SUM(C146:M146)</f>
        <v>11</v>
      </c>
      <c r="Z146" s="14" t="n">
        <f aca="false">SUM(N146:X146)</f>
        <v>11</v>
      </c>
      <c r="AA146" s="12" t="n">
        <f aca="false">INDEX($C$3:$M$3,MATCH(1,C146:M146,0))</f>
        <v>0</v>
      </c>
      <c r="AB146" s="12" t="n">
        <f aca="false">INDEX($N$3:$X$3,MATCH(1,N146:X146,0))+(Z146-1)*Step_h</f>
        <v>2.5</v>
      </c>
    </row>
    <row r="147" customFormat="false" ht="15" hidden="false" customHeight="false" outlineLevel="0" collapsed="false">
      <c r="A147" s="12" t="n">
        <f aca="false">A146+Step_c</f>
        <v>65.5</v>
      </c>
      <c r="B147" s="14" t="n">
        <f aca="false">IF(SUMPRODUCT((Alpha_keep*$A147+$C$3:$M$3&gt;=Floor_c-0.000000001)*(C147:M147))&gt;0,1,0)</f>
        <v>1</v>
      </c>
      <c r="C147" s="14" t="n">
        <f aca="false">IF(AND(Alpha_keep*$A147+C$3-MAX(Loss_w)&gt;=Lo_c-0.000000001,Alpha_keep*$A147+C$3-MIN(Loss_w)&lt;=Hi_c+0.000000001),1,0)</f>
        <v>1</v>
      </c>
      <c r="D147" s="14" t="n">
        <f aca="false">IF(AND(Alpha_keep*$A147+D$3-MAX(Loss_w)&gt;=Lo_c-0.000000001,Alpha_keep*$A147+D$3-MIN(Loss_w)&lt;=Hi_c+0.000000001),1,0)</f>
        <v>1</v>
      </c>
      <c r="E147" s="14" t="n">
        <f aca="false">IF(AND(Alpha_keep*$A147+E$3-MAX(Loss_w)&gt;=Lo_c-0.000000001,Alpha_keep*$A147+E$3-MIN(Loss_w)&lt;=Hi_c+0.000000001),1,0)</f>
        <v>1</v>
      </c>
      <c r="F147" s="14" t="n">
        <f aca="false">IF(AND(Alpha_keep*$A147+F$3-MAX(Loss_w)&gt;=Lo_c-0.000000001,Alpha_keep*$A147+F$3-MIN(Loss_w)&lt;=Hi_c+0.000000001),1,0)</f>
        <v>1</v>
      </c>
      <c r="G147" s="14" t="n">
        <f aca="false">IF(AND(Alpha_keep*$A147+G$3-MAX(Loss_w)&gt;=Lo_c-0.000000001,Alpha_keep*$A147+G$3-MIN(Loss_w)&lt;=Hi_c+0.000000001),1,0)</f>
        <v>1</v>
      </c>
      <c r="H147" s="14" t="n">
        <f aca="false">IF(AND(Alpha_keep*$A147+H$3-MAX(Loss_w)&gt;=Lo_c-0.000000001,Alpha_keep*$A147+H$3-MIN(Loss_w)&lt;=Hi_c+0.000000001),1,0)</f>
        <v>1</v>
      </c>
      <c r="I147" s="14" t="n">
        <f aca="false">IF(AND(Alpha_keep*$A147+I$3-MAX(Loss_w)&gt;=Lo_c-0.000000001,Alpha_keep*$A147+I$3-MIN(Loss_w)&lt;=Hi_c+0.000000001),1,0)</f>
        <v>1</v>
      </c>
      <c r="J147" s="14" t="n">
        <f aca="false">IF(AND(Alpha_keep*$A147+J$3-MAX(Loss_w)&gt;=Lo_c-0.000000001,Alpha_keep*$A147+J$3-MIN(Loss_w)&lt;=Hi_c+0.000000001),1,0)</f>
        <v>1</v>
      </c>
      <c r="K147" s="14" t="n">
        <f aca="false">IF(AND(Alpha_keep*$A147+K$3-MAX(Loss_w)&gt;=Lo_c-0.000000001,Alpha_keep*$A147+K$3-MIN(Loss_w)&lt;=Hi_c+0.000000001),1,0)</f>
        <v>1</v>
      </c>
      <c r="L147" s="14" t="n">
        <f aca="false">IF(AND(Alpha_keep*$A147+L$3-MAX(Loss_w)&gt;=Lo_c-0.000000001,Alpha_keep*$A147+L$3-MIN(Loss_w)&lt;=Hi_c+0.000000001),1,0)</f>
        <v>1</v>
      </c>
      <c r="M147" s="14" t="n">
        <f aca="false">IF(AND(Alpha_keep*$A147+M$3-MAX(Loss_w)&gt;=Lo_c-0.000000001,Alpha_keep*$A147+M$3-MIN(Loss_w)&lt;=Hi_c+0.000000001),1,0)</f>
        <v>1</v>
      </c>
      <c r="N147" s="14" t="n">
        <f aca="false">IF(C147=1,IF(OR(Alpha_keep*$A147+N$3&gt;=Floor_c-0.000000001,AND($B147=0,N$3&gt;=Cap_h-0.000000001)),1,0),0)</f>
        <v>1</v>
      </c>
      <c r="O147" s="14" t="n">
        <f aca="false">IF(D147=1,IF(OR(Alpha_keep*$A147+O$3&gt;=Floor_c-0.000000001,AND($B147=0,O$3&gt;=Cap_h-0.000000001)),1,0),0)</f>
        <v>1</v>
      </c>
      <c r="P147" s="14" t="n">
        <f aca="false">IF(E147=1,IF(OR(Alpha_keep*$A147+P$3&gt;=Floor_c-0.000000001,AND($B147=0,P$3&gt;=Cap_h-0.000000001)),1,0),0)</f>
        <v>1</v>
      </c>
      <c r="Q147" s="14" t="n">
        <f aca="false">IF(F147=1,IF(OR(Alpha_keep*$A147+Q$3&gt;=Floor_c-0.000000001,AND($B147=0,Q$3&gt;=Cap_h-0.000000001)),1,0),0)</f>
        <v>1</v>
      </c>
      <c r="R147" s="14" t="n">
        <f aca="false">IF(G147=1,IF(OR(Alpha_keep*$A147+R$3&gt;=Floor_c-0.000000001,AND($B147=0,R$3&gt;=Cap_h-0.000000001)),1,0),0)</f>
        <v>1</v>
      </c>
      <c r="S147" s="14" t="n">
        <f aca="false">IF(H147=1,IF(OR(Alpha_keep*$A147+S$3&gt;=Floor_c-0.000000001,AND($B147=0,S$3&gt;=Cap_h-0.000000001)),1,0),0)</f>
        <v>1</v>
      </c>
      <c r="T147" s="14" t="n">
        <f aca="false">IF(I147=1,IF(OR(Alpha_keep*$A147+T$3&gt;=Floor_c-0.000000001,AND($B147=0,T$3&gt;=Cap_h-0.000000001)),1,0),0)</f>
        <v>1</v>
      </c>
      <c r="U147" s="14" t="n">
        <f aca="false">IF(J147=1,IF(OR(Alpha_keep*$A147+U$3&gt;=Floor_c-0.000000001,AND($B147=0,U$3&gt;=Cap_h-0.000000001)),1,0),0)</f>
        <v>1</v>
      </c>
      <c r="V147" s="14" t="n">
        <f aca="false">IF(K147=1,IF(OR(Alpha_keep*$A147+V$3&gt;=Floor_c-0.000000001,AND($B147=0,V$3&gt;=Cap_h-0.000000001)),1,0),0)</f>
        <v>1</v>
      </c>
      <c r="W147" s="14" t="n">
        <f aca="false">IF(L147=1,IF(OR(Alpha_keep*$A147+W$3&gt;=Floor_c-0.000000001,AND($B147=0,W$3&gt;=Cap_h-0.000000001)),1,0),0)</f>
        <v>1</v>
      </c>
      <c r="X147" s="14" t="n">
        <f aca="false">IF(M147=1,IF(OR(Alpha_keep*$A147+X$3&gt;=Floor_c-0.000000001,AND($B147=0,X$3&gt;=Cap_h-0.000000001)),1,0),0)</f>
        <v>1</v>
      </c>
      <c r="Y147" s="14" t="n">
        <f aca="false">SUM(C147:M147)</f>
        <v>11</v>
      </c>
      <c r="Z147" s="14" t="n">
        <f aca="false">SUM(N147:X147)</f>
        <v>11</v>
      </c>
      <c r="AA147" s="12" t="n">
        <f aca="false">INDEX($C$3:$M$3,MATCH(1,C147:M147,0))</f>
        <v>0</v>
      </c>
      <c r="AB147" s="12" t="n">
        <f aca="false">INDEX($N$3:$X$3,MATCH(1,N147:X147,0))+(Z147-1)*Step_h</f>
        <v>2.5</v>
      </c>
    </row>
    <row r="148" customFormat="false" ht="15" hidden="false" customHeight="false" outlineLevel="0" collapsed="false">
      <c r="A148" s="12" t="n">
        <f aca="false">A147+Step_c</f>
        <v>65.75</v>
      </c>
      <c r="B148" s="14" t="n">
        <f aca="false">IF(SUMPRODUCT((Alpha_keep*$A148+$C$3:$M$3&gt;=Floor_c-0.000000001)*(C148:M148))&gt;0,1,0)</f>
        <v>1</v>
      </c>
      <c r="C148" s="14" t="n">
        <f aca="false">IF(AND(Alpha_keep*$A148+C$3-MAX(Loss_w)&gt;=Lo_c-0.000000001,Alpha_keep*$A148+C$3-MIN(Loss_w)&lt;=Hi_c+0.000000001),1,0)</f>
        <v>1</v>
      </c>
      <c r="D148" s="14" t="n">
        <f aca="false">IF(AND(Alpha_keep*$A148+D$3-MAX(Loss_w)&gt;=Lo_c-0.000000001,Alpha_keep*$A148+D$3-MIN(Loss_w)&lt;=Hi_c+0.000000001),1,0)</f>
        <v>1</v>
      </c>
      <c r="E148" s="14" t="n">
        <f aca="false">IF(AND(Alpha_keep*$A148+E$3-MAX(Loss_w)&gt;=Lo_c-0.000000001,Alpha_keep*$A148+E$3-MIN(Loss_w)&lt;=Hi_c+0.000000001),1,0)</f>
        <v>1</v>
      </c>
      <c r="F148" s="14" t="n">
        <f aca="false">IF(AND(Alpha_keep*$A148+F$3-MAX(Loss_w)&gt;=Lo_c-0.000000001,Alpha_keep*$A148+F$3-MIN(Loss_w)&lt;=Hi_c+0.000000001),1,0)</f>
        <v>1</v>
      </c>
      <c r="G148" s="14" t="n">
        <f aca="false">IF(AND(Alpha_keep*$A148+G$3-MAX(Loss_w)&gt;=Lo_c-0.000000001,Alpha_keep*$A148+G$3-MIN(Loss_w)&lt;=Hi_c+0.000000001),1,0)</f>
        <v>1</v>
      </c>
      <c r="H148" s="14" t="n">
        <f aca="false">IF(AND(Alpha_keep*$A148+H$3-MAX(Loss_w)&gt;=Lo_c-0.000000001,Alpha_keep*$A148+H$3-MIN(Loss_w)&lt;=Hi_c+0.000000001),1,0)</f>
        <v>1</v>
      </c>
      <c r="I148" s="14" t="n">
        <f aca="false">IF(AND(Alpha_keep*$A148+I$3-MAX(Loss_w)&gt;=Lo_c-0.000000001,Alpha_keep*$A148+I$3-MIN(Loss_w)&lt;=Hi_c+0.000000001),1,0)</f>
        <v>1</v>
      </c>
      <c r="J148" s="14" t="n">
        <f aca="false">IF(AND(Alpha_keep*$A148+J$3-MAX(Loss_w)&gt;=Lo_c-0.000000001,Alpha_keep*$A148+J$3-MIN(Loss_w)&lt;=Hi_c+0.000000001),1,0)</f>
        <v>1</v>
      </c>
      <c r="K148" s="14" t="n">
        <f aca="false">IF(AND(Alpha_keep*$A148+K$3-MAX(Loss_w)&gt;=Lo_c-0.000000001,Alpha_keep*$A148+K$3-MIN(Loss_w)&lt;=Hi_c+0.000000001),1,0)</f>
        <v>1</v>
      </c>
      <c r="L148" s="14" t="n">
        <f aca="false">IF(AND(Alpha_keep*$A148+L$3-MAX(Loss_w)&gt;=Lo_c-0.000000001,Alpha_keep*$A148+L$3-MIN(Loss_w)&lt;=Hi_c+0.000000001),1,0)</f>
        <v>1</v>
      </c>
      <c r="M148" s="14" t="n">
        <f aca="false">IF(AND(Alpha_keep*$A148+M$3-MAX(Loss_w)&gt;=Lo_c-0.000000001,Alpha_keep*$A148+M$3-MIN(Loss_w)&lt;=Hi_c+0.000000001),1,0)</f>
        <v>1</v>
      </c>
      <c r="N148" s="14" t="n">
        <f aca="false">IF(C148=1,IF(OR(Alpha_keep*$A148+N$3&gt;=Floor_c-0.000000001,AND($B148=0,N$3&gt;=Cap_h-0.000000001)),1,0),0)</f>
        <v>1</v>
      </c>
      <c r="O148" s="14" t="n">
        <f aca="false">IF(D148=1,IF(OR(Alpha_keep*$A148+O$3&gt;=Floor_c-0.000000001,AND($B148=0,O$3&gt;=Cap_h-0.000000001)),1,0),0)</f>
        <v>1</v>
      </c>
      <c r="P148" s="14" t="n">
        <f aca="false">IF(E148=1,IF(OR(Alpha_keep*$A148+P$3&gt;=Floor_c-0.000000001,AND($B148=0,P$3&gt;=Cap_h-0.000000001)),1,0),0)</f>
        <v>1</v>
      </c>
      <c r="Q148" s="14" t="n">
        <f aca="false">IF(F148=1,IF(OR(Alpha_keep*$A148+Q$3&gt;=Floor_c-0.000000001,AND($B148=0,Q$3&gt;=Cap_h-0.000000001)),1,0),0)</f>
        <v>1</v>
      </c>
      <c r="R148" s="14" t="n">
        <f aca="false">IF(G148=1,IF(OR(Alpha_keep*$A148+R$3&gt;=Floor_c-0.000000001,AND($B148=0,R$3&gt;=Cap_h-0.000000001)),1,0),0)</f>
        <v>1</v>
      </c>
      <c r="S148" s="14" t="n">
        <f aca="false">IF(H148=1,IF(OR(Alpha_keep*$A148+S$3&gt;=Floor_c-0.000000001,AND($B148=0,S$3&gt;=Cap_h-0.000000001)),1,0),0)</f>
        <v>1</v>
      </c>
      <c r="T148" s="14" t="n">
        <f aca="false">IF(I148=1,IF(OR(Alpha_keep*$A148+T$3&gt;=Floor_c-0.000000001,AND($B148=0,T$3&gt;=Cap_h-0.000000001)),1,0),0)</f>
        <v>1</v>
      </c>
      <c r="U148" s="14" t="n">
        <f aca="false">IF(J148=1,IF(OR(Alpha_keep*$A148+U$3&gt;=Floor_c-0.000000001,AND($B148=0,U$3&gt;=Cap_h-0.000000001)),1,0),0)</f>
        <v>1</v>
      </c>
      <c r="V148" s="14" t="n">
        <f aca="false">IF(K148=1,IF(OR(Alpha_keep*$A148+V$3&gt;=Floor_c-0.000000001,AND($B148=0,V$3&gt;=Cap_h-0.000000001)),1,0),0)</f>
        <v>1</v>
      </c>
      <c r="W148" s="14" t="n">
        <f aca="false">IF(L148=1,IF(OR(Alpha_keep*$A148+W$3&gt;=Floor_c-0.000000001,AND($B148=0,W$3&gt;=Cap_h-0.000000001)),1,0),0)</f>
        <v>1</v>
      </c>
      <c r="X148" s="14" t="n">
        <f aca="false">IF(M148=1,IF(OR(Alpha_keep*$A148+X$3&gt;=Floor_c-0.000000001,AND($B148=0,X$3&gt;=Cap_h-0.000000001)),1,0),0)</f>
        <v>1</v>
      </c>
      <c r="Y148" s="14" t="n">
        <f aca="false">SUM(C148:M148)</f>
        <v>11</v>
      </c>
      <c r="Z148" s="14" t="n">
        <f aca="false">SUM(N148:X148)</f>
        <v>11</v>
      </c>
      <c r="AA148" s="12" t="n">
        <f aca="false">INDEX($C$3:$M$3,MATCH(1,C148:M148,0))</f>
        <v>0</v>
      </c>
      <c r="AB148" s="12" t="n">
        <f aca="false">INDEX($N$3:$X$3,MATCH(1,N148:X148,0))+(Z148-1)*Step_h</f>
        <v>2.5</v>
      </c>
    </row>
    <row r="149" customFormat="false" ht="15" hidden="false" customHeight="false" outlineLevel="0" collapsed="false">
      <c r="A149" s="12" t="n">
        <f aca="false">A148+Step_c</f>
        <v>66</v>
      </c>
      <c r="B149" s="14" t="n">
        <f aca="false">IF(SUMPRODUCT((Alpha_keep*$A149+$C$3:$M$3&gt;=Floor_c-0.000000001)*(C149:M149))&gt;0,1,0)</f>
        <v>1</v>
      </c>
      <c r="C149" s="14" t="n">
        <f aca="false">IF(AND(Alpha_keep*$A149+C$3-MAX(Loss_w)&gt;=Lo_c-0.000000001,Alpha_keep*$A149+C$3-MIN(Loss_w)&lt;=Hi_c+0.000000001),1,0)</f>
        <v>1</v>
      </c>
      <c r="D149" s="14" t="n">
        <f aca="false">IF(AND(Alpha_keep*$A149+D$3-MAX(Loss_w)&gt;=Lo_c-0.000000001,Alpha_keep*$A149+D$3-MIN(Loss_w)&lt;=Hi_c+0.000000001),1,0)</f>
        <v>1</v>
      </c>
      <c r="E149" s="14" t="n">
        <f aca="false">IF(AND(Alpha_keep*$A149+E$3-MAX(Loss_w)&gt;=Lo_c-0.000000001,Alpha_keep*$A149+E$3-MIN(Loss_w)&lt;=Hi_c+0.000000001),1,0)</f>
        <v>1</v>
      </c>
      <c r="F149" s="14" t="n">
        <f aca="false">IF(AND(Alpha_keep*$A149+F$3-MAX(Loss_w)&gt;=Lo_c-0.000000001,Alpha_keep*$A149+F$3-MIN(Loss_w)&lt;=Hi_c+0.000000001),1,0)</f>
        <v>1</v>
      </c>
      <c r="G149" s="14" t="n">
        <f aca="false">IF(AND(Alpha_keep*$A149+G$3-MAX(Loss_w)&gt;=Lo_c-0.000000001,Alpha_keep*$A149+G$3-MIN(Loss_w)&lt;=Hi_c+0.000000001),1,0)</f>
        <v>1</v>
      </c>
      <c r="H149" s="14" t="n">
        <f aca="false">IF(AND(Alpha_keep*$A149+H$3-MAX(Loss_w)&gt;=Lo_c-0.000000001,Alpha_keep*$A149+H$3-MIN(Loss_w)&lt;=Hi_c+0.000000001),1,0)</f>
        <v>1</v>
      </c>
      <c r="I149" s="14" t="n">
        <f aca="false">IF(AND(Alpha_keep*$A149+I$3-MAX(Loss_w)&gt;=Lo_c-0.000000001,Alpha_keep*$A149+I$3-MIN(Loss_w)&lt;=Hi_c+0.000000001),1,0)</f>
        <v>1</v>
      </c>
      <c r="J149" s="14" t="n">
        <f aca="false">IF(AND(Alpha_keep*$A149+J$3-MAX(Loss_w)&gt;=Lo_c-0.000000001,Alpha_keep*$A149+J$3-MIN(Loss_w)&lt;=Hi_c+0.000000001),1,0)</f>
        <v>1</v>
      </c>
      <c r="K149" s="14" t="n">
        <f aca="false">IF(AND(Alpha_keep*$A149+K$3-MAX(Loss_w)&gt;=Lo_c-0.000000001,Alpha_keep*$A149+K$3-MIN(Loss_w)&lt;=Hi_c+0.000000001),1,0)</f>
        <v>1</v>
      </c>
      <c r="L149" s="14" t="n">
        <f aca="false">IF(AND(Alpha_keep*$A149+L$3-MAX(Loss_w)&gt;=Lo_c-0.000000001,Alpha_keep*$A149+L$3-MIN(Loss_w)&lt;=Hi_c+0.000000001),1,0)</f>
        <v>1</v>
      </c>
      <c r="M149" s="14" t="n">
        <f aca="false">IF(AND(Alpha_keep*$A149+M$3-MAX(Loss_w)&gt;=Lo_c-0.000000001,Alpha_keep*$A149+M$3-MIN(Loss_w)&lt;=Hi_c+0.000000001),1,0)</f>
        <v>1</v>
      </c>
      <c r="N149" s="14" t="n">
        <f aca="false">IF(C149=1,IF(OR(Alpha_keep*$A149+N$3&gt;=Floor_c-0.000000001,AND($B149=0,N$3&gt;=Cap_h-0.000000001)),1,0),0)</f>
        <v>1</v>
      </c>
      <c r="O149" s="14" t="n">
        <f aca="false">IF(D149=1,IF(OR(Alpha_keep*$A149+O$3&gt;=Floor_c-0.000000001,AND($B149=0,O$3&gt;=Cap_h-0.000000001)),1,0),0)</f>
        <v>1</v>
      </c>
      <c r="P149" s="14" t="n">
        <f aca="false">IF(E149=1,IF(OR(Alpha_keep*$A149+P$3&gt;=Floor_c-0.000000001,AND($B149=0,P$3&gt;=Cap_h-0.000000001)),1,0),0)</f>
        <v>1</v>
      </c>
      <c r="Q149" s="14" t="n">
        <f aca="false">IF(F149=1,IF(OR(Alpha_keep*$A149+Q$3&gt;=Floor_c-0.000000001,AND($B149=0,Q$3&gt;=Cap_h-0.000000001)),1,0),0)</f>
        <v>1</v>
      </c>
      <c r="R149" s="14" t="n">
        <f aca="false">IF(G149=1,IF(OR(Alpha_keep*$A149+R$3&gt;=Floor_c-0.000000001,AND($B149=0,R$3&gt;=Cap_h-0.000000001)),1,0),0)</f>
        <v>1</v>
      </c>
      <c r="S149" s="14" t="n">
        <f aca="false">IF(H149=1,IF(OR(Alpha_keep*$A149+S$3&gt;=Floor_c-0.000000001,AND($B149=0,S$3&gt;=Cap_h-0.000000001)),1,0),0)</f>
        <v>1</v>
      </c>
      <c r="T149" s="14" t="n">
        <f aca="false">IF(I149=1,IF(OR(Alpha_keep*$A149+T$3&gt;=Floor_c-0.000000001,AND($B149=0,T$3&gt;=Cap_h-0.000000001)),1,0),0)</f>
        <v>1</v>
      </c>
      <c r="U149" s="14" t="n">
        <f aca="false">IF(J149=1,IF(OR(Alpha_keep*$A149+U$3&gt;=Floor_c-0.000000001,AND($B149=0,U$3&gt;=Cap_h-0.000000001)),1,0),0)</f>
        <v>1</v>
      </c>
      <c r="V149" s="14" t="n">
        <f aca="false">IF(K149=1,IF(OR(Alpha_keep*$A149+V$3&gt;=Floor_c-0.000000001,AND($B149=0,V$3&gt;=Cap_h-0.000000001)),1,0),0)</f>
        <v>1</v>
      </c>
      <c r="W149" s="14" t="n">
        <f aca="false">IF(L149=1,IF(OR(Alpha_keep*$A149+W$3&gt;=Floor_c-0.000000001,AND($B149=0,W$3&gt;=Cap_h-0.000000001)),1,0),0)</f>
        <v>1</v>
      </c>
      <c r="X149" s="14" t="n">
        <f aca="false">IF(M149=1,IF(OR(Alpha_keep*$A149+X$3&gt;=Floor_c-0.000000001,AND($B149=0,X$3&gt;=Cap_h-0.000000001)),1,0),0)</f>
        <v>1</v>
      </c>
      <c r="Y149" s="14" t="n">
        <f aca="false">SUM(C149:M149)</f>
        <v>11</v>
      </c>
      <c r="Z149" s="14" t="n">
        <f aca="false">SUM(N149:X149)</f>
        <v>11</v>
      </c>
      <c r="AA149" s="12" t="n">
        <f aca="false">INDEX($C$3:$M$3,MATCH(1,C149:M149,0))</f>
        <v>0</v>
      </c>
      <c r="AB149" s="12" t="n">
        <f aca="false">INDEX($N$3:$X$3,MATCH(1,N149:X149,0))+(Z149-1)*Step_h</f>
        <v>2.5</v>
      </c>
    </row>
    <row r="150" customFormat="false" ht="15" hidden="false" customHeight="false" outlineLevel="0" collapsed="false">
      <c r="A150" s="12" t="n">
        <f aca="false">A149+Step_c</f>
        <v>66.25</v>
      </c>
      <c r="B150" s="14" t="n">
        <f aca="false">IF(SUMPRODUCT((Alpha_keep*$A150+$C$3:$M$3&gt;=Floor_c-0.000000001)*(C150:M150))&gt;0,1,0)</f>
        <v>1</v>
      </c>
      <c r="C150" s="14" t="n">
        <f aca="false">IF(AND(Alpha_keep*$A150+C$3-MAX(Loss_w)&gt;=Lo_c-0.000000001,Alpha_keep*$A150+C$3-MIN(Loss_w)&lt;=Hi_c+0.000000001),1,0)</f>
        <v>1</v>
      </c>
      <c r="D150" s="14" t="n">
        <f aca="false">IF(AND(Alpha_keep*$A150+D$3-MAX(Loss_w)&gt;=Lo_c-0.000000001,Alpha_keep*$A150+D$3-MIN(Loss_w)&lt;=Hi_c+0.000000001),1,0)</f>
        <v>1</v>
      </c>
      <c r="E150" s="14" t="n">
        <f aca="false">IF(AND(Alpha_keep*$A150+E$3-MAX(Loss_w)&gt;=Lo_c-0.000000001,Alpha_keep*$A150+E$3-MIN(Loss_w)&lt;=Hi_c+0.000000001),1,0)</f>
        <v>1</v>
      </c>
      <c r="F150" s="14" t="n">
        <f aca="false">IF(AND(Alpha_keep*$A150+F$3-MAX(Loss_w)&gt;=Lo_c-0.000000001,Alpha_keep*$A150+F$3-MIN(Loss_w)&lt;=Hi_c+0.000000001),1,0)</f>
        <v>1</v>
      </c>
      <c r="G150" s="14" t="n">
        <f aca="false">IF(AND(Alpha_keep*$A150+G$3-MAX(Loss_w)&gt;=Lo_c-0.000000001,Alpha_keep*$A150+G$3-MIN(Loss_w)&lt;=Hi_c+0.000000001),1,0)</f>
        <v>1</v>
      </c>
      <c r="H150" s="14" t="n">
        <f aca="false">IF(AND(Alpha_keep*$A150+H$3-MAX(Loss_w)&gt;=Lo_c-0.000000001,Alpha_keep*$A150+H$3-MIN(Loss_w)&lt;=Hi_c+0.000000001),1,0)</f>
        <v>1</v>
      </c>
      <c r="I150" s="14" t="n">
        <f aca="false">IF(AND(Alpha_keep*$A150+I$3-MAX(Loss_w)&gt;=Lo_c-0.000000001,Alpha_keep*$A150+I$3-MIN(Loss_w)&lt;=Hi_c+0.000000001),1,0)</f>
        <v>1</v>
      </c>
      <c r="J150" s="14" t="n">
        <f aca="false">IF(AND(Alpha_keep*$A150+J$3-MAX(Loss_w)&gt;=Lo_c-0.000000001,Alpha_keep*$A150+J$3-MIN(Loss_w)&lt;=Hi_c+0.000000001),1,0)</f>
        <v>1</v>
      </c>
      <c r="K150" s="14" t="n">
        <f aca="false">IF(AND(Alpha_keep*$A150+K$3-MAX(Loss_w)&gt;=Lo_c-0.000000001,Alpha_keep*$A150+K$3-MIN(Loss_w)&lt;=Hi_c+0.000000001),1,0)</f>
        <v>1</v>
      </c>
      <c r="L150" s="14" t="n">
        <f aca="false">IF(AND(Alpha_keep*$A150+L$3-MAX(Loss_w)&gt;=Lo_c-0.000000001,Alpha_keep*$A150+L$3-MIN(Loss_w)&lt;=Hi_c+0.000000001),1,0)</f>
        <v>1</v>
      </c>
      <c r="M150" s="14" t="n">
        <f aca="false">IF(AND(Alpha_keep*$A150+M$3-MAX(Loss_w)&gt;=Lo_c-0.000000001,Alpha_keep*$A150+M$3-MIN(Loss_w)&lt;=Hi_c+0.000000001),1,0)</f>
        <v>1</v>
      </c>
      <c r="N150" s="14" t="n">
        <f aca="false">IF(C150=1,IF(OR(Alpha_keep*$A150+N$3&gt;=Floor_c-0.000000001,AND($B150=0,N$3&gt;=Cap_h-0.000000001)),1,0),0)</f>
        <v>1</v>
      </c>
      <c r="O150" s="14" t="n">
        <f aca="false">IF(D150=1,IF(OR(Alpha_keep*$A150+O$3&gt;=Floor_c-0.000000001,AND($B150=0,O$3&gt;=Cap_h-0.000000001)),1,0),0)</f>
        <v>1</v>
      </c>
      <c r="P150" s="14" t="n">
        <f aca="false">IF(E150=1,IF(OR(Alpha_keep*$A150+P$3&gt;=Floor_c-0.000000001,AND($B150=0,P$3&gt;=Cap_h-0.000000001)),1,0),0)</f>
        <v>1</v>
      </c>
      <c r="Q150" s="14" t="n">
        <f aca="false">IF(F150=1,IF(OR(Alpha_keep*$A150+Q$3&gt;=Floor_c-0.000000001,AND($B150=0,Q$3&gt;=Cap_h-0.000000001)),1,0),0)</f>
        <v>1</v>
      </c>
      <c r="R150" s="14" t="n">
        <f aca="false">IF(G150=1,IF(OR(Alpha_keep*$A150+R$3&gt;=Floor_c-0.000000001,AND($B150=0,R$3&gt;=Cap_h-0.000000001)),1,0),0)</f>
        <v>1</v>
      </c>
      <c r="S150" s="14" t="n">
        <f aca="false">IF(H150=1,IF(OR(Alpha_keep*$A150+S$3&gt;=Floor_c-0.000000001,AND($B150=0,S$3&gt;=Cap_h-0.000000001)),1,0),0)</f>
        <v>1</v>
      </c>
      <c r="T150" s="14" t="n">
        <f aca="false">IF(I150=1,IF(OR(Alpha_keep*$A150+T$3&gt;=Floor_c-0.000000001,AND($B150=0,T$3&gt;=Cap_h-0.000000001)),1,0),0)</f>
        <v>1</v>
      </c>
      <c r="U150" s="14" t="n">
        <f aca="false">IF(J150=1,IF(OR(Alpha_keep*$A150+U$3&gt;=Floor_c-0.000000001,AND($B150=0,U$3&gt;=Cap_h-0.000000001)),1,0),0)</f>
        <v>1</v>
      </c>
      <c r="V150" s="14" t="n">
        <f aca="false">IF(K150=1,IF(OR(Alpha_keep*$A150+V$3&gt;=Floor_c-0.000000001,AND($B150=0,V$3&gt;=Cap_h-0.000000001)),1,0),0)</f>
        <v>1</v>
      </c>
      <c r="W150" s="14" t="n">
        <f aca="false">IF(L150=1,IF(OR(Alpha_keep*$A150+W$3&gt;=Floor_c-0.000000001,AND($B150=0,W$3&gt;=Cap_h-0.000000001)),1,0),0)</f>
        <v>1</v>
      </c>
      <c r="X150" s="14" t="n">
        <f aca="false">IF(M150=1,IF(OR(Alpha_keep*$A150+X$3&gt;=Floor_c-0.000000001,AND($B150=0,X$3&gt;=Cap_h-0.000000001)),1,0),0)</f>
        <v>1</v>
      </c>
      <c r="Y150" s="14" t="n">
        <f aca="false">SUM(C150:M150)</f>
        <v>11</v>
      </c>
      <c r="Z150" s="14" t="n">
        <f aca="false">SUM(N150:X150)</f>
        <v>11</v>
      </c>
      <c r="AA150" s="12" t="n">
        <f aca="false">INDEX($C$3:$M$3,MATCH(1,C150:M150,0))</f>
        <v>0</v>
      </c>
      <c r="AB150" s="12" t="n">
        <f aca="false">INDEX($N$3:$X$3,MATCH(1,N150:X150,0))+(Z150-1)*Step_h</f>
        <v>2.5</v>
      </c>
    </row>
    <row r="151" customFormat="false" ht="15" hidden="false" customHeight="false" outlineLevel="0" collapsed="false">
      <c r="A151" s="12" t="n">
        <f aca="false">A150+Step_c</f>
        <v>66.5</v>
      </c>
      <c r="B151" s="14" t="n">
        <f aca="false">IF(SUMPRODUCT((Alpha_keep*$A151+$C$3:$M$3&gt;=Floor_c-0.000000001)*(C151:M151))&gt;0,1,0)</f>
        <v>1</v>
      </c>
      <c r="C151" s="14" t="n">
        <f aca="false">IF(AND(Alpha_keep*$A151+C$3-MAX(Loss_w)&gt;=Lo_c-0.000000001,Alpha_keep*$A151+C$3-MIN(Loss_w)&lt;=Hi_c+0.000000001),1,0)</f>
        <v>1</v>
      </c>
      <c r="D151" s="14" t="n">
        <f aca="false">IF(AND(Alpha_keep*$A151+D$3-MAX(Loss_w)&gt;=Lo_c-0.000000001,Alpha_keep*$A151+D$3-MIN(Loss_w)&lt;=Hi_c+0.000000001),1,0)</f>
        <v>1</v>
      </c>
      <c r="E151" s="14" t="n">
        <f aca="false">IF(AND(Alpha_keep*$A151+E$3-MAX(Loss_w)&gt;=Lo_c-0.000000001,Alpha_keep*$A151+E$3-MIN(Loss_w)&lt;=Hi_c+0.000000001),1,0)</f>
        <v>1</v>
      </c>
      <c r="F151" s="14" t="n">
        <f aca="false">IF(AND(Alpha_keep*$A151+F$3-MAX(Loss_w)&gt;=Lo_c-0.000000001,Alpha_keep*$A151+F$3-MIN(Loss_w)&lt;=Hi_c+0.000000001),1,0)</f>
        <v>1</v>
      </c>
      <c r="G151" s="14" t="n">
        <f aca="false">IF(AND(Alpha_keep*$A151+G$3-MAX(Loss_w)&gt;=Lo_c-0.000000001,Alpha_keep*$A151+G$3-MIN(Loss_w)&lt;=Hi_c+0.000000001),1,0)</f>
        <v>1</v>
      </c>
      <c r="H151" s="14" t="n">
        <f aca="false">IF(AND(Alpha_keep*$A151+H$3-MAX(Loss_w)&gt;=Lo_c-0.000000001,Alpha_keep*$A151+H$3-MIN(Loss_w)&lt;=Hi_c+0.000000001),1,0)</f>
        <v>1</v>
      </c>
      <c r="I151" s="14" t="n">
        <f aca="false">IF(AND(Alpha_keep*$A151+I$3-MAX(Loss_w)&gt;=Lo_c-0.000000001,Alpha_keep*$A151+I$3-MIN(Loss_w)&lt;=Hi_c+0.000000001),1,0)</f>
        <v>1</v>
      </c>
      <c r="J151" s="14" t="n">
        <f aca="false">IF(AND(Alpha_keep*$A151+J$3-MAX(Loss_w)&gt;=Lo_c-0.000000001,Alpha_keep*$A151+J$3-MIN(Loss_w)&lt;=Hi_c+0.000000001),1,0)</f>
        <v>1</v>
      </c>
      <c r="K151" s="14" t="n">
        <f aca="false">IF(AND(Alpha_keep*$A151+K$3-MAX(Loss_w)&gt;=Lo_c-0.000000001,Alpha_keep*$A151+K$3-MIN(Loss_w)&lt;=Hi_c+0.000000001),1,0)</f>
        <v>1</v>
      </c>
      <c r="L151" s="14" t="n">
        <f aca="false">IF(AND(Alpha_keep*$A151+L$3-MAX(Loss_w)&gt;=Lo_c-0.000000001,Alpha_keep*$A151+L$3-MIN(Loss_w)&lt;=Hi_c+0.000000001),1,0)</f>
        <v>1</v>
      </c>
      <c r="M151" s="14" t="n">
        <f aca="false">IF(AND(Alpha_keep*$A151+M$3-MAX(Loss_w)&gt;=Lo_c-0.000000001,Alpha_keep*$A151+M$3-MIN(Loss_w)&lt;=Hi_c+0.000000001),1,0)</f>
        <v>1</v>
      </c>
      <c r="N151" s="14" t="n">
        <f aca="false">IF(C151=1,IF(OR(Alpha_keep*$A151+N$3&gt;=Floor_c-0.000000001,AND($B151=0,N$3&gt;=Cap_h-0.000000001)),1,0),0)</f>
        <v>1</v>
      </c>
      <c r="O151" s="14" t="n">
        <f aca="false">IF(D151=1,IF(OR(Alpha_keep*$A151+O$3&gt;=Floor_c-0.000000001,AND($B151=0,O$3&gt;=Cap_h-0.000000001)),1,0),0)</f>
        <v>1</v>
      </c>
      <c r="P151" s="14" t="n">
        <f aca="false">IF(E151=1,IF(OR(Alpha_keep*$A151+P$3&gt;=Floor_c-0.000000001,AND($B151=0,P$3&gt;=Cap_h-0.000000001)),1,0),0)</f>
        <v>1</v>
      </c>
      <c r="Q151" s="14" t="n">
        <f aca="false">IF(F151=1,IF(OR(Alpha_keep*$A151+Q$3&gt;=Floor_c-0.000000001,AND($B151=0,Q$3&gt;=Cap_h-0.000000001)),1,0),0)</f>
        <v>1</v>
      </c>
      <c r="R151" s="14" t="n">
        <f aca="false">IF(G151=1,IF(OR(Alpha_keep*$A151+R$3&gt;=Floor_c-0.000000001,AND($B151=0,R$3&gt;=Cap_h-0.000000001)),1,0),0)</f>
        <v>1</v>
      </c>
      <c r="S151" s="14" t="n">
        <f aca="false">IF(H151=1,IF(OR(Alpha_keep*$A151+S$3&gt;=Floor_c-0.000000001,AND($B151=0,S$3&gt;=Cap_h-0.000000001)),1,0),0)</f>
        <v>1</v>
      </c>
      <c r="T151" s="14" t="n">
        <f aca="false">IF(I151=1,IF(OR(Alpha_keep*$A151+T$3&gt;=Floor_c-0.000000001,AND($B151=0,T$3&gt;=Cap_h-0.000000001)),1,0),0)</f>
        <v>1</v>
      </c>
      <c r="U151" s="14" t="n">
        <f aca="false">IF(J151=1,IF(OR(Alpha_keep*$A151+U$3&gt;=Floor_c-0.000000001,AND($B151=0,U$3&gt;=Cap_h-0.000000001)),1,0),0)</f>
        <v>1</v>
      </c>
      <c r="V151" s="14" t="n">
        <f aca="false">IF(K151=1,IF(OR(Alpha_keep*$A151+V$3&gt;=Floor_c-0.000000001,AND($B151=0,V$3&gt;=Cap_h-0.000000001)),1,0),0)</f>
        <v>1</v>
      </c>
      <c r="W151" s="14" t="n">
        <f aca="false">IF(L151=1,IF(OR(Alpha_keep*$A151+W$3&gt;=Floor_c-0.000000001,AND($B151=0,W$3&gt;=Cap_h-0.000000001)),1,0),0)</f>
        <v>1</v>
      </c>
      <c r="X151" s="14" t="n">
        <f aca="false">IF(M151=1,IF(OR(Alpha_keep*$A151+X$3&gt;=Floor_c-0.000000001,AND($B151=0,X$3&gt;=Cap_h-0.000000001)),1,0),0)</f>
        <v>1</v>
      </c>
      <c r="Y151" s="14" t="n">
        <f aca="false">SUM(C151:M151)</f>
        <v>11</v>
      </c>
      <c r="Z151" s="14" t="n">
        <f aca="false">SUM(N151:X151)</f>
        <v>11</v>
      </c>
      <c r="AA151" s="12" t="n">
        <f aca="false">INDEX($C$3:$M$3,MATCH(1,C151:M151,0))</f>
        <v>0</v>
      </c>
      <c r="AB151" s="12" t="n">
        <f aca="false">INDEX($N$3:$X$3,MATCH(1,N151:X151,0))+(Z151-1)*Step_h</f>
        <v>2.5</v>
      </c>
    </row>
    <row r="152" customFormat="false" ht="15" hidden="false" customHeight="false" outlineLevel="0" collapsed="false">
      <c r="A152" s="12" t="n">
        <f aca="false">A151+Step_c</f>
        <v>66.75</v>
      </c>
      <c r="B152" s="14" t="n">
        <f aca="false">IF(SUMPRODUCT((Alpha_keep*$A152+$C$3:$M$3&gt;=Floor_c-0.000000001)*(C152:M152))&gt;0,1,0)</f>
        <v>1</v>
      </c>
      <c r="C152" s="14" t="n">
        <f aca="false">IF(AND(Alpha_keep*$A152+C$3-MAX(Loss_w)&gt;=Lo_c-0.000000001,Alpha_keep*$A152+C$3-MIN(Loss_w)&lt;=Hi_c+0.000000001),1,0)</f>
        <v>1</v>
      </c>
      <c r="D152" s="14" t="n">
        <f aca="false">IF(AND(Alpha_keep*$A152+D$3-MAX(Loss_w)&gt;=Lo_c-0.000000001,Alpha_keep*$A152+D$3-MIN(Loss_w)&lt;=Hi_c+0.000000001),1,0)</f>
        <v>1</v>
      </c>
      <c r="E152" s="14" t="n">
        <f aca="false">IF(AND(Alpha_keep*$A152+E$3-MAX(Loss_w)&gt;=Lo_c-0.000000001,Alpha_keep*$A152+E$3-MIN(Loss_w)&lt;=Hi_c+0.000000001),1,0)</f>
        <v>1</v>
      </c>
      <c r="F152" s="14" t="n">
        <f aca="false">IF(AND(Alpha_keep*$A152+F$3-MAX(Loss_w)&gt;=Lo_c-0.000000001,Alpha_keep*$A152+F$3-MIN(Loss_w)&lt;=Hi_c+0.000000001),1,0)</f>
        <v>1</v>
      </c>
      <c r="G152" s="14" t="n">
        <f aca="false">IF(AND(Alpha_keep*$A152+G$3-MAX(Loss_w)&gt;=Lo_c-0.000000001,Alpha_keep*$A152+G$3-MIN(Loss_w)&lt;=Hi_c+0.000000001),1,0)</f>
        <v>1</v>
      </c>
      <c r="H152" s="14" t="n">
        <f aca="false">IF(AND(Alpha_keep*$A152+H$3-MAX(Loss_w)&gt;=Lo_c-0.000000001,Alpha_keep*$A152+H$3-MIN(Loss_w)&lt;=Hi_c+0.000000001),1,0)</f>
        <v>1</v>
      </c>
      <c r="I152" s="14" t="n">
        <f aca="false">IF(AND(Alpha_keep*$A152+I$3-MAX(Loss_w)&gt;=Lo_c-0.000000001,Alpha_keep*$A152+I$3-MIN(Loss_w)&lt;=Hi_c+0.000000001),1,0)</f>
        <v>1</v>
      </c>
      <c r="J152" s="14" t="n">
        <f aca="false">IF(AND(Alpha_keep*$A152+J$3-MAX(Loss_w)&gt;=Lo_c-0.000000001,Alpha_keep*$A152+J$3-MIN(Loss_w)&lt;=Hi_c+0.000000001),1,0)</f>
        <v>1</v>
      </c>
      <c r="K152" s="14" t="n">
        <f aca="false">IF(AND(Alpha_keep*$A152+K$3-MAX(Loss_w)&gt;=Lo_c-0.000000001,Alpha_keep*$A152+K$3-MIN(Loss_w)&lt;=Hi_c+0.000000001),1,0)</f>
        <v>1</v>
      </c>
      <c r="L152" s="14" t="n">
        <f aca="false">IF(AND(Alpha_keep*$A152+L$3-MAX(Loss_w)&gt;=Lo_c-0.000000001,Alpha_keep*$A152+L$3-MIN(Loss_w)&lt;=Hi_c+0.000000001),1,0)</f>
        <v>1</v>
      </c>
      <c r="M152" s="14" t="n">
        <f aca="false">IF(AND(Alpha_keep*$A152+M$3-MAX(Loss_w)&gt;=Lo_c-0.000000001,Alpha_keep*$A152+M$3-MIN(Loss_w)&lt;=Hi_c+0.000000001),1,0)</f>
        <v>1</v>
      </c>
      <c r="N152" s="14" t="n">
        <f aca="false">IF(C152=1,IF(OR(Alpha_keep*$A152+N$3&gt;=Floor_c-0.000000001,AND($B152=0,N$3&gt;=Cap_h-0.000000001)),1,0),0)</f>
        <v>1</v>
      </c>
      <c r="O152" s="14" t="n">
        <f aca="false">IF(D152=1,IF(OR(Alpha_keep*$A152+O$3&gt;=Floor_c-0.000000001,AND($B152=0,O$3&gt;=Cap_h-0.000000001)),1,0),0)</f>
        <v>1</v>
      </c>
      <c r="P152" s="14" t="n">
        <f aca="false">IF(E152=1,IF(OR(Alpha_keep*$A152+P$3&gt;=Floor_c-0.000000001,AND($B152=0,P$3&gt;=Cap_h-0.000000001)),1,0),0)</f>
        <v>1</v>
      </c>
      <c r="Q152" s="14" t="n">
        <f aca="false">IF(F152=1,IF(OR(Alpha_keep*$A152+Q$3&gt;=Floor_c-0.000000001,AND($B152=0,Q$3&gt;=Cap_h-0.000000001)),1,0),0)</f>
        <v>1</v>
      </c>
      <c r="R152" s="14" t="n">
        <f aca="false">IF(G152=1,IF(OR(Alpha_keep*$A152+R$3&gt;=Floor_c-0.000000001,AND($B152=0,R$3&gt;=Cap_h-0.000000001)),1,0),0)</f>
        <v>1</v>
      </c>
      <c r="S152" s="14" t="n">
        <f aca="false">IF(H152=1,IF(OR(Alpha_keep*$A152+S$3&gt;=Floor_c-0.000000001,AND($B152=0,S$3&gt;=Cap_h-0.000000001)),1,0),0)</f>
        <v>1</v>
      </c>
      <c r="T152" s="14" t="n">
        <f aca="false">IF(I152=1,IF(OR(Alpha_keep*$A152+T$3&gt;=Floor_c-0.000000001,AND($B152=0,T$3&gt;=Cap_h-0.000000001)),1,0),0)</f>
        <v>1</v>
      </c>
      <c r="U152" s="14" t="n">
        <f aca="false">IF(J152=1,IF(OR(Alpha_keep*$A152+U$3&gt;=Floor_c-0.000000001,AND($B152=0,U$3&gt;=Cap_h-0.000000001)),1,0),0)</f>
        <v>1</v>
      </c>
      <c r="V152" s="14" t="n">
        <f aca="false">IF(K152=1,IF(OR(Alpha_keep*$A152+V$3&gt;=Floor_c-0.000000001,AND($B152=0,V$3&gt;=Cap_h-0.000000001)),1,0),0)</f>
        <v>1</v>
      </c>
      <c r="W152" s="14" t="n">
        <f aca="false">IF(L152=1,IF(OR(Alpha_keep*$A152+W$3&gt;=Floor_c-0.000000001,AND($B152=0,W$3&gt;=Cap_h-0.000000001)),1,0),0)</f>
        <v>1</v>
      </c>
      <c r="X152" s="14" t="n">
        <f aca="false">IF(M152=1,IF(OR(Alpha_keep*$A152+X$3&gt;=Floor_c-0.000000001,AND($B152=0,X$3&gt;=Cap_h-0.000000001)),1,0),0)</f>
        <v>1</v>
      </c>
      <c r="Y152" s="14" t="n">
        <f aca="false">SUM(C152:M152)</f>
        <v>11</v>
      </c>
      <c r="Z152" s="14" t="n">
        <f aca="false">SUM(N152:X152)</f>
        <v>11</v>
      </c>
      <c r="AA152" s="12" t="n">
        <f aca="false">INDEX($C$3:$M$3,MATCH(1,C152:M152,0))</f>
        <v>0</v>
      </c>
      <c r="AB152" s="12" t="n">
        <f aca="false">INDEX($N$3:$X$3,MATCH(1,N152:X152,0))+(Z152-1)*Step_h</f>
        <v>2.5</v>
      </c>
    </row>
    <row r="153" customFormat="false" ht="15" hidden="false" customHeight="false" outlineLevel="0" collapsed="false">
      <c r="A153" s="12" t="n">
        <f aca="false">A152+Step_c</f>
        <v>67</v>
      </c>
      <c r="B153" s="14" t="n">
        <f aca="false">IF(SUMPRODUCT((Alpha_keep*$A153+$C$3:$M$3&gt;=Floor_c-0.000000001)*(C153:M153))&gt;0,1,0)</f>
        <v>1</v>
      </c>
      <c r="C153" s="14" t="n">
        <f aca="false">IF(AND(Alpha_keep*$A153+C$3-MAX(Loss_w)&gt;=Lo_c-0.000000001,Alpha_keep*$A153+C$3-MIN(Loss_w)&lt;=Hi_c+0.000000001),1,0)</f>
        <v>1</v>
      </c>
      <c r="D153" s="14" t="n">
        <f aca="false">IF(AND(Alpha_keep*$A153+D$3-MAX(Loss_w)&gt;=Lo_c-0.000000001,Alpha_keep*$A153+D$3-MIN(Loss_w)&lt;=Hi_c+0.000000001),1,0)</f>
        <v>1</v>
      </c>
      <c r="E153" s="14" t="n">
        <f aca="false">IF(AND(Alpha_keep*$A153+E$3-MAX(Loss_w)&gt;=Lo_c-0.000000001,Alpha_keep*$A153+E$3-MIN(Loss_w)&lt;=Hi_c+0.000000001),1,0)</f>
        <v>1</v>
      </c>
      <c r="F153" s="14" t="n">
        <f aca="false">IF(AND(Alpha_keep*$A153+F$3-MAX(Loss_w)&gt;=Lo_c-0.000000001,Alpha_keep*$A153+F$3-MIN(Loss_w)&lt;=Hi_c+0.000000001),1,0)</f>
        <v>1</v>
      </c>
      <c r="G153" s="14" t="n">
        <f aca="false">IF(AND(Alpha_keep*$A153+G$3-MAX(Loss_w)&gt;=Lo_c-0.000000001,Alpha_keep*$A153+G$3-MIN(Loss_w)&lt;=Hi_c+0.000000001),1,0)</f>
        <v>1</v>
      </c>
      <c r="H153" s="14" t="n">
        <f aca="false">IF(AND(Alpha_keep*$A153+H$3-MAX(Loss_w)&gt;=Lo_c-0.000000001,Alpha_keep*$A153+H$3-MIN(Loss_w)&lt;=Hi_c+0.000000001),1,0)</f>
        <v>1</v>
      </c>
      <c r="I153" s="14" t="n">
        <f aca="false">IF(AND(Alpha_keep*$A153+I$3-MAX(Loss_w)&gt;=Lo_c-0.000000001,Alpha_keep*$A153+I$3-MIN(Loss_w)&lt;=Hi_c+0.000000001),1,0)</f>
        <v>1</v>
      </c>
      <c r="J153" s="14" t="n">
        <f aca="false">IF(AND(Alpha_keep*$A153+J$3-MAX(Loss_w)&gt;=Lo_c-0.000000001,Alpha_keep*$A153+J$3-MIN(Loss_w)&lt;=Hi_c+0.000000001),1,0)</f>
        <v>1</v>
      </c>
      <c r="K153" s="14" t="n">
        <f aca="false">IF(AND(Alpha_keep*$A153+K$3-MAX(Loss_w)&gt;=Lo_c-0.000000001,Alpha_keep*$A153+K$3-MIN(Loss_w)&lt;=Hi_c+0.000000001),1,0)</f>
        <v>1</v>
      </c>
      <c r="L153" s="14" t="n">
        <f aca="false">IF(AND(Alpha_keep*$A153+L$3-MAX(Loss_w)&gt;=Lo_c-0.000000001,Alpha_keep*$A153+L$3-MIN(Loss_w)&lt;=Hi_c+0.000000001),1,0)</f>
        <v>1</v>
      </c>
      <c r="M153" s="14" t="n">
        <f aca="false">IF(AND(Alpha_keep*$A153+M$3-MAX(Loss_w)&gt;=Lo_c-0.000000001,Alpha_keep*$A153+M$3-MIN(Loss_w)&lt;=Hi_c+0.000000001),1,0)</f>
        <v>1</v>
      </c>
      <c r="N153" s="14" t="n">
        <f aca="false">IF(C153=1,IF(OR(Alpha_keep*$A153+N$3&gt;=Floor_c-0.000000001,AND($B153=0,N$3&gt;=Cap_h-0.000000001)),1,0),0)</f>
        <v>1</v>
      </c>
      <c r="O153" s="14" t="n">
        <f aca="false">IF(D153=1,IF(OR(Alpha_keep*$A153+O$3&gt;=Floor_c-0.000000001,AND($B153=0,O$3&gt;=Cap_h-0.000000001)),1,0),0)</f>
        <v>1</v>
      </c>
      <c r="P153" s="14" t="n">
        <f aca="false">IF(E153=1,IF(OR(Alpha_keep*$A153+P$3&gt;=Floor_c-0.000000001,AND($B153=0,P$3&gt;=Cap_h-0.000000001)),1,0),0)</f>
        <v>1</v>
      </c>
      <c r="Q153" s="14" t="n">
        <f aca="false">IF(F153=1,IF(OR(Alpha_keep*$A153+Q$3&gt;=Floor_c-0.000000001,AND($B153=0,Q$3&gt;=Cap_h-0.000000001)),1,0),0)</f>
        <v>1</v>
      </c>
      <c r="R153" s="14" t="n">
        <f aca="false">IF(G153=1,IF(OR(Alpha_keep*$A153+R$3&gt;=Floor_c-0.000000001,AND($B153=0,R$3&gt;=Cap_h-0.000000001)),1,0),0)</f>
        <v>1</v>
      </c>
      <c r="S153" s="14" t="n">
        <f aca="false">IF(H153=1,IF(OR(Alpha_keep*$A153+S$3&gt;=Floor_c-0.000000001,AND($B153=0,S$3&gt;=Cap_h-0.000000001)),1,0),0)</f>
        <v>1</v>
      </c>
      <c r="T153" s="14" t="n">
        <f aca="false">IF(I153=1,IF(OR(Alpha_keep*$A153+T$3&gt;=Floor_c-0.000000001,AND($B153=0,T$3&gt;=Cap_h-0.000000001)),1,0),0)</f>
        <v>1</v>
      </c>
      <c r="U153" s="14" t="n">
        <f aca="false">IF(J153=1,IF(OR(Alpha_keep*$A153+U$3&gt;=Floor_c-0.000000001,AND($B153=0,U$3&gt;=Cap_h-0.000000001)),1,0),0)</f>
        <v>1</v>
      </c>
      <c r="V153" s="14" t="n">
        <f aca="false">IF(K153=1,IF(OR(Alpha_keep*$A153+V$3&gt;=Floor_c-0.000000001,AND($B153=0,V$3&gt;=Cap_h-0.000000001)),1,0),0)</f>
        <v>1</v>
      </c>
      <c r="W153" s="14" t="n">
        <f aca="false">IF(L153=1,IF(OR(Alpha_keep*$A153+W$3&gt;=Floor_c-0.000000001,AND($B153=0,W$3&gt;=Cap_h-0.000000001)),1,0),0)</f>
        <v>1</v>
      </c>
      <c r="X153" s="14" t="n">
        <f aca="false">IF(M153=1,IF(OR(Alpha_keep*$A153+X$3&gt;=Floor_c-0.000000001,AND($B153=0,X$3&gt;=Cap_h-0.000000001)),1,0),0)</f>
        <v>1</v>
      </c>
      <c r="Y153" s="14" t="n">
        <f aca="false">SUM(C153:M153)</f>
        <v>11</v>
      </c>
      <c r="Z153" s="14" t="n">
        <f aca="false">SUM(N153:X153)</f>
        <v>11</v>
      </c>
      <c r="AA153" s="12" t="n">
        <f aca="false">INDEX($C$3:$M$3,MATCH(1,C153:M153,0))</f>
        <v>0</v>
      </c>
      <c r="AB153" s="12" t="n">
        <f aca="false">INDEX($N$3:$X$3,MATCH(1,N153:X153,0))+(Z153-1)*Step_h</f>
        <v>2.5</v>
      </c>
    </row>
    <row r="154" customFormat="false" ht="15" hidden="false" customHeight="false" outlineLevel="0" collapsed="false">
      <c r="A154" s="12" t="n">
        <f aca="false">A153+Step_c</f>
        <v>67.25</v>
      </c>
      <c r="B154" s="14" t="n">
        <f aca="false">IF(SUMPRODUCT((Alpha_keep*$A154+$C$3:$M$3&gt;=Floor_c-0.000000001)*(C154:M154))&gt;0,1,0)</f>
        <v>1</v>
      </c>
      <c r="C154" s="14" t="n">
        <f aca="false">IF(AND(Alpha_keep*$A154+C$3-MAX(Loss_w)&gt;=Lo_c-0.000000001,Alpha_keep*$A154+C$3-MIN(Loss_w)&lt;=Hi_c+0.000000001),1,0)</f>
        <v>1</v>
      </c>
      <c r="D154" s="14" t="n">
        <f aca="false">IF(AND(Alpha_keep*$A154+D$3-MAX(Loss_w)&gt;=Lo_c-0.000000001,Alpha_keep*$A154+D$3-MIN(Loss_w)&lt;=Hi_c+0.000000001),1,0)</f>
        <v>1</v>
      </c>
      <c r="E154" s="14" t="n">
        <f aca="false">IF(AND(Alpha_keep*$A154+E$3-MAX(Loss_w)&gt;=Lo_c-0.000000001,Alpha_keep*$A154+E$3-MIN(Loss_w)&lt;=Hi_c+0.000000001),1,0)</f>
        <v>1</v>
      </c>
      <c r="F154" s="14" t="n">
        <f aca="false">IF(AND(Alpha_keep*$A154+F$3-MAX(Loss_w)&gt;=Lo_c-0.000000001,Alpha_keep*$A154+F$3-MIN(Loss_w)&lt;=Hi_c+0.000000001),1,0)</f>
        <v>1</v>
      </c>
      <c r="G154" s="14" t="n">
        <f aca="false">IF(AND(Alpha_keep*$A154+G$3-MAX(Loss_w)&gt;=Lo_c-0.000000001,Alpha_keep*$A154+G$3-MIN(Loss_w)&lt;=Hi_c+0.000000001),1,0)</f>
        <v>1</v>
      </c>
      <c r="H154" s="14" t="n">
        <f aca="false">IF(AND(Alpha_keep*$A154+H$3-MAX(Loss_w)&gt;=Lo_c-0.000000001,Alpha_keep*$A154+H$3-MIN(Loss_w)&lt;=Hi_c+0.000000001),1,0)</f>
        <v>1</v>
      </c>
      <c r="I154" s="14" t="n">
        <f aca="false">IF(AND(Alpha_keep*$A154+I$3-MAX(Loss_w)&gt;=Lo_c-0.000000001,Alpha_keep*$A154+I$3-MIN(Loss_w)&lt;=Hi_c+0.000000001),1,0)</f>
        <v>1</v>
      </c>
      <c r="J154" s="14" t="n">
        <f aca="false">IF(AND(Alpha_keep*$A154+J$3-MAX(Loss_w)&gt;=Lo_c-0.000000001,Alpha_keep*$A154+J$3-MIN(Loss_w)&lt;=Hi_c+0.000000001),1,0)</f>
        <v>1</v>
      </c>
      <c r="K154" s="14" t="n">
        <f aca="false">IF(AND(Alpha_keep*$A154+K$3-MAX(Loss_w)&gt;=Lo_c-0.000000001,Alpha_keep*$A154+K$3-MIN(Loss_w)&lt;=Hi_c+0.000000001),1,0)</f>
        <v>1</v>
      </c>
      <c r="L154" s="14" t="n">
        <f aca="false">IF(AND(Alpha_keep*$A154+L$3-MAX(Loss_w)&gt;=Lo_c-0.000000001,Alpha_keep*$A154+L$3-MIN(Loss_w)&lt;=Hi_c+0.000000001),1,0)</f>
        <v>1</v>
      </c>
      <c r="M154" s="14" t="n">
        <f aca="false">IF(AND(Alpha_keep*$A154+M$3-MAX(Loss_w)&gt;=Lo_c-0.000000001,Alpha_keep*$A154+M$3-MIN(Loss_w)&lt;=Hi_c+0.000000001),1,0)</f>
        <v>1</v>
      </c>
      <c r="N154" s="14" t="n">
        <f aca="false">IF(C154=1,IF(OR(Alpha_keep*$A154+N$3&gt;=Floor_c-0.000000001,AND($B154=0,N$3&gt;=Cap_h-0.000000001)),1,0),0)</f>
        <v>1</v>
      </c>
      <c r="O154" s="14" t="n">
        <f aca="false">IF(D154=1,IF(OR(Alpha_keep*$A154+O$3&gt;=Floor_c-0.000000001,AND($B154=0,O$3&gt;=Cap_h-0.000000001)),1,0),0)</f>
        <v>1</v>
      </c>
      <c r="P154" s="14" t="n">
        <f aca="false">IF(E154=1,IF(OR(Alpha_keep*$A154+P$3&gt;=Floor_c-0.000000001,AND($B154=0,P$3&gt;=Cap_h-0.000000001)),1,0),0)</f>
        <v>1</v>
      </c>
      <c r="Q154" s="14" t="n">
        <f aca="false">IF(F154=1,IF(OR(Alpha_keep*$A154+Q$3&gt;=Floor_c-0.000000001,AND($B154=0,Q$3&gt;=Cap_h-0.000000001)),1,0),0)</f>
        <v>1</v>
      </c>
      <c r="R154" s="14" t="n">
        <f aca="false">IF(G154=1,IF(OR(Alpha_keep*$A154+R$3&gt;=Floor_c-0.000000001,AND($B154=0,R$3&gt;=Cap_h-0.000000001)),1,0),0)</f>
        <v>1</v>
      </c>
      <c r="S154" s="14" t="n">
        <f aca="false">IF(H154=1,IF(OR(Alpha_keep*$A154+S$3&gt;=Floor_c-0.000000001,AND($B154=0,S$3&gt;=Cap_h-0.000000001)),1,0),0)</f>
        <v>1</v>
      </c>
      <c r="T154" s="14" t="n">
        <f aca="false">IF(I154=1,IF(OR(Alpha_keep*$A154+T$3&gt;=Floor_c-0.000000001,AND($B154=0,T$3&gt;=Cap_h-0.000000001)),1,0),0)</f>
        <v>1</v>
      </c>
      <c r="U154" s="14" t="n">
        <f aca="false">IF(J154=1,IF(OR(Alpha_keep*$A154+U$3&gt;=Floor_c-0.000000001,AND($B154=0,U$3&gt;=Cap_h-0.000000001)),1,0),0)</f>
        <v>1</v>
      </c>
      <c r="V154" s="14" t="n">
        <f aca="false">IF(K154=1,IF(OR(Alpha_keep*$A154+V$3&gt;=Floor_c-0.000000001,AND($B154=0,V$3&gt;=Cap_h-0.000000001)),1,0),0)</f>
        <v>1</v>
      </c>
      <c r="W154" s="14" t="n">
        <f aca="false">IF(L154=1,IF(OR(Alpha_keep*$A154+W$3&gt;=Floor_c-0.000000001,AND($B154=0,W$3&gt;=Cap_h-0.000000001)),1,0),0)</f>
        <v>1</v>
      </c>
      <c r="X154" s="14" t="n">
        <f aca="false">IF(M154=1,IF(OR(Alpha_keep*$A154+X$3&gt;=Floor_c-0.000000001,AND($B154=0,X$3&gt;=Cap_h-0.000000001)),1,0),0)</f>
        <v>1</v>
      </c>
      <c r="Y154" s="14" t="n">
        <f aca="false">SUM(C154:M154)</f>
        <v>11</v>
      </c>
      <c r="Z154" s="14" t="n">
        <f aca="false">SUM(N154:X154)</f>
        <v>11</v>
      </c>
      <c r="AA154" s="12" t="n">
        <f aca="false">INDEX($C$3:$M$3,MATCH(1,C154:M154,0))</f>
        <v>0</v>
      </c>
      <c r="AB154" s="12" t="n">
        <f aca="false">INDEX($N$3:$X$3,MATCH(1,N154:X154,0))+(Z154-1)*Step_h</f>
        <v>2.5</v>
      </c>
    </row>
    <row r="155" customFormat="false" ht="15" hidden="false" customHeight="false" outlineLevel="0" collapsed="false">
      <c r="A155" s="12" t="n">
        <f aca="false">A154+Step_c</f>
        <v>67.5</v>
      </c>
      <c r="B155" s="14" t="n">
        <f aca="false">IF(SUMPRODUCT((Alpha_keep*$A155+$C$3:$M$3&gt;=Floor_c-0.000000001)*(C155:M155))&gt;0,1,0)</f>
        <v>1</v>
      </c>
      <c r="C155" s="14" t="n">
        <f aca="false">IF(AND(Alpha_keep*$A155+C$3-MAX(Loss_w)&gt;=Lo_c-0.000000001,Alpha_keep*$A155+C$3-MIN(Loss_w)&lt;=Hi_c+0.000000001),1,0)</f>
        <v>1</v>
      </c>
      <c r="D155" s="14" t="n">
        <f aca="false">IF(AND(Alpha_keep*$A155+D$3-MAX(Loss_w)&gt;=Lo_c-0.000000001,Alpha_keep*$A155+D$3-MIN(Loss_w)&lt;=Hi_c+0.000000001),1,0)</f>
        <v>1</v>
      </c>
      <c r="E155" s="14" t="n">
        <f aca="false">IF(AND(Alpha_keep*$A155+E$3-MAX(Loss_w)&gt;=Lo_c-0.000000001,Alpha_keep*$A155+E$3-MIN(Loss_w)&lt;=Hi_c+0.000000001),1,0)</f>
        <v>1</v>
      </c>
      <c r="F155" s="14" t="n">
        <f aca="false">IF(AND(Alpha_keep*$A155+F$3-MAX(Loss_w)&gt;=Lo_c-0.000000001,Alpha_keep*$A155+F$3-MIN(Loss_w)&lt;=Hi_c+0.000000001),1,0)</f>
        <v>1</v>
      </c>
      <c r="G155" s="14" t="n">
        <f aca="false">IF(AND(Alpha_keep*$A155+G$3-MAX(Loss_w)&gt;=Lo_c-0.000000001,Alpha_keep*$A155+G$3-MIN(Loss_w)&lt;=Hi_c+0.000000001),1,0)</f>
        <v>1</v>
      </c>
      <c r="H155" s="14" t="n">
        <f aca="false">IF(AND(Alpha_keep*$A155+H$3-MAX(Loss_w)&gt;=Lo_c-0.000000001,Alpha_keep*$A155+H$3-MIN(Loss_w)&lt;=Hi_c+0.000000001),1,0)</f>
        <v>1</v>
      </c>
      <c r="I155" s="14" t="n">
        <f aca="false">IF(AND(Alpha_keep*$A155+I$3-MAX(Loss_w)&gt;=Lo_c-0.000000001,Alpha_keep*$A155+I$3-MIN(Loss_w)&lt;=Hi_c+0.000000001),1,0)</f>
        <v>1</v>
      </c>
      <c r="J155" s="14" t="n">
        <f aca="false">IF(AND(Alpha_keep*$A155+J$3-MAX(Loss_w)&gt;=Lo_c-0.000000001,Alpha_keep*$A155+J$3-MIN(Loss_w)&lt;=Hi_c+0.000000001),1,0)</f>
        <v>1</v>
      </c>
      <c r="K155" s="14" t="n">
        <f aca="false">IF(AND(Alpha_keep*$A155+K$3-MAX(Loss_w)&gt;=Lo_c-0.000000001,Alpha_keep*$A155+K$3-MIN(Loss_w)&lt;=Hi_c+0.000000001),1,0)</f>
        <v>1</v>
      </c>
      <c r="L155" s="14" t="n">
        <f aca="false">IF(AND(Alpha_keep*$A155+L$3-MAX(Loss_w)&gt;=Lo_c-0.000000001,Alpha_keep*$A155+L$3-MIN(Loss_w)&lt;=Hi_c+0.000000001),1,0)</f>
        <v>1</v>
      </c>
      <c r="M155" s="14" t="n">
        <f aca="false">IF(AND(Alpha_keep*$A155+M$3-MAX(Loss_w)&gt;=Lo_c-0.000000001,Alpha_keep*$A155+M$3-MIN(Loss_w)&lt;=Hi_c+0.000000001),1,0)</f>
        <v>1</v>
      </c>
      <c r="N155" s="14" t="n">
        <f aca="false">IF(C155=1,IF(OR(Alpha_keep*$A155+N$3&gt;=Floor_c-0.000000001,AND($B155=0,N$3&gt;=Cap_h-0.000000001)),1,0),0)</f>
        <v>1</v>
      </c>
      <c r="O155" s="14" t="n">
        <f aca="false">IF(D155=1,IF(OR(Alpha_keep*$A155+O$3&gt;=Floor_c-0.000000001,AND($B155=0,O$3&gt;=Cap_h-0.000000001)),1,0),0)</f>
        <v>1</v>
      </c>
      <c r="P155" s="14" t="n">
        <f aca="false">IF(E155=1,IF(OR(Alpha_keep*$A155+P$3&gt;=Floor_c-0.000000001,AND($B155=0,P$3&gt;=Cap_h-0.000000001)),1,0),0)</f>
        <v>1</v>
      </c>
      <c r="Q155" s="14" t="n">
        <f aca="false">IF(F155=1,IF(OR(Alpha_keep*$A155+Q$3&gt;=Floor_c-0.000000001,AND($B155=0,Q$3&gt;=Cap_h-0.000000001)),1,0),0)</f>
        <v>1</v>
      </c>
      <c r="R155" s="14" t="n">
        <f aca="false">IF(G155=1,IF(OR(Alpha_keep*$A155+R$3&gt;=Floor_c-0.000000001,AND($B155=0,R$3&gt;=Cap_h-0.000000001)),1,0),0)</f>
        <v>1</v>
      </c>
      <c r="S155" s="14" t="n">
        <f aca="false">IF(H155=1,IF(OR(Alpha_keep*$A155+S$3&gt;=Floor_c-0.000000001,AND($B155=0,S$3&gt;=Cap_h-0.000000001)),1,0),0)</f>
        <v>1</v>
      </c>
      <c r="T155" s="14" t="n">
        <f aca="false">IF(I155=1,IF(OR(Alpha_keep*$A155+T$3&gt;=Floor_c-0.000000001,AND($B155=0,T$3&gt;=Cap_h-0.000000001)),1,0),0)</f>
        <v>1</v>
      </c>
      <c r="U155" s="14" t="n">
        <f aca="false">IF(J155=1,IF(OR(Alpha_keep*$A155+U$3&gt;=Floor_c-0.000000001,AND($B155=0,U$3&gt;=Cap_h-0.000000001)),1,0),0)</f>
        <v>1</v>
      </c>
      <c r="V155" s="14" t="n">
        <f aca="false">IF(K155=1,IF(OR(Alpha_keep*$A155+V$3&gt;=Floor_c-0.000000001,AND($B155=0,V$3&gt;=Cap_h-0.000000001)),1,0),0)</f>
        <v>1</v>
      </c>
      <c r="W155" s="14" t="n">
        <f aca="false">IF(L155=1,IF(OR(Alpha_keep*$A155+W$3&gt;=Floor_c-0.000000001,AND($B155=0,W$3&gt;=Cap_h-0.000000001)),1,0),0)</f>
        <v>1</v>
      </c>
      <c r="X155" s="14" t="n">
        <f aca="false">IF(M155=1,IF(OR(Alpha_keep*$A155+X$3&gt;=Floor_c-0.000000001,AND($B155=0,X$3&gt;=Cap_h-0.000000001)),1,0),0)</f>
        <v>1</v>
      </c>
      <c r="Y155" s="14" t="n">
        <f aca="false">SUM(C155:M155)</f>
        <v>11</v>
      </c>
      <c r="Z155" s="14" t="n">
        <f aca="false">SUM(N155:X155)</f>
        <v>11</v>
      </c>
      <c r="AA155" s="12" t="n">
        <f aca="false">INDEX($C$3:$M$3,MATCH(1,C155:M155,0))</f>
        <v>0</v>
      </c>
      <c r="AB155" s="12" t="n">
        <f aca="false">INDEX($N$3:$X$3,MATCH(1,N155:X155,0))+(Z155-1)*Step_h</f>
        <v>2.5</v>
      </c>
    </row>
    <row r="156" customFormat="false" ht="15" hidden="false" customHeight="false" outlineLevel="0" collapsed="false">
      <c r="A156" s="12" t="n">
        <f aca="false">A155+Step_c</f>
        <v>67.75</v>
      </c>
      <c r="B156" s="14" t="n">
        <f aca="false">IF(SUMPRODUCT((Alpha_keep*$A156+$C$3:$M$3&gt;=Floor_c-0.000000001)*(C156:M156))&gt;0,1,0)</f>
        <v>1</v>
      </c>
      <c r="C156" s="14" t="n">
        <f aca="false">IF(AND(Alpha_keep*$A156+C$3-MAX(Loss_w)&gt;=Lo_c-0.000000001,Alpha_keep*$A156+C$3-MIN(Loss_w)&lt;=Hi_c+0.000000001),1,0)</f>
        <v>1</v>
      </c>
      <c r="D156" s="14" t="n">
        <f aca="false">IF(AND(Alpha_keep*$A156+D$3-MAX(Loss_w)&gt;=Lo_c-0.000000001,Alpha_keep*$A156+D$3-MIN(Loss_w)&lt;=Hi_c+0.000000001),1,0)</f>
        <v>1</v>
      </c>
      <c r="E156" s="14" t="n">
        <f aca="false">IF(AND(Alpha_keep*$A156+E$3-MAX(Loss_w)&gt;=Lo_c-0.000000001,Alpha_keep*$A156+E$3-MIN(Loss_w)&lt;=Hi_c+0.000000001),1,0)</f>
        <v>1</v>
      </c>
      <c r="F156" s="14" t="n">
        <f aca="false">IF(AND(Alpha_keep*$A156+F$3-MAX(Loss_w)&gt;=Lo_c-0.000000001,Alpha_keep*$A156+F$3-MIN(Loss_w)&lt;=Hi_c+0.000000001),1,0)</f>
        <v>1</v>
      </c>
      <c r="G156" s="14" t="n">
        <f aca="false">IF(AND(Alpha_keep*$A156+G$3-MAX(Loss_w)&gt;=Lo_c-0.000000001,Alpha_keep*$A156+G$3-MIN(Loss_w)&lt;=Hi_c+0.000000001),1,0)</f>
        <v>1</v>
      </c>
      <c r="H156" s="14" t="n">
        <f aca="false">IF(AND(Alpha_keep*$A156+H$3-MAX(Loss_w)&gt;=Lo_c-0.000000001,Alpha_keep*$A156+H$3-MIN(Loss_w)&lt;=Hi_c+0.000000001),1,0)</f>
        <v>1</v>
      </c>
      <c r="I156" s="14" t="n">
        <f aca="false">IF(AND(Alpha_keep*$A156+I$3-MAX(Loss_w)&gt;=Lo_c-0.000000001,Alpha_keep*$A156+I$3-MIN(Loss_w)&lt;=Hi_c+0.000000001),1,0)</f>
        <v>1</v>
      </c>
      <c r="J156" s="14" t="n">
        <f aca="false">IF(AND(Alpha_keep*$A156+J$3-MAX(Loss_w)&gt;=Lo_c-0.000000001,Alpha_keep*$A156+J$3-MIN(Loss_w)&lt;=Hi_c+0.000000001),1,0)</f>
        <v>1</v>
      </c>
      <c r="K156" s="14" t="n">
        <f aca="false">IF(AND(Alpha_keep*$A156+K$3-MAX(Loss_w)&gt;=Lo_c-0.000000001,Alpha_keep*$A156+K$3-MIN(Loss_w)&lt;=Hi_c+0.000000001),1,0)</f>
        <v>1</v>
      </c>
      <c r="L156" s="14" t="n">
        <f aca="false">IF(AND(Alpha_keep*$A156+L$3-MAX(Loss_w)&gt;=Lo_c-0.000000001,Alpha_keep*$A156+L$3-MIN(Loss_w)&lt;=Hi_c+0.000000001),1,0)</f>
        <v>1</v>
      </c>
      <c r="M156" s="14" t="n">
        <f aca="false">IF(AND(Alpha_keep*$A156+M$3-MAX(Loss_w)&gt;=Lo_c-0.000000001,Alpha_keep*$A156+M$3-MIN(Loss_w)&lt;=Hi_c+0.000000001),1,0)</f>
        <v>1</v>
      </c>
      <c r="N156" s="14" t="n">
        <f aca="false">IF(C156=1,IF(OR(Alpha_keep*$A156+N$3&gt;=Floor_c-0.000000001,AND($B156=0,N$3&gt;=Cap_h-0.000000001)),1,0),0)</f>
        <v>1</v>
      </c>
      <c r="O156" s="14" t="n">
        <f aca="false">IF(D156=1,IF(OR(Alpha_keep*$A156+O$3&gt;=Floor_c-0.000000001,AND($B156=0,O$3&gt;=Cap_h-0.000000001)),1,0),0)</f>
        <v>1</v>
      </c>
      <c r="P156" s="14" t="n">
        <f aca="false">IF(E156=1,IF(OR(Alpha_keep*$A156+P$3&gt;=Floor_c-0.000000001,AND($B156=0,P$3&gt;=Cap_h-0.000000001)),1,0),0)</f>
        <v>1</v>
      </c>
      <c r="Q156" s="14" t="n">
        <f aca="false">IF(F156=1,IF(OR(Alpha_keep*$A156+Q$3&gt;=Floor_c-0.000000001,AND($B156=0,Q$3&gt;=Cap_h-0.000000001)),1,0),0)</f>
        <v>1</v>
      </c>
      <c r="R156" s="14" t="n">
        <f aca="false">IF(G156=1,IF(OR(Alpha_keep*$A156+R$3&gt;=Floor_c-0.000000001,AND($B156=0,R$3&gt;=Cap_h-0.000000001)),1,0),0)</f>
        <v>1</v>
      </c>
      <c r="S156" s="14" t="n">
        <f aca="false">IF(H156=1,IF(OR(Alpha_keep*$A156+S$3&gt;=Floor_c-0.000000001,AND($B156=0,S$3&gt;=Cap_h-0.000000001)),1,0),0)</f>
        <v>1</v>
      </c>
      <c r="T156" s="14" t="n">
        <f aca="false">IF(I156=1,IF(OR(Alpha_keep*$A156+T$3&gt;=Floor_c-0.000000001,AND($B156=0,T$3&gt;=Cap_h-0.000000001)),1,0),0)</f>
        <v>1</v>
      </c>
      <c r="U156" s="14" t="n">
        <f aca="false">IF(J156=1,IF(OR(Alpha_keep*$A156+U$3&gt;=Floor_c-0.000000001,AND($B156=0,U$3&gt;=Cap_h-0.000000001)),1,0),0)</f>
        <v>1</v>
      </c>
      <c r="V156" s="14" t="n">
        <f aca="false">IF(K156=1,IF(OR(Alpha_keep*$A156+V$3&gt;=Floor_c-0.000000001,AND($B156=0,V$3&gt;=Cap_h-0.000000001)),1,0),0)</f>
        <v>1</v>
      </c>
      <c r="W156" s="14" t="n">
        <f aca="false">IF(L156=1,IF(OR(Alpha_keep*$A156+W$3&gt;=Floor_c-0.000000001,AND($B156=0,W$3&gt;=Cap_h-0.000000001)),1,0),0)</f>
        <v>1</v>
      </c>
      <c r="X156" s="14" t="n">
        <f aca="false">IF(M156=1,IF(OR(Alpha_keep*$A156+X$3&gt;=Floor_c-0.000000001,AND($B156=0,X$3&gt;=Cap_h-0.000000001)),1,0),0)</f>
        <v>1</v>
      </c>
      <c r="Y156" s="14" t="n">
        <f aca="false">SUM(C156:M156)</f>
        <v>11</v>
      </c>
      <c r="Z156" s="14" t="n">
        <f aca="false">SUM(N156:X156)</f>
        <v>11</v>
      </c>
      <c r="AA156" s="12" t="n">
        <f aca="false">INDEX($C$3:$M$3,MATCH(1,C156:M156,0))</f>
        <v>0</v>
      </c>
      <c r="AB156" s="12" t="n">
        <f aca="false">INDEX($N$3:$X$3,MATCH(1,N156:X156,0))+(Z156-1)*Step_h</f>
        <v>2.5</v>
      </c>
    </row>
    <row r="157" customFormat="false" ht="15" hidden="false" customHeight="false" outlineLevel="0" collapsed="false">
      <c r="A157" s="12" t="n">
        <f aca="false">A156+Step_c</f>
        <v>68</v>
      </c>
      <c r="B157" s="14" t="n">
        <f aca="false">IF(SUMPRODUCT((Alpha_keep*$A157+$C$3:$M$3&gt;=Floor_c-0.000000001)*(C157:M157))&gt;0,1,0)</f>
        <v>1</v>
      </c>
      <c r="C157" s="14" t="n">
        <f aca="false">IF(AND(Alpha_keep*$A157+C$3-MAX(Loss_w)&gt;=Lo_c-0.000000001,Alpha_keep*$A157+C$3-MIN(Loss_w)&lt;=Hi_c+0.000000001),1,0)</f>
        <v>1</v>
      </c>
      <c r="D157" s="14" t="n">
        <f aca="false">IF(AND(Alpha_keep*$A157+D$3-MAX(Loss_w)&gt;=Lo_c-0.000000001,Alpha_keep*$A157+D$3-MIN(Loss_w)&lt;=Hi_c+0.000000001),1,0)</f>
        <v>1</v>
      </c>
      <c r="E157" s="14" t="n">
        <f aca="false">IF(AND(Alpha_keep*$A157+E$3-MAX(Loss_w)&gt;=Lo_c-0.000000001,Alpha_keep*$A157+E$3-MIN(Loss_w)&lt;=Hi_c+0.000000001),1,0)</f>
        <v>1</v>
      </c>
      <c r="F157" s="14" t="n">
        <f aca="false">IF(AND(Alpha_keep*$A157+F$3-MAX(Loss_w)&gt;=Lo_c-0.000000001,Alpha_keep*$A157+F$3-MIN(Loss_w)&lt;=Hi_c+0.000000001),1,0)</f>
        <v>1</v>
      </c>
      <c r="G157" s="14" t="n">
        <f aca="false">IF(AND(Alpha_keep*$A157+G$3-MAX(Loss_w)&gt;=Lo_c-0.000000001,Alpha_keep*$A157+G$3-MIN(Loss_w)&lt;=Hi_c+0.000000001),1,0)</f>
        <v>1</v>
      </c>
      <c r="H157" s="14" t="n">
        <f aca="false">IF(AND(Alpha_keep*$A157+H$3-MAX(Loss_w)&gt;=Lo_c-0.000000001,Alpha_keep*$A157+H$3-MIN(Loss_w)&lt;=Hi_c+0.000000001),1,0)</f>
        <v>1</v>
      </c>
      <c r="I157" s="14" t="n">
        <f aca="false">IF(AND(Alpha_keep*$A157+I$3-MAX(Loss_w)&gt;=Lo_c-0.000000001,Alpha_keep*$A157+I$3-MIN(Loss_w)&lt;=Hi_c+0.000000001),1,0)</f>
        <v>1</v>
      </c>
      <c r="J157" s="14" t="n">
        <f aca="false">IF(AND(Alpha_keep*$A157+J$3-MAX(Loss_w)&gt;=Lo_c-0.000000001,Alpha_keep*$A157+J$3-MIN(Loss_w)&lt;=Hi_c+0.000000001),1,0)</f>
        <v>1</v>
      </c>
      <c r="K157" s="14" t="n">
        <f aca="false">IF(AND(Alpha_keep*$A157+K$3-MAX(Loss_w)&gt;=Lo_c-0.000000001,Alpha_keep*$A157+K$3-MIN(Loss_w)&lt;=Hi_c+0.000000001),1,0)</f>
        <v>1</v>
      </c>
      <c r="L157" s="14" t="n">
        <f aca="false">IF(AND(Alpha_keep*$A157+L$3-MAX(Loss_w)&gt;=Lo_c-0.000000001,Alpha_keep*$A157+L$3-MIN(Loss_w)&lt;=Hi_c+0.000000001),1,0)</f>
        <v>1</v>
      </c>
      <c r="M157" s="14" t="n">
        <f aca="false">IF(AND(Alpha_keep*$A157+M$3-MAX(Loss_w)&gt;=Lo_c-0.000000001,Alpha_keep*$A157+M$3-MIN(Loss_w)&lt;=Hi_c+0.000000001),1,0)</f>
        <v>1</v>
      </c>
      <c r="N157" s="14" t="n">
        <f aca="false">IF(C157=1,IF(OR(Alpha_keep*$A157+N$3&gt;=Floor_c-0.000000001,AND($B157=0,N$3&gt;=Cap_h-0.000000001)),1,0),0)</f>
        <v>1</v>
      </c>
      <c r="O157" s="14" t="n">
        <f aca="false">IF(D157=1,IF(OR(Alpha_keep*$A157+O$3&gt;=Floor_c-0.000000001,AND($B157=0,O$3&gt;=Cap_h-0.000000001)),1,0),0)</f>
        <v>1</v>
      </c>
      <c r="P157" s="14" t="n">
        <f aca="false">IF(E157=1,IF(OR(Alpha_keep*$A157+P$3&gt;=Floor_c-0.000000001,AND($B157=0,P$3&gt;=Cap_h-0.000000001)),1,0),0)</f>
        <v>1</v>
      </c>
      <c r="Q157" s="14" t="n">
        <f aca="false">IF(F157=1,IF(OR(Alpha_keep*$A157+Q$3&gt;=Floor_c-0.000000001,AND($B157=0,Q$3&gt;=Cap_h-0.000000001)),1,0),0)</f>
        <v>1</v>
      </c>
      <c r="R157" s="14" t="n">
        <f aca="false">IF(G157=1,IF(OR(Alpha_keep*$A157+R$3&gt;=Floor_c-0.000000001,AND($B157=0,R$3&gt;=Cap_h-0.000000001)),1,0),0)</f>
        <v>1</v>
      </c>
      <c r="S157" s="14" t="n">
        <f aca="false">IF(H157=1,IF(OR(Alpha_keep*$A157+S$3&gt;=Floor_c-0.000000001,AND($B157=0,S$3&gt;=Cap_h-0.000000001)),1,0),0)</f>
        <v>1</v>
      </c>
      <c r="T157" s="14" t="n">
        <f aca="false">IF(I157=1,IF(OR(Alpha_keep*$A157+T$3&gt;=Floor_c-0.000000001,AND($B157=0,T$3&gt;=Cap_h-0.000000001)),1,0),0)</f>
        <v>1</v>
      </c>
      <c r="U157" s="14" t="n">
        <f aca="false">IF(J157=1,IF(OR(Alpha_keep*$A157+U$3&gt;=Floor_c-0.000000001,AND($B157=0,U$3&gt;=Cap_h-0.000000001)),1,0),0)</f>
        <v>1</v>
      </c>
      <c r="V157" s="14" t="n">
        <f aca="false">IF(K157=1,IF(OR(Alpha_keep*$A157+V$3&gt;=Floor_c-0.000000001,AND($B157=0,V$3&gt;=Cap_h-0.000000001)),1,0),0)</f>
        <v>1</v>
      </c>
      <c r="W157" s="14" t="n">
        <f aca="false">IF(L157=1,IF(OR(Alpha_keep*$A157+W$3&gt;=Floor_c-0.000000001,AND($B157=0,W$3&gt;=Cap_h-0.000000001)),1,0),0)</f>
        <v>1</v>
      </c>
      <c r="X157" s="14" t="n">
        <f aca="false">IF(M157=1,IF(OR(Alpha_keep*$A157+X$3&gt;=Floor_c-0.000000001,AND($B157=0,X$3&gt;=Cap_h-0.000000001)),1,0),0)</f>
        <v>1</v>
      </c>
      <c r="Y157" s="14" t="n">
        <f aca="false">SUM(C157:M157)</f>
        <v>11</v>
      </c>
      <c r="Z157" s="14" t="n">
        <f aca="false">SUM(N157:X157)</f>
        <v>11</v>
      </c>
      <c r="AA157" s="12" t="n">
        <f aca="false">INDEX($C$3:$M$3,MATCH(1,C157:M157,0))</f>
        <v>0</v>
      </c>
      <c r="AB157" s="12" t="n">
        <f aca="false">INDEX($N$3:$X$3,MATCH(1,N157:X157,0))+(Z157-1)*Step_h</f>
        <v>2.5</v>
      </c>
    </row>
    <row r="158" customFormat="false" ht="15" hidden="false" customHeight="false" outlineLevel="0" collapsed="false">
      <c r="A158" s="12" t="n">
        <f aca="false">A157+Step_c</f>
        <v>68.25</v>
      </c>
      <c r="B158" s="14" t="n">
        <f aca="false">IF(SUMPRODUCT((Alpha_keep*$A158+$C$3:$M$3&gt;=Floor_c-0.000000001)*(C158:M158))&gt;0,1,0)</f>
        <v>1</v>
      </c>
      <c r="C158" s="14" t="n">
        <f aca="false">IF(AND(Alpha_keep*$A158+C$3-MAX(Loss_w)&gt;=Lo_c-0.000000001,Alpha_keep*$A158+C$3-MIN(Loss_w)&lt;=Hi_c+0.000000001),1,0)</f>
        <v>1</v>
      </c>
      <c r="D158" s="14" t="n">
        <f aca="false">IF(AND(Alpha_keep*$A158+D$3-MAX(Loss_w)&gt;=Lo_c-0.000000001,Alpha_keep*$A158+D$3-MIN(Loss_w)&lt;=Hi_c+0.000000001),1,0)</f>
        <v>1</v>
      </c>
      <c r="E158" s="14" t="n">
        <f aca="false">IF(AND(Alpha_keep*$A158+E$3-MAX(Loss_w)&gt;=Lo_c-0.000000001,Alpha_keep*$A158+E$3-MIN(Loss_w)&lt;=Hi_c+0.000000001),1,0)</f>
        <v>1</v>
      </c>
      <c r="F158" s="14" t="n">
        <f aca="false">IF(AND(Alpha_keep*$A158+F$3-MAX(Loss_w)&gt;=Lo_c-0.000000001,Alpha_keep*$A158+F$3-MIN(Loss_w)&lt;=Hi_c+0.000000001),1,0)</f>
        <v>1</v>
      </c>
      <c r="G158" s="14" t="n">
        <f aca="false">IF(AND(Alpha_keep*$A158+G$3-MAX(Loss_w)&gt;=Lo_c-0.000000001,Alpha_keep*$A158+G$3-MIN(Loss_w)&lt;=Hi_c+0.000000001),1,0)</f>
        <v>1</v>
      </c>
      <c r="H158" s="14" t="n">
        <f aca="false">IF(AND(Alpha_keep*$A158+H$3-MAX(Loss_w)&gt;=Lo_c-0.000000001,Alpha_keep*$A158+H$3-MIN(Loss_w)&lt;=Hi_c+0.000000001),1,0)</f>
        <v>1</v>
      </c>
      <c r="I158" s="14" t="n">
        <f aca="false">IF(AND(Alpha_keep*$A158+I$3-MAX(Loss_w)&gt;=Lo_c-0.000000001,Alpha_keep*$A158+I$3-MIN(Loss_w)&lt;=Hi_c+0.000000001),1,0)</f>
        <v>1</v>
      </c>
      <c r="J158" s="14" t="n">
        <f aca="false">IF(AND(Alpha_keep*$A158+J$3-MAX(Loss_w)&gt;=Lo_c-0.000000001,Alpha_keep*$A158+J$3-MIN(Loss_w)&lt;=Hi_c+0.000000001),1,0)</f>
        <v>1</v>
      </c>
      <c r="K158" s="14" t="n">
        <f aca="false">IF(AND(Alpha_keep*$A158+K$3-MAX(Loss_w)&gt;=Lo_c-0.000000001,Alpha_keep*$A158+K$3-MIN(Loss_w)&lt;=Hi_c+0.000000001),1,0)</f>
        <v>1</v>
      </c>
      <c r="L158" s="14" t="n">
        <f aca="false">IF(AND(Alpha_keep*$A158+L$3-MAX(Loss_w)&gt;=Lo_c-0.000000001,Alpha_keep*$A158+L$3-MIN(Loss_w)&lt;=Hi_c+0.000000001),1,0)</f>
        <v>1</v>
      </c>
      <c r="M158" s="14" t="n">
        <f aca="false">IF(AND(Alpha_keep*$A158+M$3-MAX(Loss_w)&gt;=Lo_c-0.000000001,Alpha_keep*$A158+M$3-MIN(Loss_w)&lt;=Hi_c+0.000000001),1,0)</f>
        <v>1</v>
      </c>
      <c r="N158" s="14" t="n">
        <f aca="false">IF(C158=1,IF(OR(Alpha_keep*$A158+N$3&gt;=Floor_c-0.000000001,AND($B158=0,N$3&gt;=Cap_h-0.000000001)),1,0),0)</f>
        <v>1</v>
      </c>
      <c r="O158" s="14" t="n">
        <f aca="false">IF(D158=1,IF(OR(Alpha_keep*$A158+O$3&gt;=Floor_c-0.000000001,AND($B158=0,O$3&gt;=Cap_h-0.000000001)),1,0),0)</f>
        <v>1</v>
      </c>
      <c r="P158" s="14" t="n">
        <f aca="false">IF(E158=1,IF(OR(Alpha_keep*$A158+P$3&gt;=Floor_c-0.000000001,AND($B158=0,P$3&gt;=Cap_h-0.000000001)),1,0),0)</f>
        <v>1</v>
      </c>
      <c r="Q158" s="14" t="n">
        <f aca="false">IF(F158=1,IF(OR(Alpha_keep*$A158+Q$3&gt;=Floor_c-0.000000001,AND($B158=0,Q$3&gt;=Cap_h-0.000000001)),1,0),0)</f>
        <v>1</v>
      </c>
      <c r="R158" s="14" t="n">
        <f aca="false">IF(G158=1,IF(OR(Alpha_keep*$A158+R$3&gt;=Floor_c-0.000000001,AND($B158=0,R$3&gt;=Cap_h-0.000000001)),1,0),0)</f>
        <v>1</v>
      </c>
      <c r="S158" s="14" t="n">
        <f aca="false">IF(H158=1,IF(OR(Alpha_keep*$A158+S$3&gt;=Floor_c-0.000000001,AND($B158=0,S$3&gt;=Cap_h-0.000000001)),1,0),0)</f>
        <v>1</v>
      </c>
      <c r="T158" s="14" t="n">
        <f aca="false">IF(I158=1,IF(OR(Alpha_keep*$A158+T$3&gt;=Floor_c-0.000000001,AND($B158=0,T$3&gt;=Cap_h-0.000000001)),1,0),0)</f>
        <v>1</v>
      </c>
      <c r="U158" s="14" t="n">
        <f aca="false">IF(J158=1,IF(OR(Alpha_keep*$A158+U$3&gt;=Floor_c-0.000000001,AND($B158=0,U$3&gt;=Cap_h-0.000000001)),1,0),0)</f>
        <v>1</v>
      </c>
      <c r="V158" s="14" t="n">
        <f aca="false">IF(K158=1,IF(OR(Alpha_keep*$A158+V$3&gt;=Floor_c-0.000000001,AND($B158=0,V$3&gt;=Cap_h-0.000000001)),1,0),0)</f>
        <v>1</v>
      </c>
      <c r="W158" s="14" t="n">
        <f aca="false">IF(L158=1,IF(OR(Alpha_keep*$A158+W$3&gt;=Floor_c-0.000000001,AND($B158=0,W$3&gt;=Cap_h-0.000000001)),1,0),0)</f>
        <v>1</v>
      </c>
      <c r="X158" s="14" t="n">
        <f aca="false">IF(M158=1,IF(OR(Alpha_keep*$A158+X$3&gt;=Floor_c-0.000000001,AND($B158=0,X$3&gt;=Cap_h-0.000000001)),1,0),0)</f>
        <v>1</v>
      </c>
      <c r="Y158" s="14" t="n">
        <f aca="false">SUM(C158:M158)</f>
        <v>11</v>
      </c>
      <c r="Z158" s="14" t="n">
        <f aca="false">SUM(N158:X158)</f>
        <v>11</v>
      </c>
      <c r="AA158" s="12" t="n">
        <f aca="false">INDEX($C$3:$M$3,MATCH(1,C158:M158,0))</f>
        <v>0</v>
      </c>
      <c r="AB158" s="12" t="n">
        <f aca="false">INDEX($N$3:$X$3,MATCH(1,N158:X158,0))+(Z158-1)*Step_h</f>
        <v>2.5</v>
      </c>
    </row>
    <row r="159" customFormat="false" ht="15" hidden="false" customHeight="false" outlineLevel="0" collapsed="false">
      <c r="A159" s="12" t="n">
        <f aca="false">A158+Step_c</f>
        <v>68.5</v>
      </c>
      <c r="B159" s="14" t="n">
        <f aca="false">IF(SUMPRODUCT((Alpha_keep*$A159+$C$3:$M$3&gt;=Floor_c-0.000000001)*(C159:M159))&gt;0,1,0)</f>
        <v>1</v>
      </c>
      <c r="C159" s="14" t="n">
        <f aca="false">IF(AND(Alpha_keep*$A159+C$3-MAX(Loss_w)&gt;=Lo_c-0.000000001,Alpha_keep*$A159+C$3-MIN(Loss_w)&lt;=Hi_c+0.000000001),1,0)</f>
        <v>1</v>
      </c>
      <c r="D159" s="14" t="n">
        <f aca="false">IF(AND(Alpha_keep*$A159+D$3-MAX(Loss_w)&gt;=Lo_c-0.000000001,Alpha_keep*$A159+D$3-MIN(Loss_w)&lt;=Hi_c+0.000000001),1,0)</f>
        <v>1</v>
      </c>
      <c r="E159" s="14" t="n">
        <f aca="false">IF(AND(Alpha_keep*$A159+E$3-MAX(Loss_w)&gt;=Lo_c-0.000000001,Alpha_keep*$A159+E$3-MIN(Loss_w)&lt;=Hi_c+0.000000001),1,0)</f>
        <v>1</v>
      </c>
      <c r="F159" s="14" t="n">
        <f aca="false">IF(AND(Alpha_keep*$A159+F$3-MAX(Loss_w)&gt;=Lo_c-0.000000001,Alpha_keep*$A159+F$3-MIN(Loss_w)&lt;=Hi_c+0.000000001),1,0)</f>
        <v>1</v>
      </c>
      <c r="G159" s="14" t="n">
        <f aca="false">IF(AND(Alpha_keep*$A159+G$3-MAX(Loss_w)&gt;=Lo_c-0.000000001,Alpha_keep*$A159+G$3-MIN(Loss_w)&lt;=Hi_c+0.000000001),1,0)</f>
        <v>1</v>
      </c>
      <c r="H159" s="14" t="n">
        <f aca="false">IF(AND(Alpha_keep*$A159+H$3-MAX(Loss_w)&gt;=Lo_c-0.000000001,Alpha_keep*$A159+H$3-MIN(Loss_w)&lt;=Hi_c+0.000000001),1,0)</f>
        <v>1</v>
      </c>
      <c r="I159" s="14" t="n">
        <f aca="false">IF(AND(Alpha_keep*$A159+I$3-MAX(Loss_w)&gt;=Lo_c-0.000000001,Alpha_keep*$A159+I$3-MIN(Loss_w)&lt;=Hi_c+0.000000001),1,0)</f>
        <v>1</v>
      </c>
      <c r="J159" s="14" t="n">
        <f aca="false">IF(AND(Alpha_keep*$A159+J$3-MAX(Loss_w)&gt;=Lo_c-0.000000001,Alpha_keep*$A159+J$3-MIN(Loss_w)&lt;=Hi_c+0.000000001),1,0)</f>
        <v>1</v>
      </c>
      <c r="K159" s="14" t="n">
        <f aca="false">IF(AND(Alpha_keep*$A159+K$3-MAX(Loss_w)&gt;=Lo_c-0.000000001,Alpha_keep*$A159+K$3-MIN(Loss_w)&lt;=Hi_c+0.000000001),1,0)</f>
        <v>1</v>
      </c>
      <c r="L159" s="14" t="n">
        <f aca="false">IF(AND(Alpha_keep*$A159+L$3-MAX(Loss_w)&gt;=Lo_c-0.000000001,Alpha_keep*$A159+L$3-MIN(Loss_w)&lt;=Hi_c+0.000000001),1,0)</f>
        <v>1</v>
      </c>
      <c r="M159" s="14" t="n">
        <f aca="false">IF(AND(Alpha_keep*$A159+M$3-MAX(Loss_w)&gt;=Lo_c-0.000000001,Alpha_keep*$A159+M$3-MIN(Loss_w)&lt;=Hi_c+0.000000001),1,0)</f>
        <v>1</v>
      </c>
      <c r="N159" s="14" t="n">
        <f aca="false">IF(C159=1,IF(OR(Alpha_keep*$A159+N$3&gt;=Floor_c-0.000000001,AND($B159=0,N$3&gt;=Cap_h-0.000000001)),1,0),0)</f>
        <v>1</v>
      </c>
      <c r="O159" s="14" t="n">
        <f aca="false">IF(D159=1,IF(OR(Alpha_keep*$A159+O$3&gt;=Floor_c-0.000000001,AND($B159=0,O$3&gt;=Cap_h-0.000000001)),1,0),0)</f>
        <v>1</v>
      </c>
      <c r="P159" s="14" t="n">
        <f aca="false">IF(E159=1,IF(OR(Alpha_keep*$A159+P$3&gt;=Floor_c-0.000000001,AND($B159=0,P$3&gt;=Cap_h-0.000000001)),1,0),0)</f>
        <v>1</v>
      </c>
      <c r="Q159" s="14" t="n">
        <f aca="false">IF(F159=1,IF(OR(Alpha_keep*$A159+Q$3&gt;=Floor_c-0.000000001,AND($B159=0,Q$3&gt;=Cap_h-0.000000001)),1,0),0)</f>
        <v>1</v>
      </c>
      <c r="R159" s="14" t="n">
        <f aca="false">IF(G159=1,IF(OR(Alpha_keep*$A159+R$3&gt;=Floor_c-0.000000001,AND($B159=0,R$3&gt;=Cap_h-0.000000001)),1,0),0)</f>
        <v>1</v>
      </c>
      <c r="S159" s="14" t="n">
        <f aca="false">IF(H159=1,IF(OR(Alpha_keep*$A159+S$3&gt;=Floor_c-0.000000001,AND($B159=0,S$3&gt;=Cap_h-0.000000001)),1,0),0)</f>
        <v>1</v>
      </c>
      <c r="T159" s="14" t="n">
        <f aca="false">IF(I159=1,IF(OR(Alpha_keep*$A159+T$3&gt;=Floor_c-0.000000001,AND($B159=0,T$3&gt;=Cap_h-0.000000001)),1,0),0)</f>
        <v>1</v>
      </c>
      <c r="U159" s="14" t="n">
        <f aca="false">IF(J159=1,IF(OR(Alpha_keep*$A159+U$3&gt;=Floor_c-0.000000001,AND($B159=0,U$3&gt;=Cap_h-0.000000001)),1,0),0)</f>
        <v>1</v>
      </c>
      <c r="V159" s="14" t="n">
        <f aca="false">IF(K159=1,IF(OR(Alpha_keep*$A159+V$3&gt;=Floor_c-0.000000001,AND($B159=0,V$3&gt;=Cap_h-0.000000001)),1,0),0)</f>
        <v>1</v>
      </c>
      <c r="W159" s="14" t="n">
        <f aca="false">IF(L159=1,IF(OR(Alpha_keep*$A159+W$3&gt;=Floor_c-0.000000001,AND($B159=0,W$3&gt;=Cap_h-0.000000001)),1,0),0)</f>
        <v>1</v>
      </c>
      <c r="X159" s="14" t="n">
        <f aca="false">IF(M159=1,IF(OR(Alpha_keep*$A159+X$3&gt;=Floor_c-0.000000001,AND($B159=0,X$3&gt;=Cap_h-0.000000001)),1,0),0)</f>
        <v>1</v>
      </c>
      <c r="Y159" s="14" t="n">
        <f aca="false">SUM(C159:M159)</f>
        <v>11</v>
      </c>
      <c r="Z159" s="14" t="n">
        <f aca="false">SUM(N159:X159)</f>
        <v>11</v>
      </c>
      <c r="AA159" s="12" t="n">
        <f aca="false">INDEX($C$3:$M$3,MATCH(1,C159:M159,0))</f>
        <v>0</v>
      </c>
      <c r="AB159" s="12" t="n">
        <f aca="false">INDEX($N$3:$X$3,MATCH(1,N159:X159,0))+(Z159-1)*Step_h</f>
        <v>2.5</v>
      </c>
    </row>
    <row r="160" customFormat="false" ht="15" hidden="false" customHeight="false" outlineLevel="0" collapsed="false">
      <c r="A160" s="12" t="n">
        <f aca="false">A159+Step_c</f>
        <v>68.75</v>
      </c>
      <c r="B160" s="14" t="n">
        <f aca="false">IF(SUMPRODUCT((Alpha_keep*$A160+$C$3:$M$3&gt;=Floor_c-0.000000001)*(C160:M160))&gt;0,1,0)</f>
        <v>1</v>
      </c>
      <c r="C160" s="14" t="n">
        <f aca="false">IF(AND(Alpha_keep*$A160+C$3-MAX(Loss_w)&gt;=Lo_c-0.000000001,Alpha_keep*$A160+C$3-MIN(Loss_w)&lt;=Hi_c+0.000000001),1,0)</f>
        <v>1</v>
      </c>
      <c r="D160" s="14" t="n">
        <f aca="false">IF(AND(Alpha_keep*$A160+D$3-MAX(Loss_w)&gt;=Lo_c-0.000000001,Alpha_keep*$A160+D$3-MIN(Loss_w)&lt;=Hi_c+0.000000001),1,0)</f>
        <v>1</v>
      </c>
      <c r="E160" s="14" t="n">
        <f aca="false">IF(AND(Alpha_keep*$A160+E$3-MAX(Loss_w)&gt;=Lo_c-0.000000001,Alpha_keep*$A160+E$3-MIN(Loss_w)&lt;=Hi_c+0.000000001),1,0)</f>
        <v>1</v>
      </c>
      <c r="F160" s="14" t="n">
        <f aca="false">IF(AND(Alpha_keep*$A160+F$3-MAX(Loss_w)&gt;=Lo_c-0.000000001,Alpha_keep*$A160+F$3-MIN(Loss_w)&lt;=Hi_c+0.000000001),1,0)</f>
        <v>1</v>
      </c>
      <c r="G160" s="14" t="n">
        <f aca="false">IF(AND(Alpha_keep*$A160+G$3-MAX(Loss_w)&gt;=Lo_c-0.000000001,Alpha_keep*$A160+G$3-MIN(Loss_w)&lt;=Hi_c+0.000000001),1,0)</f>
        <v>1</v>
      </c>
      <c r="H160" s="14" t="n">
        <f aca="false">IF(AND(Alpha_keep*$A160+H$3-MAX(Loss_w)&gt;=Lo_c-0.000000001,Alpha_keep*$A160+H$3-MIN(Loss_w)&lt;=Hi_c+0.000000001),1,0)</f>
        <v>1</v>
      </c>
      <c r="I160" s="14" t="n">
        <f aca="false">IF(AND(Alpha_keep*$A160+I$3-MAX(Loss_w)&gt;=Lo_c-0.000000001,Alpha_keep*$A160+I$3-MIN(Loss_w)&lt;=Hi_c+0.000000001),1,0)</f>
        <v>1</v>
      </c>
      <c r="J160" s="14" t="n">
        <f aca="false">IF(AND(Alpha_keep*$A160+J$3-MAX(Loss_w)&gt;=Lo_c-0.000000001,Alpha_keep*$A160+J$3-MIN(Loss_w)&lt;=Hi_c+0.000000001),1,0)</f>
        <v>1</v>
      </c>
      <c r="K160" s="14" t="n">
        <f aca="false">IF(AND(Alpha_keep*$A160+K$3-MAX(Loss_w)&gt;=Lo_c-0.000000001,Alpha_keep*$A160+K$3-MIN(Loss_w)&lt;=Hi_c+0.000000001),1,0)</f>
        <v>1</v>
      </c>
      <c r="L160" s="14" t="n">
        <f aca="false">IF(AND(Alpha_keep*$A160+L$3-MAX(Loss_w)&gt;=Lo_c-0.000000001,Alpha_keep*$A160+L$3-MIN(Loss_w)&lt;=Hi_c+0.000000001),1,0)</f>
        <v>1</v>
      </c>
      <c r="M160" s="14" t="n">
        <f aca="false">IF(AND(Alpha_keep*$A160+M$3-MAX(Loss_w)&gt;=Lo_c-0.000000001,Alpha_keep*$A160+M$3-MIN(Loss_w)&lt;=Hi_c+0.000000001),1,0)</f>
        <v>1</v>
      </c>
      <c r="N160" s="14" t="n">
        <f aca="false">IF(C160=1,IF(OR(Alpha_keep*$A160+N$3&gt;=Floor_c-0.000000001,AND($B160=0,N$3&gt;=Cap_h-0.000000001)),1,0),0)</f>
        <v>1</v>
      </c>
      <c r="O160" s="14" t="n">
        <f aca="false">IF(D160=1,IF(OR(Alpha_keep*$A160+O$3&gt;=Floor_c-0.000000001,AND($B160=0,O$3&gt;=Cap_h-0.000000001)),1,0),0)</f>
        <v>1</v>
      </c>
      <c r="P160" s="14" t="n">
        <f aca="false">IF(E160=1,IF(OR(Alpha_keep*$A160+P$3&gt;=Floor_c-0.000000001,AND($B160=0,P$3&gt;=Cap_h-0.000000001)),1,0),0)</f>
        <v>1</v>
      </c>
      <c r="Q160" s="14" t="n">
        <f aca="false">IF(F160=1,IF(OR(Alpha_keep*$A160+Q$3&gt;=Floor_c-0.000000001,AND($B160=0,Q$3&gt;=Cap_h-0.000000001)),1,0),0)</f>
        <v>1</v>
      </c>
      <c r="R160" s="14" t="n">
        <f aca="false">IF(G160=1,IF(OR(Alpha_keep*$A160+R$3&gt;=Floor_c-0.000000001,AND($B160=0,R$3&gt;=Cap_h-0.000000001)),1,0),0)</f>
        <v>1</v>
      </c>
      <c r="S160" s="14" t="n">
        <f aca="false">IF(H160=1,IF(OR(Alpha_keep*$A160+S$3&gt;=Floor_c-0.000000001,AND($B160=0,S$3&gt;=Cap_h-0.000000001)),1,0),0)</f>
        <v>1</v>
      </c>
      <c r="T160" s="14" t="n">
        <f aca="false">IF(I160=1,IF(OR(Alpha_keep*$A160+T$3&gt;=Floor_c-0.000000001,AND($B160=0,T$3&gt;=Cap_h-0.000000001)),1,0),0)</f>
        <v>1</v>
      </c>
      <c r="U160" s="14" t="n">
        <f aca="false">IF(J160=1,IF(OR(Alpha_keep*$A160+U$3&gt;=Floor_c-0.000000001,AND($B160=0,U$3&gt;=Cap_h-0.000000001)),1,0),0)</f>
        <v>1</v>
      </c>
      <c r="V160" s="14" t="n">
        <f aca="false">IF(K160=1,IF(OR(Alpha_keep*$A160+V$3&gt;=Floor_c-0.000000001,AND($B160=0,V$3&gt;=Cap_h-0.000000001)),1,0),0)</f>
        <v>1</v>
      </c>
      <c r="W160" s="14" t="n">
        <f aca="false">IF(L160=1,IF(OR(Alpha_keep*$A160+W$3&gt;=Floor_c-0.000000001,AND($B160=0,W$3&gt;=Cap_h-0.000000001)),1,0),0)</f>
        <v>1</v>
      </c>
      <c r="X160" s="14" t="n">
        <f aca="false">IF(M160=1,IF(OR(Alpha_keep*$A160+X$3&gt;=Floor_c-0.000000001,AND($B160=0,X$3&gt;=Cap_h-0.000000001)),1,0),0)</f>
        <v>1</v>
      </c>
      <c r="Y160" s="14" t="n">
        <f aca="false">SUM(C160:M160)</f>
        <v>11</v>
      </c>
      <c r="Z160" s="14" t="n">
        <f aca="false">SUM(N160:X160)</f>
        <v>11</v>
      </c>
      <c r="AA160" s="12" t="n">
        <f aca="false">INDEX($C$3:$M$3,MATCH(1,C160:M160,0))</f>
        <v>0</v>
      </c>
      <c r="AB160" s="12" t="n">
        <f aca="false">INDEX($N$3:$X$3,MATCH(1,N160:X160,0))+(Z160-1)*Step_h</f>
        <v>2.5</v>
      </c>
    </row>
    <row r="161" customFormat="false" ht="15" hidden="false" customHeight="false" outlineLevel="0" collapsed="false">
      <c r="A161" s="12" t="n">
        <f aca="false">A160+Step_c</f>
        <v>69</v>
      </c>
      <c r="B161" s="14" t="n">
        <f aca="false">IF(SUMPRODUCT((Alpha_keep*$A161+$C$3:$M$3&gt;=Floor_c-0.000000001)*(C161:M161))&gt;0,1,0)</f>
        <v>1</v>
      </c>
      <c r="C161" s="14" t="n">
        <f aca="false">IF(AND(Alpha_keep*$A161+C$3-MAX(Loss_w)&gt;=Lo_c-0.000000001,Alpha_keep*$A161+C$3-MIN(Loss_w)&lt;=Hi_c+0.000000001),1,0)</f>
        <v>1</v>
      </c>
      <c r="D161" s="14" t="n">
        <f aca="false">IF(AND(Alpha_keep*$A161+D$3-MAX(Loss_w)&gt;=Lo_c-0.000000001,Alpha_keep*$A161+D$3-MIN(Loss_w)&lt;=Hi_c+0.000000001),1,0)</f>
        <v>1</v>
      </c>
      <c r="E161" s="14" t="n">
        <f aca="false">IF(AND(Alpha_keep*$A161+E$3-MAX(Loss_w)&gt;=Lo_c-0.000000001,Alpha_keep*$A161+E$3-MIN(Loss_w)&lt;=Hi_c+0.000000001),1,0)</f>
        <v>1</v>
      </c>
      <c r="F161" s="14" t="n">
        <f aca="false">IF(AND(Alpha_keep*$A161+F$3-MAX(Loss_w)&gt;=Lo_c-0.000000001,Alpha_keep*$A161+F$3-MIN(Loss_w)&lt;=Hi_c+0.000000001),1,0)</f>
        <v>1</v>
      </c>
      <c r="G161" s="14" t="n">
        <f aca="false">IF(AND(Alpha_keep*$A161+G$3-MAX(Loss_w)&gt;=Lo_c-0.000000001,Alpha_keep*$A161+G$3-MIN(Loss_w)&lt;=Hi_c+0.000000001),1,0)</f>
        <v>1</v>
      </c>
      <c r="H161" s="14" t="n">
        <f aca="false">IF(AND(Alpha_keep*$A161+H$3-MAX(Loss_w)&gt;=Lo_c-0.000000001,Alpha_keep*$A161+H$3-MIN(Loss_w)&lt;=Hi_c+0.000000001),1,0)</f>
        <v>1</v>
      </c>
      <c r="I161" s="14" t="n">
        <f aca="false">IF(AND(Alpha_keep*$A161+I$3-MAX(Loss_w)&gt;=Lo_c-0.000000001,Alpha_keep*$A161+I$3-MIN(Loss_w)&lt;=Hi_c+0.000000001),1,0)</f>
        <v>1</v>
      </c>
      <c r="J161" s="14" t="n">
        <f aca="false">IF(AND(Alpha_keep*$A161+J$3-MAX(Loss_w)&gt;=Lo_c-0.000000001,Alpha_keep*$A161+J$3-MIN(Loss_w)&lt;=Hi_c+0.000000001),1,0)</f>
        <v>1</v>
      </c>
      <c r="K161" s="14" t="n">
        <f aca="false">IF(AND(Alpha_keep*$A161+K$3-MAX(Loss_w)&gt;=Lo_c-0.000000001,Alpha_keep*$A161+K$3-MIN(Loss_w)&lt;=Hi_c+0.000000001),1,0)</f>
        <v>1</v>
      </c>
      <c r="L161" s="14" t="n">
        <f aca="false">IF(AND(Alpha_keep*$A161+L$3-MAX(Loss_w)&gt;=Lo_c-0.000000001,Alpha_keep*$A161+L$3-MIN(Loss_w)&lt;=Hi_c+0.000000001),1,0)</f>
        <v>1</v>
      </c>
      <c r="M161" s="14" t="n">
        <f aca="false">IF(AND(Alpha_keep*$A161+M$3-MAX(Loss_w)&gt;=Lo_c-0.000000001,Alpha_keep*$A161+M$3-MIN(Loss_w)&lt;=Hi_c+0.000000001),1,0)</f>
        <v>1</v>
      </c>
      <c r="N161" s="14" t="n">
        <f aca="false">IF(C161=1,IF(OR(Alpha_keep*$A161+N$3&gt;=Floor_c-0.000000001,AND($B161=0,N$3&gt;=Cap_h-0.000000001)),1,0),0)</f>
        <v>1</v>
      </c>
      <c r="O161" s="14" t="n">
        <f aca="false">IF(D161=1,IF(OR(Alpha_keep*$A161+O$3&gt;=Floor_c-0.000000001,AND($B161=0,O$3&gt;=Cap_h-0.000000001)),1,0),0)</f>
        <v>1</v>
      </c>
      <c r="P161" s="14" t="n">
        <f aca="false">IF(E161=1,IF(OR(Alpha_keep*$A161+P$3&gt;=Floor_c-0.000000001,AND($B161=0,P$3&gt;=Cap_h-0.000000001)),1,0),0)</f>
        <v>1</v>
      </c>
      <c r="Q161" s="14" t="n">
        <f aca="false">IF(F161=1,IF(OR(Alpha_keep*$A161+Q$3&gt;=Floor_c-0.000000001,AND($B161=0,Q$3&gt;=Cap_h-0.000000001)),1,0),0)</f>
        <v>1</v>
      </c>
      <c r="R161" s="14" t="n">
        <f aca="false">IF(G161=1,IF(OR(Alpha_keep*$A161+R$3&gt;=Floor_c-0.000000001,AND($B161=0,R$3&gt;=Cap_h-0.000000001)),1,0),0)</f>
        <v>1</v>
      </c>
      <c r="S161" s="14" t="n">
        <f aca="false">IF(H161=1,IF(OR(Alpha_keep*$A161+S$3&gt;=Floor_c-0.000000001,AND($B161=0,S$3&gt;=Cap_h-0.000000001)),1,0),0)</f>
        <v>1</v>
      </c>
      <c r="T161" s="14" t="n">
        <f aca="false">IF(I161=1,IF(OR(Alpha_keep*$A161+T$3&gt;=Floor_c-0.000000001,AND($B161=0,T$3&gt;=Cap_h-0.000000001)),1,0),0)</f>
        <v>1</v>
      </c>
      <c r="U161" s="14" t="n">
        <f aca="false">IF(J161=1,IF(OR(Alpha_keep*$A161+U$3&gt;=Floor_c-0.000000001,AND($B161=0,U$3&gt;=Cap_h-0.000000001)),1,0),0)</f>
        <v>1</v>
      </c>
      <c r="V161" s="14" t="n">
        <f aca="false">IF(K161=1,IF(OR(Alpha_keep*$A161+V$3&gt;=Floor_c-0.000000001,AND($B161=0,V$3&gt;=Cap_h-0.000000001)),1,0),0)</f>
        <v>1</v>
      </c>
      <c r="W161" s="14" t="n">
        <f aca="false">IF(L161=1,IF(OR(Alpha_keep*$A161+W$3&gt;=Floor_c-0.000000001,AND($B161=0,W$3&gt;=Cap_h-0.000000001)),1,0),0)</f>
        <v>1</v>
      </c>
      <c r="X161" s="14" t="n">
        <f aca="false">IF(M161=1,IF(OR(Alpha_keep*$A161+X$3&gt;=Floor_c-0.000000001,AND($B161=0,X$3&gt;=Cap_h-0.000000001)),1,0),0)</f>
        <v>1</v>
      </c>
      <c r="Y161" s="14" t="n">
        <f aca="false">SUM(C161:M161)</f>
        <v>11</v>
      </c>
      <c r="Z161" s="14" t="n">
        <f aca="false">SUM(N161:X161)</f>
        <v>11</v>
      </c>
      <c r="AA161" s="12" t="n">
        <f aca="false">INDEX($C$3:$M$3,MATCH(1,C161:M161,0))</f>
        <v>0</v>
      </c>
      <c r="AB161" s="12" t="n">
        <f aca="false">INDEX($N$3:$X$3,MATCH(1,N161:X161,0))+(Z161-1)*Step_h</f>
        <v>2.5</v>
      </c>
    </row>
    <row r="162" customFormat="false" ht="15" hidden="false" customHeight="false" outlineLevel="0" collapsed="false">
      <c r="A162" s="12" t="n">
        <f aca="false">A161+Step_c</f>
        <v>69.25</v>
      </c>
      <c r="B162" s="14" t="n">
        <f aca="false">IF(SUMPRODUCT((Alpha_keep*$A162+$C$3:$M$3&gt;=Floor_c-0.000000001)*(C162:M162))&gt;0,1,0)</f>
        <v>1</v>
      </c>
      <c r="C162" s="14" t="n">
        <f aca="false">IF(AND(Alpha_keep*$A162+C$3-MAX(Loss_w)&gt;=Lo_c-0.000000001,Alpha_keep*$A162+C$3-MIN(Loss_w)&lt;=Hi_c+0.000000001),1,0)</f>
        <v>1</v>
      </c>
      <c r="D162" s="14" t="n">
        <f aca="false">IF(AND(Alpha_keep*$A162+D$3-MAX(Loss_w)&gt;=Lo_c-0.000000001,Alpha_keep*$A162+D$3-MIN(Loss_w)&lt;=Hi_c+0.000000001),1,0)</f>
        <v>1</v>
      </c>
      <c r="E162" s="14" t="n">
        <f aca="false">IF(AND(Alpha_keep*$A162+E$3-MAX(Loss_w)&gt;=Lo_c-0.000000001,Alpha_keep*$A162+E$3-MIN(Loss_w)&lt;=Hi_c+0.000000001),1,0)</f>
        <v>1</v>
      </c>
      <c r="F162" s="14" t="n">
        <f aca="false">IF(AND(Alpha_keep*$A162+F$3-MAX(Loss_w)&gt;=Lo_c-0.000000001,Alpha_keep*$A162+F$3-MIN(Loss_w)&lt;=Hi_c+0.000000001),1,0)</f>
        <v>1</v>
      </c>
      <c r="G162" s="14" t="n">
        <f aca="false">IF(AND(Alpha_keep*$A162+G$3-MAX(Loss_w)&gt;=Lo_c-0.000000001,Alpha_keep*$A162+G$3-MIN(Loss_w)&lt;=Hi_c+0.000000001),1,0)</f>
        <v>1</v>
      </c>
      <c r="H162" s="14" t="n">
        <f aca="false">IF(AND(Alpha_keep*$A162+H$3-MAX(Loss_w)&gt;=Lo_c-0.000000001,Alpha_keep*$A162+H$3-MIN(Loss_w)&lt;=Hi_c+0.000000001),1,0)</f>
        <v>1</v>
      </c>
      <c r="I162" s="14" t="n">
        <f aca="false">IF(AND(Alpha_keep*$A162+I$3-MAX(Loss_w)&gt;=Lo_c-0.000000001,Alpha_keep*$A162+I$3-MIN(Loss_w)&lt;=Hi_c+0.000000001),1,0)</f>
        <v>1</v>
      </c>
      <c r="J162" s="14" t="n">
        <f aca="false">IF(AND(Alpha_keep*$A162+J$3-MAX(Loss_w)&gt;=Lo_c-0.000000001,Alpha_keep*$A162+J$3-MIN(Loss_w)&lt;=Hi_c+0.000000001),1,0)</f>
        <v>1</v>
      </c>
      <c r="K162" s="14" t="n">
        <f aca="false">IF(AND(Alpha_keep*$A162+K$3-MAX(Loss_w)&gt;=Lo_c-0.000000001,Alpha_keep*$A162+K$3-MIN(Loss_w)&lt;=Hi_c+0.000000001),1,0)</f>
        <v>1</v>
      </c>
      <c r="L162" s="14" t="n">
        <f aca="false">IF(AND(Alpha_keep*$A162+L$3-MAX(Loss_w)&gt;=Lo_c-0.000000001,Alpha_keep*$A162+L$3-MIN(Loss_w)&lt;=Hi_c+0.000000001),1,0)</f>
        <v>1</v>
      </c>
      <c r="M162" s="14" t="n">
        <f aca="false">IF(AND(Alpha_keep*$A162+M$3-MAX(Loss_w)&gt;=Lo_c-0.000000001,Alpha_keep*$A162+M$3-MIN(Loss_w)&lt;=Hi_c+0.000000001),1,0)</f>
        <v>1</v>
      </c>
      <c r="N162" s="14" t="n">
        <f aca="false">IF(C162=1,IF(OR(Alpha_keep*$A162+N$3&gt;=Floor_c-0.000000001,AND($B162=0,N$3&gt;=Cap_h-0.000000001)),1,0),0)</f>
        <v>1</v>
      </c>
      <c r="O162" s="14" t="n">
        <f aca="false">IF(D162=1,IF(OR(Alpha_keep*$A162+O$3&gt;=Floor_c-0.000000001,AND($B162=0,O$3&gt;=Cap_h-0.000000001)),1,0),0)</f>
        <v>1</v>
      </c>
      <c r="P162" s="14" t="n">
        <f aca="false">IF(E162=1,IF(OR(Alpha_keep*$A162+P$3&gt;=Floor_c-0.000000001,AND($B162=0,P$3&gt;=Cap_h-0.000000001)),1,0),0)</f>
        <v>1</v>
      </c>
      <c r="Q162" s="14" t="n">
        <f aca="false">IF(F162=1,IF(OR(Alpha_keep*$A162+Q$3&gt;=Floor_c-0.000000001,AND($B162=0,Q$3&gt;=Cap_h-0.000000001)),1,0),0)</f>
        <v>1</v>
      </c>
      <c r="R162" s="14" t="n">
        <f aca="false">IF(G162=1,IF(OR(Alpha_keep*$A162+R$3&gt;=Floor_c-0.000000001,AND($B162=0,R$3&gt;=Cap_h-0.000000001)),1,0),0)</f>
        <v>1</v>
      </c>
      <c r="S162" s="14" t="n">
        <f aca="false">IF(H162=1,IF(OR(Alpha_keep*$A162+S$3&gt;=Floor_c-0.000000001,AND($B162=0,S$3&gt;=Cap_h-0.000000001)),1,0),0)</f>
        <v>1</v>
      </c>
      <c r="T162" s="14" t="n">
        <f aca="false">IF(I162=1,IF(OR(Alpha_keep*$A162+T$3&gt;=Floor_c-0.000000001,AND($B162=0,T$3&gt;=Cap_h-0.000000001)),1,0),0)</f>
        <v>1</v>
      </c>
      <c r="U162" s="14" t="n">
        <f aca="false">IF(J162=1,IF(OR(Alpha_keep*$A162+U$3&gt;=Floor_c-0.000000001,AND($B162=0,U$3&gt;=Cap_h-0.000000001)),1,0),0)</f>
        <v>1</v>
      </c>
      <c r="V162" s="14" t="n">
        <f aca="false">IF(K162=1,IF(OR(Alpha_keep*$A162+V$3&gt;=Floor_c-0.000000001,AND($B162=0,V$3&gt;=Cap_h-0.000000001)),1,0),0)</f>
        <v>1</v>
      </c>
      <c r="W162" s="14" t="n">
        <f aca="false">IF(L162=1,IF(OR(Alpha_keep*$A162+W$3&gt;=Floor_c-0.000000001,AND($B162=0,W$3&gt;=Cap_h-0.000000001)),1,0),0)</f>
        <v>1</v>
      </c>
      <c r="X162" s="14" t="n">
        <f aca="false">IF(M162=1,IF(OR(Alpha_keep*$A162+X$3&gt;=Floor_c-0.000000001,AND($B162=0,X$3&gt;=Cap_h-0.000000001)),1,0),0)</f>
        <v>1</v>
      </c>
      <c r="Y162" s="14" t="n">
        <f aca="false">SUM(C162:M162)</f>
        <v>11</v>
      </c>
      <c r="Z162" s="14" t="n">
        <f aca="false">SUM(N162:X162)</f>
        <v>11</v>
      </c>
      <c r="AA162" s="12" t="n">
        <f aca="false">INDEX($C$3:$M$3,MATCH(1,C162:M162,0))</f>
        <v>0</v>
      </c>
      <c r="AB162" s="12" t="n">
        <f aca="false">INDEX($N$3:$X$3,MATCH(1,N162:X162,0))+(Z162-1)*Step_h</f>
        <v>2.5</v>
      </c>
    </row>
    <row r="163" customFormat="false" ht="15" hidden="false" customHeight="false" outlineLevel="0" collapsed="false">
      <c r="A163" s="12" t="n">
        <f aca="false">A162+Step_c</f>
        <v>69.5</v>
      </c>
      <c r="B163" s="14" t="n">
        <f aca="false">IF(SUMPRODUCT((Alpha_keep*$A163+$C$3:$M$3&gt;=Floor_c-0.000000001)*(C163:M163))&gt;0,1,0)</f>
        <v>1</v>
      </c>
      <c r="C163" s="14" t="n">
        <f aca="false">IF(AND(Alpha_keep*$A163+C$3-MAX(Loss_w)&gt;=Lo_c-0.000000001,Alpha_keep*$A163+C$3-MIN(Loss_w)&lt;=Hi_c+0.000000001),1,0)</f>
        <v>1</v>
      </c>
      <c r="D163" s="14" t="n">
        <f aca="false">IF(AND(Alpha_keep*$A163+D$3-MAX(Loss_w)&gt;=Lo_c-0.000000001,Alpha_keep*$A163+D$3-MIN(Loss_w)&lt;=Hi_c+0.000000001),1,0)</f>
        <v>1</v>
      </c>
      <c r="E163" s="14" t="n">
        <f aca="false">IF(AND(Alpha_keep*$A163+E$3-MAX(Loss_w)&gt;=Lo_c-0.000000001,Alpha_keep*$A163+E$3-MIN(Loss_w)&lt;=Hi_c+0.000000001),1,0)</f>
        <v>1</v>
      </c>
      <c r="F163" s="14" t="n">
        <f aca="false">IF(AND(Alpha_keep*$A163+F$3-MAX(Loss_w)&gt;=Lo_c-0.000000001,Alpha_keep*$A163+F$3-MIN(Loss_w)&lt;=Hi_c+0.000000001),1,0)</f>
        <v>1</v>
      </c>
      <c r="G163" s="14" t="n">
        <f aca="false">IF(AND(Alpha_keep*$A163+G$3-MAX(Loss_w)&gt;=Lo_c-0.000000001,Alpha_keep*$A163+G$3-MIN(Loss_w)&lt;=Hi_c+0.000000001),1,0)</f>
        <v>1</v>
      </c>
      <c r="H163" s="14" t="n">
        <f aca="false">IF(AND(Alpha_keep*$A163+H$3-MAX(Loss_w)&gt;=Lo_c-0.000000001,Alpha_keep*$A163+H$3-MIN(Loss_w)&lt;=Hi_c+0.000000001),1,0)</f>
        <v>1</v>
      </c>
      <c r="I163" s="14" t="n">
        <f aca="false">IF(AND(Alpha_keep*$A163+I$3-MAX(Loss_w)&gt;=Lo_c-0.000000001,Alpha_keep*$A163+I$3-MIN(Loss_w)&lt;=Hi_c+0.000000001),1,0)</f>
        <v>1</v>
      </c>
      <c r="J163" s="14" t="n">
        <f aca="false">IF(AND(Alpha_keep*$A163+J$3-MAX(Loss_w)&gt;=Lo_c-0.000000001,Alpha_keep*$A163+J$3-MIN(Loss_w)&lt;=Hi_c+0.000000001),1,0)</f>
        <v>1</v>
      </c>
      <c r="K163" s="14" t="n">
        <f aca="false">IF(AND(Alpha_keep*$A163+K$3-MAX(Loss_w)&gt;=Lo_c-0.000000001,Alpha_keep*$A163+K$3-MIN(Loss_w)&lt;=Hi_c+0.000000001),1,0)</f>
        <v>1</v>
      </c>
      <c r="L163" s="14" t="n">
        <f aca="false">IF(AND(Alpha_keep*$A163+L$3-MAX(Loss_w)&gt;=Lo_c-0.000000001,Alpha_keep*$A163+L$3-MIN(Loss_w)&lt;=Hi_c+0.000000001),1,0)</f>
        <v>1</v>
      </c>
      <c r="M163" s="14" t="n">
        <f aca="false">IF(AND(Alpha_keep*$A163+M$3-MAX(Loss_w)&gt;=Lo_c-0.000000001,Alpha_keep*$A163+M$3-MIN(Loss_w)&lt;=Hi_c+0.000000001),1,0)</f>
        <v>1</v>
      </c>
      <c r="N163" s="14" t="n">
        <f aca="false">IF(C163=1,IF(OR(Alpha_keep*$A163+N$3&gt;=Floor_c-0.000000001,AND($B163=0,N$3&gt;=Cap_h-0.000000001)),1,0),0)</f>
        <v>1</v>
      </c>
      <c r="O163" s="14" t="n">
        <f aca="false">IF(D163=1,IF(OR(Alpha_keep*$A163+O$3&gt;=Floor_c-0.000000001,AND($B163=0,O$3&gt;=Cap_h-0.000000001)),1,0),0)</f>
        <v>1</v>
      </c>
      <c r="P163" s="14" t="n">
        <f aca="false">IF(E163=1,IF(OR(Alpha_keep*$A163+P$3&gt;=Floor_c-0.000000001,AND($B163=0,P$3&gt;=Cap_h-0.000000001)),1,0),0)</f>
        <v>1</v>
      </c>
      <c r="Q163" s="14" t="n">
        <f aca="false">IF(F163=1,IF(OR(Alpha_keep*$A163+Q$3&gt;=Floor_c-0.000000001,AND($B163=0,Q$3&gt;=Cap_h-0.000000001)),1,0),0)</f>
        <v>1</v>
      </c>
      <c r="R163" s="14" t="n">
        <f aca="false">IF(G163=1,IF(OR(Alpha_keep*$A163+R$3&gt;=Floor_c-0.000000001,AND($B163=0,R$3&gt;=Cap_h-0.000000001)),1,0),0)</f>
        <v>1</v>
      </c>
      <c r="S163" s="14" t="n">
        <f aca="false">IF(H163=1,IF(OR(Alpha_keep*$A163+S$3&gt;=Floor_c-0.000000001,AND($B163=0,S$3&gt;=Cap_h-0.000000001)),1,0),0)</f>
        <v>1</v>
      </c>
      <c r="T163" s="14" t="n">
        <f aca="false">IF(I163=1,IF(OR(Alpha_keep*$A163+T$3&gt;=Floor_c-0.000000001,AND($B163=0,T$3&gt;=Cap_h-0.000000001)),1,0),0)</f>
        <v>1</v>
      </c>
      <c r="U163" s="14" t="n">
        <f aca="false">IF(J163=1,IF(OR(Alpha_keep*$A163+U$3&gt;=Floor_c-0.000000001,AND($B163=0,U$3&gt;=Cap_h-0.000000001)),1,0),0)</f>
        <v>1</v>
      </c>
      <c r="V163" s="14" t="n">
        <f aca="false">IF(K163=1,IF(OR(Alpha_keep*$A163+V$3&gt;=Floor_c-0.000000001,AND($B163=0,V$3&gt;=Cap_h-0.000000001)),1,0),0)</f>
        <v>1</v>
      </c>
      <c r="W163" s="14" t="n">
        <f aca="false">IF(L163=1,IF(OR(Alpha_keep*$A163+W$3&gt;=Floor_c-0.000000001,AND($B163=0,W$3&gt;=Cap_h-0.000000001)),1,0),0)</f>
        <v>1</v>
      </c>
      <c r="X163" s="14" t="n">
        <f aca="false">IF(M163=1,IF(OR(Alpha_keep*$A163+X$3&gt;=Floor_c-0.000000001,AND($B163=0,X$3&gt;=Cap_h-0.000000001)),1,0),0)</f>
        <v>1</v>
      </c>
      <c r="Y163" s="14" t="n">
        <f aca="false">SUM(C163:M163)</f>
        <v>11</v>
      </c>
      <c r="Z163" s="14" t="n">
        <f aca="false">SUM(N163:X163)</f>
        <v>11</v>
      </c>
      <c r="AA163" s="12" t="n">
        <f aca="false">INDEX($C$3:$M$3,MATCH(1,C163:M163,0))</f>
        <v>0</v>
      </c>
      <c r="AB163" s="12" t="n">
        <f aca="false">INDEX($N$3:$X$3,MATCH(1,N163:X163,0))+(Z163-1)*Step_h</f>
        <v>2.5</v>
      </c>
    </row>
    <row r="164" customFormat="false" ht="15" hidden="false" customHeight="false" outlineLevel="0" collapsed="false">
      <c r="A164" s="12" t="n">
        <f aca="false">A163+Step_c</f>
        <v>69.75</v>
      </c>
      <c r="B164" s="14" t="n">
        <f aca="false">IF(SUMPRODUCT((Alpha_keep*$A164+$C$3:$M$3&gt;=Floor_c-0.000000001)*(C164:M164))&gt;0,1,0)</f>
        <v>1</v>
      </c>
      <c r="C164" s="14" t="n">
        <f aca="false">IF(AND(Alpha_keep*$A164+C$3-MAX(Loss_w)&gt;=Lo_c-0.000000001,Alpha_keep*$A164+C$3-MIN(Loss_w)&lt;=Hi_c+0.000000001),1,0)</f>
        <v>1</v>
      </c>
      <c r="D164" s="14" t="n">
        <f aca="false">IF(AND(Alpha_keep*$A164+D$3-MAX(Loss_w)&gt;=Lo_c-0.000000001,Alpha_keep*$A164+D$3-MIN(Loss_w)&lt;=Hi_c+0.000000001),1,0)</f>
        <v>1</v>
      </c>
      <c r="E164" s="14" t="n">
        <f aca="false">IF(AND(Alpha_keep*$A164+E$3-MAX(Loss_w)&gt;=Lo_c-0.000000001,Alpha_keep*$A164+E$3-MIN(Loss_w)&lt;=Hi_c+0.000000001),1,0)</f>
        <v>1</v>
      </c>
      <c r="F164" s="14" t="n">
        <f aca="false">IF(AND(Alpha_keep*$A164+F$3-MAX(Loss_w)&gt;=Lo_c-0.000000001,Alpha_keep*$A164+F$3-MIN(Loss_w)&lt;=Hi_c+0.000000001),1,0)</f>
        <v>1</v>
      </c>
      <c r="G164" s="14" t="n">
        <f aca="false">IF(AND(Alpha_keep*$A164+G$3-MAX(Loss_w)&gt;=Lo_c-0.000000001,Alpha_keep*$A164+G$3-MIN(Loss_w)&lt;=Hi_c+0.000000001),1,0)</f>
        <v>1</v>
      </c>
      <c r="H164" s="14" t="n">
        <f aca="false">IF(AND(Alpha_keep*$A164+H$3-MAX(Loss_w)&gt;=Lo_c-0.000000001,Alpha_keep*$A164+H$3-MIN(Loss_w)&lt;=Hi_c+0.000000001),1,0)</f>
        <v>1</v>
      </c>
      <c r="I164" s="14" t="n">
        <f aca="false">IF(AND(Alpha_keep*$A164+I$3-MAX(Loss_w)&gt;=Lo_c-0.000000001,Alpha_keep*$A164+I$3-MIN(Loss_w)&lt;=Hi_c+0.000000001),1,0)</f>
        <v>1</v>
      </c>
      <c r="J164" s="14" t="n">
        <f aca="false">IF(AND(Alpha_keep*$A164+J$3-MAX(Loss_w)&gt;=Lo_c-0.000000001,Alpha_keep*$A164+J$3-MIN(Loss_w)&lt;=Hi_c+0.000000001),1,0)</f>
        <v>1</v>
      </c>
      <c r="K164" s="14" t="n">
        <f aca="false">IF(AND(Alpha_keep*$A164+K$3-MAX(Loss_w)&gt;=Lo_c-0.000000001,Alpha_keep*$A164+K$3-MIN(Loss_w)&lt;=Hi_c+0.000000001),1,0)</f>
        <v>1</v>
      </c>
      <c r="L164" s="14" t="n">
        <f aca="false">IF(AND(Alpha_keep*$A164+L$3-MAX(Loss_w)&gt;=Lo_c-0.000000001,Alpha_keep*$A164+L$3-MIN(Loss_w)&lt;=Hi_c+0.000000001),1,0)</f>
        <v>1</v>
      </c>
      <c r="M164" s="14" t="n">
        <f aca="false">IF(AND(Alpha_keep*$A164+M$3-MAX(Loss_w)&gt;=Lo_c-0.000000001,Alpha_keep*$A164+M$3-MIN(Loss_w)&lt;=Hi_c+0.000000001),1,0)</f>
        <v>1</v>
      </c>
      <c r="N164" s="14" t="n">
        <f aca="false">IF(C164=1,IF(OR(Alpha_keep*$A164+N$3&gt;=Floor_c-0.000000001,AND($B164=0,N$3&gt;=Cap_h-0.000000001)),1,0),0)</f>
        <v>1</v>
      </c>
      <c r="O164" s="14" t="n">
        <f aca="false">IF(D164=1,IF(OR(Alpha_keep*$A164+O$3&gt;=Floor_c-0.000000001,AND($B164=0,O$3&gt;=Cap_h-0.000000001)),1,0),0)</f>
        <v>1</v>
      </c>
      <c r="P164" s="14" t="n">
        <f aca="false">IF(E164=1,IF(OR(Alpha_keep*$A164+P$3&gt;=Floor_c-0.000000001,AND($B164=0,P$3&gt;=Cap_h-0.000000001)),1,0),0)</f>
        <v>1</v>
      </c>
      <c r="Q164" s="14" t="n">
        <f aca="false">IF(F164=1,IF(OR(Alpha_keep*$A164+Q$3&gt;=Floor_c-0.000000001,AND($B164=0,Q$3&gt;=Cap_h-0.000000001)),1,0),0)</f>
        <v>1</v>
      </c>
      <c r="R164" s="14" t="n">
        <f aca="false">IF(G164=1,IF(OR(Alpha_keep*$A164+R$3&gt;=Floor_c-0.000000001,AND($B164=0,R$3&gt;=Cap_h-0.000000001)),1,0),0)</f>
        <v>1</v>
      </c>
      <c r="S164" s="14" t="n">
        <f aca="false">IF(H164=1,IF(OR(Alpha_keep*$A164+S$3&gt;=Floor_c-0.000000001,AND($B164=0,S$3&gt;=Cap_h-0.000000001)),1,0),0)</f>
        <v>1</v>
      </c>
      <c r="T164" s="14" t="n">
        <f aca="false">IF(I164=1,IF(OR(Alpha_keep*$A164+T$3&gt;=Floor_c-0.000000001,AND($B164=0,T$3&gt;=Cap_h-0.000000001)),1,0),0)</f>
        <v>1</v>
      </c>
      <c r="U164" s="14" t="n">
        <f aca="false">IF(J164=1,IF(OR(Alpha_keep*$A164+U$3&gt;=Floor_c-0.000000001,AND($B164=0,U$3&gt;=Cap_h-0.000000001)),1,0),0)</f>
        <v>1</v>
      </c>
      <c r="V164" s="14" t="n">
        <f aca="false">IF(K164=1,IF(OR(Alpha_keep*$A164+V$3&gt;=Floor_c-0.000000001,AND($B164=0,V$3&gt;=Cap_h-0.000000001)),1,0),0)</f>
        <v>1</v>
      </c>
      <c r="W164" s="14" t="n">
        <f aca="false">IF(L164=1,IF(OR(Alpha_keep*$A164+W$3&gt;=Floor_c-0.000000001,AND($B164=0,W$3&gt;=Cap_h-0.000000001)),1,0),0)</f>
        <v>1</v>
      </c>
      <c r="X164" s="14" t="n">
        <f aca="false">IF(M164=1,IF(OR(Alpha_keep*$A164+X$3&gt;=Floor_c-0.000000001,AND($B164=0,X$3&gt;=Cap_h-0.000000001)),1,0),0)</f>
        <v>1</v>
      </c>
      <c r="Y164" s="14" t="n">
        <f aca="false">SUM(C164:M164)</f>
        <v>11</v>
      </c>
      <c r="Z164" s="14" t="n">
        <f aca="false">SUM(N164:X164)</f>
        <v>11</v>
      </c>
      <c r="AA164" s="12" t="n">
        <f aca="false">INDEX($C$3:$M$3,MATCH(1,C164:M164,0))</f>
        <v>0</v>
      </c>
      <c r="AB164" s="12" t="n">
        <f aca="false">INDEX($N$3:$X$3,MATCH(1,N164:X164,0))+(Z164-1)*Step_h</f>
        <v>2.5</v>
      </c>
    </row>
    <row r="165" customFormat="false" ht="15" hidden="false" customHeight="false" outlineLevel="0" collapsed="false">
      <c r="A165" s="12" t="n">
        <f aca="false">A164+Step_c</f>
        <v>70</v>
      </c>
      <c r="B165" s="14" t="n">
        <f aca="false">IF(SUMPRODUCT((Alpha_keep*$A165+$C$3:$M$3&gt;=Floor_c-0.000000001)*(C165:M165))&gt;0,1,0)</f>
        <v>1</v>
      </c>
      <c r="C165" s="14" t="n">
        <f aca="false">IF(AND(Alpha_keep*$A165+C$3-MAX(Loss_w)&gt;=Lo_c-0.000000001,Alpha_keep*$A165+C$3-MIN(Loss_w)&lt;=Hi_c+0.000000001),1,0)</f>
        <v>1</v>
      </c>
      <c r="D165" s="14" t="n">
        <f aca="false">IF(AND(Alpha_keep*$A165+D$3-MAX(Loss_w)&gt;=Lo_c-0.000000001,Alpha_keep*$A165+D$3-MIN(Loss_w)&lt;=Hi_c+0.000000001),1,0)</f>
        <v>1</v>
      </c>
      <c r="E165" s="14" t="n">
        <f aca="false">IF(AND(Alpha_keep*$A165+E$3-MAX(Loss_w)&gt;=Lo_c-0.000000001,Alpha_keep*$A165+E$3-MIN(Loss_w)&lt;=Hi_c+0.000000001),1,0)</f>
        <v>1</v>
      </c>
      <c r="F165" s="14" t="n">
        <f aca="false">IF(AND(Alpha_keep*$A165+F$3-MAX(Loss_w)&gt;=Lo_c-0.000000001,Alpha_keep*$A165+F$3-MIN(Loss_w)&lt;=Hi_c+0.000000001),1,0)</f>
        <v>1</v>
      </c>
      <c r="G165" s="14" t="n">
        <f aca="false">IF(AND(Alpha_keep*$A165+G$3-MAX(Loss_w)&gt;=Lo_c-0.000000001,Alpha_keep*$A165+G$3-MIN(Loss_w)&lt;=Hi_c+0.000000001),1,0)</f>
        <v>1</v>
      </c>
      <c r="H165" s="14" t="n">
        <f aca="false">IF(AND(Alpha_keep*$A165+H$3-MAX(Loss_w)&gt;=Lo_c-0.000000001,Alpha_keep*$A165+H$3-MIN(Loss_w)&lt;=Hi_c+0.000000001),1,0)</f>
        <v>1</v>
      </c>
      <c r="I165" s="14" t="n">
        <f aca="false">IF(AND(Alpha_keep*$A165+I$3-MAX(Loss_w)&gt;=Lo_c-0.000000001,Alpha_keep*$A165+I$3-MIN(Loss_w)&lt;=Hi_c+0.000000001),1,0)</f>
        <v>1</v>
      </c>
      <c r="J165" s="14" t="n">
        <f aca="false">IF(AND(Alpha_keep*$A165+J$3-MAX(Loss_w)&gt;=Lo_c-0.000000001,Alpha_keep*$A165+J$3-MIN(Loss_w)&lt;=Hi_c+0.000000001),1,0)</f>
        <v>1</v>
      </c>
      <c r="K165" s="14" t="n">
        <f aca="false">IF(AND(Alpha_keep*$A165+K$3-MAX(Loss_w)&gt;=Lo_c-0.000000001,Alpha_keep*$A165+K$3-MIN(Loss_w)&lt;=Hi_c+0.000000001),1,0)</f>
        <v>1</v>
      </c>
      <c r="L165" s="14" t="n">
        <f aca="false">IF(AND(Alpha_keep*$A165+L$3-MAX(Loss_w)&gt;=Lo_c-0.000000001,Alpha_keep*$A165+L$3-MIN(Loss_w)&lt;=Hi_c+0.000000001),1,0)</f>
        <v>1</v>
      </c>
      <c r="M165" s="14" t="n">
        <f aca="false">IF(AND(Alpha_keep*$A165+M$3-MAX(Loss_w)&gt;=Lo_c-0.000000001,Alpha_keep*$A165+M$3-MIN(Loss_w)&lt;=Hi_c+0.000000001),1,0)</f>
        <v>1</v>
      </c>
      <c r="N165" s="14" t="n">
        <f aca="false">IF(C165=1,IF(OR(Alpha_keep*$A165+N$3&gt;=Floor_c-0.000000001,AND($B165=0,N$3&gt;=Cap_h-0.000000001)),1,0),0)</f>
        <v>1</v>
      </c>
      <c r="O165" s="14" t="n">
        <f aca="false">IF(D165=1,IF(OR(Alpha_keep*$A165+O$3&gt;=Floor_c-0.000000001,AND($B165=0,O$3&gt;=Cap_h-0.000000001)),1,0),0)</f>
        <v>1</v>
      </c>
      <c r="P165" s="14" t="n">
        <f aca="false">IF(E165=1,IF(OR(Alpha_keep*$A165+P$3&gt;=Floor_c-0.000000001,AND($B165=0,P$3&gt;=Cap_h-0.000000001)),1,0),0)</f>
        <v>1</v>
      </c>
      <c r="Q165" s="14" t="n">
        <f aca="false">IF(F165=1,IF(OR(Alpha_keep*$A165+Q$3&gt;=Floor_c-0.000000001,AND($B165=0,Q$3&gt;=Cap_h-0.000000001)),1,0),0)</f>
        <v>1</v>
      </c>
      <c r="R165" s="14" t="n">
        <f aca="false">IF(G165=1,IF(OR(Alpha_keep*$A165+R$3&gt;=Floor_c-0.000000001,AND($B165=0,R$3&gt;=Cap_h-0.000000001)),1,0),0)</f>
        <v>1</v>
      </c>
      <c r="S165" s="14" t="n">
        <f aca="false">IF(H165=1,IF(OR(Alpha_keep*$A165+S$3&gt;=Floor_c-0.000000001,AND($B165=0,S$3&gt;=Cap_h-0.000000001)),1,0),0)</f>
        <v>1</v>
      </c>
      <c r="T165" s="14" t="n">
        <f aca="false">IF(I165=1,IF(OR(Alpha_keep*$A165+T$3&gt;=Floor_c-0.000000001,AND($B165=0,T$3&gt;=Cap_h-0.000000001)),1,0),0)</f>
        <v>1</v>
      </c>
      <c r="U165" s="14" t="n">
        <f aca="false">IF(J165=1,IF(OR(Alpha_keep*$A165+U$3&gt;=Floor_c-0.000000001,AND($B165=0,U$3&gt;=Cap_h-0.000000001)),1,0),0)</f>
        <v>1</v>
      </c>
      <c r="V165" s="14" t="n">
        <f aca="false">IF(K165=1,IF(OR(Alpha_keep*$A165+V$3&gt;=Floor_c-0.000000001,AND($B165=0,V$3&gt;=Cap_h-0.000000001)),1,0),0)</f>
        <v>1</v>
      </c>
      <c r="W165" s="14" t="n">
        <f aca="false">IF(L165=1,IF(OR(Alpha_keep*$A165+W$3&gt;=Floor_c-0.000000001,AND($B165=0,W$3&gt;=Cap_h-0.000000001)),1,0),0)</f>
        <v>1</v>
      </c>
      <c r="X165" s="14" t="n">
        <f aca="false">IF(M165=1,IF(OR(Alpha_keep*$A165+X$3&gt;=Floor_c-0.000000001,AND($B165=0,X$3&gt;=Cap_h-0.000000001)),1,0),0)</f>
        <v>1</v>
      </c>
      <c r="Y165" s="14" t="n">
        <f aca="false">SUM(C165:M165)</f>
        <v>11</v>
      </c>
      <c r="Z165" s="14" t="n">
        <f aca="false">SUM(N165:X165)</f>
        <v>11</v>
      </c>
      <c r="AA165" s="12" t="n">
        <f aca="false">INDEX($C$3:$M$3,MATCH(1,C165:M165,0))</f>
        <v>0</v>
      </c>
      <c r="AB165" s="12" t="n">
        <f aca="false">INDEX($N$3:$X$3,MATCH(1,N165:X165,0))+(Z165-1)*Step_h</f>
        <v>2.5</v>
      </c>
    </row>
    <row r="166" customFormat="false" ht="15" hidden="false" customHeight="false" outlineLevel="0" collapsed="false">
      <c r="A166" s="12" t="n">
        <f aca="false">A165+Step_c</f>
        <v>70.25</v>
      </c>
      <c r="B166" s="14" t="n">
        <f aca="false">IF(SUMPRODUCT((Alpha_keep*$A166+$C$3:$M$3&gt;=Floor_c-0.000000001)*(C166:M166))&gt;0,1,0)</f>
        <v>1</v>
      </c>
      <c r="C166" s="14" t="n">
        <f aca="false">IF(AND(Alpha_keep*$A166+C$3-MAX(Loss_w)&gt;=Lo_c-0.000000001,Alpha_keep*$A166+C$3-MIN(Loss_w)&lt;=Hi_c+0.000000001),1,0)</f>
        <v>1</v>
      </c>
      <c r="D166" s="14" t="n">
        <f aca="false">IF(AND(Alpha_keep*$A166+D$3-MAX(Loss_w)&gt;=Lo_c-0.000000001,Alpha_keep*$A166+D$3-MIN(Loss_w)&lt;=Hi_c+0.000000001),1,0)</f>
        <v>1</v>
      </c>
      <c r="E166" s="14" t="n">
        <f aca="false">IF(AND(Alpha_keep*$A166+E$3-MAX(Loss_w)&gt;=Lo_c-0.000000001,Alpha_keep*$A166+E$3-MIN(Loss_w)&lt;=Hi_c+0.000000001),1,0)</f>
        <v>1</v>
      </c>
      <c r="F166" s="14" t="n">
        <f aca="false">IF(AND(Alpha_keep*$A166+F$3-MAX(Loss_w)&gt;=Lo_c-0.000000001,Alpha_keep*$A166+F$3-MIN(Loss_w)&lt;=Hi_c+0.000000001),1,0)</f>
        <v>1</v>
      </c>
      <c r="G166" s="14" t="n">
        <f aca="false">IF(AND(Alpha_keep*$A166+G$3-MAX(Loss_w)&gt;=Lo_c-0.000000001,Alpha_keep*$A166+G$3-MIN(Loss_w)&lt;=Hi_c+0.000000001),1,0)</f>
        <v>1</v>
      </c>
      <c r="H166" s="14" t="n">
        <f aca="false">IF(AND(Alpha_keep*$A166+H$3-MAX(Loss_w)&gt;=Lo_c-0.000000001,Alpha_keep*$A166+H$3-MIN(Loss_w)&lt;=Hi_c+0.000000001),1,0)</f>
        <v>1</v>
      </c>
      <c r="I166" s="14" t="n">
        <f aca="false">IF(AND(Alpha_keep*$A166+I$3-MAX(Loss_w)&gt;=Lo_c-0.000000001,Alpha_keep*$A166+I$3-MIN(Loss_w)&lt;=Hi_c+0.000000001),1,0)</f>
        <v>1</v>
      </c>
      <c r="J166" s="14" t="n">
        <f aca="false">IF(AND(Alpha_keep*$A166+J$3-MAX(Loss_w)&gt;=Lo_c-0.000000001,Alpha_keep*$A166+J$3-MIN(Loss_w)&lt;=Hi_c+0.000000001),1,0)</f>
        <v>1</v>
      </c>
      <c r="K166" s="14" t="n">
        <f aca="false">IF(AND(Alpha_keep*$A166+K$3-MAX(Loss_w)&gt;=Lo_c-0.000000001,Alpha_keep*$A166+K$3-MIN(Loss_w)&lt;=Hi_c+0.000000001),1,0)</f>
        <v>1</v>
      </c>
      <c r="L166" s="14" t="n">
        <f aca="false">IF(AND(Alpha_keep*$A166+L$3-MAX(Loss_w)&gt;=Lo_c-0.000000001,Alpha_keep*$A166+L$3-MIN(Loss_w)&lt;=Hi_c+0.000000001),1,0)</f>
        <v>1</v>
      </c>
      <c r="M166" s="14" t="n">
        <f aca="false">IF(AND(Alpha_keep*$A166+M$3-MAX(Loss_w)&gt;=Lo_c-0.000000001,Alpha_keep*$A166+M$3-MIN(Loss_w)&lt;=Hi_c+0.000000001),1,0)</f>
        <v>1</v>
      </c>
      <c r="N166" s="14" t="n">
        <f aca="false">IF(C166=1,IF(OR(Alpha_keep*$A166+N$3&gt;=Floor_c-0.000000001,AND($B166=0,N$3&gt;=Cap_h-0.000000001)),1,0),0)</f>
        <v>1</v>
      </c>
      <c r="O166" s="14" t="n">
        <f aca="false">IF(D166=1,IF(OR(Alpha_keep*$A166+O$3&gt;=Floor_c-0.000000001,AND($B166=0,O$3&gt;=Cap_h-0.000000001)),1,0),0)</f>
        <v>1</v>
      </c>
      <c r="P166" s="14" t="n">
        <f aca="false">IF(E166=1,IF(OR(Alpha_keep*$A166+P$3&gt;=Floor_c-0.000000001,AND($B166=0,P$3&gt;=Cap_h-0.000000001)),1,0),0)</f>
        <v>1</v>
      </c>
      <c r="Q166" s="14" t="n">
        <f aca="false">IF(F166=1,IF(OR(Alpha_keep*$A166+Q$3&gt;=Floor_c-0.000000001,AND($B166=0,Q$3&gt;=Cap_h-0.000000001)),1,0),0)</f>
        <v>1</v>
      </c>
      <c r="R166" s="14" t="n">
        <f aca="false">IF(G166=1,IF(OR(Alpha_keep*$A166+R$3&gt;=Floor_c-0.000000001,AND($B166=0,R$3&gt;=Cap_h-0.000000001)),1,0),0)</f>
        <v>1</v>
      </c>
      <c r="S166" s="14" t="n">
        <f aca="false">IF(H166=1,IF(OR(Alpha_keep*$A166+S$3&gt;=Floor_c-0.000000001,AND($B166=0,S$3&gt;=Cap_h-0.000000001)),1,0),0)</f>
        <v>1</v>
      </c>
      <c r="T166" s="14" t="n">
        <f aca="false">IF(I166=1,IF(OR(Alpha_keep*$A166+T$3&gt;=Floor_c-0.000000001,AND($B166=0,T$3&gt;=Cap_h-0.000000001)),1,0),0)</f>
        <v>1</v>
      </c>
      <c r="U166" s="14" t="n">
        <f aca="false">IF(J166=1,IF(OR(Alpha_keep*$A166+U$3&gt;=Floor_c-0.000000001,AND($B166=0,U$3&gt;=Cap_h-0.000000001)),1,0),0)</f>
        <v>1</v>
      </c>
      <c r="V166" s="14" t="n">
        <f aca="false">IF(K166=1,IF(OR(Alpha_keep*$A166+V$3&gt;=Floor_c-0.000000001,AND($B166=0,V$3&gt;=Cap_h-0.000000001)),1,0),0)</f>
        <v>1</v>
      </c>
      <c r="W166" s="14" t="n">
        <f aca="false">IF(L166=1,IF(OR(Alpha_keep*$A166+W$3&gt;=Floor_c-0.000000001,AND($B166=0,W$3&gt;=Cap_h-0.000000001)),1,0),0)</f>
        <v>1</v>
      </c>
      <c r="X166" s="14" t="n">
        <f aca="false">IF(M166=1,IF(OR(Alpha_keep*$A166+X$3&gt;=Floor_c-0.000000001,AND($B166=0,X$3&gt;=Cap_h-0.000000001)),1,0),0)</f>
        <v>1</v>
      </c>
      <c r="Y166" s="14" t="n">
        <f aca="false">SUM(C166:M166)</f>
        <v>11</v>
      </c>
      <c r="Z166" s="14" t="n">
        <f aca="false">SUM(N166:X166)</f>
        <v>11</v>
      </c>
      <c r="AA166" s="12" t="n">
        <f aca="false">INDEX($C$3:$M$3,MATCH(1,C166:M166,0))</f>
        <v>0</v>
      </c>
      <c r="AB166" s="12" t="n">
        <f aca="false">INDEX($N$3:$X$3,MATCH(1,N166:X166,0))+(Z166-1)*Step_h</f>
        <v>2.5</v>
      </c>
    </row>
    <row r="167" customFormat="false" ht="15" hidden="false" customHeight="false" outlineLevel="0" collapsed="false">
      <c r="A167" s="12" t="n">
        <f aca="false">A166+Step_c</f>
        <v>70.5</v>
      </c>
      <c r="B167" s="14" t="n">
        <f aca="false">IF(SUMPRODUCT((Alpha_keep*$A167+$C$3:$M$3&gt;=Floor_c-0.000000001)*(C167:M167))&gt;0,1,0)</f>
        <v>1</v>
      </c>
      <c r="C167" s="14" t="n">
        <f aca="false">IF(AND(Alpha_keep*$A167+C$3-MAX(Loss_w)&gt;=Lo_c-0.000000001,Alpha_keep*$A167+C$3-MIN(Loss_w)&lt;=Hi_c+0.000000001),1,0)</f>
        <v>1</v>
      </c>
      <c r="D167" s="14" t="n">
        <f aca="false">IF(AND(Alpha_keep*$A167+D$3-MAX(Loss_w)&gt;=Lo_c-0.000000001,Alpha_keep*$A167+D$3-MIN(Loss_w)&lt;=Hi_c+0.000000001),1,0)</f>
        <v>1</v>
      </c>
      <c r="E167" s="14" t="n">
        <f aca="false">IF(AND(Alpha_keep*$A167+E$3-MAX(Loss_w)&gt;=Lo_c-0.000000001,Alpha_keep*$A167+E$3-MIN(Loss_w)&lt;=Hi_c+0.000000001),1,0)</f>
        <v>1</v>
      </c>
      <c r="F167" s="14" t="n">
        <f aca="false">IF(AND(Alpha_keep*$A167+F$3-MAX(Loss_w)&gt;=Lo_c-0.000000001,Alpha_keep*$A167+F$3-MIN(Loss_w)&lt;=Hi_c+0.000000001),1,0)</f>
        <v>1</v>
      </c>
      <c r="G167" s="14" t="n">
        <f aca="false">IF(AND(Alpha_keep*$A167+G$3-MAX(Loss_w)&gt;=Lo_c-0.000000001,Alpha_keep*$A167+G$3-MIN(Loss_w)&lt;=Hi_c+0.000000001),1,0)</f>
        <v>1</v>
      </c>
      <c r="H167" s="14" t="n">
        <f aca="false">IF(AND(Alpha_keep*$A167+H$3-MAX(Loss_w)&gt;=Lo_c-0.000000001,Alpha_keep*$A167+H$3-MIN(Loss_w)&lt;=Hi_c+0.000000001),1,0)</f>
        <v>1</v>
      </c>
      <c r="I167" s="14" t="n">
        <f aca="false">IF(AND(Alpha_keep*$A167+I$3-MAX(Loss_w)&gt;=Lo_c-0.000000001,Alpha_keep*$A167+I$3-MIN(Loss_w)&lt;=Hi_c+0.000000001),1,0)</f>
        <v>1</v>
      </c>
      <c r="J167" s="14" t="n">
        <f aca="false">IF(AND(Alpha_keep*$A167+J$3-MAX(Loss_w)&gt;=Lo_c-0.000000001,Alpha_keep*$A167+J$3-MIN(Loss_w)&lt;=Hi_c+0.000000001),1,0)</f>
        <v>1</v>
      </c>
      <c r="K167" s="14" t="n">
        <f aca="false">IF(AND(Alpha_keep*$A167+K$3-MAX(Loss_w)&gt;=Lo_c-0.000000001,Alpha_keep*$A167+K$3-MIN(Loss_w)&lt;=Hi_c+0.000000001),1,0)</f>
        <v>1</v>
      </c>
      <c r="L167" s="14" t="n">
        <f aca="false">IF(AND(Alpha_keep*$A167+L$3-MAX(Loss_w)&gt;=Lo_c-0.000000001,Alpha_keep*$A167+L$3-MIN(Loss_w)&lt;=Hi_c+0.000000001),1,0)</f>
        <v>1</v>
      </c>
      <c r="M167" s="14" t="n">
        <f aca="false">IF(AND(Alpha_keep*$A167+M$3-MAX(Loss_w)&gt;=Lo_c-0.000000001,Alpha_keep*$A167+M$3-MIN(Loss_w)&lt;=Hi_c+0.000000001),1,0)</f>
        <v>1</v>
      </c>
      <c r="N167" s="14" t="n">
        <f aca="false">IF(C167=1,IF(OR(Alpha_keep*$A167+N$3&gt;=Floor_c-0.000000001,AND($B167=0,N$3&gt;=Cap_h-0.000000001)),1,0),0)</f>
        <v>1</v>
      </c>
      <c r="O167" s="14" t="n">
        <f aca="false">IF(D167=1,IF(OR(Alpha_keep*$A167+O$3&gt;=Floor_c-0.000000001,AND($B167=0,O$3&gt;=Cap_h-0.000000001)),1,0),0)</f>
        <v>1</v>
      </c>
      <c r="P167" s="14" t="n">
        <f aca="false">IF(E167=1,IF(OR(Alpha_keep*$A167+P$3&gt;=Floor_c-0.000000001,AND($B167=0,P$3&gt;=Cap_h-0.000000001)),1,0),0)</f>
        <v>1</v>
      </c>
      <c r="Q167" s="14" t="n">
        <f aca="false">IF(F167=1,IF(OR(Alpha_keep*$A167+Q$3&gt;=Floor_c-0.000000001,AND($B167=0,Q$3&gt;=Cap_h-0.000000001)),1,0),0)</f>
        <v>1</v>
      </c>
      <c r="R167" s="14" t="n">
        <f aca="false">IF(G167=1,IF(OR(Alpha_keep*$A167+R$3&gt;=Floor_c-0.000000001,AND($B167=0,R$3&gt;=Cap_h-0.000000001)),1,0),0)</f>
        <v>1</v>
      </c>
      <c r="S167" s="14" t="n">
        <f aca="false">IF(H167=1,IF(OR(Alpha_keep*$A167+S$3&gt;=Floor_c-0.000000001,AND($B167=0,S$3&gt;=Cap_h-0.000000001)),1,0),0)</f>
        <v>1</v>
      </c>
      <c r="T167" s="14" t="n">
        <f aca="false">IF(I167=1,IF(OR(Alpha_keep*$A167+T$3&gt;=Floor_c-0.000000001,AND($B167=0,T$3&gt;=Cap_h-0.000000001)),1,0),0)</f>
        <v>1</v>
      </c>
      <c r="U167" s="14" t="n">
        <f aca="false">IF(J167=1,IF(OR(Alpha_keep*$A167+U$3&gt;=Floor_c-0.000000001,AND($B167=0,U$3&gt;=Cap_h-0.000000001)),1,0),0)</f>
        <v>1</v>
      </c>
      <c r="V167" s="14" t="n">
        <f aca="false">IF(K167=1,IF(OR(Alpha_keep*$A167+V$3&gt;=Floor_c-0.000000001,AND($B167=0,V$3&gt;=Cap_h-0.000000001)),1,0),0)</f>
        <v>1</v>
      </c>
      <c r="W167" s="14" t="n">
        <f aca="false">IF(L167=1,IF(OR(Alpha_keep*$A167+W$3&gt;=Floor_c-0.000000001,AND($B167=0,W$3&gt;=Cap_h-0.000000001)),1,0),0)</f>
        <v>1</v>
      </c>
      <c r="X167" s="14" t="n">
        <f aca="false">IF(M167=1,IF(OR(Alpha_keep*$A167+X$3&gt;=Floor_c-0.000000001,AND($B167=0,X$3&gt;=Cap_h-0.000000001)),1,0),0)</f>
        <v>1</v>
      </c>
      <c r="Y167" s="14" t="n">
        <f aca="false">SUM(C167:M167)</f>
        <v>11</v>
      </c>
      <c r="Z167" s="14" t="n">
        <f aca="false">SUM(N167:X167)</f>
        <v>11</v>
      </c>
      <c r="AA167" s="12" t="n">
        <f aca="false">INDEX($C$3:$M$3,MATCH(1,C167:M167,0))</f>
        <v>0</v>
      </c>
      <c r="AB167" s="12" t="n">
        <f aca="false">INDEX($N$3:$X$3,MATCH(1,N167:X167,0))+(Z167-1)*Step_h</f>
        <v>2.5</v>
      </c>
    </row>
    <row r="168" customFormat="false" ht="15" hidden="false" customHeight="false" outlineLevel="0" collapsed="false">
      <c r="A168" s="12" t="n">
        <f aca="false">A167+Step_c</f>
        <v>70.75</v>
      </c>
      <c r="B168" s="14" t="n">
        <f aca="false">IF(SUMPRODUCT((Alpha_keep*$A168+$C$3:$M$3&gt;=Floor_c-0.000000001)*(C168:M168))&gt;0,1,0)</f>
        <v>1</v>
      </c>
      <c r="C168" s="14" t="n">
        <f aca="false">IF(AND(Alpha_keep*$A168+C$3-MAX(Loss_w)&gt;=Lo_c-0.000000001,Alpha_keep*$A168+C$3-MIN(Loss_w)&lt;=Hi_c+0.000000001),1,0)</f>
        <v>1</v>
      </c>
      <c r="D168" s="14" t="n">
        <f aca="false">IF(AND(Alpha_keep*$A168+D$3-MAX(Loss_w)&gt;=Lo_c-0.000000001,Alpha_keep*$A168+D$3-MIN(Loss_w)&lt;=Hi_c+0.000000001),1,0)</f>
        <v>1</v>
      </c>
      <c r="E168" s="14" t="n">
        <f aca="false">IF(AND(Alpha_keep*$A168+E$3-MAX(Loss_w)&gt;=Lo_c-0.000000001,Alpha_keep*$A168+E$3-MIN(Loss_w)&lt;=Hi_c+0.000000001),1,0)</f>
        <v>1</v>
      </c>
      <c r="F168" s="14" t="n">
        <f aca="false">IF(AND(Alpha_keep*$A168+F$3-MAX(Loss_w)&gt;=Lo_c-0.000000001,Alpha_keep*$A168+F$3-MIN(Loss_w)&lt;=Hi_c+0.000000001),1,0)</f>
        <v>1</v>
      </c>
      <c r="G168" s="14" t="n">
        <f aca="false">IF(AND(Alpha_keep*$A168+G$3-MAX(Loss_w)&gt;=Lo_c-0.000000001,Alpha_keep*$A168+G$3-MIN(Loss_w)&lt;=Hi_c+0.000000001),1,0)</f>
        <v>1</v>
      </c>
      <c r="H168" s="14" t="n">
        <f aca="false">IF(AND(Alpha_keep*$A168+H$3-MAX(Loss_w)&gt;=Lo_c-0.000000001,Alpha_keep*$A168+H$3-MIN(Loss_w)&lt;=Hi_c+0.000000001),1,0)</f>
        <v>1</v>
      </c>
      <c r="I168" s="14" t="n">
        <f aca="false">IF(AND(Alpha_keep*$A168+I$3-MAX(Loss_w)&gt;=Lo_c-0.000000001,Alpha_keep*$A168+I$3-MIN(Loss_w)&lt;=Hi_c+0.000000001),1,0)</f>
        <v>1</v>
      </c>
      <c r="J168" s="14" t="n">
        <f aca="false">IF(AND(Alpha_keep*$A168+J$3-MAX(Loss_w)&gt;=Lo_c-0.000000001,Alpha_keep*$A168+J$3-MIN(Loss_w)&lt;=Hi_c+0.000000001),1,0)</f>
        <v>1</v>
      </c>
      <c r="K168" s="14" t="n">
        <f aca="false">IF(AND(Alpha_keep*$A168+K$3-MAX(Loss_w)&gt;=Lo_c-0.000000001,Alpha_keep*$A168+K$3-MIN(Loss_w)&lt;=Hi_c+0.000000001),1,0)</f>
        <v>1</v>
      </c>
      <c r="L168" s="14" t="n">
        <f aca="false">IF(AND(Alpha_keep*$A168+L$3-MAX(Loss_w)&gt;=Lo_c-0.000000001,Alpha_keep*$A168+L$3-MIN(Loss_w)&lt;=Hi_c+0.000000001),1,0)</f>
        <v>1</v>
      </c>
      <c r="M168" s="14" t="n">
        <f aca="false">IF(AND(Alpha_keep*$A168+M$3-MAX(Loss_w)&gt;=Lo_c-0.000000001,Alpha_keep*$A168+M$3-MIN(Loss_w)&lt;=Hi_c+0.000000001),1,0)</f>
        <v>1</v>
      </c>
      <c r="N168" s="14" t="n">
        <f aca="false">IF(C168=1,IF(OR(Alpha_keep*$A168+N$3&gt;=Floor_c-0.000000001,AND($B168=0,N$3&gt;=Cap_h-0.000000001)),1,0),0)</f>
        <v>1</v>
      </c>
      <c r="O168" s="14" t="n">
        <f aca="false">IF(D168=1,IF(OR(Alpha_keep*$A168+O$3&gt;=Floor_c-0.000000001,AND($B168=0,O$3&gt;=Cap_h-0.000000001)),1,0),0)</f>
        <v>1</v>
      </c>
      <c r="P168" s="14" t="n">
        <f aca="false">IF(E168=1,IF(OR(Alpha_keep*$A168+P$3&gt;=Floor_c-0.000000001,AND($B168=0,P$3&gt;=Cap_h-0.000000001)),1,0),0)</f>
        <v>1</v>
      </c>
      <c r="Q168" s="14" t="n">
        <f aca="false">IF(F168=1,IF(OR(Alpha_keep*$A168+Q$3&gt;=Floor_c-0.000000001,AND($B168=0,Q$3&gt;=Cap_h-0.000000001)),1,0),0)</f>
        <v>1</v>
      </c>
      <c r="R168" s="14" t="n">
        <f aca="false">IF(G168=1,IF(OR(Alpha_keep*$A168+R$3&gt;=Floor_c-0.000000001,AND($B168=0,R$3&gt;=Cap_h-0.000000001)),1,0),0)</f>
        <v>1</v>
      </c>
      <c r="S168" s="14" t="n">
        <f aca="false">IF(H168=1,IF(OR(Alpha_keep*$A168+S$3&gt;=Floor_c-0.000000001,AND($B168=0,S$3&gt;=Cap_h-0.000000001)),1,0),0)</f>
        <v>1</v>
      </c>
      <c r="T168" s="14" t="n">
        <f aca="false">IF(I168=1,IF(OR(Alpha_keep*$A168+T$3&gt;=Floor_c-0.000000001,AND($B168=0,T$3&gt;=Cap_h-0.000000001)),1,0),0)</f>
        <v>1</v>
      </c>
      <c r="U168" s="14" t="n">
        <f aca="false">IF(J168=1,IF(OR(Alpha_keep*$A168+U$3&gt;=Floor_c-0.000000001,AND($B168=0,U$3&gt;=Cap_h-0.000000001)),1,0),0)</f>
        <v>1</v>
      </c>
      <c r="V168" s="14" t="n">
        <f aca="false">IF(K168=1,IF(OR(Alpha_keep*$A168+V$3&gt;=Floor_c-0.000000001,AND($B168=0,V$3&gt;=Cap_h-0.000000001)),1,0),0)</f>
        <v>1</v>
      </c>
      <c r="W168" s="14" t="n">
        <f aca="false">IF(L168=1,IF(OR(Alpha_keep*$A168+W$3&gt;=Floor_c-0.000000001,AND($B168=0,W$3&gt;=Cap_h-0.000000001)),1,0),0)</f>
        <v>1</v>
      </c>
      <c r="X168" s="14" t="n">
        <f aca="false">IF(M168=1,IF(OR(Alpha_keep*$A168+X$3&gt;=Floor_c-0.000000001,AND($B168=0,X$3&gt;=Cap_h-0.000000001)),1,0),0)</f>
        <v>1</v>
      </c>
      <c r="Y168" s="14" t="n">
        <f aca="false">SUM(C168:M168)</f>
        <v>11</v>
      </c>
      <c r="Z168" s="14" t="n">
        <f aca="false">SUM(N168:X168)</f>
        <v>11</v>
      </c>
      <c r="AA168" s="12" t="n">
        <f aca="false">INDEX($C$3:$M$3,MATCH(1,C168:M168,0))</f>
        <v>0</v>
      </c>
      <c r="AB168" s="12" t="n">
        <f aca="false">INDEX($N$3:$X$3,MATCH(1,N168:X168,0))+(Z168-1)*Step_h</f>
        <v>2.5</v>
      </c>
    </row>
    <row r="169" customFormat="false" ht="15" hidden="false" customHeight="false" outlineLevel="0" collapsed="false">
      <c r="A169" s="12" t="n">
        <f aca="false">A168+Step_c</f>
        <v>71</v>
      </c>
      <c r="B169" s="14" t="n">
        <f aca="false">IF(SUMPRODUCT((Alpha_keep*$A169+$C$3:$M$3&gt;=Floor_c-0.000000001)*(C169:M169))&gt;0,1,0)</f>
        <v>1</v>
      </c>
      <c r="C169" s="14" t="n">
        <f aca="false">IF(AND(Alpha_keep*$A169+C$3-MAX(Loss_w)&gt;=Lo_c-0.000000001,Alpha_keep*$A169+C$3-MIN(Loss_w)&lt;=Hi_c+0.000000001),1,0)</f>
        <v>1</v>
      </c>
      <c r="D169" s="14" t="n">
        <f aca="false">IF(AND(Alpha_keep*$A169+D$3-MAX(Loss_w)&gt;=Lo_c-0.000000001,Alpha_keep*$A169+D$3-MIN(Loss_w)&lt;=Hi_c+0.000000001),1,0)</f>
        <v>1</v>
      </c>
      <c r="E169" s="14" t="n">
        <f aca="false">IF(AND(Alpha_keep*$A169+E$3-MAX(Loss_w)&gt;=Lo_c-0.000000001,Alpha_keep*$A169+E$3-MIN(Loss_w)&lt;=Hi_c+0.000000001),1,0)</f>
        <v>1</v>
      </c>
      <c r="F169" s="14" t="n">
        <f aca="false">IF(AND(Alpha_keep*$A169+F$3-MAX(Loss_w)&gt;=Lo_c-0.000000001,Alpha_keep*$A169+F$3-MIN(Loss_w)&lt;=Hi_c+0.000000001),1,0)</f>
        <v>1</v>
      </c>
      <c r="G169" s="14" t="n">
        <f aca="false">IF(AND(Alpha_keep*$A169+G$3-MAX(Loss_w)&gt;=Lo_c-0.000000001,Alpha_keep*$A169+G$3-MIN(Loss_w)&lt;=Hi_c+0.000000001),1,0)</f>
        <v>1</v>
      </c>
      <c r="H169" s="14" t="n">
        <f aca="false">IF(AND(Alpha_keep*$A169+H$3-MAX(Loss_w)&gt;=Lo_c-0.000000001,Alpha_keep*$A169+H$3-MIN(Loss_w)&lt;=Hi_c+0.000000001),1,0)</f>
        <v>1</v>
      </c>
      <c r="I169" s="14" t="n">
        <f aca="false">IF(AND(Alpha_keep*$A169+I$3-MAX(Loss_w)&gt;=Lo_c-0.000000001,Alpha_keep*$A169+I$3-MIN(Loss_w)&lt;=Hi_c+0.000000001),1,0)</f>
        <v>1</v>
      </c>
      <c r="J169" s="14" t="n">
        <f aca="false">IF(AND(Alpha_keep*$A169+J$3-MAX(Loss_w)&gt;=Lo_c-0.000000001,Alpha_keep*$A169+J$3-MIN(Loss_w)&lt;=Hi_c+0.000000001),1,0)</f>
        <v>1</v>
      </c>
      <c r="K169" s="14" t="n">
        <f aca="false">IF(AND(Alpha_keep*$A169+K$3-MAX(Loss_w)&gt;=Lo_c-0.000000001,Alpha_keep*$A169+K$3-MIN(Loss_w)&lt;=Hi_c+0.000000001),1,0)</f>
        <v>1</v>
      </c>
      <c r="L169" s="14" t="n">
        <f aca="false">IF(AND(Alpha_keep*$A169+L$3-MAX(Loss_w)&gt;=Lo_c-0.000000001,Alpha_keep*$A169+L$3-MIN(Loss_w)&lt;=Hi_c+0.000000001),1,0)</f>
        <v>1</v>
      </c>
      <c r="M169" s="14" t="n">
        <f aca="false">IF(AND(Alpha_keep*$A169+M$3-MAX(Loss_w)&gt;=Lo_c-0.000000001,Alpha_keep*$A169+M$3-MIN(Loss_w)&lt;=Hi_c+0.000000001),1,0)</f>
        <v>1</v>
      </c>
      <c r="N169" s="14" t="n">
        <f aca="false">IF(C169=1,IF(OR(Alpha_keep*$A169+N$3&gt;=Floor_c-0.000000001,AND($B169=0,N$3&gt;=Cap_h-0.000000001)),1,0),0)</f>
        <v>1</v>
      </c>
      <c r="O169" s="14" t="n">
        <f aca="false">IF(D169=1,IF(OR(Alpha_keep*$A169+O$3&gt;=Floor_c-0.000000001,AND($B169=0,O$3&gt;=Cap_h-0.000000001)),1,0),0)</f>
        <v>1</v>
      </c>
      <c r="P169" s="14" t="n">
        <f aca="false">IF(E169=1,IF(OR(Alpha_keep*$A169+P$3&gt;=Floor_c-0.000000001,AND($B169=0,P$3&gt;=Cap_h-0.000000001)),1,0),0)</f>
        <v>1</v>
      </c>
      <c r="Q169" s="14" t="n">
        <f aca="false">IF(F169=1,IF(OR(Alpha_keep*$A169+Q$3&gt;=Floor_c-0.000000001,AND($B169=0,Q$3&gt;=Cap_h-0.000000001)),1,0),0)</f>
        <v>1</v>
      </c>
      <c r="R169" s="14" t="n">
        <f aca="false">IF(G169=1,IF(OR(Alpha_keep*$A169+R$3&gt;=Floor_c-0.000000001,AND($B169=0,R$3&gt;=Cap_h-0.000000001)),1,0),0)</f>
        <v>1</v>
      </c>
      <c r="S169" s="14" t="n">
        <f aca="false">IF(H169=1,IF(OR(Alpha_keep*$A169+S$3&gt;=Floor_c-0.000000001,AND($B169=0,S$3&gt;=Cap_h-0.000000001)),1,0),0)</f>
        <v>1</v>
      </c>
      <c r="T169" s="14" t="n">
        <f aca="false">IF(I169=1,IF(OR(Alpha_keep*$A169+T$3&gt;=Floor_c-0.000000001,AND($B169=0,T$3&gt;=Cap_h-0.000000001)),1,0),0)</f>
        <v>1</v>
      </c>
      <c r="U169" s="14" t="n">
        <f aca="false">IF(J169=1,IF(OR(Alpha_keep*$A169+U$3&gt;=Floor_c-0.000000001,AND($B169=0,U$3&gt;=Cap_h-0.000000001)),1,0),0)</f>
        <v>1</v>
      </c>
      <c r="V169" s="14" t="n">
        <f aca="false">IF(K169=1,IF(OR(Alpha_keep*$A169+V$3&gt;=Floor_c-0.000000001,AND($B169=0,V$3&gt;=Cap_h-0.000000001)),1,0),0)</f>
        <v>1</v>
      </c>
      <c r="W169" s="14" t="n">
        <f aca="false">IF(L169=1,IF(OR(Alpha_keep*$A169+W$3&gt;=Floor_c-0.000000001,AND($B169=0,W$3&gt;=Cap_h-0.000000001)),1,0),0)</f>
        <v>1</v>
      </c>
      <c r="X169" s="14" t="n">
        <f aca="false">IF(M169=1,IF(OR(Alpha_keep*$A169+X$3&gt;=Floor_c-0.000000001,AND($B169=0,X$3&gt;=Cap_h-0.000000001)),1,0),0)</f>
        <v>1</v>
      </c>
      <c r="Y169" s="14" t="n">
        <f aca="false">SUM(C169:M169)</f>
        <v>11</v>
      </c>
      <c r="Z169" s="14" t="n">
        <f aca="false">SUM(N169:X169)</f>
        <v>11</v>
      </c>
      <c r="AA169" s="12" t="n">
        <f aca="false">INDEX($C$3:$M$3,MATCH(1,C169:M169,0))</f>
        <v>0</v>
      </c>
      <c r="AB169" s="12" t="n">
        <f aca="false">INDEX($N$3:$X$3,MATCH(1,N169:X169,0))+(Z169-1)*Step_h</f>
        <v>2.5</v>
      </c>
    </row>
    <row r="170" customFormat="false" ht="15" hidden="false" customHeight="false" outlineLevel="0" collapsed="false">
      <c r="A170" s="12" t="n">
        <f aca="false">A169+Step_c</f>
        <v>71.25</v>
      </c>
      <c r="B170" s="14" t="n">
        <f aca="false">IF(SUMPRODUCT((Alpha_keep*$A170+$C$3:$M$3&gt;=Floor_c-0.000000001)*(C170:M170))&gt;0,1,0)</f>
        <v>1</v>
      </c>
      <c r="C170" s="14" t="n">
        <f aca="false">IF(AND(Alpha_keep*$A170+C$3-MAX(Loss_w)&gt;=Lo_c-0.000000001,Alpha_keep*$A170+C$3-MIN(Loss_w)&lt;=Hi_c+0.000000001),1,0)</f>
        <v>1</v>
      </c>
      <c r="D170" s="14" t="n">
        <f aca="false">IF(AND(Alpha_keep*$A170+D$3-MAX(Loss_w)&gt;=Lo_c-0.000000001,Alpha_keep*$A170+D$3-MIN(Loss_w)&lt;=Hi_c+0.000000001),1,0)</f>
        <v>1</v>
      </c>
      <c r="E170" s="14" t="n">
        <f aca="false">IF(AND(Alpha_keep*$A170+E$3-MAX(Loss_w)&gt;=Lo_c-0.000000001,Alpha_keep*$A170+E$3-MIN(Loss_w)&lt;=Hi_c+0.000000001),1,0)</f>
        <v>1</v>
      </c>
      <c r="F170" s="14" t="n">
        <f aca="false">IF(AND(Alpha_keep*$A170+F$3-MAX(Loss_w)&gt;=Lo_c-0.000000001,Alpha_keep*$A170+F$3-MIN(Loss_w)&lt;=Hi_c+0.000000001),1,0)</f>
        <v>1</v>
      </c>
      <c r="G170" s="14" t="n">
        <f aca="false">IF(AND(Alpha_keep*$A170+G$3-MAX(Loss_w)&gt;=Lo_c-0.000000001,Alpha_keep*$A170+G$3-MIN(Loss_w)&lt;=Hi_c+0.000000001),1,0)</f>
        <v>1</v>
      </c>
      <c r="H170" s="14" t="n">
        <f aca="false">IF(AND(Alpha_keep*$A170+H$3-MAX(Loss_w)&gt;=Lo_c-0.000000001,Alpha_keep*$A170+H$3-MIN(Loss_w)&lt;=Hi_c+0.000000001),1,0)</f>
        <v>1</v>
      </c>
      <c r="I170" s="14" t="n">
        <f aca="false">IF(AND(Alpha_keep*$A170+I$3-MAX(Loss_w)&gt;=Lo_c-0.000000001,Alpha_keep*$A170+I$3-MIN(Loss_w)&lt;=Hi_c+0.000000001),1,0)</f>
        <v>1</v>
      </c>
      <c r="J170" s="14" t="n">
        <f aca="false">IF(AND(Alpha_keep*$A170+J$3-MAX(Loss_w)&gt;=Lo_c-0.000000001,Alpha_keep*$A170+J$3-MIN(Loss_w)&lt;=Hi_c+0.000000001),1,0)</f>
        <v>1</v>
      </c>
      <c r="K170" s="14" t="n">
        <f aca="false">IF(AND(Alpha_keep*$A170+K$3-MAX(Loss_w)&gt;=Lo_c-0.000000001,Alpha_keep*$A170+K$3-MIN(Loss_w)&lt;=Hi_c+0.000000001),1,0)</f>
        <v>1</v>
      </c>
      <c r="L170" s="14" t="n">
        <f aca="false">IF(AND(Alpha_keep*$A170+L$3-MAX(Loss_w)&gt;=Lo_c-0.000000001,Alpha_keep*$A170+L$3-MIN(Loss_w)&lt;=Hi_c+0.000000001),1,0)</f>
        <v>1</v>
      </c>
      <c r="M170" s="14" t="n">
        <f aca="false">IF(AND(Alpha_keep*$A170+M$3-MAX(Loss_w)&gt;=Lo_c-0.000000001,Alpha_keep*$A170+M$3-MIN(Loss_w)&lt;=Hi_c+0.000000001),1,0)</f>
        <v>1</v>
      </c>
      <c r="N170" s="14" t="n">
        <f aca="false">IF(C170=1,IF(OR(Alpha_keep*$A170+N$3&gt;=Floor_c-0.000000001,AND($B170=0,N$3&gt;=Cap_h-0.000000001)),1,0),0)</f>
        <v>1</v>
      </c>
      <c r="O170" s="14" t="n">
        <f aca="false">IF(D170=1,IF(OR(Alpha_keep*$A170+O$3&gt;=Floor_c-0.000000001,AND($B170=0,O$3&gt;=Cap_h-0.000000001)),1,0),0)</f>
        <v>1</v>
      </c>
      <c r="P170" s="14" t="n">
        <f aca="false">IF(E170=1,IF(OR(Alpha_keep*$A170+P$3&gt;=Floor_c-0.000000001,AND($B170=0,P$3&gt;=Cap_h-0.000000001)),1,0),0)</f>
        <v>1</v>
      </c>
      <c r="Q170" s="14" t="n">
        <f aca="false">IF(F170=1,IF(OR(Alpha_keep*$A170+Q$3&gt;=Floor_c-0.000000001,AND($B170=0,Q$3&gt;=Cap_h-0.000000001)),1,0),0)</f>
        <v>1</v>
      </c>
      <c r="R170" s="14" t="n">
        <f aca="false">IF(G170=1,IF(OR(Alpha_keep*$A170+R$3&gt;=Floor_c-0.000000001,AND($B170=0,R$3&gt;=Cap_h-0.000000001)),1,0),0)</f>
        <v>1</v>
      </c>
      <c r="S170" s="14" t="n">
        <f aca="false">IF(H170=1,IF(OR(Alpha_keep*$A170+S$3&gt;=Floor_c-0.000000001,AND($B170=0,S$3&gt;=Cap_h-0.000000001)),1,0),0)</f>
        <v>1</v>
      </c>
      <c r="T170" s="14" t="n">
        <f aca="false">IF(I170=1,IF(OR(Alpha_keep*$A170+T$3&gt;=Floor_c-0.000000001,AND($B170=0,T$3&gt;=Cap_h-0.000000001)),1,0),0)</f>
        <v>1</v>
      </c>
      <c r="U170" s="14" t="n">
        <f aca="false">IF(J170=1,IF(OR(Alpha_keep*$A170+U$3&gt;=Floor_c-0.000000001,AND($B170=0,U$3&gt;=Cap_h-0.000000001)),1,0),0)</f>
        <v>1</v>
      </c>
      <c r="V170" s="14" t="n">
        <f aca="false">IF(K170=1,IF(OR(Alpha_keep*$A170+V$3&gt;=Floor_c-0.000000001,AND($B170=0,V$3&gt;=Cap_h-0.000000001)),1,0),0)</f>
        <v>1</v>
      </c>
      <c r="W170" s="14" t="n">
        <f aca="false">IF(L170=1,IF(OR(Alpha_keep*$A170+W$3&gt;=Floor_c-0.000000001,AND($B170=0,W$3&gt;=Cap_h-0.000000001)),1,0),0)</f>
        <v>1</v>
      </c>
      <c r="X170" s="14" t="n">
        <f aca="false">IF(M170=1,IF(OR(Alpha_keep*$A170+X$3&gt;=Floor_c-0.000000001,AND($B170=0,X$3&gt;=Cap_h-0.000000001)),1,0),0)</f>
        <v>1</v>
      </c>
      <c r="Y170" s="14" t="n">
        <f aca="false">SUM(C170:M170)</f>
        <v>11</v>
      </c>
      <c r="Z170" s="14" t="n">
        <f aca="false">SUM(N170:X170)</f>
        <v>11</v>
      </c>
      <c r="AA170" s="12" t="n">
        <f aca="false">INDEX($C$3:$M$3,MATCH(1,C170:M170,0))</f>
        <v>0</v>
      </c>
      <c r="AB170" s="12" t="n">
        <f aca="false">INDEX($N$3:$X$3,MATCH(1,N170:X170,0))+(Z170-1)*Step_h</f>
        <v>2.5</v>
      </c>
    </row>
    <row r="171" customFormat="false" ht="15" hidden="false" customHeight="false" outlineLevel="0" collapsed="false">
      <c r="A171" s="12" t="n">
        <f aca="false">A170+Step_c</f>
        <v>71.5</v>
      </c>
      <c r="B171" s="14" t="n">
        <f aca="false">IF(SUMPRODUCT((Alpha_keep*$A171+$C$3:$M$3&gt;=Floor_c-0.000000001)*(C171:M171))&gt;0,1,0)</f>
        <v>1</v>
      </c>
      <c r="C171" s="14" t="n">
        <f aca="false">IF(AND(Alpha_keep*$A171+C$3-MAX(Loss_w)&gt;=Lo_c-0.000000001,Alpha_keep*$A171+C$3-MIN(Loss_w)&lt;=Hi_c+0.000000001),1,0)</f>
        <v>1</v>
      </c>
      <c r="D171" s="14" t="n">
        <f aca="false">IF(AND(Alpha_keep*$A171+D$3-MAX(Loss_w)&gt;=Lo_c-0.000000001,Alpha_keep*$A171+D$3-MIN(Loss_w)&lt;=Hi_c+0.000000001),1,0)</f>
        <v>1</v>
      </c>
      <c r="E171" s="14" t="n">
        <f aca="false">IF(AND(Alpha_keep*$A171+E$3-MAX(Loss_w)&gt;=Lo_c-0.000000001,Alpha_keep*$A171+E$3-MIN(Loss_w)&lt;=Hi_c+0.000000001),1,0)</f>
        <v>1</v>
      </c>
      <c r="F171" s="14" t="n">
        <f aca="false">IF(AND(Alpha_keep*$A171+F$3-MAX(Loss_w)&gt;=Lo_c-0.000000001,Alpha_keep*$A171+F$3-MIN(Loss_w)&lt;=Hi_c+0.000000001),1,0)</f>
        <v>1</v>
      </c>
      <c r="G171" s="14" t="n">
        <f aca="false">IF(AND(Alpha_keep*$A171+G$3-MAX(Loss_w)&gt;=Lo_c-0.000000001,Alpha_keep*$A171+G$3-MIN(Loss_w)&lt;=Hi_c+0.000000001),1,0)</f>
        <v>1</v>
      </c>
      <c r="H171" s="14" t="n">
        <f aca="false">IF(AND(Alpha_keep*$A171+H$3-MAX(Loss_w)&gt;=Lo_c-0.000000001,Alpha_keep*$A171+H$3-MIN(Loss_w)&lt;=Hi_c+0.000000001),1,0)</f>
        <v>1</v>
      </c>
      <c r="I171" s="14" t="n">
        <f aca="false">IF(AND(Alpha_keep*$A171+I$3-MAX(Loss_w)&gt;=Lo_c-0.000000001,Alpha_keep*$A171+I$3-MIN(Loss_w)&lt;=Hi_c+0.000000001),1,0)</f>
        <v>1</v>
      </c>
      <c r="J171" s="14" t="n">
        <f aca="false">IF(AND(Alpha_keep*$A171+J$3-MAX(Loss_w)&gt;=Lo_c-0.000000001,Alpha_keep*$A171+J$3-MIN(Loss_w)&lt;=Hi_c+0.000000001),1,0)</f>
        <v>1</v>
      </c>
      <c r="K171" s="14" t="n">
        <f aca="false">IF(AND(Alpha_keep*$A171+K$3-MAX(Loss_w)&gt;=Lo_c-0.000000001,Alpha_keep*$A171+K$3-MIN(Loss_w)&lt;=Hi_c+0.000000001),1,0)</f>
        <v>1</v>
      </c>
      <c r="L171" s="14" t="n">
        <f aca="false">IF(AND(Alpha_keep*$A171+L$3-MAX(Loss_w)&gt;=Lo_c-0.000000001,Alpha_keep*$A171+L$3-MIN(Loss_w)&lt;=Hi_c+0.000000001),1,0)</f>
        <v>1</v>
      </c>
      <c r="M171" s="14" t="n">
        <f aca="false">IF(AND(Alpha_keep*$A171+M$3-MAX(Loss_w)&gt;=Lo_c-0.000000001,Alpha_keep*$A171+M$3-MIN(Loss_w)&lt;=Hi_c+0.000000001),1,0)</f>
        <v>1</v>
      </c>
      <c r="N171" s="14" t="n">
        <f aca="false">IF(C171=1,IF(OR(Alpha_keep*$A171+N$3&gt;=Floor_c-0.000000001,AND($B171=0,N$3&gt;=Cap_h-0.000000001)),1,0),0)</f>
        <v>1</v>
      </c>
      <c r="O171" s="14" t="n">
        <f aca="false">IF(D171=1,IF(OR(Alpha_keep*$A171+O$3&gt;=Floor_c-0.000000001,AND($B171=0,O$3&gt;=Cap_h-0.000000001)),1,0),0)</f>
        <v>1</v>
      </c>
      <c r="P171" s="14" t="n">
        <f aca="false">IF(E171=1,IF(OR(Alpha_keep*$A171+P$3&gt;=Floor_c-0.000000001,AND($B171=0,P$3&gt;=Cap_h-0.000000001)),1,0),0)</f>
        <v>1</v>
      </c>
      <c r="Q171" s="14" t="n">
        <f aca="false">IF(F171=1,IF(OR(Alpha_keep*$A171+Q$3&gt;=Floor_c-0.000000001,AND($B171=0,Q$3&gt;=Cap_h-0.000000001)),1,0),0)</f>
        <v>1</v>
      </c>
      <c r="R171" s="14" t="n">
        <f aca="false">IF(G171=1,IF(OR(Alpha_keep*$A171+R$3&gt;=Floor_c-0.000000001,AND($B171=0,R$3&gt;=Cap_h-0.000000001)),1,0),0)</f>
        <v>1</v>
      </c>
      <c r="S171" s="14" t="n">
        <f aca="false">IF(H171=1,IF(OR(Alpha_keep*$A171+S$3&gt;=Floor_c-0.000000001,AND($B171=0,S$3&gt;=Cap_h-0.000000001)),1,0),0)</f>
        <v>1</v>
      </c>
      <c r="T171" s="14" t="n">
        <f aca="false">IF(I171=1,IF(OR(Alpha_keep*$A171+T$3&gt;=Floor_c-0.000000001,AND($B171=0,T$3&gt;=Cap_h-0.000000001)),1,0),0)</f>
        <v>1</v>
      </c>
      <c r="U171" s="14" t="n">
        <f aca="false">IF(J171=1,IF(OR(Alpha_keep*$A171+U$3&gt;=Floor_c-0.000000001,AND($B171=0,U$3&gt;=Cap_h-0.000000001)),1,0),0)</f>
        <v>1</v>
      </c>
      <c r="V171" s="14" t="n">
        <f aca="false">IF(K171=1,IF(OR(Alpha_keep*$A171+V$3&gt;=Floor_c-0.000000001,AND($B171=0,V$3&gt;=Cap_h-0.000000001)),1,0),0)</f>
        <v>1</v>
      </c>
      <c r="W171" s="14" t="n">
        <f aca="false">IF(L171=1,IF(OR(Alpha_keep*$A171+W$3&gt;=Floor_c-0.000000001,AND($B171=0,W$3&gt;=Cap_h-0.000000001)),1,0),0)</f>
        <v>1</v>
      </c>
      <c r="X171" s="14" t="n">
        <f aca="false">IF(M171=1,IF(OR(Alpha_keep*$A171+X$3&gt;=Floor_c-0.000000001,AND($B171=0,X$3&gt;=Cap_h-0.000000001)),1,0),0)</f>
        <v>1</v>
      </c>
      <c r="Y171" s="14" t="n">
        <f aca="false">SUM(C171:M171)</f>
        <v>11</v>
      </c>
      <c r="Z171" s="14" t="n">
        <f aca="false">SUM(N171:X171)</f>
        <v>11</v>
      </c>
      <c r="AA171" s="12" t="n">
        <f aca="false">INDEX($C$3:$M$3,MATCH(1,C171:M171,0))</f>
        <v>0</v>
      </c>
      <c r="AB171" s="12" t="n">
        <f aca="false">INDEX($N$3:$X$3,MATCH(1,N171:X171,0))+(Z171-1)*Step_h</f>
        <v>2.5</v>
      </c>
    </row>
    <row r="172" customFormat="false" ht="15" hidden="false" customHeight="false" outlineLevel="0" collapsed="false">
      <c r="A172" s="12" t="n">
        <f aca="false">A171+Step_c</f>
        <v>71.75</v>
      </c>
      <c r="B172" s="14" t="n">
        <f aca="false">IF(SUMPRODUCT((Alpha_keep*$A172+$C$3:$M$3&gt;=Floor_c-0.000000001)*(C172:M172))&gt;0,1,0)</f>
        <v>1</v>
      </c>
      <c r="C172" s="14" t="n">
        <f aca="false">IF(AND(Alpha_keep*$A172+C$3-MAX(Loss_w)&gt;=Lo_c-0.000000001,Alpha_keep*$A172+C$3-MIN(Loss_w)&lt;=Hi_c+0.000000001),1,0)</f>
        <v>1</v>
      </c>
      <c r="D172" s="14" t="n">
        <f aca="false">IF(AND(Alpha_keep*$A172+D$3-MAX(Loss_w)&gt;=Lo_c-0.000000001,Alpha_keep*$A172+D$3-MIN(Loss_w)&lt;=Hi_c+0.000000001),1,0)</f>
        <v>1</v>
      </c>
      <c r="E172" s="14" t="n">
        <f aca="false">IF(AND(Alpha_keep*$A172+E$3-MAX(Loss_w)&gt;=Lo_c-0.000000001,Alpha_keep*$A172+E$3-MIN(Loss_w)&lt;=Hi_c+0.000000001),1,0)</f>
        <v>1</v>
      </c>
      <c r="F172" s="14" t="n">
        <f aca="false">IF(AND(Alpha_keep*$A172+F$3-MAX(Loss_w)&gt;=Lo_c-0.000000001,Alpha_keep*$A172+F$3-MIN(Loss_w)&lt;=Hi_c+0.000000001),1,0)</f>
        <v>1</v>
      </c>
      <c r="G172" s="14" t="n">
        <f aca="false">IF(AND(Alpha_keep*$A172+G$3-MAX(Loss_w)&gt;=Lo_c-0.000000001,Alpha_keep*$A172+G$3-MIN(Loss_w)&lt;=Hi_c+0.000000001),1,0)</f>
        <v>1</v>
      </c>
      <c r="H172" s="14" t="n">
        <f aca="false">IF(AND(Alpha_keep*$A172+H$3-MAX(Loss_w)&gt;=Lo_c-0.000000001,Alpha_keep*$A172+H$3-MIN(Loss_w)&lt;=Hi_c+0.000000001),1,0)</f>
        <v>1</v>
      </c>
      <c r="I172" s="14" t="n">
        <f aca="false">IF(AND(Alpha_keep*$A172+I$3-MAX(Loss_w)&gt;=Lo_c-0.000000001,Alpha_keep*$A172+I$3-MIN(Loss_w)&lt;=Hi_c+0.000000001),1,0)</f>
        <v>1</v>
      </c>
      <c r="J172" s="14" t="n">
        <f aca="false">IF(AND(Alpha_keep*$A172+J$3-MAX(Loss_w)&gt;=Lo_c-0.000000001,Alpha_keep*$A172+J$3-MIN(Loss_w)&lt;=Hi_c+0.000000001),1,0)</f>
        <v>1</v>
      </c>
      <c r="K172" s="14" t="n">
        <f aca="false">IF(AND(Alpha_keep*$A172+K$3-MAX(Loss_w)&gt;=Lo_c-0.000000001,Alpha_keep*$A172+K$3-MIN(Loss_w)&lt;=Hi_c+0.000000001),1,0)</f>
        <v>1</v>
      </c>
      <c r="L172" s="14" t="n">
        <f aca="false">IF(AND(Alpha_keep*$A172+L$3-MAX(Loss_w)&gt;=Lo_c-0.000000001,Alpha_keep*$A172+L$3-MIN(Loss_w)&lt;=Hi_c+0.000000001),1,0)</f>
        <v>1</v>
      </c>
      <c r="M172" s="14" t="n">
        <f aca="false">IF(AND(Alpha_keep*$A172+M$3-MAX(Loss_w)&gt;=Lo_c-0.000000001,Alpha_keep*$A172+M$3-MIN(Loss_w)&lt;=Hi_c+0.000000001),1,0)</f>
        <v>1</v>
      </c>
      <c r="N172" s="14" t="n">
        <f aca="false">IF(C172=1,IF(OR(Alpha_keep*$A172+N$3&gt;=Floor_c-0.000000001,AND($B172=0,N$3&gt;=Cap_h-0.000000001)),1,0),0)</f>
        <v>1</v>
      </c>
      <c r="O172" s="14" t="n">
        <f aca="false">IF(D172=1,IF(OR(Alpha_keep*$A172+O$3&gt;=Floor_c-0.000000001,AND($B172=0,O$3&gt;=Cap_h-0.000000001)),1,0),0)</f>
        <v>1</v>
      </c>
      <c r="P172" s="14" t="n">
        <f aca="false">IF(E172=1,IF(OR(Alpha_keep*$A172+P$3&gt;=Floor_c-0.000000001,AND($B172=0,P$3&gt;=Cap_h-0.000000001)),1,0),0)</f>
        <v>1</v>
      </c>
      <c r="Q172" s="14" t="n">
        <f aca="false">IF(F172=1,IF(OR(Alpha_keep*$A172+Q$3&gt;=Floor_c-0.000000001,AND($B172=0,Q$3&gt;=Cap_h-0.000000001)),1,0),0)</f>
        <v>1</v>
      </c>
      <c r="R172" s="14" t="n">
        <f aca="false">IF(G172=1,IF(OR(Alpha_keep*$A172+R$3&gt;=Floor_c-0.000000001,AND($B172=0,R$3&gt;=Cap_h-0.000000001)),1,0),0)</f>
        <v>1</v>
      </c>
      <c r="S172" s="14" t="n">
        <f aca="false">IF(H172=1,IF(OR(Alpha_keep*$A172+S$3&gt;=Floor_c-0.000000001,AND($B172=0,S$3&gt;=Cap_h-0.000000001)),1,0),0)</f>
        <v>1</v>
      </c>
      <c r="T172" s="14" t="n">
        <f aca="false">IF(I172=1,IF(OR(Alpha_keep*$A172+T$3&gt;=Floor_c-0.000000001,AND($B172=0,T$3&gt;=Cap_h-0.000000001)),1,0),0)</f>
        <v>1</v>
      </c>
      <c r="U172" s="14" t="n">
        <f aca="false">IF(J172=1,IF(OR(Alpha_keep*$A172+U$3&gt;=Floor_c-0.000000001,AND($B172=0,U$3&gt;=Cap_h-0.000000001)),1,0),0)</f>
        <v>1</v>
      </c>
      <c r="V172" s="14" t="n">
        <f aca="false">IF(K172=1,IF(OR(Alpha_keep*$A172+V$3&gt;=Floor_c-0.000000001,AND($B172=0,V$3&gt;=Cap_h-0.000000001)),1,0),0)</f>
        <v>1</v>
      </c>
      <c r="W172" s="14" t="n">
        <f aca="false">IF(L172=1,IF(OR(Alpha_keep*$A172+W$3&gt;=Floor_c-0.000000001,AND($B172=0,W$3&gt;=Cap_h-0.000000001)),1,0),0)</f>
        <v>1</v>
      </c>
      <c r="X172" s="14" t="n">
        <f aca="false">IF(M172=1,IF(OR(Alpha_keep*$A172+X$3&gt;=Floor_c-0.000000001,AND($B172=0,X$3&gt;=Cap_h-0.000000001)),1,0),0)</f>
        <v>1</v>
      </c>
      <c r="Y172" s="14" t="n">
        <f aca="false">SUM(C172:M172)</f>
        <v>11</v>
      </c>
      <c r="Z172" s="14" t="n">
        <f aca="false">SUM(N172:X172)</f>
        <v>11</v>
      </c>
      <c r="AA172" s="12" t="n">
        <f aca="false">INDEX($C$3:$M$3,MATCH(1,C172:M172,0))</f>
        <v>0</v>
      </c>
      <c r="AB172" s="12" t="n">
        <f aca="false">INDEX($N$3:$X$3,MATCH(1,N172:X172,0))+(Z172-1)*Step_h</f>
        <v>2.5</v>
      </c>
    </row>
    <row r="173" customFormat="false" ht="15" hidden="false" customHeight="false" outlineLevel="0" collapsed="false">
      <c r="A173" s="12" t="n">
        <f aca="false">A172+Step_c</f>
        <v>72</v>
      </c>
      <c r="B173" s="14" t="n">
        <f aca="false">IF(SUMPRODUCT((Alpha_keep*$A173+$C$3:$M$3&gt;=Floor_c-0.000000001)*(C173:M173))&gt;0,1,0)</f>
        <v>1</v>
      </c>
      <c r="C173" s="14" t="n">
        <f aca="false">IF(AND(Alpha_keep*$A173+C$3-MAX(Loss_w)&gt;=Lo_c-0.000000001,Alpha_keep*$A173+C$3-MIN(Loss_w)&lt;=Hi_c+0.000000001),1,0)</f>
        <v>1</v>
      </c>
      <c r="D173" s="14" t="n">
        <f aca="false">IF(AND(Alpha_keep*$A173+D$3-MAX(Loss_w)&gt;=Lo_c-0.000000001,Alpha_keep*$A173+D$3-MIN(Loss_w)&lt;=Hi_c+0.000000001),1,0)</f>
        <v>1</v>
      </c>
      <c r="E173" s="14" t="n">
        <f aca="false">IF(AND(Alpha_keep*$A173+E$3-MAX(Loss_w)&gt;=Lo_c-0.000000001,Alpha_keep*$A173+E$3-MIN(Loss_w)&lt;=Hi_c+0.000000001),1,0)</f>
        <v>1</v>
      </c>
      <c r="F173" s="14" t="n">
        <f aca="false">IF(AND(Alpha_keep*$A173+F$3-MAX(Loss_w)&gt;=Lo_c-0.000000001,Alpha_keep*$A173+F$3-MIN(Loss_w)&lt;=Hi_c+0.000000001),1,0)</f>
        <v>1</v>
      </c>
      <c r="G173" s="14" t="n">
        <f aca="false">IF(AND(Alpha_keep*$A173+G$3-MAX(Loss_w)&gt;=Lo_c-0.000000001,Alpha_keep*$A173+G$3-MIN(Loss_w)&lt;=Hi_c+0.000000001),1,0)</f>
        <v>1</v>
      </c>
      <c r="H173" s="14" t="n">
        <f aca="false">IF(AND(Alpha_keep*$A173+H$3-MAX(Loss_w)&gt;=Lo_c-0.000000001,Alpha_keep*$A173+H$3-MIN(Loss_w)&lt;=Hi_c+0.000000001),1,0)</f>
        <v>1</v>
      </c>
      <c r="I173" s="14" t="n">
        <f aca="false">IF(AND(Alpha_keep*$A173+I$3-MAX(Loss_w)&gt;=Lo_c-0.000000001,Alpha_keep*$A173+I$3-MIN(Loss_w)&lt;=Hi_c+0.000000001),1,0)</f>
        <v>1</v>
      </c>
      <c r="J173" s="14" t="n">
        <f aca="false">IF(AND(Alpha_keep*$A173+J$3-MAX(Loss_w)&gt;=Lo_c-0.000000001,Alpha_keep*$A173+J$3-MIN(Loss_w)&lt;=Hi_c+0.000000001),1,0)</f>
        <v>1</v>
      </c>
      <c r="K173" s="14" t="n">
        <f aca="false">IF(AND(Alpha_keep*$A173+K$3-MAX(Loss_w)&gt;=Lo_c-0.000000001,Alpha_keep*$A173+K$3-MIN(Loss_w)&lt;=Hi_c+0.000000001),1,0)</f>
        <v>1</v>
      </c>
      <c r="L173" s="14" t="n">
        <f aca="false">IF(AND(Alpha_keep*$A173+L$3-MAX(Loss_w)&gt;=Lo_c-0.000000001,Alpha_keep*$A173+L$3-MIN(Loss_w)&lt;=Hi_c+0.000000001),1,0)</f>
        <v>1</v>
      </c>
      <c r="M173" s="14" t="n">
        <f aca="false">IF(AND(Alpha_keep*$A173+M$3-MAX(Loss_w)&gt;=Lo_c-0.000000001,Alpha_keep*$A173+M$3-MIN(Loss_w)&lt;=Hi_c+0.000000001),1,0)</f>
        <v>1</v>
      </c>
      <c r="N173" s="14" t="n">
        <f aca="false">IF(C173=1,IF(OR(Alpha_keep*$A173+N$3&gt;=Floor_c-0.000000001,AND($B173=0,N$3&gt;=Cap_h-0.000000001)),1,0),0)</f>
        <v>1</v>
      </c>
      <c r="O173" s="14" t="n">
        <f aca="false">IF(D173=1,IF(OR(Alpha_keep*$A173+O$3&gt;=Floor_c-0.000000001,AND($B173=0,O$3&gt;=Cap_h-0.000000001)),1,0),0)</f>
        <v>1</v>
      </c>
      <c r="P173" s="14" t="n">
        <f aca="false">IF(E173=1,IF(OR(Alpha_keep*$A173+P$3&gt;=Floor_c-0.000000001,AND($B173=0,P$3&gt;=Cap_h-0.000000001)),1,0),0)</f>
        <v>1</v>
      </c>
      <c r="Q173" s="14" t="n">
        <f aca="false">IF(F173=1,IF(OR(Alpha_keep*$A173+Q$3&gt;=Floor_c-0.000000001,AND($B173=0,Q$3&gt;=Cap_h-0.000000001)),1,0),0)</f>
        <v>1</v>
      </c>
      <c r="R173" s="14" t="n">
        <f aca="false">IF(G173=1,IF(OR(Alpha_keep*$A173+R$3&gt;=Floor_c-0.000000001,AND($B173=0,R$3&gt;=Cap_h-0.000000001)),1,0),0)</f>
        <v>1</v>
      </c>
      <c r="S173" s="14" t="n">
        <f aca="false">IF(H173=1,IF(OR(Alpha_keep*$A173+S$3&gt;=Floor_c-0.000000001,AND($B173=0,S$3&gt;=Cap_h-0.000000001)),1,0),0)</f>
        <v>1</v>
      </c>
      <c r="T173" s="14" t="n">
        <f aca="false">IF(I173=1,IF(OR(Alpha_keep*$A173+T$3&gt;=Floor_c-0.000000001,AND($B173=0,T$3&gt;=Cap_h-0.000000001)),1,0),0)</f>
        <v>1</v>
      </c>
      <c r="U173" s="14" t="n">
        <f aca="false">IF(J173=1,IF(OR(Alpha_keep*$A173+U$3&gt;=Floor_c-0.000000001,AND($B173=0,U$3&gt;=Cap_h-0.000000001)),1,0),0)</f>
        <v>1</v>
      </c>
      <c r="V173" s="14" t="n">
        <f aca="false">IF(K173=1,IF(OR(Alpha_keep*$A173+V$3&gt;=Floor_c-0.000000001,AND($B173=0,V$3&gt;=Cap_h-0.000000001)),1,0),0)</f>
        <v>1</v>
      </c>
      <c r="W173" s="14" t="n">
        <f aca="false">IF(L173=1,IF(OR(Alpha_keep*$A173+W$3&gt;=Floor_c-0.000000001,AND($B173=0,W$3&gt;=Cap_h-0.000000001)),1,0),0)</f>
        <v>1</v>
      </c>
      <c r="X173" s="14" t="n">
        <f aca="false">IF(M173=1,IF(OR(Alpha_keep*$A173+X$3&gt;=Floor_c-0.000000001,AND($B173=0,X$3&gt;=Cap_h-0.000000001)),1,0),0)</f>
        <v>1</v>
      </c>
      <c r="Y173" s="14" t="n">
        <f aca="false">SUM(C173:M173)</f>
        <v>11</v>
      </c>
      <c r="Z173" s="14" t="n">
        <f aca="false">SUM(N173:X173)</f>
        <v>11</v>
      </c>
      <c r="AA173" s="12" t="n">
        <f aca="false">INDEX($C$3:$M$3,MATCH(1,C173:M173,0))</f>
        <v>0</v>
      </c>
      <c r="AB173" s="12" t="n">
        <f aca="false">INDEX($N$3:$X$3,MATCH(1,N173:X173,0))+(Z173-1)*Step_h</f>
        <v>2.5</v>
      </c>
    </row>
    <row r="174" customFormat="false" ht="15" hidden="false" customHeight="false" outlineLevel="0" collapsed="false">
      <c r="A174" s="12" t="n">
        <f aca="false">A173+Step_c</f>
        <v>72.25</v>
      </c>
      <c r="B174" s="14" t="n">
        <f aca="false">IF(SUMPRODUCT((Alpha_keep*$A174+$C$3:$M$3&gt;=Floor_c-0.000000001)*(C174:M174))&gt;0,1,0)</f>
        <v>1</v>
      </c>
      <c r="C174" s="14" t="n">
        <f aca="false">IF(AND(Alpha_keep*$A174+C$3-MAX(Loss_w)&gt;=Lo_c-0.000000001,Alpha_keep*$A174+C$3-MIN(Loss_w)&lt;=Hi_c+0.000000001),1,0)</f>
        <v>1</v>
      </c>
      <c r="D174" s="14" t="n">
        <f aca="false">IF(AND(Alpha_keep*$A174+D$3-MAX(Loss_w)&gt;=Lo_c-0.000000001,Alpha_keep*$A174+D$3-MIN(Loss_w)&lt;=Hi_c+0.000000001),1,0)</f>
        <v>1</v>
      </c>
      <c r="E174" s="14" t="n">
        <f aca="false">IF(AND(Alpha_keep*$A174+E$3-MAX(Loss_w)&gt;=Lo_c-0.000000001,Alpha_keep*$A174+E$3-MIN(Loss_w)&lt;=Hi_c+0.000000001),1,0)</f>
        <v>1</v>
      </c>
      <c r="F174" s="14" t="n">
        <f aca="false">IF(AND(Alpha_keep*$A174+F$3-MAX(Loss_w)&gt;=Lo_c-0.000000001,Alpha_keep*$A174+F$3-MIN(Loss_w)&lt;=Hi_c+0.000000001),1,0)</f>
        <v>1</v>
      </c>
      <c r="G174" s="14" t="n">
        <f aca="false">IF(AND(Alpha_keep*$A174+G$3-MAX(Loss_w)&gt;=Lo_c-0.000000001,Alpha_keep*$A174+G$3-MIN(Loss_w)&lt;=Hi_c+0.000000001),1,0)</f>
        <v>1</v>
      </c>
      <c r="H174" s="14" t="n">
        <f aca="false">IF(AND(Alpha_keep*$A174+H$3-MAX(Loss_w)&gt;=Lo_c-0.000000001,Alpha_keep*$A174+H$3-MIN(Loss_w)&lt;=Hi_c+0.000000001),1,0)</f>
        <v>1</v>
      </c>
      <c r="I174" s="14" t="n">
        <f aca="false">IF(AND(Alpha_keep*$A174+I$3-MAX(Loss_w)&gt;=Lo_c-0.000000001,Alpha_keep*$A174+I$3-MIN(Loss_w)&lt;=Hi_c+0.000000001),1,0)</f>
        <v>1</v>
      </c>
      <c r="J174" s="14" t="n">
        <f aca="false">IF(AND(Alpha_keep*$A174+J$3-MAX(Loss_w)&gt;=Lo_c-0.000000001,Alpha_keep*$A174+J$3-MIN(Loss_w)&lt;=Hi_c+0.000000001),1,0)</f>
        <v>1</v>
      </c>
      <c r="K174" s="14" t="n">
        <f aca="false">IF(AND(Alpha_keep*$A174+K$3-MAX(Loss_w)&gt;=Lo_c-0.000000001,Alpha_keep*$A174+K$3-MIN(Loss_w)&lt;=Hi_c+0.000000001),1,0)</f>
        <v>1</v>
      </c>
      <c r="L174" s="14" t="n">
        <f aca="false">IF(AND(Alpha_keep*$A174+L$3-MAX(Loss_w)&gt;=Lo_c-0.000000001,Alpha_keep*$A174+L$3-MIN(Loss_w)&lt;=Hi_c+0.000000001),1,0)</f>
        <v>1</v>
      </c>
      <c r="M174" s="14" t="n">
        <f aca="false">IF(AND(Alpha_keep*$A174+M$3-MAX(Loss_w)&gt;=Lo_c-0.000000001,Alpha_keep*$A174+M$3-MIN(Loss_w)&lt;=Hi_c+0.000000001),1,0)</f>
        <v>1</v>
      </c>
      <c r="N174" s="14" t="n">
        <f aca="false">IF(C174=1,IF(OR(Alpha_keep*$A174+N$3&gt;=Floor_c-0.000000001,AND($B174=0,N$3&gt;=Cap_h-0.000000001)),1,0),0)</f>
        <v>1</v>
      </c>
      <c r="O174" s="14" t="n">
        <f aca="false">IF(D174=1,IF(OR(Alpha_keep*$A174+O$3&gt;=Floor_c-0.000000001,AND($B174=0,O$3&gt;=Cap_h-0.000000001)),1,0),0)</f>
        <v>1</v>
      </c>
      <c r="P174" s="14" t="n">
        <f aca="false">IF(E174=1,IF(OR(Alpha_keep*$A174+P$3&gt;=Floor_c-0.000000001,AND($B174=0,P$3&gt;=Cap_h-0.000000001)),1,0),0)</f>
        <v>1</v>
      </c>
      <c r="Q174" s="14" t="n">
        <f aca="false">IF(F174=1,IF(OR(Alpha_keep*$A174+Q$3&gt;=Floor_c-0.000000001,AND($B174=0,Q$3&gt;=Cap_h-0.000000001)),1,0),0)</f>
        <v>1</v>
      </c>
      <c r="R174" s="14" t="n">
        <f aca="false">IF(G174=1,IF(OR(Alpha_keep*$A174+R$3&gt;=Floor_c-0.000000001,AND($B174=0,R$3&gt;=Cap_h-0.000000001)),1,0),0)</f>
        <v>1</v>
      </c>
      <c r="S174" s="14" t="n">
        <f aca="false">IF(H174=1,IF(OR(Alpha_keep*$A174+S$3&gt;=Floor_c-0.000000001,AND($B174=0,S$3&gt;=Cap_h-0.000000001)),1,0),0)</f>
        <v>1</v>
      </c>
      <c r="T174" s="14" t="n">
        <f aca="false">IF(I174=1,IF(OR(Alpha_keep*$A174+T$3&gt;=Floor_c-0.000000001,AND($B174=0,T$3&gt;=Cap_h-0.000000001)),1,0),0)</f>
        <v>1</v>
      </c>
      <c r="U174" s="14" t="n">
        <f aca="false">IF(J174=1,IF(OR(Alpha_keep*$A174+U$3&gt;=Floor_c-0.000000001,AND($B174=0,U$3&gt;=Cap_h-0.000000001)),1,0),0)</f>
        <v>1</v>
      </c>
      <c r="V174" s="14" t="n">
        <f aca="false">IF(K174=1,IF(OR(Alpha_keep*$A174+V$3&gt;=Floor_c-0.000000001,AND($B174=0,V$3&gt;=Cap_h-0.000000001)),1,0),0)</f>
        <v>1</v>
      </c>
      <c r="W174" s="14" t="n">
        <f aca="false">IF(L174=1,IF(OR(Alpha_keep*$A174+W$3&gt;=Floor_c-0.000000001,AND($B174=0,W$3&gt;=Cap_h-0.000000001)),1,0),0)</f>
        <v>1</v>
      </c>
      <c r="X174" s="14" t="n">
        <f aca="false">IF(M174=1,IF(OR(Alpha_keep*$A174+X$3&gt;=Floor_c-0.000000001,AND($B174=0,X$3&gt;=Cap_h-0.000000001)),1,0),0)</f>
        <v>1</v>
      </c>
      <c r="Y174" s="14" t="n">
        <f aca="false">SUM(C174:M174)</f>
        <v>11</v>
      </c>
      <c r="Z174" s="14" t="n">
        <f aca="false">SUM(N174:X174)</f>
        <v>11</v>
      </c>
      <c r="AA174" s="12" t="n">
        <f aca="false">INDEX($C$3:$M$3,MATCH(1,C174:M174,0))</f>
        <v>0</v>
      </c>
      <c r="AB174" s="12" t="n">
        <f aca="false">INDEX($N$3:$X$3,MATCH(1,N174:X174,0))+(Z174-1)*Step_h</f>
        <v>2.5</v>
      </c>
    </row>
    <row r="175" customFormat="false" ht="15" hidden="false" customHeight="false" outlineLevel="0" collapsed="false">
      <c r="A175" s="12" t="n">
        <f aca="false">A174+Step_c</f>
        <v>72.5</v>
      </c>
      <c r="B175" s="14" t="n">
        <f aca="false">IF(SUMPRODUCT((Alpha_keep*$A175+$C$3:$M$3&gt;=Floor_c-0.000000001)*(C175:M175))&gt;0,1,0)</f>
        <v>1</v>
      </c>
      <c r="C175" s="14" t="n">
        <f aca="false">IF(AND(Alpha_keep*$A175+C$3-MAX(Loss_w)&gt;=Lo_c-0.000000001,Alpha_keep*$A175+C$3-MIN(Loss_w)&lt;=Hi_c+0.000000001),1,0)</f>
        <v>1</v>
      </c>
      <c r="D175" s="14" t="n">
        <f aca="false">IF(AND(Alpha_keep*$A175+D$3-MAX(Loss_w)&gt;=Lo_c-0.000000001,Alpha_keep*$A175+D$3-MIN(Loss_w)&lt;=Hi_c+0.000000001),1,0)</f>
        <v>1</v>
      </c>
      <c r="E175" s="14" t="n">
        <f aca="false">IF(AND(Alpha_keep*$A175+E$3-MAX(Loss_w)&gt;=Lo_c-0.000000001,Alpha_keep*$A175+E$3-MIN(Loss_w)&lt;=Hi_c+0.000000001),1,0)</f>
        <v>1</v>
      </c>
      <c r="F175" s="14" t="n">
        <f aca="false">IF(AND(Alpha_keep*$A175+F$3-MAX(Loss_w)&gt;=Lo_c-0.000000001,Alpha_keep*$A175+F$3-MIN(Loss_w)&lt;=Hi_c+0.000000001),1,0)</f>
        <v>1</v>
      </c>
      <c r="G175" s="14" t="n">
        <f aca="false">IF(AND(Alpha_keep*$A175+G$3-MAX(Loss_w)&gt;=Lo_c-0.000000001,Alpha_keep*$A175+G$3-MIN(Loss_w)&lt;=Hi_c+0.000000001),1,0)</f>
        <v>1</v>
      </c>
      <c r="H175" s="14" t="n">
        <f aca="false">IF(AND(Alpha_keep*$A175+H$3-MAX(Loss_w)&gt;=Lo_c-0.000000001,Alpha_keep*$A175+H$3-MIN(Loss_w)&lt;=Hi_c+0.000000001),1,0)</f>
        <v>1</v>
      </c>
      <c r="I175" s="14" t="n">
        <f aca="false">IF(AND(Alpha_keep*$A175+I$3-MAX(Loss_w)&gt;=Lo_c-0.000000001,Alpha_keep*$A175+I$3-MIN(Loss_w)&lt;=Hi_c+0.000000001),1,0)</f>
        <v>1</v>
      </c>
      <c r="J175" s="14" t="n">
        <f aca="false">IF(AND(Alpha_keep*$A175+J$3-MAX(Loss_w)&gt;=Lo_c-0.000000001,Alpha_keep*$A175+J$3-MIN(Loss_w)&lt;=Hi_c+0.000000001),1,0)</f>
        <v>1</v>
      </c>
      <c r="K175" s="14" t="n">
        <f aca="false">IF(AND(Alpha_keep*$A175+K$3-MAX(Loss_w)&gt;=Lo_c-0.000000001,Alpha_keep*$A175+K$3-MIN(Loss_w)&lt;=Hi_c+0.000000001),1,0)</f>
        <v>1</v>
      </c>
      <c r="L175" s="14" t="n">
        <f aca="false">IF(AND(Alpha_keep*$A175+L$3-MAX(Loss_w)&gt;=Lo_c-0.000000001,Alpha_keep*$A175+L$3-MIN(Loss_w)&lt;=Hi_c+0.000000001),1,0)</f>
        <v>1</v>
      </c>
      <c r="M175" s="14" t="n">
        <f aca="false">IF(AND(Alpha_keep*$A175+M$3-MAX(Loss_w)&gt;=Lo_c-0.000000001,Alpha_keep*$A175+M$3-MIN(Loss_w)&lt;=Hi_c+0.000000001),1,0)</f>
        <v>1</v>
      </c>
      <c r="N175" s="14" t="n">
        <f aca="false">IF(C175=1,IF(OR(Alpha_keep*$A175+N$3&gt;=Floor_c-0.000000001,AND($B175=0,N$3&gt;=Cap_h-0.000000001)),1,0),0)</f>
        <v>1</v>
      </c>
      <c r="O175" s="14" t="n">
        <f aca="false">IF(D175=1,IF(OR(Alpha_keep*$A175+O$3&gt;=Floor_c-0.000000001,AND($B175=0,O$3&gt;=Cap_h-0.000000001)),1,0),0)</f>
        <v>1</v>
      </c>
      <c r="P175" s="14" t="n">
        <f aca="false">IF(E175=1,IF(OR(Alpha_keep*$A175+P$3&gt;=Floor_c-0.000000001,AND($B175=0,P$3&gt;=Cap_h-0.000000001)),1,0),0)</f>
        <v>1</v>
      </c>
      <c r="Q175" s="14" t="n">
        <f aca="false">IF(F175=1,IF(OR(Alpha_keep*$A175+Q$3&gt;=Floor_c-0.000000001,AND($B175=0,Q$3&gt;=Cap_h-0.000000001)),1,0),0)</f>
        <v>1</v>
      </c>
      <c r="R175" s="14" t="n">
        <f aca="false">IF(G175=1,IF(OR(Alpha_keep*$A175+R$3&gt;=Floor_c-0.000000001,AND($B175=0,R$3&gt;=Cap_h-0.000000001)),1,0),0)</f>
        <v>1</v>
      </c>
      <c r="S175" s="14" t="n">
        <f aca="false">IF(H175=1,IF(OR(Alpha_keep*$A175+S$3&gt;=Floor_c-0.000000001,AND($B175=0,S$3&gt;=Cap_h-0.000000001)),1,0),0)</f>
        <v>1</v>
      </c>
      <c r="T175" s="14" t="n">
        <f aca="false">IF(I175=1,IF(OR(Alpha_keep*$A175+T$3&gt;=Floor_c-0.000000001,AND($B175=0,T$3&gt;=Cap_h-0.000000001)),1,0),0)</f>
        <v>1</v>
      </c>
      <c r="U175" s="14" t="n">
        <f aca="false">IF(J175=1,IF(OR(Alpha_keep*$A175+U$3&gt;=Floor_c-0.000000001,AND($B175=0,U$3&gt;=Cap_h-0.000000001)),1,0),0)</f>
        <v>1</v>
      </c>
      <c r="V175" s="14" t="n">
        <f aca="false">IF(K175=1,IF(OR(Alpha_keep*$A175+V$3&gt;=Floor_c-0.000000001,AND($B175=0,V$3&gt;=Cap_h-0.000000001)),1,0),0)</f>
        <v>1</v>
      </c>
      <c r="W175" s="14" t="n">
        <f aca="false">IF(L175=1,IF(OR(Alpha_keep*$A175+W$3&gt;=Floor_c-0.000000001,AND($B175=0,W$3&gt;=Cap_h-0.000000001)),1,0),0)</f>
        <v>1</v>
      </c>
      <c r="X175" s="14" t="n">
        <f aca="false">IF(M175=1,IF(OR(Alpha_keep*$A175+X$3&gt;=Floor_c-0.000000001,AND($B175=0,X$3&gt;=Cap_h-0.000000001)),1,0),0)</f>
        <v>1</v>
      </c>
      <c r="Y175" s="14" t="n">
        <f aca="false">SUM(C175:M175)</f>
        <v>11</v>
      </c>
      <c r="Z175" s="14" t="n">
        <f aca="false">SUM(N175:X175)</f>
        <v>11</v>
      </c>
      <c r="AA175" s="12" t="n">
        <f aca="false">INDEX($C$3:$M$3,MATCH(1,C175:M175,0))</f>
        <v>0</v>
      </c>
      <c r="AB175" s="12" t="n">
        <f aca="false">INDEX($N$3:$X$3,MATCH(1,N175:X175,0))+(Z175-1)*Step_h</f>
        <v>2.5</v>
      </c>
    </row>
    <row r="176" customFormat="false" ht="15" hidden="false" customHeight="false" outlineLevel="0" collapsed="false">
      <c r="A176" s="12" t="n">
        <f aca="false">A175+Step_c</f>
        <v>72.75</v>
      </c>
      <c r="B176" s="14" t="n">
        <f aca="false">IF(SUMPRODUCT((Alpha_keep*$A176+$C$3:$M$3&gt;=Floor_c-0.000000001)*(C176:M176))&gt;0,1,0)</f>
        <v>1</v>
      </c>
      <c r="C176" s="14" t="n">
        <f aca="false">IF(AND(Alpha_keep*$A176+C$3-MAX(Loss_w)&gt;=Lo_c-0.000000001,Alpha_keep*$A176+C$3-MIN(Loss_w)&lt;=Hi_c+0.000000001),1,0)</f>
        <v>1</v>
      </c>
      <c r="D176" s="14" t="n">
        <f aca="false">IF(AND(Alpha_keep*$A176+D$3-MAX(Loss_w)&gt;=Lo_c-0.000000001,Alpha_keep*$A176+D$3-MIN(Loss_w)&lt;=Hi_c+0.000000001),1,0)</f>
        <v>1</v>
      </c>
      <c r="E176" s="14" t="n">
        <f aca="false">IF(AND(Alpha_keep*$A176+E$3-MAX(Loss_w)&gt;=Lo_c-0.000000001,Alpha_keep*$A176+E$3-MIN(Loss_w)&lt;=Hi_c+0.000000001),1,0)</f>
        <v>1</v>
      </c>
      <c r="F176" s="14" t="n">
        <f aca="false">IF(AND(Alpha_keep*$A176+F$3-MAX(Loss_w)&gt;=Lo_c-0.000000001,Alpha_keep*$A176+F$3-MIN(Loss_w)&lt;=Hi_c+0.000000001),1,0)</f>
        <v>1</v>
      </c>
      <c r="G176" s="14" t="n">
        <f aca="false">IF(AND(Alpha_keep*$A176+G$3-MAX(Loss_w)&gt;=Lo_c-0.000000001,Alpha_keep*$A176+G$3-MIN(Loss_w)&lt;=Hi_c+0.000000001),1,0)</f>
        <v>1</v>
      </c>
      <c r="H176" s="14" t="n">
        <f aca="false">IF(AND(Alpha_keep*$A176+H$3-MAX(Loss_w)&gt;=Lo_c-0.000000001,Alpha_keep*$A176+H$3-MIN(Loss_w)&lt;=Hi_c+0.000000001),1,0)</f>
        <v>1</v>
      </c>
      <c r="I176" s="14" t="n">
        <f aca="false">IF(AND(Alpha_keep*$A176+I$3-MAX(Loss_w)&gt;=Lo_c-0.000000001,Alpha_keep*$A176+I$3-MIN(Loss_w)&lt;=Hi_c+0.000000001),1,0)</f>
        <v>1</v>
      </c>
      <c r="J176" s="14" t="n">
        <f aca="false">IF(AND(Alpha_keep*$A176+J$3-MAX(Loss_w)&gt;=Lo_c-0.000000001,Alpha_keep*$A176+J$3-MIN(Loss_w)&lt;=Hi_c+0.000000001),1,0)</f>
        <v>1</v>
      </c>
      <c r="K176" s="14" t="n">
        <f aca="false">IF(AND(Alpha_keep*$A176+K$3-MAX(Loss_w)&gt;=Lo_c-0.000000001,Alpha_keep*$A176+K$3-MIN(Loss_w)&lt;=Hi_c+0.000000001),1,0)</f>
        <v>1</v>
      </c>
      <c r="L176" s="14" t="n">
        <f aca="false">IF(AND(Alpha_keep*$A176+L$3-MAX(Loss_w)&gt;=Lo_c-0.000000001,Alpha_keep*$A176+L$3-MIN(Loss_w)&lt;=Hi_c+0.000000001),1,0)</f>
        <v>1</v>
      </c>
      <c r="M176" s="14" t="n">
        <f aca="false">IF(AND(Alpha_keep*$A176+M$3-MAX(Loss_w)&gt;=Lo_c-0.000000001,Alpha_keep*$A176+M$3-MIN(Loss_w)&lt;=Hi_c+0.000000001),1,0)</f>
        <v>1</v>
      </c>
      <c r="N176" s="14" t="n">
        <f aca="false">IF(C176=1,IF(OR(Alpha_keep*$A176+N$3&gt;=Floor_c-0.000000001,AND($B176=0,N$3&gt;=Cap_h-0.000000001)),1,0),0)</f>
        <v>1</v>
      </c>
      <c r="O176" s="14" t="n">
        <f aca="false">IF(D176=1,IF(OR(Alpha_keep*$A176+O$3&gt;=Floor_c-0.000000001,AND($B176=0,O$3&gt;=Cap_h-0.000000001)),1,0),0)</f>
        <v>1</v>
      </c>
      <c r="P176" s="14" t="n">
        <f aca="false">IF(E176=1,IF(OR(Alpha_keep*$A176+P$3&gt;=Floor_c-0.000000001,AND($B176=0,P$3&gt;=Cap_h-0.000000001)),1,0),0)</f>
        <v>1</v>
      </c>
      <c r="Q176" s="14" t="n">
        <f aca="false">IF(F176=1,IF(OR(Alpha_keep*$A176+Q$3&gt;=Floor_c-0.000000001,AND($B176=0,Q$3&gt;=Cap_h-0.000000001)),1,0),0)</f>
        <v>1</v>
      </c>
      <c r="R176" s="14" t="n">
        <f aca="false">IF(G176=1,IF(OR(Alpha_keep*$A176+R$3&gt;=Floor_c-0.000000001,AND($B176=0,R$3&gt;=Cap_h-0.000000001)),1,0),0)</f>
        <v>1</v>
      </c>
      <c r="S176" s="14" t="n">
        <f aca="false">IF(H176=1,IF(OR(Alpha_keep*$A176+S$3&gt;=Floor_c-0.000000001,AND($B176=0,S$3&gt;=Cap_h-0.000000001)),1,0),0)</f>
        <v>1</v>
      </c>
      <c r="T176" s="14" t="n">
        <f aca="false">IF(I176=1,IF(OR(Alpha_keep*$A176+T$3&gt;=Floor_c-0.000000001,AND($B176=0,T$3&gt;=Cap_h-0.000000001)),1,0),0)</f>
        <v>1</v>
      </c>
      <c r="U176" s="14" t="n">
        <f aca="false">IF(J176=1,IF(OR(Alpha_keep*$A176+U$3&gt;=Floor_c-0.000000001,AND($B176=0,U$3&gt;=Cap_h-0.000000001)),1,0),0)</f>
        <v>1</v>
      </c>
      <c r="V176" s="14" t="n">
        <f aca="false">IF(K176=1,IF(OR(Alpha_keep*$A176+V$3&gt;=Floor_c-0.000000001,AND($B176=0,V$3&gt;=Cap_h-0.000000001)),1,0),0)</f>
        <v>1</v>
      </c>
      <c r="W176" s="14" t="n">
        <f aca="false">IF(L176=1,IF(OR(Alpha_keep*$A176+W$3&gt;=Floor_c-0.000000001,AND($B176=0,W$3&gt;=Cap_h-0.000000001)),1,0),0)</f>
        <v>1</v>
      </c>
      <c r="X176" s="14" t="n">
        <f aca="false">IF(M176=1,IF(OR(Alpha_keep*$A176+X$3&gt;=Floor_c-0.000000001,AND($B176=0,X$3&gt;=Cap_h-0.000000001)),1,0),0)</f>
        <v>1</v>
      </c>
      <c r="Y176" s="14" t="n">
        <f aca="false">SUM(C176:M176)</f>
        <v>11</v>
      </c>
      <c r="Z176" s="14" t="n">
        <f aca="false">SUM(N176:X176)</f>
        <v>11</v>
      </c>
      <c r="AA176" s="12" t="n">
        <f aca="false">INDEX($C$3:$M$3,MATCH(1,C176:M176,0))</f>
        <v>0</v>
      </c>
      <c r="AB176" s="12" t="n">
        <f aca="false">INDEX($N$3:$X$3,MATCH(1,N176:X176,0))+(Z176-1)*Step_h</f>
        <v>2.5</v>
      </c>
    </row>
    <row r="177" customFormat="false" ht="15" hidden="false" customHeight="false" outlineLevel="0" collapsed="false">
      <c r="A177" s="12" t="n">
        <f aca="false">A176+Step_c</f>
        <v>73</v>
      </c>
      <c r="B177" s="14" t="n">
        <f aca="false">IF(SUMPRODUCT((Alpha_keep*$A177+$C$3:$M$3&gt;=Floor_c-0.000000001)*(C177:M177))&gt;0,1,0)</f>
        <v>1</v>
      </c>
      <c r="C177" s="14" t="n">
        <f aca="false">IF(AND(Alpha_keep*$A177+C$3-MAX(Loss_w)&gt;=Lo_c-0.000000001,Alpha_keep*$A177+C$3-MIN(Loss_w)&lt;=Hi_c+0.000000001),1,0)</f>
        <v>1</v>
      </c>
      <c r="D177" s="14" t="n">
        <f aca="false">IF(AND(Alpha_keep*$A177+D$3-MAX(Loss_w)&gt;=Lo_c-0.000000001,Alpha_keep*$A177+D$3-MIN(Loss_w)&lt;=Hi_c+0.000000001),1,0)</f>
        <v>1</v>
      </c>
      <c r="E177" s="14" t="n">
        <f aca="false">IF(AND(Alpha_keep*$A177+E$3-MAX(Loss_w)&gt;=Lo_c-0.000000001,Alpha_keep*$A177+E$3-MIN(Loss_w)&lt;=Hi_c+0.000000001),1,0)</f>
        <v>1</v>
      </c>
      <c r="F177" s="14" t="n">
        <f aca="false">IF(AND(Alpha_keep*$A177+F$3-MAX(Loss_w)&gt;=Lo_c-0.000000001,Alpha_keep*$A177+F$3-MIN(Loss_w)&lt;=Hi_c+0.000000001),1,0)</f>
        <v>1</v>
      </c>
      <c r="G177" s="14" t="n">
        <f aca="false">IF(AND(Alpha_keep*$A177+G$3-MAX(Loss_w)&gt;=Lo_c-0.000000001,Alpha_keep*$A177+G$3-MIN(Loss_w)&lt;=Hi_c+0.000000001),1,0)</f>
        <v>1</v>
      </c>
      <c r="H177" s="14" t="n">
        <f aca="false">IF(AND(Alpha_keep*$A177+H$3-MAX(Loss_w)&gt;=Lo_c-0.000000001,Alpha_keep*$A177+H$3-MIN(Loss_w)&lt;=Hi_c+0.000000001),1,0)</f>
        <v>1</v>
      </c>
      <c r="I177" s="14" t="n">
        <f aca="false">IF(AND(Alpha_keep*$A177+I$3-MAX(Loss_w)&gt;=Lo_c-0.000000001,Alpha_keep*$A177+I$3-MIN(Loss_w)&lt;=Hi_c+0.000000001),1,0)</f>
        <v>1</v>
      </c>
      <c r="J177" s="14" t="n">
        <f aca="false">IF(AND(Alpha_keep*$A177+J$3-MAX(Loss_w)&gt;=Lo_c-0.000000001,Alpha_keep*$A177+J$3-MIN(Loss_w)&lt;=Hi_c+0.000000001),1,0)</f>
        <v>1</v>
      </c>
      <c r="K177" s="14" t="n">
        <f aca="false">IF(AND(Alpha_keep*$A177+K$3-MAX(Loss_w)&gt;=Lo_c-0.000000001,Alpha_keep*$A177+K$3-MIN(Loss_w)&lt;=Hi_c+0.000000001),1,0)</f>
        <v>1</v>
      </c>
      <c r="L177" s="14" t="n">
        <f aca="false">IF(AND(Alpha_keep*$A177+L$3-MAX(Loss_w)&gt;=Lo_c-0.000000001,Alpha_keep*$A177+L$3-MIN(Loss_w)&lt;=Hi_c+0.000000001),1,0)</f>
        <v>1</v>
      </c>
      <c r="M177" s="14" t="n">
        <f aca="false">IF(AND(Alpha_keep*$A177+M$3-MAX(Loss_w)&gt;=Lo_c-0.000000001,Alpha_keep*$A177+M$3-MIN(Loss_w)&lt;=Hi_c+0.000000001),1,0)</f>
        <v>1</v>
      </c>
      <c r="N177" s="14" t="n">
        <f aca="false">IF(C177=1,IF(OR(Alpha_keep*$A177+N$3&gt;=Floor_c-0.000000001,AND($B177=0,N$3&gt;=Cap_h-0.000000001)),1,0),0)</f>
        <v>1</v>
      </c>
      <c r="O177" s="14" t="n">
        <f aca="false">IF(D177=1,IF(OR(Alpha_keep*$A177+O$3&gt;=Floor_c-0.000000001,AND($B177=0,O$3&gt;=Cap_h-0.000000001)),1,0),0)</f>
        <v>1</v>
      </c>
      <c r="P177" s="14" t="n">
        <f aca="false">IF(E177=1,IF(OR(Alpha_keep*$A177+P$3&gt;=Floor_c-0.000000001,AND($B177=0,P$3&gt;=Cap_h-0.000000001)),1,0),0)</f>
        <v>1</v>
      </c>
      <c r="Q177" s="14" t="n">
        <f aca="false">IF(F177=1,IF(OR(Alpha_keep*$A177+Q$3&gt;=Floor_c-0.000000001,AND($B177=0,Q$3&gt;=Cap_h-0.000000001)),1,0),0)</f>
        <v>1</v>
      </c>
      <c r="R177" s="14" t="n">
        <f aca="false">IF(G177=1,IF(OR(Alpha_keep*$A177+R$3&gt;=Floor_c-0.000000001,AND($B177=0,R$3&gt;=Cap_h-0.000000001)),1,0),0)</f>
        <v>1</v>
      </c>
      <c r="S177" s="14" t="n">
        <f aca="false">IF(H177=1,IF(OR(Alpha_keep*$A177+S$3&gt;=Floor_c-0.000000001,AND($B177=0,S$3&gt;=Cap_h-0.000000001)),1,0),0)</f>
        <v>1</v>
      </c>
      <c r="T177" s="14" t="n">
        <f aca="false">IF(I177=1,IF(OR(Alpha_keep*$A177+T$3&gt;=Floor_c-0.000000001,AND($B177=0,T$3&gt;=Cap_h-0.000000001)),1,0),0)</f>
        <v>1</v>
      </c>
      <c r="U177" s="14" t="n">
        <f aca="false">IF(J177=1,IF(OR(Alpha_keep*$A177+U$3&gt;=Floor_c-0.000000001,AND($B177=0,U$3&gt;=Cap_h-0.000000001)),1,0),0)</f>
        <v>1</v>
      </c>
      <c r="V177" s="14" t="n">
        <f aca="false">IF(K177=1,IF(OR(Alpha_keep*$A177+V$3&gt;=Floor_c-0.000000001,AND($B177=0,V$3&gt;=Cap_h-0.000000001)),1,0),0)</f>
        <v>1</v>
      </c>
      <c r="W177" s="14" t="n">
        <f aca="false">IF(L177=1,IF(OR(Alpha_keep*$A177+W$3&gt;=Floor_c-0.000000001,AND($B177=0,W$3&gt;=Cap_h-0.000000001)),1,0),0)</f>
        <v>1</v>
      </c>
      <c r="X177" s="14" t="n">
        <f aca="false">IF(M177=1,IF(OR(Alpha_keep*$A177+X$3&gt;=Floor_c-0.000000001,AND($B177=0,X$3&gt;=Cap_h-0.000000001)),1,0),0)</f>
        <v>1</v>
      </c>
      <c r="Y177" s="14" t="n">
        <f aca="false">SUM(C177:M177)</f>
        <v>11</v>
      </c>
      <c r="Z177" s="14" t="n">
        <f aca="false">SUM(N177:X177)</f>
        <v>11</v>
      </c>
      <c r="AA177" s="12" t="n">
        <f aca="false">INDEX($C$3:$M$3,MATCH(1,C177:M177,0))</f>
        <v>0</v>
      </c>
      <c r="AB177" s="12" t="n">
        <f aca="false">INDEX($N$3:$X$3,MATCH(1,N177:X177,0))+(Z177-1)*Step_h</f>
        <v>2.5</v>
      </c>
    </row>
    <row r="178" customFormat="false" ht="15" hidden="false" customHeight="false" outlineLevel="0" collapsed="false">
      <c r="A178" s="12" t="n">
        <f aca="false">A177+Step_c</f>
        <v>73.25</v>
      </c>
      <c r="B178" s="14" t="n">
        <f aca="false">IF(SUMPRODUCT((Alpha_keep*$A178+$C$3:$M$3&gt;=Floor_c-0.000000001)*(C178:M178))&gt;0,1,0)</f>
        <v>1</v>
      </c>
      <c r="C178" s="14" t="n">
        <f aca="false">IF(AND(Alpha_keep*$A178+C$3-MAX(Loss_w)&gt;=Lo_c-0.000000001,Alpha_keep*$A178+C$3-MIN(Loss_w)&lt;=Hi_c+0.000000001),1,0)</f>
        <v>1</v>
      </c>
      <c r="D178" s="14" t="n">
        <f aca="false">IF(AND(Alpha_keep*$A178+D$3-MAX(Loss_w)&gt;=Lo_c-0.000000001,Alpha_keep*$A178+D$3-MIN(Loss_w)&lt;=Hi_c+0.000000001),1,0)</f>
        <v>1</v>
      </c>
      <c r="E178" s="14" t="n">
        <f aca="false">IF(AND(Alpha_keep*$A178+E$3-MAX(Loss_w)&gt;=Lo_c-0.000000001,Alpha_keep*$A178+E$3-MIN(Loss_w)&lt;=Hi_c+0.000000001),1,0)</f>
        <v>1</v>
      </c>
      <c r="F178" s="14" t="n">
        <f aca="false">IF(AND(Alpha_keep*$A178+F$3-MAX(Loss_w)&gt;=Lo_c-0.000000001,Alpha_keep*$A178+F$3-MIN(Loss_w)&lt;=Hi_c+0.000000001),1,0)</f>
        <v>1</v>
      </c>
      <c r="G178" s="14" t="n">
        <f aca="false">IF(AND(Alpha_keep*$A178+G$3-MAX(Loss_w)&gt;=Lo_c-0.000000001,Alpha_keep*$A178+G$3-MIN(Loss_w)&lt;=Hi_c+0.000000001),1,0)</f>
        <v>1</v>
      </c>
      <c r="H178" s="14" t="n">
        <f aca="false">IF(AND(Alpha_keep*$A178+H$3-MAX(Loss_w)&gt;=Lo_c-0.000000001,Alpha_keep*$A178+H$3-MIN(Loss_w)&lt;=Hi_c+0.000000001),1,0)</f>
        <v>1</v>
      </c>
      <c r="I178" s="14" t="n">
        <f aca="false">IF(AND(Alpha_keep*$A178+I$3-MAX(Loss_w)&gt;=Lo_c-0.000000001,Alpha_keep*$A178+I$3-MIN(Loss_w)&lt;=Hi_c+0.000000001),1,0)</f>
        <v>1</v>
      </c>
      <c r="J178" s="14" t="n">
        <f aca="false">IF(AND(Alpha_keep*$A178+J$3-MAX(Loss_w)&gt;=Lo_c-0.000000001,Alpha_keep*$A178+J$3-MIN(Loss_w)&lt;=Hi_c+0.000000001),1,0)</f>
        <v>1</v>
      </c>
      <c r="K178" s="14" t="n">
        <f aca="false">IF(AND(Alpha_keep*$A178+K$3-MAX(Loss_w)&gt;=Lo_c-0.000000001,Alpha_keep*$A178+K$3-MIN(Loss_w)&lt;=Hi_c+0.000000001),1,0)</f>
        <v>1</v>
      </c>
      <c r="L178" s="14" t="n">
        <f aca="false">IF(AND(Alpha_keep*$A178+L$3-MAX(Loss_w)&gt;=Lo_c-0.000000001,Alpha_keep*$A178+L$3-MIN(Loss_w)&lt;=Hi_c+0.000000001),1,0)</f>
        <v>1</v>
      </c>
      <c r="M178" s="14" t="n">
        <f aca="false">IF(AND(Alpha_keep*$A178+M$3-MAX(Loss_w)&gt;=Lo_c-0.000000001,Alpha_keep*$A178+M$3-MIN(Loss_w)&lt;=Hi_c+0.000000001),1,0)</f>
        <v>1</v>
      </c>
      <c r="N178" s="14" t="n">
        <f aca="false">IF(C178=1,IF(OR(Alpha_keep*$A178+N$3&gt;=Floor_c-0.000000001,AND($B178=0,N$3&gt;=Cap_h-0.000000001)),1,0),0)</f>
        <v>1</v>
      </c>
      <c r="O178" s="14" t="n">
        <f aca="false">IF(D178=1,IF(OR(Alpha_keep*$A178+O$3&gt;=Floor_c-0.000000001,AND($B178=0,O$3&gt;=Cap_h-0.000000001)),1,0),0)</f>
        <v>1</v>
      </c>
      <c r="P178" s="14" t="n">
        <f aca="false">IF(E178=1,IF(OR(Alpha_keep*$A178+P$3&gt;=Floor_c-0.000000001,AND($B178=0,P$3&gt;=Cap_h-0.000000001)),1,0),0)</f>
        <v>1</v>
      </c>
      <c r="Q178" s="14" t="n">
        <f aca="false">IF(F178=1,IF(OR(Alpha_keep*$A178+Q$3&gt;=Floor_c-0.000000001,AND($B178=0,Q$3&gt;=Cap_h-0.000000001)),1,0),0)</f>
        <v>1</v>
      </c>
      <c r="R178" s="14" t="n">
        <f aca="false">IF(G178=1,IF(OR(Alpha_keep*$A178+R$3&gt;=Floor_c-0.000000001,AND($B178=0,R$3&gt;=Cap_h-0.000000001)),1,0),0)</f>
        <v>1</v>
      </c>
      <c r="S178" s="14" t="n">
        <f aca="false">IF(H178=1,IF(OR(Alpha_keep*$A178+S$3&gt;=Floor_c-0.000000001,AND($B178=0,S$3&gt;=Cap_h-0.000000001)),1,0),0)</f>
        <v>1</v>
      </c>
      <c r="T178" s="14" t="n">
        <f aca="false">IF(I178=1,IF(OR(Alpha_keep*$A178+T$3&gt;=Floor_c-0.000000001,AND($B178=0,T$3&gt;=Cap_h-0.000000001)),1,0),0)</f>
        <v>1</v>
      </c>
      <c r="U178" s="14" t="n">
        <f aca="false">IF(J178=1,IF(OR(Alpha_keep*$A178+U$3&gt;=Floor_c-0.000000001,AND($B178=0,U$3&gt;=Cap_h-0.000000001)),1,0),0)</f>
        <v>1</v>
      </c>
      <c r="V178" s="14" t="n">
        <f aca="false">IF(K178=1,IF(OR(Alpha_keep*$A178+V$3&gt;=Floor_c-0.000000001,AND($B178=0,V$3&gt;=Cap_h-0.000000001)),1,0),0)</f>
        <v>1</v>
      </c>
      <c r="W178" s="14" t="n">
        <f aca="false">IF(L178=1,IF(OR(Alpha_keep*$A178+W$3&gt;=Floor_c-0.000000001,AND($B178=0,W$3&gt;=Cap_h-0.000000001)),1,0),0)</f>
        <v>1</v>
      </c>
      <c r="X178" s="14" t="n">
        <f aca="false">IF(M178=1,IF(OR(Alpha_keep*$A178+X$3&gt;=Floor_c-0.000000001,AND($B178=0,X$3&gt;=Cap_h-0.000000001)),1,0),0)</f>
        <v>1</v>
      </c>
      <c r="Y178" s="14" t="n">
        <f aca="false">SUM(C178:M178)</f>
        <v>11</v>
      </c>
      <c r="Z178" s="14" t="n">
        <f aca="false">SUM(N178:X178)</f>
        <v>11</v>
      </c>
      <c r="AA178" s="12" t="n">
        <f aca="false">INDEX($C$3:$M$3,MATCH(1,C178:M178,0))</f>
        <v>0</v>
      </c>
      <c r="AB178" s="12" t="n">
        <f aca="false">INDEX($N$3:$X$3,MATCH(1,N178:X178,0))+(Z178-1)*Step_h</f>
        <v>2.5</v>
      </c>
    </row>
    <row r="179" customFormat="false" ht="15" hidden="false" customHeight="false" outlineLevel="0" collapsed="false">
      <c r="A179" s="12" t="n">
        <f aca="false">A178+Step_c</f>
        <v>73.5</v>
      </c>
      <c r="B179" s="14" t="n">
        <f aca="false">IF(SUMPRODUCT((Alpha_keep*$A179+$C$3:$M$3&gt;=Floor_c-0.000000001)*(C179:M179))&gt;0,1,0)</f>
        <v>1</v>
      </c>
      <c r="C179" s="14" t="n">
        <f aca="false">IF(AND(Alpha_keep*$A179+C$3-MAX(Loss_w)&gt;=Lo_c-0.000000001,Alpha_keep*$A179+C$3-MIN(Loss_w)&lt;=Hi_c+0.000000001),1,0)</f>
        <v>1</v>
      </c>
      <c r="D179" s="14" t="n">
        <f aca="false">IF(AND(Alpha_keep*$A179+D$3-MAX(Loss_w)&gt;=Lo_c-0.000000001,Alpha_keep*$A179+D$3-MIN(Loss_w)&lt;=Hi_c+0.000000001),1,0)</f>
        <v>1</v>
      </c>
      <c r="E179" s="14" t="n">
        <f aca="false">IF(AND(Alpha_keep*$A179+E$3-MAX(Loss_w)&gt;=Lo_c-0.000000001,Alpha_keep*$A179+E$3-MIN(Loss_w)&lt;=Hi_c+0.000000001),1,0)</f>
        <v>1</v>
      </c>
      <c r="F179" s="14" t="n">
        <f aca="false">IF(AND(Alpha_keep*$A179+F$3-MAX(Loss_w)&gt;=Lo_c-0.000000001,Alpha_keep*$A179+F$3-MIN(Loss_w)&lt;=Hi_c+0.000000001),1,0)</f>
        <v>1</v>
      </c>
      <c r="G179" s="14" t="n">
        <f aca="false">IF(AND(Alpha_keep*$A179+G$3-MAX(Loss_w)&gt;=Lo_c-0.000000001,Alpha_keep*$A179+G$3-MIN(Loss_w)&lt;=Hi_c+0.000000001),1,0)</f>
        <v>1</v>
      </c>
      <c r="H179" s="14" t="n">
        <f aca="false">IF(AND(Alpha_keep*$A179+H$3-MAX(Loss_w)&gt;=Lo_c-0.000000001,Alpha_keep*$A179+H$3-MIN(Loss_w)&lt;=Hi_c+0.000000001),1,0)</f>
        <v>1</v>
      </c>
      <c r="I179" s="14" t="n">
        <f aca="false">IF(AND(Alpha_keep*$A179+I$3-MAX(Loss_w)&gt;=Lo_c-0.000000001,Alpha_keep*$A179+I$3-MIN(Loss_w)&lt;=Hi_c+0.000000001),1,0)</f>
        <v>1</v>
      </c>
      <c r="J179" s="14" t="n">
        <f aca="false">IF(AND(Alpha_keep*$A179+J$3-MAX(Loss_w)&gt;=Lo_c-0.000000001,Alpha_keep*$A179+J$3-MIN(Loss_w)&lt;=Hi_c+0.000000001),1,0)</f>
        <v>1</v>
      </c>
      <c r="K179" s="14" t="n">
        <f aca="false">IF(AND(Alpha_keep*$A179+K$3-MAX(Loss_w)&gt;=Lo_c-0.000000001,Alpha_keep*$A179+K$3-MIN(Loss_w)&lt;=Hi_c+0.000000001),1,0)</f>
        <v>1</v>
      </c>
      <c r="L179" s="14" t="n">
        <f aca="false">IF(AND(Alpha_keep*$A179+L$3-MAX(Loss_w)&gt;=Lo_c-0.000000001,Alpha_keep*$A179+L$3-MIN(Loss_w)&lt;=Hi_c+0.000000001),1,0)</f>
        <v>1</v>
      </c>
      <c r="M179" s="14" t="n">
        <f aca="false">IF(AND(Alpha_keep*$A179+M$3-MAX(Loss_w)&gt;=Lo_c-0.000000001,Alpha_keep*$A179+M$3-MIN(Loss_w)&lt;=Hi_c+0.000000001),1,0)</f>
        <v>1</v>
      </c>
      <c r="N179" s="14" t="n">
        <f aca="false">IF(C179=1,IF(OR(Alpha_keep*$A179+N$3&gt;=Floor_c-0.000000001,AND($B179=0,N$3&gt;=Cap_h-0.000000001)),1,0),0)</f>
        <v>1</v>
      </c>
      <c r="O179" s="14" t="n">
        <f aca="false">IF(D179=1,IF(OR(Alpha_keep*$A179+O$3&gt;=Floor_c-0.000000001,AND($B179=0,O$3&gt;=Cap_h-0.000000001)),1,0),0)</f>
        <v>1</v>
      </c>
      <c r="P179" s="14" t="n">
        <f aca="false">IF(E179=1,IF(OR(Alpha_keep*$A179+P$3&gt;=Floor_c-0.000000001,AND($B179=0,P$3&gt;=Cap_h-0.000000001)),1,0),0)</f>
        <v>1</v>
      </c>
      <c r="Q179" s="14" t="n">
        <f aca="false">IF(F179=1,IF(OR(Alpha_keep*$A179+Q$3&gt;=Floor_c-0.000000001,AND($B179=0,Q$3&gt;=Cap_h-0.000000001)),1,0),0)</f>
        <v>1</v>
      </c>
      <c r="R179" s="14" t="n">
        <f aca="false">IF(G179=1,IF(OR(Alpha_keep*$A179+R$3&gt;=Floor_c-0.000000001,AND($B179=0,R$3&gt;=Cap_h-0.000000001)),1,0),0)</f>
        <v>1</v>
      </c>
      <c r="S179" s="14" t="n">
        <f aca="false">IF(H179=1,IF(OR(Alpha_keep*$A179+S$3&gt;=Floor_c-0.000000001,AND($B179=0,S$3&gt;=Cap_h-0.000000001)),1,0),0)</f>
        <v>1</v>
      </c>
      <c r="T179" s="14" t="n">
        <f aca="false">IF(I179=1,IF(OR(Alpha_keep*$A179+T$3&gt;=Floor_c-0.000000001,AND($B179=0,T$3&gt;=Cap_h-0.000000001)),1,0),0)</f>
        <v>1</v>
      </c>
      <c r="U179" s="14" t="n">
        <f aca="false">IF(J179=1,IF(OR(Alpha_keep*$A179+U$3&gt;=Floor_c-0.000000001,AND($B179=0,U$3&gt;=Cap_h-0.000000001)),1,0),0)</f>
        <v>1</v>
      </c>
      <c r="V179" s="14" t="n">
        <f aca="false">IF(K179=1,IF(OR(Alpha_keep*$A179+V$3&gt;=Floor_c-0.000000001,AND($B179=0,V$3&gt;=Cap_h-0.000000001)),1,0),0)</f>
        <v>1</v>
      </c>
      <c r="W179" s="14" t="n">
        <f aca="false">IF(L179=1,IF(OR(Alpha_keep*$A179+W$3&gt;=Floor_c-0.000000001,AND($B179=0,W$3&gt;=Cap_h-0.000000001)),1,0),0)</f>
        <v>1</v>
      </c>
      <c r="X179" s="14" t="n">
        <f aca="false">IF(M179=1,IF(OR(Alpha_keep*$A179+X$3&gt;=Floor_c-0.000000001,AND($B179=0,X$3&gt;=Cap_h-0.000000001)),1,0),0)</f>
        <v>1</v>
      </c>
      <c r="Y179" s="14" t="n">
        <f aca="false">SUM(C179:M179)</f>
        <v>11</v>
      </c>
      <c r="Z179" s="14" t="n">
        <f aca="false">SUM(N179:X179)</f>
        <v>11</v>
      </c>
      <c r="AA179" s="12" t="n">
        <f aca="false">INDEX($C$3:$M$3,MATCH(1,C179:M179,0))</f>
        <v>0</v>
      </c>
      <c r="AB179" s="12" t="n">
        <f aca="false">INDEX($N$3:$X$3,MATCH(1,N179:X179,0))+(Z179-1)*Step_h</f>
        <v>2.5</v>
      </c>
    </row>
    <row r="180" customFormat="false" ht="15" hidden="false" customHeight="false" outlineLevel="0" collapsed="false">
      <c r="A180" s="12" t="n">
        <f aca="false">A179+Step_c</f>
        <v>73.75</v>
      </c>
      <c r="B180" s="14" t="n">
        <f aca="false">IF(SUMPRODUCT((Alpha_keep*$A180+$C$3:$M$3&gt;=Floor_c-0.000000001)*(C180:M180))&gt;0,1,0)</f>
        <v>1</v>
      </c>
      <c r="C180" s="14" t="n">
        <f aca="false">IF(AND(Alpha_keep*$A180+C$3-MAX(Loss_w)&gt;=Lo_c-0.000000001,Alpha_keep*$A180+C$3-MIN(Loss_w)&lt;=Hi_c+0.000000001),1,0)</f>
        <v>1</v>
      </c>
      <c r="D180" s="14" t="n">
        <f aca="false">IF(AND(Alpha_keep*$A180+D$3-MAX(Loss_w)&gt;=Lo_c-0.000000001,Alpha_keep*$A180+D$3-MIN(Loss_w)&lt;=Hi_c+0.000000001),1,0)</f>
        <v>1</v>
      </c>
      <c r="E180" s="14" t="n">
        <f aca="false">IF(AND(Alpha_keep*$A180+E$3-MAX(Loss_w)&gt;=Lo_c-0.000000001,Alpha_keep*$A180+E$3-MIN(Loss_w)&lt;=Hi_c+0.000000001),1,0)</f>
        <v>1</v>
      </c>
      <c r="F180" s="14" t="n">
        <f aca="false">IF(AND(Alpha_keep*$A180+F$3-MAX(Loss_w)&gt;=Lo_c-0.000000001,Alpha_keep*$A180+F$3-MIN(Loss_w)&lt;=Hi_c+0.000000001),1,0)</f>
        <v>1</v>
      </c>
      <c r="G180" s="14" t="n">
        <f aca="false">IF(AND(Alpha_keep*$A180+G$3-MAX(Loss_w)&gt;=Lo_c-0.000000001,Alpha_keep*$A180+G$3-MIN(Loss_w)&lt;=Hi_c+0.000000001),1,0)</f>
        <v>1</v>
      </c>
      <c r="H180" s="14" t="n">
        <f aca="false">IF(AND(Alpha_keep*$A180+H$3-MAX(Loss_w)&gt;=Lo_c-0.000000001,Alpha_keep*$A180+H$3-MIN(Loss_w)&lt;=Hi_c+0.000000001),1,0)</f>
        <v>1</v>
      </c>
      <c r="I180" s="14" t="n">
        <f aca="false">IF(AND(Alpha_keep*$A180+I$3-MAX(Loss_w)&gt;=Lo_c-0.000000001,Alpha_keep*$A180+I$3-MIN(Loss_w)&lt;=Hi_c+0.000000001),1,0)</f>
        <v>1</v>
      </c>
      <c r="J180" s="14" t="n">
        <f aca="false">IF(AND(Alpha_keep*$A180+J$3-MAX(Loss_w)&gt;=Lo_c-0.000000001,Alpha_keep*$A180+J$3-MIN(Loss_w)&lt;=Hi_c+0.000000001),1,0)</f>
        <v>1</v>
      </c>
      <c r="K180" s="14" t="n">
        <f aca="false">IF(AND(Alpha_keep*$A180+K$3-MAX(Loss_w)&gt;=Lo_c-0.000000001,Alpha_keep*$A180+K$3-MIN(Loss_w)&lt;=Hi_c+0.000000001),1,0)</f>
        <v>1</v>
      </c>
      <c r="L180" s="14" t="n">
        <f aca="false">IF(AND(Alpha_keep*$A180+L$3-MAX(Loss_w)&gt;=Lo_c-0.000000001,Alpha_keep*$A180+L$3-MIN(Loss_w)&lt;=Hi_c+0.000000001),1,0)</f>
        <v>1</v>
      </c>
      <c r="M180" s="14" t="n">
        <f aca="false">IF(AND(Alpha_keep*$A180+M$3-MAX(Loss_w)&gt;=Lo_c-0.000000001,Alpha_keep*$A180+M$3-MIN(Loss_w)&lt;=Hi_c+0.000000001),1,0)</f>
        <v>1</v>
      </c>
      <c r="N180" s="14" t="n">
        <f aca="false">IF(C180=1,IF(OR(Alpha_keep*$A180+N$3&gt;=Floor_c-0.000000001,AND($B180=0,N$3&gt;=Cap_h-0.000000001)),1,0),0)</f>
        <v>1</v>
      </c>
      <c r="O180" s="14" t="n">
        <f aca="false">IF(D180=1,IF(OR(Alpha_keep*$A180+O$3&gt;=Floor_c-0.000000001,AND($B180=0,O$3&gt;=Cap_h-0.000000001)),1,0),0)</f>
        <v>1</v>
      </c>
      <c r="P180" s="14" t="n">
        <f aca="false">IF(E180=1,IF(OR(Alpha_keep*$A180+P$3&gt;=Floor_c-0.000000001,AND($B180=0,P$3&gt;=Cap_h-0.000000001)),1,0),0)</f>
        <v>1</v>
      </c>
      <c r="Q180" s="14" t="n">
        <f aca="false">IF(F180=1,IF(OR(Alpha_keep*$A180+Q$3&gt;=Floor_c-0.000000001,AND($B180=0,Q$3&gt;=Cap_h-0.000000001)),1,0),0)</f>
        <v>1</v>
      </c>
      <c r="R180" s="14" t="n">
        <f aca="false">IF(G180=1,IF(OR(Alpha_keep*$A180+R$3&gt;=Floor_c-0.000000001,AND($B180=0,R$3&gt;=Cap_h-0.000000001)),1,0),0)</f>
        <v>1</v>
      </c>
      <c r="S180" s="14" t="n">
        <f aca="false">IF(H180=1,IF(OR(Alpha_keep*$A180+S$3&gt;=Floor_c-0.000000001,AND($B180=0,S$3&gt;=Cap_h-0.000000001)),1,0),0)</f>
        <v>1</v>
      </c>
      <c r="T180" s="14" t="n">
        <f aca="false">IF(I180=1,IF(OR(Alpha_keep*$A180+T$3&gt;=Floor_c-0.000000001,AND($B180=0,T$3&gt;=Cap_h-0.000000001)),1,0),0)</f>
        <v>1</v>
      </c>
      <c r="U180" s="14" t="n">
        <f aca="false">IF(J180=1,IF(OR(Alpha_keep*$A180+U$3&gt;=Floor_c-0.000000001,AND($B180=0,U$3&gt;=Cap_h-0.000000001)),1,0),0)</f>
        <v>1</v>
      </c>
      <c r="V180" s="14" t="n">
        <f aca="false">IF(K180=1,IF(OR(Alpha_keep*$A180+V$3&gt;=Floor_c-0.000000001,AND($B180=0,V$3&gt;=Cap_h-0.000000001)),1,0),0)</f>
        <v>1</v>
      </c>
      <c r="W180" s="14" t="n">
        <f aca="false">IF(L180=1,IF(OR(Alpha_keep*$A180+W$3&gt;=Floor_c-0.000000001,AND($B180=0,W$3&gt;=Cap_h-0.000000001)),1,0),0)</f>
        <v>1</v>
      </c>
      <c r="X180" s="14" t="n">
        <f aca="false">IF(M180=1,IF(OR(Alpha_keep*$A180+X$3&gt;=Floor_c-0.000000001,AND($B180=0,X$3&gt;=Cap_h-0.000000001)),1,0),0)</f>
        <v>1</v>
      </c>
      <c r="Y180" s="14" t="n">
        <f aca="false">SUM(C180:M180)</f>
        <v>11</v>
      </c>
      <c r="Z180" s="14" t="n">
        <f aca="false">SUM(N180:X180)</f>
        <v>11</v>
      </c>
      <c r="AA180" s="12" t="n">
        <f aca="false">INDEX($C$3:$M$3,MATCH(1,C180:M180,0))</f>
        <v>0</v>
      </c>
      <c r="AB180" s="12" t="n">
        <f aca="false">INDEX($N$3:$X$3,MATCH(1,N180:X180,0))+(Z180-1)*Step_h</f>
        <v>2.5</v>
      </c>
    </row>
    <row r="181" customFormat="false" ht="15" hidden="false" customHeight="false" outlineLevel="0" collapsed="false">
      <c r="A181" s="12" t="n">
        <f aca="false">A180+Step_c</f>
        <v>74</v>
      </c>
      <c r="B181" s="14" t="n">
        <f aca="false">IF(SUMPRODUCT((Alpha_keep*$A181+$C$3:$M$3&gt;=Floor_c-0.000000001)*(C181:M181))&gt;0,1,0)</f>
        <v>1</v>
      </c>
      <c r="C181" s="14" t="n">
        <f aca="false">IF(AND(Alpha_keep*$A181+C$3-MAX(Loss_w)&gt;=Lo_c-0.000000001,Alpha_keep*$A181+C$3-MIN(Loss_w)&lt;=Hi_c+0.000000001),1,0)</f>
        <v>1</v>
      </c>
      <c r="D181" s="14" t="n">
        <f aca="false">IF(AND(Alpha_keep*$A181+D$3-MAX(Loss_w)&gt;=Lo_c-0.000000001,Alpha_keep*$A181+D$3-MIN(Loss_w)&lt;=Hi_c+0.000000001),1,0)</f>
        <v>1</v>
      </c>
      <c r="E181" s="14" t="n">
        <f aca="false">IF(AND(Alpha_keep*$A181+E$3-MAX(Loss_w)&gt;=Lo_c-0.000000001,Alpha_keep*$A181+E$3-MIN(Loss_w)&lt;=Hi_c+0.000000001),1,0)</f>
        <v>1</v>
      </c>
      <c r="F181" s="14" t="n">
        <f aca="false">IF(AND(Alpha_keep*$A181+F$3-MAX(Loss_w)&gt;=Lo_c-0.000000001,Alpha_keep*$A181+F$3-MIN(Loss_w)&lt;=Hi_c+0.000000001),1,0)</f>
        <v>1</v>
      </c>
      <c r="G181" s="14" t="n">
        <f aca="false">IF(AND(Alpha_keep*$A181+G$3-MAX(Loss_w)&gt;=Lo_c-0.000000001,Alpha_keep*$A181+G$3-MIN(Loss_w)&lt;=Hi_c+0.000000001),1,0)</f>
        <v>1</v>
      </c>
      <c r="H181" s="14" t="n">
        <f aca="false">IF(AND(Alpha_keep*$A181+H$3-MAX(Loss_w)&gt;=Lo_c-0.000000001,Alpha_keep*$A181+H$3-MIN(Loss_w)&lt;=Hi_c+0.000000001),1,0)</f>
        <v>1</v>
      </c>
      <c r="I181" s="14" t="n">
        <f aca="false">IF(AND(Alpha_keep*$A181+I$3-MAX(Loss_w)&gt;=Lo_c-0.000000001,Alpha_keep*$A181+I$3-MIN(Loss_w)&lt;=Hi_c+0.000000001),1,0)</f>
        <v>1</v>
      </c>
      <c r="J181" s="14" t="n">
        <f aca="false">IF(AND(Alpha_keep*$A181+J$3-MAX(Loss_w)&gt;=Lo_c-0.000000001,Alpha_keep*$A181+J$3-MIN(Loss_w)&lt;=Hi_c+0.000000001),1,0)</f>
        <v>1</v>
      </c>
      <c r="K181" s="14" t="n">
        <f aca="false">IF(AND(Alpha_keep*$A181+K$3-MAX(Loss_w)&gt;=Lo_c-0.000000001,Alpha_keep*$A181+K$3-MIN(Loss_w)&lt;=Hi_c+0.000000001),1,0)</f>
        <v>1</v>
      </c>
      <c r="L181" s="14" t="n">
        <f aca="false">IF(AND(Alpha_keep*$A181+L$3-MAX(Loss_w)&gt;=Lo_c-0.000000001,Alpha_keep*$A181+L$3-MIN(Loss_w)&lt;=Hi_c+0.000000001),1,0)</f>
        <v>1</v>
      </c>
      <c r="M181" s="14" t="n">
        <f aca="false">IF(AND(Alpha_keep*$A181+M$3-MAX(Loss_w)&gt;=Lo_c-0.000000001,Alpha_keep*$A181+M$3-MIN(Loss_w)&lt;=Hi_c+0.000000001),1,0)</f>
        <v>1</v>
      </c>
      <c r="N181" s="14" t="n">
        <f aca="false">IF(C181=1,IF(OR(Alpha_keep*$A181+N$3&gt;=Floor_c-0.000000001,AND($B181=0,N$3&gt;=Cap_h-0.000000001)),1,0),0)</f>
        <v>1</v>
      </c>
      <c r="O181" s="14" t="n">
        <f aca="false">IF(D181=1,IF(OR(Alpha_keep*$A181+O$3&gt;=Floor_c-0.000000001,AND($B181=0,O$3&gt;=Cap_h-0.000000001)),1,0),0)</f>
        <v>1</v>
      </c>
      <c r="P181" s="14" t="n">
        <f aca="false">IF(E181=1,IF(OR(Alpha_keep*$A181+P$3&gt;=Floor_c-0.000000001,AND($B181=0,P$3&gt;=Cap_h-0.000000001)),1,0),0)</f>
        <v>1</v>
      </c>
      <c r="Q181" s="14" t="n">
        <f aca="false">IF(F181=1,IF(OR(Alpha_keep*$A181+Q$3&gt;=Floor_c-0.000000001,AND($B181=0,Q$3&gt;=Cap_h-0.000000001)),1,0),0)</f>
        <v>1</v>
      </c>
      <c r="R181" s="14" t="n">
        <f aca="false">IF(G181=1,IF(OR(Alpha_keep*$A181+R$3&gt;=Floor_c-0.000000001,AND($B181=0,R$3&gt;=Cap_h-0.000000001)),1,0),0)</f>
        <v>1</v>
      </c>
      <c r="S181" s="14" t="n">
        <f aca="false">IF(H181=1,IF(OR(Alpha_keep*$A181+S$3&gt;=Floor_c-0.000000001,AND($B181=0,S$3&gt;=Cap_h-0.000000001)),1,0),0)</f>
        <v>1</v>
      </c>
      <c r="T181" s="14" t="n">
        <f aca="false">IF(I181=1,IF(OR(Alpha_keep*$A181+T$3&gt;=Floor_c-0.000000001,AND($B181=0,T$3&gt;=Cap_h-0.000000001)),1,0),0)</f>
        <v>1</v>
      </c>
      <c r="U181" s="14" t="n">
        <f aca="false">IF(J181=1,IF(OR(Alpha_keep*$A181+U$3&gt;=Floor_c-0.000000001,AND($B181=0,U$3&gt;=Cap_h-0.000000001)),1,0),0)</f>
        <v>1</v>
      </c>
      <c r="V181" s="14" t="n">
        <f aca="false">IF(K181=1,IF(OR(Alpha_keep*$A181+V$3&gt;=Floor_c-0.000000001,AND($B181=0,V$3&gt;=Cap_h-0.000000001)),1,0),0)</f>
        <v>1</v>
      </c>
      <c r="W181" s="14" t="n">
        <f aca="false">IF(L181=1,IF(OR(Alpha_keep*$A181+W$3&gt;=Floor_c-0.000000001,AND($B181=0,W$3&gt;=Cap_h-0.000000001)),1,0),0)</f>
        <v>1</v>
      </c>
      <c r="X181" s="14" t="n">
        <f aca="false">IF(M181=1,IF(OR(Alpha_keep*$A181+X$3&gt;=Floor_c-0.000000001,AND($B181=0,X$3&gt;=Cap_h-0.000000001)),1,0),0)</f>
        <v>1</v>
      </c>
      <c r="Y181" s="14" t="n">
        <f aca="false">SUM(C181:M181)</f>
        <v>11</v>
      </c>
      <c r="Z181" s="14" t="n">
        <f aca="false">SUM(N181:X181)</f>
        <v>11</v>
      </c>
      <c r="AA181" s="12" t="n">
        <f aca="false">INDEX($C$3:$M$3,MATCH(1,C181:M181,0))</f>
        <v>0</v>
      </c>
      <c r="AB181" s="12" t="n">
        <f aca="false">INDEX($N$3:$X$3,MATCH(1,N181:X181,0))+(Z181-1)*Step_h</f>
        <v>2.5</v>
      </c>
    </row>
    <row r="182" customFormat="false" ht="15" hidden="false" customHeight="false" outlineLevel="0" collapsed="false">
      <c r="A182" s="12" t="n">
        <f aca="false">A181+Step_c</f>
        <v>74.25</v>
      </c>
      <c r="B182" s="14" t="n">
        <f aca="false">IF(SUMPRODUCT((Alpha_keep*$A182+$C$3:$M$3&gt;=Floor_c-0.000000001)*(C182:M182))&gt;0,1,0)</f>
        <v>1</v>
      </c>
      <c r="C182" s="14" t="n">
        <f aca="false">IF(AND(Alpha_keep*$A182+C$3-MAX(Loss_w)&gt;=Lo_c-0.000000001,Alpha_keep*$A182+C$3-MIN(Loss_w)&lt;=Hi_c+0.000000001),1,0)</f>
        <v>1</v>
      </c>
      <c r="D182" s="14" t="n">
        <f aca="false">IF(AND(Alpha_keep*$A182+D$3-MAX(Loss_w)&gt;=Lo_c-0.000000001,Alpha_keep*$A182+D$3-MIN(Loss_w)&lt;=Hi_c+0.000000001),1,0)</f>
        <v>1</v>
      </c>
      <c r="E182" s="14" t="n">
        <f aca="false">IF(AND(Alpha_keep*$A182+E$3-MAX(Loss_w)&gt;=Lo_c-0.000000001,Alpha_keep*$A182+E$3-MIN(Loss_w)&lt;=Hi_c+0.000000001),1,0)</f>
        <v>1</v>
      </c>
      <c r="F182" s="14" t="n">
        <f aca="false">IF(AND(Alpha_keep*$A182+F$3-MAX(Loss_w)&gt;=Lo_c-0.000000001,Alpha_keep*$A182+F$3-MIN(Loss_w)&lt;=Hi_c+0.000000001),1,0)</f>
        <v>1</v>
      </c>
      <c r="G182" s="14" t="n">
        <f aca="false">IF(AND(Alpha_keep*$A182+G$3-MAX(Loss_w)&gt;=Lo_c-0.000000001,Alpha_keep*$A182+G$3-MIN(Loss_w)&lt;=Hi_c+0.000000001),1,0)</f>
        <v>1</v>
      </c>
      <c r="H182" s="14" t="n">
        <f aca="false">IF(AND(Alpha_keep*$A182+H$3-MAX(Loss_w)&gt;=Lo_c-0.000000001,Alpha_keep*$A182+H$3-MIN(Loss_w)&lt;=Hi_c+0.000000001),1,0)</f>
        <v>1</v>
      </c>
      <c r="I182" s="14" t="n">
        <f aca="false">IF(AND(Alpha_keep*$A182+I$3-MAX(Loss_w)&gt;=Lo_c-0.000000001,Alpha_keep*$A182+I$3-MIN(Loss_w)&lt;=Hi_c+0.000000001),1,0)</f>
        <v>1</v>
      </c>
      <c r="J182" s="14" t="n">
        <f aca="false">IF(AND(Alpha_keep*$A182+J$3-MAX(Loss_w)&gt;=Lo_c-0.000000001,Alpha_keep*$A182+J$3-MIN(Loss_w)&lt;=Hi_c+0.000000001),1,0)</f>
        <v>1</v>
      </c>
      <c r="K182" s="14" t="n">
        <f aca="false">IF(AND(Alpha_keep*$A182+K$3-MAX(Loss_w)&gt;=Lo_c-0.000000001,Alpha_keep*$A182+K$3-MIN(Loss_w)&lt;=Hi_c+0.000000001),1,0)</f>
        <v>1</v>
      </c>
      <c r="L182" s="14" t="n">
        <f aca="false">IF(AND(Alpha_keep*$A182+L$3-MAX(Loss_w)&gt;=Lo_c-0.000000001,Alpha_keep*$A182+L$3-MIN(Loss_w)&lt;=Hi_c+0.000000001),1,0)</f>
        <v>1</v>
      </c>
      <c r="M182" s="14" t="n">
        <f aca="false">IF(AND(Alpha_keep*$A182+M$3-MAX(Loss_w)&gt;=Lo_c-0.000000001,Alpha_keep*$A182+M$3-MIN(Loss_w)&lt;=Hi_c+0.000000001),1,0)</f>
        <v>1</v>
      </c>
      <c r="N182" s="14" t="n">
        <f aca="false">IF(C182=1,IF(OR(Alpha_keep*$A182+N$3&gt;=Floor_c-0.000000001,AND($B182=0,N$3&gt;=Cap_h-0.000000001)),1,0),0)</f>
        <v>1</v>
      </c>
      <c r="O182" s="14" t="n">
        <f aca="false">IF(D182=1,IF(OR(Alpha_keep*$A182+O$3&gt;=Floor_c-0.000000001,AND($B182=0,O$3&gt;=Cap_h-0.000000001)),1,0),0)</f>
        <v>1</v>
      </c>
      <c r="P182" s="14" t="n">
        <f aca="false">IF(E182=1,IF(OR(Alpha_keep*$A182+P$3&gt;=Floor_c-0.000000001,AND($B182=0,P$3&gt;=Cap_h-0.000000001)),1,0),0)</f>
        <v>1</v>
      </c>
      <c r="Q182" s="14" t="n">
        <f aca="false">IF(F182=1,IF(OR(Alpha_keep*$A182+Q$3&gt;=Floor_c-0.000000001,AND($B182=0,Q$3&gt;=Cap_h-0.000000001)),1,0),0)</f>
        <v>1</v>
      </c>
      <c r="R182" s="14" t="n">
        <f aca="false">IF(G182=1,IF(OR(Alpha_keep*$A182+R$3&gt;=Floor_c-0.000000001,AND($B182=0,R$3&gt;=Cap_h-0.000000001)),1,0),0)</f>
        <v>1</v>
      </c>
      <c r="S182" s="14" t="n">
        <f aca="false">IF(H182=1,IF(OR(Alpha_keep*$A182+S$3&gt;=Floor_c-0.000000001,AND($B182=0,S$3&gt;=Cap_h-0.000000001)),1,0),0)</f>
        <v>1</v>
      </c>
      <c r="T182" s="14" t="n">
        <f aca="false">IF(I182=1,IF(OR(Alpha_keep*$A182+T$3&gt;=Floor_c-0.000000001,AND($B182=0,T$3&gt;=Cap_h-0.000000001)),1,0),0)</f>
        <v>1</v>
      </c>
      <c r="U182" s="14" t="n">
        <f aca="false">IF(J182=1,IF(OR(Alpha_keep*$A182+U$3&gt;=Floor_c-0.000000001,AND($B182=0,U$3&gt;=Cap_h-0.000000001)),1,0),0)</f>
        <v>1</v>
      </c>
      <c r="V182" s="14" t="n">
        <f aca="false">IF(K182=1,IF(OR(Alpha_keep*$A182+V$3&gt;=Floor_c-0.000000001,AND($B182=0,V$3&gt;=Cap_h-0.000000001)),1,0),0)</f>
        <v>1</v>
      </c>
      <c r="W182" s="14" t="n">
        <f aca="false">IF(L182=1,IF(OR(Alpha_keep*$A182+W$3&gt;=Floor_c-0.000000001,AND($B182=0,W$3&gt;=Cap_h-0.000000001)),1,0),0)</f>
        <v>1</v>
      </c>
      <c r="X182" s="14" t="n">
        <f aca="false">IF(M182=1,IF(OR(Alpha_keep*$A182+X$3&gt;=Floor_c-0.000000001,AND($B182=0,X$3&gt;=Cap_h-0.000000001)),1,0),0)</f>
        <v>1</v>
      </c>
      <c r="Y182" s="14" t="n">
        <f aca="false">SUM(C182:M182)</f>
        <v>11</v>
      </c>
      <c r="Z182" s="14" t="n">
        <f aca="false">SUM(N182:X182)</f>
        <v>11</v>
      </c>
      <c r="AA182" s="12" t="n">
        <f aca="false">INDEX($C$3:$M$3,MATCH(1,C182:M182,0))</f>
        <v>0</v>
      </c>
      <c r="AB182" s="12" t="n">
        <f aca="false">INDEX($N$3:$X$3,MATCH(1,N182:X182,0))+(Z182-1)*Step_h</f>
        <v>2.5</v>
      </c>
    </row>
    <row r="183" customFormat="false" ht="15" hidden="false" customHeight="false" outlineLevel="0" collapsed="false">
      <c r="A183" s="12" t="n">
        <f aca="false">A182+Step_c</f>
        <v>74.5</v>
      </c>
      <c r="B183" s="14" t="n">
        <f aca="false">IF(SUMPRODUCT((Alpha_keep*$A183+$C$3:$M$3&gt;=Floor_c-0.000000001)*(C183:M183))&gt;0,1,0)</f>
        <v>1</v>
      </c>
      <c r="C183" s="14" t="n">
        <f aca="false">IF(AND(Alpha_keep*$A183+C$3-MAX(Loss_w)&gt;=Lo_c-0.000000001,Alpha_keep*$A183+C$3-MIN(Loss_w)&lt;=Hi_c+0.000000001),1,0)</f>
        <v>1</v>
      </c>
      <c r="D183" s="14" t="n">
        <f aca="false">IF(AND(Alpha_keep*$A183+D$3-MAX(Loss_w)&gt;=Lo_c-0.000000001,Alpha_keep*$A183+D$3-MIN(Loss_w)&lt;=Hi_c+0.000000001),1,0)</f>
        <v>1</v>
      </c>
      <c r="E183" s="14" t="n">
        <f aca="false">IF(AND(Alpha_keep*$A183+E$3-MAX(Loss_w)&gt;=Lo_c-0.000000001,Alpha_keep*$A183+E$3-MIN(Loss_w)&lt;=Hi_c+0.000000001),1,0)</f>
        <v>1</v>
      </c>
      <c r="F183" s="14" t="n">
        <f aca="false">IF(AND(Alpha_keep*$A183+F$3-MAX(Loss_w)&gt;=Lo_c-0.000000001,Alpha_keep*$A183+F$3-MIN(Loss_w)&lt;=Hi_c+0.000000001),1,0)</f>
        <v>1</v>
      </c>
      <c r="G183" s="14" t="n">
        <f aca="false">IF(AND(Alpha_keep*$A183+G$3-MAX(Loss_w)&gt;=Lo_c-0.000000001,Alpha_keep*$A183+G$3-MIN(Loss_w)&lt;=Hi_c+0.000000001),1,0)</f>
        <v>1</v>
      </c>
      <c r="H183" s="14" t="n">
        <f aca="false">IF(AND(Alpha_keep*$A183+H$3-MAX(Loss_w)&gt;=Lo_c-0.000000001,Alpha_keep*$A183+H$3-MIN(Loss_w)&lt;=Hi_c+0.000000001),1,0)</f>
        <v>1</v>
      </c>
      <c r="I183" s="14" t="n">
        <f aca="false">IF(AND(Alpha_keep*$A183+I$3-MAX(Loss_w)&gt;=Lo_c-0.000000001,Alpha_keep*$A183+I$3-MIN(Loss_w)&lt;=Hi_c+0.000000001),1,0)</f>
        <v>1</v>
      </c>
      <c r="J183" s="14" t="n">
        <f aca="false">IF(AND(Alpha_keep*$A183+J$3-MAX(Loss_w)&gt;=Lo_c-0.000000001,Alpha_keep*$A183+J$3-MIN(Loss_w)&lt;=Hi_c+0.000000001),1,0)</f>
        <v>1</v>
      </c>
      <c r="K183" s="14" t="n">
        <f aca="false">IF(AND(Alpha_keep*$A183+K$3-MAX(Loss_w)&gt;=Lo_c-0.000000001,Alpha_keep*$A183+K$3-MIN(Loss_w)&lt;=Hi_c+0.000000001),1,0)</f>
        <v>1</v>
      </c>
      <c r="L183" s="14" t="n">
        <f aca="false">IF(AND(Alpha_keep*$A183+L$3-MAX(Loss_w)&gt;=Lo_c-0.000000001,Alpha_keep*$A183+L$3-MIN(Loss_w)&lt;=Hi_c+0.000000001),1,0)</f>
        <v>1</v>
      </c>
      <c r="M183" s="14" t="n">
        <f aca="false">IF(AND(Alpha_keep*$A183+M$3-MAX(Loss_w)&gt;=Lo_c-0.000000001,Alpha_keep*$A183+M$3-MIN(Loss_w)&lt;=Hi_c+0.000000001),1,0)</f>
        <v>1</v>
      </c>
      <c r="N183" s="14" t="n">
        <f aca="false">IF(C183=1,IF(OR(Alpha_keep*$A183+N$3&gt;=Floor_c-0.000000001,AND($B183=0,N$3&gt;=Cap_h-0.000000001)),1,0),0)</f>
        <v>1</v>
      </c>
      <c r="O183" s="14" t="n">
        <f aca="false">IF(D183=1,IF(OR(Alpha_keep*$A183+O$3&gt;=Floor_c-0.000000001,AND($B183=0,O$3&gt;=Cap_h-0.000000001)),1,0),0)</f>
        <v>1</v>
      </c>
      <c r="P183" s="14" t="n">
        <f aca="false">IF(E183=1,IF(OR(Alpha_keep*$A183+P$3&gt;=Floor_c-0.000000001,AND($B183=0,P$3&gt;=Cap_h-0.000000001)),1,0),0)</f>
        <v>1</v>
      </c>
      <c r="Q183" s="14" t="n">
        <f aca="false">IF(F183=1,IF(OR(Alpha_keep*$A183+Q$3&gt;=Floor_c-0.000000001,AND($B183=0,Q$3&gt;=Cap_h-0.000000001)),1,0),0)</f>
        <v>1</v>
      </c>
      <c r="R183" s="14" t="n">
        <f aca="false">IF(G183=1,IF(OR(Alpha_keep*$A183+R$3&gt;=Floor_c-0.000000001,AND($B183=0,R$3&gt;=Cap_h-0.000000001)),1,0),0)</f>
        <v>1</v>
      </c>
      <c r="S183" s="14" t="n">
        <f aca="false">IF(H183=1,IF(OR(Alpha_keep*$A183+S$3&gt;=Floor_c-0.000000001,AND($B183=0,S$3&gt;=Cap_h-0.000000001)),1,0),0)</f>
        <v>1</v>
      </c>
      <c r="T183" s="14" t="n">
        <f aca="false">IF(I183=1,IF(OR(Alpha_keep*$A183+T$3&gt;=Floor_c-0.000000001,AND($B183=0,T$3&gt;=Cap_h-0.000000001)),1,0),0)</f>
        <v>1</v>
      </c>
      <c r="U183" s="14" t="n">
        <f aca="false">IF(J183=1,IF(OR(Alpha_keep*$A183+U$3&gt;=Floor_c-0.000000001,AND($B183=0,U$3&gt;=Cap_h-0.000000001)),1,0),0)</f>
        <v>1</v>
      </c>
      <c r="V183" s="14" t="n">
        <f aca="false">IF(K183=1,IF(OR(Alpha_keep*$A183+V$3&gt;=Floor_c-0.000000001,AND($B183=0,V$3&gt;=Cap_h-0.000000001)),1,0),0)</f>
        <v>1</v>
      </c>
      <c r="W183" s="14" t="n">
        <f aca="false">IF(L183=1,IF(OR(Alpha_keep*$A183+W$3&gt;=Floor_c-0.000000001,AND($B183=0,W$3&gt;=Cap_h-0.000000001)),1,0),0)</f>
        <v>1</v>
      </c>
      <c r="X183" s="14" t="n">
        <f aca="false">IF(M183=1,IF(OR(Alpha_keep*$A183+X$3&gt;=Floor_c-0.000000001,AND($B183=0,X$3&gt;=Cap_h-0.000000001)),1,0),0)</f>
        <v>1</v>
      </c>
      <c r="Y183" s="14" t="n">
        <f aca="false">SUM(C183:M183)</f>
        <v>11</v>
      </c>
      <c r="Z183" s="14" t="n">
        <f aca="false">SUM(N183:X183)</f>
        <v>11</v>
      </c>
      <c r="AA183" s="12" t="n">
        <f aca="false">INDEX($C$3:$M$3,MATCH(1,C183:M183,0))</f>
        <v>0</v>
      </c>
      <c r="AB183" s="12" t="n">
        <f aca="false">INDEX($N$3:$X$3,MATCH(1,N183:X183,0))+(Z183-1)*Step_h</f>
        <v>2.5</v>
      </c>
    </row>
    <row r="184" customFormat="false" ht="15" hidden="false" customHeight="false" outlineLevel="0" collapsed="false">
      <c r="A184" s="12" t="n">
        <f aca="false">A183+Step_c</f>
        <v>74.75</v>
      </c>
      <c r="B184" s="14" t="n">
        <f aca="false">IF(SUMPRODUCT((Alpha_keep*$A184+$C$3:$M$3&gt;=Floor_c-0.000000001)*(C184:M184))&gt;0,1,0)</f>
        <v>1</v>
      </c>
      <c r="C184" s="14" t="n">
        <f aca="false">IF(AND(Alpha_keep*$A184+C$3-MAX(Loss_w)&gt;=Lo_c-0.000000001,Alpha_keep*$A184+C$3-MIN(Loss_w)&lt;=Hi_c+0.000000001),1,0)</f>
        <v>1</v>
      </c>
      <c r="D184" s="14" t="n">
        <f aca="false">IF(AND(Alpha_keep*$A184+D$3-MAX(Loss_w)&gt;=Lo_c-0.000000001,Alpha_keep*$A184+D$3-MIN(Loss_w)&lt;=Hi_c+0.000000001),1,0)</f>
        <v>1</v>
      </c>
      <c r="E184" s="14" t="n">
        <f aca="false">IF(AND(Alpha_keep*$A184+E$3-MAX(Loss_w)&gt;=Lo_c-0.000000001,Alpha_keep*$A184+E$3-MIN(Loss_w)&lt;=Hi_c+0.000000001),1,0)</f>
        <v>1</v>
      </c>
      <c r="F184" s="14" t="n">
        <f aca="false">IF(AND(Alpha_keep*$A184+F$3-MAX(Loss_w)&gt;=Lo_c-0.000000001,Alpha_keep*$A184+F$3-MIN(Loss_w)&lt;=Hi_c+0.000000001),1,0)</f>
        <v>1</v>
      </c>
      <c r="G184" s="14" t="n">
        <f aca="false">IF(AND(Alpha_keep*$A184+G$3-MAX(Loss_w)&gt;=Lo_c-0.000000001,Alpha_keep*$A184+G$3-MIN(Loss_w)&lt;=Hi_c+0.000000001),1,0)</f>
        <v>1</v>
      </c>
      <c r="H184" s="14" t="n">
        <f aca="false">IF(AND(Alpha_keep*$A184+H$3-MAX(Loss_w)&gt;=Lo_c-0.000000001,Alpha_keep*$A184+H$3-MIN(Loss_w)&lt;=Hi_c+0.000000001),1,0)</f>
        <v>1</v>
      </c>
      <c r="I184" s="14" t="n">
        <f aca="false">IF(AND(Alpha_keep*$A184+I$3-MAX(Loss_w)&gt;=Lo_c-0.000000001,Alpha_keep*$A184+I$3-MIN(Loss_w)&lt;=Hi_c+0.000000001),1,0)</f>
        <v>1</v>
      </c>
      <c r="J184" s="14" t="n">
        <f aca="false">IF(AND(Alpha_keep*$A184+J$3-MAX(Loss_w)&gt;=Lo_c-0.000000001,Alpha_keep*$A184+J$3-MIN(Loss_w)&lt;=Hi_c+0.000000001),1,0)</f>
        <v>1</v>
      </c>
      <c r="K184" s="14" t="n">
        <f aca="false">IF(AND(Alpha_keep*$A184+K$3-MAX(Loss_w)&gt;=Lo_c-0.000000001,Alpha_keep*$A184+K$3-MIN(Loss_w)&lt;=Hi_c+0.000000001),1,0)</f>
        <v>1</v>
      </c>
      <c r="L184" s="14" t="n">
        <f aca="false">IF(AND(Alpha_keep*$A184+L$3-MAX(Loss_w)&gt;=Lo_c-0.000000001,Alpha_keep*$A184+L$3-MIN(Loss_w)&lt;=Hi_c+0.000000001),1,0)</f>
        <v>1</v>
      </c>
      <c r="M184" s="14" t="n">
        <f aca="false">IF(AND(Alpha_keep*$A184+M$3-MAX(Loss_w)&gt;=Lo_c-0.000000001,Alpha_keep*$A184+M$3-MIN(Loss_w)&lt;=Hi_c+0.000000001),1,0)</f>
        <v>1</v>
      </c>
      <c r="N184" s="14" t="n">
        <f aca="false">IF(C184=1,IF(OR(Alpha_keep*$A184+N$3&gt;=Floor_c-0.000000001,AND($B184=0,N$3&gt;=Cap_h-0.000000001)),1,0),0)</f>
        <v>1</v>
      </c>
      <c r="O184" s="14" t="n">
        <f aca="false">IF(D184=1,IF(OR(Alpha_keep*$A184+O$3&gt;=Floor_c-0.000000001,AND($B184=0,O$3&gt;=Cap_h-0.000000001)),1,0),0)</f>
        <v>1</v>
      </c>
      <c r="P184" s="14" t="n">
        <f aca="false">IF(E184=1,IF(OR(Alpha_keep*$A184+P$3&gt;=Floor_c-0.000000001,AND($B184=0,P$3&gt;=Cap_h-0.000000001)),1,0),0)</f>
        <v>1</v>
      </c>
      <c r="Q184" s="14" t="n">
        <f aca="false">IF(F184=1,IF(OR(Alpha_keep*$A184+Q$3&gt;=Floor_c-0.000000001,AND($B184=0,Q$3&gt;=Cap_h-0.000000001)),1,0),0)</f>
        <v>1</v>
      </c>
      <c r="R184" s="14" t="n">
        <f aca="false">IF(G184=1,IF(OR(Alpha_keep*$A184+R$3&gt;=Floor_c-0.000000001,AND($B184=0,R$3&gt;=Cap_h-0.000000001)),1,0),0)</f>
        <v>1</v>
      </c>
      <c r="S184" s="14" t="n">
        <f aca="false">IF(H184=1,IF(OR(Alpha_keep*$A184+S$3&gt;=Floor_c-0.000000001,AND($B184=0,S$3&gt;=Cap_h-0.000000001)),1,0),0)</f>
        <v>1</v>
      </c>
      <c r="T184" s="14" t="n">
        <f aca="false">IF(I184=1,IF(OR(Alpha_keep*$A184+T$3&gt;=Floor_c-0.000000001,AND($B184=0,T$3&gt;=Cap_h-0.000000001)),1,0),0)</f>
        <v>1</v>
      </c>
      <c r="U184" s="14" t="n">
        <f aca="false">IF(J184=1,IF(OR(Alpha_keep*$A184+U$3&gt;=Floor_c-0.000000001,AND($B184=0,U$3&gt;=Cap_h-0.000000001)),1,0),0)</f>
        <v>1</v>
      </c>
      <c r="V184" s="14" t="n">
        <f aca="false">IF(K184=1,IF(OR(Alpha_keep*$A184+V$3&gt;=Floor_c-0.000000001,AND($B184=0,V$3&gt;=Cap_h-0.000000001)),1,0),0)</f>
        <v>1</v>
      </c>
      <c r="W184" s="14" t="n">
        <f aca="false">IF(L184=1,IF(OR(Alpha_keep*$A184+W$3&gt;=Floor_c-0.000000001,AND($B184=0,W$3&gt;=Cap_h-0.000000001)),1,0),0)</f>
        <v>1</v>
      </c>
      <c r="X184" s="14" t="n">
        <f aca="false">IF(M184=1,IF(OR(Alpha_keep*$A184+X$3&gt;=Floor_c-0.000000001,AND($B184=0,X$3&gt;=Cap_h-0.000000001)),1,0),0)</f>
        <v>1</v>
      </c>
      <c r="Y184" s="14" t="n">
        <f aca="false">SUM(C184:M184)</f>
        <v>11</v>
      </c>
      <c r="Z184" s="14" t="n">
        <f aca="false">SUM(N184:X184)</f>
        <v>11</v>
      </c>
      <c r="AA184" s="12" t="n">
        <f aca="false">INDEX($C$3:$M$3,MATCH(1,C184:M184,0))</f>
        <v>0</v>
      </c>
      <c r="AB184" s="12" t="n">
        <f aca="false">INDEX($N$3:$X$3,MATCH(1,N184:X184,0))+(Z184-1)*Step_h</f>
        <v>2.5</v>
      </c>
    </row>
    <row r="185" customFormat="false" ht="15" hidden="false" customHeight="false" outlineLevel="0" collapsed="false">
      <c r="A185" s="12" t="n">
        <f aca="false">A184+Step_c</f>
        <v>75</v>
      </c>
      <c r="B185" s="14" t="n">
        <f aca="false">IF(SUMPRODUCT((Alpha_keep*$A185+$C$3:$M$3&gt;=Floor_c-0.000000001)*(C185:M185))&gt;0,1,0)</f>
        <v>1</v>
      </c>
      <c r="C185" s="14" t="n">
        <f aca="false">IF(AND(Alpha_keep*$A185+C$3-MAX(Loss_w)&gt;=Lo_c-0.000000001,Alpha_keep*$A185+C$3-MIN(Loss_w)&lt;=Hi_c+0.000000001),1,0)</f>
        <v>1</v>
      </c>
      <c r="D185" s="14" t="n">
        <f aca="false">IF(AND(Alpha_keep*$A185+D$3-MAX(Loss_w)&gt;=Lo_c-0.000000001,Alpha_keep*$A185+D$3-MIN(Loss_w)&lt;=Hi_c+0.000000001),1,0)</f>
        <v>1</v>
      </c>
      <c r="E185" s="14" t="n">
        <f aca="false">IF(AND(Alpha_keep*$A185+E$3-MAX(Loss_w)&gt;=Lo_c-0.000000001,Alpha_keep*$A185+E$3-MIN(Loss_w)&lt;=Hi_c+0.000000001),1,0)</f>
        <v>1</v>
      </c>
      <c r="F185" s="14" t="n">
        <f aca="false">IF(AND(Alpha_keep*$A185+F$3-MAX(Loss_w)&gt;=Lo_c-0.000000001,Alpha_keep*$A185+F$3-MIN(Loss_w)&lt;=Hi_c+0.000000001),1,0)</f>
        <v>1</v>
      </c>
      <c r="G185" s="14" t="n">
        <f aca="false">IF(AND(Alpha_keep*$A185+G$3-MAX(Loss_w)&gt;=Lo_c-0.000000001,Alpha_keep*$A185+G$3-MIN(Loss_w)&lt;=Hi_c+0.000000001),1,0)</f>
        <v>1</v>
      </c>
      <c r="H185" s="14" t="n">
        <f aca="false">IF(AND(Alpha_keep*$A185+H$3-MAX(Loss_w)&gt;=Lo_c-0.000000001,Alpha_keep*$A185+H$3-MIN(Loss_w)&lt;=Hi_c+0.000000001),1,0)</f>
        <v>1</v>
      </c>
      <c r="I185" s="14" t="n">
        <f aca="false">IF(AND(Alpha_keep*$A185+I$3-MAX(Loss_w)&gt;=Lo_c-0.000000001,Alpha_keep*$A185+I$3-MIN(Loss_w)&lt;=Hi_c+0.000000001),1,0)</f>
        <v>1</v>
      </c>
      <c r="J185" s="14" t="n">
        <f aca="false">IF(AND(Alpha_keep*$A185+J$3-MAX(Loss_w)&gt;=Lo_c-0.000000001,Alpha_keep*$A185+J$3-MIN(Loss_w)&lt;=Hi_c+0.000000001),1,0)</f>
        <v>1</v>
      </c>
      <c r="K185" s="14" t="n">
        <f aca="false">IF(AND(Alpha_keep*$A185+K$3-MAX(Loss_w)&gt;=Lo_c-0.000000001,Alpha_keep*$A185+K$3-MIN(Loss_w)&lt;=Hi_c+0.000000001),1,0)</f>
        <v>1</v>
      </c>
      <c r="L185" s="14" t="n">
        <f aca="false">IF(AND(Alpha_keep*$A185+L$3-MAX(Loss_w)&gt;=Lo_c-0.000000001,Alpha_keep*$A185+L$3-MIN(Loss_w)&lt;=Hi_c+0.000000001),1,0)</f>
        <v>1</v>
      </c>
      <c r="M185" s="14" t="n">
        <f aca="false">IF(AND(Alpha_keep*$A185+M$3-MAX(Loss_w)&gt;=Lo_c-0.000000001,Alpha_keep*$A185+M$3-MIN(Loss_w)&lt;=Hi_c+0.000000001),1,0)</f>
        <v>1</v>
      </c>
      <c r="N185" s="14" t="n">
        <f aca="false">IF(C185=1,IF(OR(Alpha_keep*$A185+N$3&gt;=Floor_c-0.000000001,AND($B185=0,N$3&gt;=Cap_h-0.000000001)),1,0),0)</f>
        <v>1</v>
      </c>
      <c r="O185" s="14" t="n">
        <f aca="false">IF(D185=1,IF(OR(Alpha_keep*$A185+O$3&gt;=Floor_c-0.000000001,AND($B185=0,O$3&gt;=Cap_h-0.000000001)),1,0),0)</f>
        <v>1</v>
      </c>
      <c r="P185" s="14" t="n">
        <f aca="false">IF(E185=1,IF(OR(Alpha_keep*$A185+P$3&gt;=Floor_c-0.000000001,AND($B185=0,P$3&gt;=Cap_h-0.000000001)),1,0),0)</f>
        <v>1</v>
      </c>
      <c r="Q185" s="14" t="n">
        <f aca="false">IF(F185=1,IF(OR(Alpha_keep*$A185+Q$3&gt;=Floor_c-0.000000001,AND($B185=0,Q$3&gt;=Cap_h-0.000000001)),1,0),0)</f>
        <v>1</v>
      </c>
      <c r="R185" s="14" t="n">
        <f aca="false">IF(G185=1,IF(OR(Alpha_keep*$A185+R$3&gt;=Floor_c-0.000000001,AND($B185=0,R$3&gt;=Cap_h-0.000000001)),1,0),0)</f>
        <v>1</v>
      </c>
      <c r="S185" s="14" t="n">
        <f aca="false">IF(H185=1,IF(OR(Alpha_keep*$A185+S$3&gt;=Floor_c-0.000000001,AND($B185=0,S$3&gt;=Cap_h-0.000000001)),1,0),0)</f>
        <v>1</v>
      </c>
      <c r="T185" s="14" t="n">
        <f aca="false">IF(I185=1,IF(OR(Alpha_keep*$A185+T$3&gt;=Floor_c-0.000000001,AND($B185=0,T$3&gt;=Cap_h-0.000000001)),1,0),0)</f>
        <v>1</v>
      </c>
      <c r="U185" s="14" t="n">
        <f aca="false">IF(J185=1,IF(OR(Alpha_keep*$A185+U$3&gt;=Floor_c-0.000000001,AND($B185=0,U$3&gt;=Cap_h-0.000000001)),1,0),0)</f>
        <v>1</v>
      </c>
      <c r="V185" s="14" t="n">
        <f aca="false">IF(K185=1,IF(OR(Alpha_keep*$A185+V$3&gt;=Floor_c-0.000000001,AND($B185=0,V$3&gt;=Cap_h-0.000000001)),1,0),0)</f>
        <v>1</v>
      </c>
      <c r="W185" s="14" t="n">
        <f aca="false">IF(L185=1,IF(OR(Alpha_keep*$A185+W$3&gt;=Floor_c-0.000000001,AND($B185=0,W$3&gt;=Cap_h-0.000000001)),1,0),0)</f>
        <v>1</v>
      </c>
      <c r="X185" s="14" t="n">
        <f aca="false">IF(M185=1,IF(OR(Alpha_keep*$A185+X$3&gt;=Floor_c-0.000000001,AND($B185=0,X$3&gt;=Cap_h-0.000000001)),1,0),0)</f>
        <v>1</v>
      </c>
      <c r="Y185" s="14" t="n">
        <f aca="false">SUM(C185:M185)</f>
        <v>11</v>
      </c>
      <c r="Z185" s="14" t="n">
        <f aca="false">SUM(N185:X185)</f>
        <v>11</v>
      </c>
      <c r="AA185" s="12" t="n">
        <f aca="false">INDEX($C$3:$M$3,MATCH(1,C185:M185,0))</f>
        <v>0</v>
      </c>
      <c r="AB185" s="12" t="n">
        <f aca="false">INDEX($N$3:$X$3,MATCH(1,N185:X185,0))+(Z185-1)*Step_h</f>
        <v>2.5</v>
      </c>
    </row>
    <row r="186" customFormat="false" ht="15" hidden="false" customHeight="false" outlineLevel="0" collapsed="false">
      <c r="A186" s="12" t="n">
        <f aca="false">A185+Step_c</f>
        <v>75.25</v>
      </c>
      <c r="B186" s="14" t="n">
        <f aca="false">IF(SUMPRODUCT((Alpha_keep*$A186+$C$3:$M$3&gt;=Floor_c-0.000000001)*(C186:M186))&gt;0,1,0)</f>
        <v>1</v>
      </c>
      <c r="C186" s="14" t="n">
        <f aca="false">IF(AND(Alpha_keep*$A186+C$3-MAX(Loss_w)&gt;=Lo_c-0.000000001,Alpha_keep*$A186+C$3-MIN(Loss_w)&lt;=Hi_c+0.000000001),1,0)</f>
        <v>1</v>
      </c>
      <c r="D186" s="14" t="n">
        <f aca="false">IF(AND(Alpha_keep*$A186+D$3-MAX(Loss_w)&gt;=Lo_c-0.000000001,Alpha_keep*$A186+D$3-MIN(Loss_w)&lt;=Hi_c+0.000000001),1,0)</f>
        <v>1</v>
      </c>
      <c r="E186" s="14" t="n">
        <f aca="false">IF(AND(Alpha_keep*$A186+E$3-MAX(Loss_w)&gt;=Lo_c-0.000000001,Alpha_keep*$A186+E$3-MIN(Loss_w)&lt;=Hi_c+0.000000001),1,0)</f>
        <v>1</v>
      </c>
      <c r="F186" s="14" t="n">
        <f aca="false">IF(AND(Alpha_keep*$A186+F$3-MAX(Loss_w)&gt;=Lo_c-0.000000001,Alpha_keep*$A186+F$3-MIN(Loss_w)&lt;=Hi_c+0.000000001),1,0)</f>
        <v>1</v>
      </c>
      <c r="G186" s="14" t="n">
        <f aca="false">IF(AND(Alpha_keep*$A186+G$3-MAX(Loss_w)&gt;=Lo_c-0.000000001,Alpha_keep*$A186+G$3-MIN(Loss_w)&lt;=Hi_c+0.000000001),1,0)</f>
        <v>1</v>
      </c>
      <c r="H186" s="14" t="n">
        <f aca="false">IF(AND(Alpha_keep*$A186+H$3-MAX(Loss_w)&gt;=Lo_c-0.000000001,Alpha_keep*$A186+H$3-MIN(Loss_w)&lt;=Hi_c+0.000000001),1,0)</f>
        <v>1</v>
      </c>
      <c r="I186" s="14" t="n">
        <f aca="false">IF(AND(Alpha_keep*$A186+I$3-MAX(Loss_w)&gt;=Lo_c-0.000000001,Alpha_keep*$A186+I$3-MIN(Loss_w)&lt;=Hi_c+0.000000001),1,0)</f>
        <v>1</v>
      </c>
      <c r="J186" s="14" t="n">
        <f aca="false">IF(AND(Alpha_keep*$A186+J$3-MAX(Loss_w)&gt;=Lo_c-0.000000001,Alpha_keep*$A186+J$3-MIN(Loss_w)&lt;=Hi_c+0.000000001),1,0)</f>
        <v>1</v>
      </c>
      <c r="K186" s="14" t="n">
        <f aca="false">IF(AND(Alpha_keep*$A186+K$3-MAX(Loss_w)&gt;=Lo_c-0.000000001,Alpha_keep*$A186+K$3-MIN(Loss_w)&lt;=Hi_c+0.000000001),1,0)</f>
        <v>1</v>
      </c>
      <c r="L186" s="14" t="n">
        <f aca="false">IF(AND(Alpha_keep*$A186+L$3-MAX(Loss_w)&gt;=Lo_c-0.000000001,Alpha_keep*$A186+L$3-MIN(Loss_w)&lt;=Hi_c+0.000000001),1,0)</f>
        <v>1</v>
      </c>
      <c r="M186" s="14" t="n">
        <f aca="false">IF(AND(Alpha_keep*$A186+M$3-MAX(Loss_w)&gt;=Lo_c-0.000000001,Alpha_keep*$A186+M$3-MIN(Loss_w)&lt;=Hi_c+0.000000001),1,0)</f>
        <v>1</v>
      </c>
      <c r="N186" s="14" t="n">
        <f aca="false">IF(C186=1,IF(OR(Alpha_keep*$A186+N$3&gt;=Floor_c-0.000000001,AND($B186=0,N$3&gt;=Cap_h-0.000000001)),1,0),0)</f>
        <v>1</v>
      </c>
      <c r="O186" s="14" t="n">
        <f aca="false">IF(D186=1,IF(OR(Alpha_keep*$A186+O$3&gt;=Floor_c-0.000000001,AND($B186=0,O$3&gt;=Cap_h-0.000000001)),1,0),0)</f>
        <v>1</v>
      </c>
      <c r="P186" s="14" t="n">
        <f aca="false">IF(E186=1,IF(OR(Alpha_keep*$A186+P$3&gt;=Floor_c-0.000000001,AND($B186=0,P$3&gt;=Cap_h-0.000000001)),1,0),0)</f>
        <v>1</v>
      </c>
      <c r="Q186" s="14" t="n">
        <f aca="false">IF(F186=1,IF(OR(Alpha_keep*$A186+Q$3&gt;=Floor_c-0.000000001,AND($B186=0,Q$3&gt;=Cap_h-0.000000001)),1,0),0)</f>
        <v>1</v>
      </c>
      <c r="R186" s="14" t="n">
        <f aca="false">IF(G186=1,IF(OR(Alpha_keep*$A186+R$3&gt;=Floor_c-0.000000001,AND($B186=0,R$3&gt;=Cap_h-0.000000001)),1,0),0)</f>
        <v>1</v>
      </c>
      <c r="S186" s="14" t="n">
        <f aca="false">IF(H186=1,IF(OR(Alpha_keep*$A186+S$3&gt;=Floor_c-0.000000001,AND($B186=0,S$3&gt;=Cap_h-0.000000001)),1,0),0)</f>
        <v>1</v>
      </c>
      <c r="T186" s="14" t="n">
        <f aca="false">IF(I186=1,IF(OR(Alpha_keep*$A186+T$3&gt;=Floor_c-0.000000001,AND($B186=0,T$3&gt;=Cap_h-0.000000001)),1,0),0)</f>
        <v>1</v>
      </c>
      <c r="U186" s="14" t="n">
        <f aca="false">IF(J186=1,IF(OR(Alpha_keep*$A186+U$3&gt;=Floor_c-0.000000001,AND($B186=0,U$3&gt;=Cap_h-0.000000001)),1,0),0)</f>
        <v>1</v>
      </c>
      <c r="V186" s="14" t="n">
        <f aca="false">IF(K186=1,IF(OR(Alpha_keep*$A186+V$3&gt;=Floor_c-0.000000001,AND($B186=0,V$3&gt;=Cap_h-0.000000001)),1,0),0)</f>
        <v>1</v>
      </c>
      <c r="W186" s="14" t="n">
        <f aca="false">IF(L186=1,IF(OR(Alpha_keep*$A186+W$3&gt;=Floor_c-0.000000001,AND($B186=0,W$3&gt;=Cap_h-0.000000001)),1,0),0)</f>
        <v>1</v>
      </c>
      <c r="X186" s="14" t="n">
        <f aca="false">IF(M186=1,IF(OR(Alpha_keep*$A186+X$3&gt;=Floor_c-0.000000001,AND($B186=0,X$3&gt;=Cap_h-0.000000001)),1,0),0)</f>
        <v>1</v>
      </c>
      <c r="Y186" s="14" t="n">
        <f aca="false">SUM(C186:M186)</f>
        <v>11</v>
      </c>
      <c r="Z186" s="14" t="n">
        <f aca="false">SUM(N186:X186)</f>
        <v>11</v>
      </c>
      <c r="AA186" s="12" t="n">
        <f aca="false">INDEX($C$3:$M$3,MATCH(1,C186:M186,0))</f>
        <v>0</v>
      </c>
      <c r="AB186" s="12" t="n">
        <f aca="false">INDEX($N$3:$X$3,MATCH(1,N186:X186,0))+(Z186-1)*Step_h</f>
        <v>2.5</v>
      </c>
    </row>
    <row r="187" customFormat="false" ht="15" hidden="false" customHeight="false" outlineLevel="0" collapsed="false">
      <c r="A187" s="12" t="n">
        <f aca="false">A186+Step_c</f>
        <v>75.5</v>
      </c>
      <c r="B187" s="14" t="n">
        <f aca="false">IF(SUMPRODUCT((Alpha_keep*$A187+$C$3:$M$3&gt;=Floor_c-0.000000001)*(C187:M187))&gt;0,1,0)</f>
        <v>1</v>
      </c>
      <c r="C187" s="14" t="n">
        <f aca="false">IF(AND(Alpha_keep*$A187+C$3-MAX(Loss_w)&gt;=Lo_c-0.000000001,Alpha_keep*$A187+C$3-MIN(Loss_w)&lt;=Hi_c+0.000000001),1,0)</f>
        <v>1</v>
      </c>
      <c r="D187" s="14" t="n">
        <f aca="false">IF(AND(Alpha_keep*$A187+D$3-MAX(Loss_w)&gt;=Lo_c-0.000000001,Alpha_keep*$A187+D$3-MIN(Loss_w)&lt;=Hi_c+0.000000001),1,0)</f>
        <v>1</v>
      </c>
      <c r="E187" s="14" t="n">
        <f aca="false">IF(AND(Alpha_keep*$A187+E$3-MAX(Loss_w)&gt;=Lo_c-0.000000001,Alpha_keep*$A187+E$3-MIN(Loss_w)&lt;=Hi_c+0.000000001),1,0)</f>
        <v>1</v>
      </c>
      <c r="F187" s="14" t="n">
        <f aca="false">IF(AND(Alpha_keep*$A187+F$3-MAX(Loss_w)&gt;=Lo_c-0.000000001,Alpha_keep*$A187+F$3-MIN(Loss_w)&lt;=Hi_c+0.000000001),1,0)</f>
        <v>1</v>
      </c>
      <c r="G187" s="14" t="n">
        <f aca="false">IF(AND(Alpha_keep*$A187+G$3-MAX(Loss_w)&gt;=Lo_c-0.000000001,Alpha_keep*$A187+G$3-MIN(Loss_w)&lt;=Hi_c+0.000000001),1,0)</f>
        <v>1</v>
      </c>
      <c r="H187" s="14" t="n">
        <f aca="false">IF(AND(Alpha_keep*$A187+H$3-MAX(Loss_w)&gt;=Lo_c-0.000000001,Alpha_keep*$A187+H$3-MIN(Loss_w)&lt;=Hi_c+0.000000001),1,0)</f>
        <v>1</v>
      </c>
      <c r="I187" s="14" t="n">
        <f aca="false">IF(AND(Alpha_keep*$A187+I$3-MAX(Loss_w)&gt;=Lo_c-0.000000001,Alpha_keep*$A187+I$3-MIN(Loss_w)&lt;=Hi_c+0.000000001),1,0)</f>
        <v>1</v>
      </c>
      <c r="J187" s="14" t="n">
        <f aca="false">IF(AND(Alpha_keep*$A187+J$3-MAX(Loss_w)&gt;=Lo_c-0.000000001,Alpha_keep*$A187+J$3-MIN(Loss_w)&lt;=Hi_c+0.000000001),1,0)</f>
        <v>1</v>
      </c>
      <c r="K187" s="14" t="n">
        <f aca="false">IF(AND(Alpha_keep*$A187+K$3-MAX(Loss_w)&gt;=Lo_c-0.000000001,Alpha_keep*$A187+K$3-MIN(Loss_w)&lt;=Hi_c+0.000000001),1,0)</f>
        <v>1</v>
      </c>
      <c r="L187" s="14" t="n">
        <f aca="false">IF(AND(Alpha_keep*$A187+L$3-MAX(Loss_w)&gt;=Lo_c-0.000000001,Alpha_keep*$A187+L$3-MIN(Loss_w)&lt;=Hi_c+0.000000001),1,0)</f>
        <v>1</v>
      </c>
      <c r="M187" s="14" t="n">
        <f aca="false">IF(AND(Alpha_keep*$A187+M$3-MAX(Loss_w)&gt;=Lo_c-0.000000001,Alpha_keep*$A187+M$3-MIN(Loss_w)&lt;=Hi_c+0.000000001),1,0)</f>
        <v>1</v>
      </c>
      <c r="N187" s="14" t="n">
        <f aca="false">IF(C187=1,IF(OR(Alpha_keep*$A187+N$3&gt;=Floor_c-0.000000001,AND($B187=0,N$3&gt;=Cap_h-0.000000001)),1,0),0)</f>
        <v>1</v>
      </c>
      <c r="O187" s="14" t="n">
        <f aca="false">IF(D187=1,IF(OR(Alpha_keep*$A187+O$3&gt;=Floor_c-0.000000001,AND($B187=0,O$3&gt;=Cap_h-0.000000001)),1,0),0)</f>
        <v>1</v>
      </c>
      <c r="P187" s="14" t="n">
        <f aca="false">IF(E187=1,IF(OR(Alpha_keep*$A187+P$3&gt;=Floor_c-0.000000001,AND($B187=0,P$3&gt;=Cap_h-0.000000001)),1,0),0)</f>
        <v>1</v>
      </c>
      <c r="Q187" s="14" t="n">
        <f aca="false">IF(F187=1,IF(OR(Alpha_keep*$A187+Q$3&gt;=Floor_c-0.000000001,AND($B187=0,Q$3&gt;=Cap_h-0.000000001)),1,0),0)</f>
        <v>1</v>
      </c>
      <c r="R187" s="14" t="n">
        <f aca="false">IF(G187=1,IF(OR(Alpha_keep*$A187+R$3&gt;=Floor_c-0.000000001,AND($B187=0,R$3&gt;=Cap_h-0.000000001)),1,0),0)</f>
        <v>1</v>
      </c>
      <c r="S187" s="14" t="n">
        <f aca="false">IF(H187=1,IF(OR(Alpha_keep*$A187+S$3&gt;=Floor_c-0.000000001,AND($B187=0,S$3&gt;=Cap_h-0.000000001)),1,0),0)</f>
        <v>1</v>
      </c>
      <c r="T187" s="14" t="n">
        <f aca="false">IF(I187=1,IF(OR(Alpha_keep*$A187+T$3&gt;=Floor_c-0.000000001,AND($B187=0,T$3&gt;=Cap_h-0.000000001)),1,0),0)</f>
        <v>1</v>
      </c>
      <c r="U187" s="14" t="n">
        <f aca="false">IF(J187=1,IF(OR(Alpha_keep*$A187+U$3&gt;=Floor_c-0.000000001,AND($B187=0,U$3&gt;=Cap_h-0.000000001)),1,0),0)</f>
        <v>1</v>
      </c>
      <c r="V187" s="14" t="n">
        <f aca="false">IF(K187=1,IF(OR(Alpha_keep*$A187+V$3&gt;=Floor_c-0.000000001,AND($B187=0,V$3&gt;=Cap_h-0.000000001)),1,0),0)</f>
        <v>1</v>
      </c>
      <c r="W187" s="14" t="n">
        <f aca="false">IF(L187=1,IF(OR(Alpha_keep*$A187+W$3&gt;=Floor_c-0.000000001,AND($B187=0,W$3&gt;=Cap_h-0.000000001)),1,0),0)</f>
        <v>1</v>
      </c>
      <c r="X187" s="14" t="n">
        <f aca="false">IF(M187=1,IF(OR(Alpha_keep*$A187+X$3&gt;=Floor_c-0.000000001,AND($B187=0,X$3&gt;=Cap_h-0.000000001)),1,0),0)</f>
        <v>1</v>
      </c>
      <c r="Y187" s="14" t="n">
        <f aca="false">SUM(C187:M187)</f>
        <v>11</v>
      </c>
      <c r="Z187" s="14" t="n">
        <f aca="false">SUM(N187:X187)</f>
        <v>11</v>
      </c>
      <c r="AA187" s="12" t="n">
        <f aca="false">INDEX($C$3:$M$3,MATCH(1,C187:M187,0))</f>
        <v>0</v>
      </c>
      <c r="AB187" s="12" t="n">
        <f aca="false">INDEX($N$3:$X$3,MATCH(1,N187:X187,0))+(Z187-1)*Step_h</f>
        <v>2.5</v>
      </c>
    </row>
    <row r="188" customFormat="false" ht="15" hidden="false" customHeight="false" outlineLevel="0" collapsed="false">
      <c r="A188" s="12" t="n">
        <f aca="false">A187+Step_c</f>
        <v>75.75</v>
      </c>
      <c r="B188" s="14" t="n">
        <f aca="false">IF(SUMPRODUCT((Alpha_keep*$A188+$C$3:$M$3&gt;=Floor_c-0.000000001)*(C188:M188))&gt;0,1,0)</f>
        <v>1</v>
      </c>
      <c r="C188" s="14" t="n">
        <f aca="false">IF(AND(Alpha_keep*$A188+C$3-MAX(Loss_w)&gt;=Lo_c-0.000000001,Alpha_keep*$A188+C$3-MIN(Loss_w)&lt;=Hi_c+0.000000001),1,0)</f>
        <v>1</v>
      </c>
      <c r="D188" s="14" t="n">
        <f aca="false">IF(AND(Alpha_keep*$A188+D$3-MAX(Loss_w)&gt;=Lo_c-0.000000001,Alpha_keep*$A188+D$3-MIN(Loss_w)&lt;=Hi_c+0.000000001),1,0)</f>
        <v>1</v>
      </c>
      <c r="E188" s="14" t="n">
        <f aca="false">IF(AND(Alpha_keep*$A188+E$3-MAX(Loss_w)&gt;=Lo_c-0.000000001,Alpha_keep*$A188+E$3-MIN(Loss_w)&lt;=Hi_c+0.000000001),1,0)</f>
        <v>1</v>
      </c>
      <c r="F188" s="14" t="n">
        <f aca="false">IF(AND(Alpha_keep*$A188+F$3-MAX(Loss_w)&gt;=Lo_c-0.000000001,Alpha_keep*$A188+F$3-MIN(Loss_w)&lt;=Hi_c+0.000000001),1,0)</f>
        <v>1</v>
      </c>
      <c r="G188" s="14" t="n">
        <f aca="false">IF(AND(Alpha_keep*$A188+G$3-MAX(Loss_w)&gt;=Lo_c-0.000000001,Alpha_keep*$A188+G$3-MIN(Loss_w)&lt;=Hi_c+0.000000001),1,0)</f>
        <v>1</v>
      </c>
      <c r="H188" s="14" t="n">
        <f aca="false">IF(AND(Alpha_keep*$A188+H$3-MAX(Loss_w)&gt;=Lo_c-0.000000001,Alpha_keep*$A188+H$3-MIN(Loss_w)&lt;=Hi_c+0.000000001),1,0)</f>
        <v>1</v>
      </c>
      <c r="I188" s="14" t="n">
        <f aca="false">IF(AND(Alpha_keep*$A188+I$3-MAX(Loss_w)&gt;=Lo_c-0.000000001,Alpha_keep*$A188+I$3-MIN(Loss_w)&lt;=Hi_c+0.000000001),1,0)</f>
        <v>1</v>
      </c>
      <c r="J188" s="14" t="n">
        <f aca="false">IF(AND(Alpha_keep*$A188+J$3-MAX(Loss_w)&gt;=Lo_c-0.000000001,Alpha_keep*$A188+J$3-MIN(Loss_w)&lt;=Hi_c+0.000000001),1,0)</f>
        <v>1</v>
      </c>
      <c r="K188" s="14" t="n">
        <f aca="false">IF(AND(Alpha_keep*$A188+K$3-MAX(Loss_w)&gt;=Lo_c-0.000000001,Alpha_keep*$A188+K$3-MIN(Loss_w)&lt;=Hi_c+0.000000001),1,0)</f>
        <v>1</v>
      </c>
      <c r="L188" s="14" t="n">
        <f aca="false">IF(AND(Alpha_keep*$A188+L$3-MAX(Loss_w)&gt;=Lo_c-0.000000001,Alpha_keep*$A188+L$3-MIN(Loss_w)&lt;=Hi_c+0.000000001),1,0)</f>
        <v>1</v>
      </c>
      <c r="M188" s="14" t="n">
        <f aca="false">IF(AND(Alpha_keep*$A188+M$3-MAX(Loss_w)&gt;=Lo_c-0.000000001,Alpha_keep*$A188+M$3-MIN(Loss_w)&lt;=Hi_c+0.000000001),1,0)</f>
        <v>1</v>
      </c>
      <c r="N188" s="14" t="n">
        <f aca="false">IF(C188=1,IF(OR(Alpha_keep*$A188+N$3&gt;=Floor_c-0.000000001,AND($B188=0,N$3&gt;=Cap_h-0.000000001)),1,0),0)</f>
        <v>1</v>
      </c>
      <c r="O188" s="14" t="n">
        <f aca="false">IF(D188=1,IF(OR(Alpha_keep*$A188+O$3&gt;=Floor_c-0.000000001,AND($B188=0,O$3&gt;=Cap_h-0.000000001)),1,0),0)</f>
        <v>1</v>
      </c>
      <c r="P188" s="14" t="n">
        <f aca="false">IF(E188=1,IF(OR(Alpha_keep*$A188+P$3&gt;=Floor_c-0.000000001,AND($B188=0,P$3&gt;=Cap_h-0.000000001)),1,0),0)</f>
        <v>1</v>
      </c>
      <c r="Q188" s="14" t="n">
        <f aca="false">IF(F188=1,IF(OR(Alpha_keep*$A188+Q$3&gt;=Floor_c-0.000000001,AND($B188=0,Q$3&gt;=Cap_h-0.000000001)),1,0),0)</f>
        <v>1</v>
      </c>
      <c r="R188" s="14" t="n">
        <f aca="false">IF(G188=1,IF(OR(Alpha_keep*$A188+R$3&gt;=Floor_c-0.000000001,AND($B188=0,R$3&gt;=Cap_h-0.000000001)),1,0),0)</f>
        <v>1</v>
      </c>
      <c r="S188" s="14" t="n">
        <f aca="false">IF(H188=1,IF(OR(Alpha_keep*$A188+S$3&gt;=Floor_c-0.000000001,AND($B188=0,S$3&gt;=Cap_h-0.000000001)),1,0),0)</f>
        <v>1</v>
      </c>
      <c r="T188" s="14" t="n">
        <f aca="false">IF(I188=1,IF(OR(Alpha_keep*$A188+T$3&gt;=Floor_c-0.000000001,AND($B188=0,T$3&gt;=Cap_h-0.000000001)),1,0),0)</f>
        <v>1</v>
      </c>
      <c r="U188" s="14" t="n">
        <f aca="false">IF(J188=1,IF(OR(Alpha_keep*$A188+U$3&gt;=Floor_c-0.000000001,AND($B188=0,U$3&gt;=Cap_h-0.000000001)),1,0),0)</f>
        <v>1</v>
      </c>
      <c r="V188" s="14" t="n">
        <f aca="false">IF(K188=1,IF(OR(Alpha_keep*$A188+V$3&gt;=Floor_c-0.000000001,AND($B188=0,V$3&gt;=Cap_h-0.000000001)),1,0),0)</f>
        <v>1</v>
      </c>
      <c r="W188" s="14" t="n">
        <f aca="false">IF(L188=1,IF(OR(Alpha_keep*$A188+W$3&gt;=Floor_c-0.000000001,AND($B188=0,W$3&gt;=Cap_h-0.000000001)),1,0),0)</f>
        <v>1</v>
      </c>
      <c r="X188" s="14" t="n">
        <f aca="false">IF(M188=1,IF(OR(Alpha_keep*$A188+X$3&gt;=Floor_c-0.000000001,AND($B188=0,X$3&gt;=Cap_h-0.000000001)),1,0),0)</f>
        <v>1</v>
      </c>
      <c r="Y188" s="14" t="n">
        <f aca="false">SUM(C188:M188)</f>
        <v>11</v>
      </c>
      <c r="Z188" s="14" t="n">
        <f aca="false">SUM(N188:X188)</f>
        <v>11</v>
      </c>
      <c r="AA188" s="12" t="n">
        <f aca="false">INDEX($C$3:$M$3,MATCH(1,C188:M188,0))</f>
        <v>0</v>
      </c>
      <c r="AB188" s="12" t="n">
        <f aca="false">INDEX($N$3:$X$3,MATCH(1,N188:X188,0))+(Z188-1)*Step_h</f>
        <v>2.5</v>
      </c>
    </row>
    <row r="189" customFormat="false" ht="15" hidden="false" customHeight="false" outlineLevel="0" collapsed="false">
      <c r="A189" s="12" t="n">
        <f aca="false">A188+Step_c</f>
        <v>76</v>
      </c>
      <c r="B189" s="14" t="n">
        <f aca="false">IF(SUMPRODUCT((Alpha_keep*$A189+$C$3:$M$3&gt;=Floor_c-0.000000001)*(C189:M189))&gt;0,1,0)</f>
        <v>1</v>
      </c>
      <c r="C189" s="14" t="n">
        <f aca="false">IF(AND(Alpha_keep*$A189+C$3-MAX(Loss_w)&gt;=Lo_c-0.000000001,Alpha_keep*$A189+C$3-MIN(Loss_w)&lt;=Hi_c+0.000000001),1,0)</f>
        <v>1</v>
      </c>
      <c r="D189" s="14" t="n">
        <f aca="false">IF(AND(Alpha_keep*$A189+D$3-MAX(Loss_w)&gt;=Lo_c-0.000000001,Alpha_keep*$A189+D$3-MIN(Loss_w)&lt;=Hi_c+0.000000001),1,0)</f>
        <v>1</v>
      </c>
      <c r="E189" s="14" t="n">
        <f aca="false">IF(AND(Alpha_keep*$A189+E$3-MAX(Loss_w)&gt;=Lo_c-0.000000001,Alpha_keep*$A189+E$3-MIN(Loss_w)&lt;=Hi_c+0.000000001),1,0)</f>
        <v>1</v>
      </c>
      <c r="F189" s="14" t="n">
        <f aca="false">IF(AND(Alpha_keep*$A189+F$3-MAX(Loss_w)&gt;=Lo_c-0.000000001,Alpha_keep*$A189+F$3-MIN(Loss_w)&lt;=Hi_c+0.000000001),1,0)</f>
        <v>1</v>
      </c>
      <c r="G189" s="14" t="n">
        <f aca="false">IF(AND(Alpha_keep*$A189+G$3-MAX(Loss_w)&gt;=Lo_c-0.000000001,Alpha_keep*$A189+G$3-MIN(Loss_w)&lt;=Hi_c+0.000000001),1,0)</f>
        <v>1</v>
      </c>
      <c r="H189" s="14" t="n">
        <f aca="false">IF(AND(Alpha_keep*$A189+H$3-MAX(Loss_w)&gt;=Lo_c-0.000000001,Alpha_keep*$A189+H$3-MIN(Loss_w)&lt;=Hi_c+0.000000001),1,0)</f>
        <v>1</v>
      </c>
      <c r="I189" s="14" t="n">
        <f aca="false">IF(AND(Alpha_keep*$A189+I$3-MAX(Loss_w)&gt;=Lo_c-0.000000001,Alpha_keep*$A189+I$3-MIN(Loss_w)&lt;=Hi_c+0.000000001),1,0)</f>
        <v>1</v>
      </c>
      <c r="J189" s="14" t="n">
        <f aca="false">IF(AND(Alpha_keep*$A189+J$3-MAX(Loss_w)&gt;=Lo_c-0.000000001,Alpha_keep*$A189+J$3-MIN(Loss_w)&lt;=Hi_c+0.000000001),1,0)</f>
        <v>1</v>
      </c>
      <c r="K189" s="14" t="n">
        <f aca="false">IF(AND(Alpha_keep*$A189+K$3-MAX(Loss_w)&gt;=Lo_c-0.000000001,Alpha_keep*$A189+K$3-MIN(Loss_w)&lt;=Hi_c+0.000000001),1,0)</f>
        <v>1</v>
      </c>
      <c r="L189" s="14" t="n">
        <f aca="false">IF(AND(Alpha_keep*$A189+L$3-MAX(Loss_w)&gt;=Lo_c-0.000000001,Alpha_keep*$A189+L$3-MIN(Loss_w)&lt;=Hi_c+0.000000001),1,0)</f>
        <v>1</v>
      </c>
      <c r="M189" s="14" t="n">
        <f aca="false">IF(AND(Alpha_keep*$A189+M$3-MAX(Loss_w)&gt;=Lo_c-0.000000001,Alpha_keep*$A189+M$3-MIN(Loss_w)&lt;=Hi_c+0.000000001),1,0)</f>
        <v>1</v>
      </c>
      <c r="N189" s="14" t="n">
        <f aca="false">IF(C189=1,IF(OR(Alpha_keep*$A189+N$3&gt;=Floor_c-0.000000001,AND($B189=0,N$3&gt;=Cap_h-0.000000001)),1,0),0)</f>
        <v>1</v>
      </c>
      <c r="O189" s="14" t="n">
        <f aca="false">IF(D189=1,IF(OR(Alpha_keep*$A189+O$3&gt;=Floor_c-0.000000001,AND($B189=0,O$3&gt;=Cap_h-0.000000001)),1,0),0)</f>
        <v>1</v>
      </c>
      <c r="P189" s="14" t="n">
        <f aca="false">IF(E189=1,IF(OR(Alpha_keep*$A189+P$3&gt;=Floor_c-0.000000001,AND($B189=0,P$3&gt;=Cap_h-0.000000001)),1,0),0)</f>
        <v>1</v>
      </c>
      <c r="Q189" s="14" t="n">
        <f aca="false">IF(F189=1,IF(OR(Alpha_keep*$A189+Q$3&gt;=Floor_c-0.000000001,AND($B189=0,Q$3&gt;=Cap_h-0.000000001)),1,0),0)</f>
        <v>1</v>
      </c>
      <c r="R189" s="14" t="n">
        <f aca="false">IF(G189=1,IF(OR(Alpha_keep*$A189+R$3&gt;=Floor_c-0.000000001,AND($B189=0,R$3&gt;=Cap_h-0.000000001)),1,0),0)</f>
        <v>1</v>
      </c>
      <c r="S189" s="14" t="n">
        <f aca="false">IF(H189=1,IF(OR(Alpha_keep*$A189+S$3&gt;=Floor_c-0.000000001,AND($B189=0,S$3&gt;=Cap_h-0.000000001)),1,0),0)</f>
        <v>1</v>
      </c>
      <c r="T189" s="14" t="n">
        <f aca="false">IF(I189=1,IF(OR(Alpha_keep*$A189+T$3&gt;=Floor_c-0.000000001,AND($B189=0,T$3&gt;=Cap_h-0.000000001)),1,0),0)</f>
        <v>1</v>
      </c>
      <c r="U189" s="14" t="n">
        <f aca="false">IF(J189=1,IF(OR(Alpha_keep*$A189+U$3&gt;=Floor_c-0.000000001,AND($B189=0,U$3&gt;=Cap_h-0.000000001)),1,0),0)</f>
        <v>1</v>
      </c>
      <c r="V189" s="14" t="n">
        <f aca="false">IF(K189=1,IF(OR(Alpha_keep*$A189+V$3&gt;=Floor_c-0.000000001,AND($B189=0,V$3&gt;=Cap_h-0.000000001)),1,0),0)</f>
        <v>1</v>
      </c>
      <c r="W189" s="14" t="n">
        <f aca="false">IF(L189=1,IF(OR(Alpha_keep*$A189+W$3&gt;=Floor_c-0.000000001,AND($B189=0,W$3&gt;=Cap_h-0.000000001)),1,0),0)</f>
        <v>1</v>
      </c>
      <c r="X189" s="14" t="n">
        <f aca="false">IF(M189=1,IF(OR(Alpha_keep*$A189+X$3&gt;=Floor_c-0.000000001,AND($B189=0,X$3&gt;=Cap_h-0.000000001)),1,0),0)</f>
        <v>1</v>
      </c>
      <c r="Y189" s="14" t="n">
        <f aca="false">SUM(C189:M189)</f>
        <v>11</v>
      </c>
      <c r="Z189" s="14" t="n">
        <f aca="false">SUM(N189:X189)</f>
        <v>11</v>
      </c>
      <c r="AA189" s="12" t="n">
        <f aca="false">INDEX($C$3:$M$3,MATCH(1,C189:M189,0))</f>
        <v>0</v>
      </c>
      <c r="AB189" s="12" t="n">
        <f aca="false">INDEX($N$3:$X$3,MATCH(1,N189:X189,0))+(Z189-1)*Step_h</f>
        <v>2.5</v>
      </c>
    </row>
    <row r="190" customFormat="false" ht="15" hidden="false" customHeight="false" outlineLevel="0" collapsed="false">
      <c r="A190" s="12" t="n">
        <f aca="false">A189+Step_c</f>
        <v>76.25</v>
      </c>
      <c r="B190" s="14" t="n">
        <f aca="false">IF(SUMPRODUCT((Alpha_keep*$A190+$C$3:$M$3&gt;=Floor_c-0.000000001)*(C190:M190))&gt;0,1,0)</f>
        <v>1</v>
      </c>
      <c r="C190" s="14" t="n">
        <f aca="false">IF(AND(Alpha_keep*$A190+C$3-MAX(Loss_w)&gt;=Lo_c-0.000000001,Alpha_keep*$A190+C$3-MIN(Loss_w)&lt;=Hi_c+0.000000001),1,0)</f>
        <v>1</v>
      </c>
      <c r="D190" s="14" t="n">
        <f aca="false">IF(AND(Alpha_keep*$A190+D$3-MAX(Loss_w)&gt;=Lo_c-0.000000001,Alpha_keep*$A190+D$3-MIN(Loss_w)&lt;=Hi_c+0.000000001),1,0)</f>
        <v>1</v>
      </c>
      <c r="E190" s="14" t="n">
        <f aca="false">IF(AND(Alpha_keep*$A190+E$3-MAX(Loss_w)&gt;=Lo_c-0.000000001,Alpha_keep*$A190+E$3-MIN(Loss_w)&lt;=Hi_c+0.000000001),1,0)</f>
        <v>1</v>
      </c>
      <c r="F190" s="14" t="n">
        <f aca="false">IF(AND(Alpha_keep*$A190+F$3-MAX(Loss_w)&gt;=Lo_c-0.000000001,Alpha_keep*$A190+F$3-MIN(Loss_w)&lt;=Hi_c+0.000000001),1,0)</f>
        <v>1</v>
      </c>
      <c r="G190" s="14" t="n">
        <f aca="false">IF(AND(Alpha_keep*$A190+G$3-MAX(Loss_w)&gt;=Lo_c-0.000000001,Alpha_keep*$A190+G$3-MIN(Loss_w)&lt;=Hi_c+0.000000001),1,0)</f>
        <v>1</v>
      </c>
      <c r="H190" s="14" t="n">
        <f aca="false">IF(AND(Alpha_keep*$A190+H$3-MAX(Loss_w)&gt;=Lo_c-0.000000001,Alpha_keep*$A190+H$3-MIN(Loss_w)&lt;=Hi_c+0.000000001),1,0)</f>
        <v>1</v>
      </c>
      <c r="I190" s="14" t="n">
        <f aca="false">IF(AND(Alpha_keep*$A190+I$3-MAX(Loss_w)&gt;=Lo_c-0.000000001,Alpha_keep*$A190+I$3-MIN(Loss_w)&lt;=Hi_c+0.000000001),1,0)</f>
        <v>1</v>
      </c>
      <c r="J190" s="14" t="n">
        <f aca="false">IF(AND(Alpha_keep*$A190+J$3-MAX(Loss_w)&gt;=Lo_c-0.000000001,Alpha_keep*$A190+J$3-MIN(Loss_w)&lt;=Hi_c+0.000000001),1,0)</f>
        <v>1</v>
      </c>
      <c r="K190" s="14" t="n">
        <f aca="false">IF(AND(Alpha_keep*$A190+K$3-MAX(Loss_w)&gt;=Lo_c-0.000000001,Alpha_keep*$A190+K$3-MIN(Loss_w)&lt;=Hi_c+0.000000001),1,0)</f>
        <v>1</v>
      </c>
      <c r="L190" s="14" t="n">
        <f aca="false">IF(AND(Alpha_keep*$A190+L$3-MAX(Loss_w)&gt;=Lo_c-0.000000001,Alpha_keep*$A190+L$3-MIN(Loss_w)&lt;=Hi_c+0.000000001),1,0)</f>
        <v>1</v>
      </c>
      <c r="M190" s="14" t="n">
        <f aca="false">IF(AND(Alpha_keep*$A190+M$3-MAX(Loss_w)&gt;=Lo_c-0.000000001,Alpha_keep*$A190+M$3-MIN(Loss_w)&lt;=Hi_c+0.000000001),1,0)</f>
        <v>1</v>
      </c>
      <c r="N190" s="14" t="n">
        <f aca="false">IF(C190=1,IF(OR(Alpha_keep*$A190+N$3&gt;=Floor_c-0.000000001,AND($B190=0,N$3&gt;=Cap_h-0.000000001)),1,0),0)</f>
        <v>1</v>
      </c>
      <c r="O190" s="14" t="n">
        <f aca="false">IF(D190=1,IF(OR(Alpha_keep*$A190+O$3&gt;=Floor_c-0.000000001,AND($B190=0,O$3&gt;=Cap_h-0.000000001)),1,0),0)</f>
        <v>1</v>
      </c>
      <c r="P190" s="14" t="n">
        <f aca="false">IF(E190=1,IF(OR(Alpha_keep*$A190+P$3&gt;=Floor_c-0.000000001,AND($B190=0,P$3&gt;=Cap_h-0.000000001)),1,0),0)</f>
        <v>1</v>
      </c>
      <c r="Q190" s="14" t="n">
        <f aca="false">IF(F190=1,IF(OR(Alpha_keep*$A190+Q$3&gt;=Floor_c-0.000000001,AND($B190=0,Q$3&gt;=Cap_h-0.000000001)),1,0),0)</f>
        <v>1</v>
      </c>
      <c r="R190" s="14" t="n">
        <f aca="false">IF(G190=1,IF(OR(Alpha_keep*$A190+R$3&gt;=Floor_c-0.000000001,AND($B190=0,R$3&gt;=Cap_h-0.000000001)),1,0),0)</f>
        <v>1</v>
      </c>
      <c r="S190" s="14" t="n">
        <f aca="false">IF(H190=1,IF(OR(Alpha_keep*$A190+S$3&gt;=Floor_c-0.000000001,AND($B190=0,S$3&gt;=Cap_h-0.000000001)),1,0),0)</f>
        <v>1</v>
      </c>
      <c r="T190" s="14" t="n">
        <f aca="false">IF(I190=1,IF(OR(Alpha_keep*$A190+T$3&gt;=Floor_c-0.000000001,AND($B190=0,T$3&gt;=Cap_h-0.000000001)),1,0),0)</f>
        <v>1</v>
      </c>
      <c r="U190" s="14" t="n">
        <f aca="false">IF(J190=1,IF(OR(Alpha_keep*$A190+U$3&gt;=Floor_c-0.000000001,AND($B190=0,U$3&gt;=Cap_h-0.000000001)),1,0),0)</f>
        <v>1</v>
      </c>
      <c r="V190" s="14" t="n">
        <f aca="false">IF(K190=1,IF(OR(Alpha_keep*$A190+V$3&gt;=Floor_c-0.000000001,AND($B190=0,V$3&gt;=Cap_h-0.000000001)),1,0),0)</f>
        <v>1</v>
      </c>
      <c r="W190" s="14" t="n">
        <f aca="false">IF(L190=1,IF(OR(Alpha_keep*$A190+W$3&gt;=Floor_c-0.000000001,AND($B190=0,W$3&gt;=Cap_h-0.000000001)),1,0),0)</f>
        <v>1</v>
      </c>
      <c r="X190" s="14" t="n">
        <f aca="false">IF(M190=1,IF(OR(Alpha_keep*$A190+X$3&gt;=Floor_c-0.000000001,AND($B190=0,X$3&gt;=Cap_h-0.000000001)),1,0),0)</f>
        <v>1</v>
      </c>
      <c r="Y190" s="14" t="n">
        <f aca="false">SUM(C190:M190)</f>
        <v>11</v>
      </c>
      <c r="Z190" s="14" t="n">
        <f aca="false">SUM(N190:X190)</f>
        <v>11</v>
      </c>
      <c r="AA190" s="12" t="n">
        <f aca="false">INDEX($C$3:$M$3,MATCH(1,C190:M190,0))</f>
        <v>0</v>
      </c>
      <c r="AB190" s="12" t="n">
        <f aca="false">INDEX($N$3:$X$3,MATCH(1,N190:X190,0))+(Z190-1)*Step_h</f>
        <v>2.5</v>
      </c>
    </row>
    <row r="191" customFormat="false" ht="15" hidden="false" customHeight="false" outlineLevel="0" collapsed="false">
      <c r="A191" s="12" t="n">
        <f aca="false">A190+Step_c</f>
        <v>76.5</v>
      </c>
      <c r="B191" s="14" t="n">
        <f aca="false">IF(SUMPRODUCT((Alpha_keep*$A191+$C$3:$M$3&gt;=Floor_c-0.000000001)*(C191:M191))&gt;0,1,0)</f>
        <v>1</v>
      </c>
      <c r="C191" s="14" t="n">
        <f aca="false">IF(AND(Alpha_keep*$A191+C$3-MAX(Loss_w)&gt;=Lo_c-0.000000001,Alpha_keep*$A191+C$3-MIN(Loss_w)&lt;=Hi_c+0.000000001),1,0)</f>
        <v>1</v>
      </c>
      <c r="D191" s="14" t="n">
        <f aca="false">IF(AND(Alpha_keep*$A191+D$3-MAX(Loss_w)&gt;=Lo_c-0.000000001,Alpha_keep*$A191+D$3-MIN(Loss_w)&lt;=Hi_c+0.000000001),1,0)</f>
        <v>1</v>
      </c>
      <c r="E191" s="14" t="n">
        <f aca="false">IF(AND(Alpha_keep*$A191+E$3-MAX(Loss_w)&gt;=Lo_c-0.000000001,Alpha_keep*$A191+E$3-MIN(Loss_w)&lt;=Hi_c+0.000000001),1,0)</f>
        <v>1</v>
      </c>
      <c r="F191" s="14" t="n">
        <f aca="false">IF(AND(Alpha_keep*$A191+F$3-MAX(Loss_w)&gt;=Lo_c-0.000000001,Alpha_keep*$A191+F$3-MIN(Loss_w)&lt;=Hi_c+0.000000001),1,0)</f>
        <v>1</v>
      </c>
      <c r="G191" s="14" t="n">
        <f aca="false">IF(AND(Alpha_keep*$A191+G$3-MAX(Loss_w)&gt;=Lo_c-0.000000001,Alpha_keep*$A191+G$3-MIN(Loss_w)&lt;=Hi_c+0.000000001),1,0)</f>
        <v>1</v>
      </c>
      <c r="H191" s="14" t="n">
        <f aca="false">IF(AND(Alpha_keep*$A191+H$3-MAX(Loss_w)&gt;=Lo_c-0.000000001,Alpha_keep*$A191+H$3-MIN(Loss_w)&lt;=Hi_c+0.000000001),1,0)</f>
        <v>1</v>
      </c>
      <c r="I191" s="14" t="n">
        <f aca="false">IF(AND(Alpha_keep*$A191+I$3-MAX(Loss_w)&gt;=Lo_c-0.000000001,Alpha_keep*$A191+I$3-MIN(Loss_w)&lt;=Hi_c+0.000000001),1,0)</f>
        <v>1</v>
      </c>
      <c r="J191" s="14" t="n">
        <f aca="false">IF(AND(Alpha_keep*$A191+J$3-MAX(Loss_w)&gt;=Lo_c-0.000000001,Alpha_keep*$A191+J$3-MIN(Loss_w)&lt;=Hi_c+0.000000001),1,0)</f>
        <v>1</v>
      </c>
      <c r="K191" s="14" t="n">
        <f aca="false">IF(AND(Alpha_keep*$A191+K$3-MAX(Loss_w)&gt;=Lo_c-0.000000001,Alpha_keep*$A191+K$3-MIN(Loss_w)&lt;=Hi_c+0.000000001),1,0)</f>
        <v>1</v>
      </c>
      <c r="L191" s="14" t="n">
        <f aca="false">IF(AND(Alpha_keep*$A191+L$3-MAX(Loss_w)&gt;=Lo_c-0.000000001,Alpha_keep*$A191+L$3-MIN(Loss_w)&lt;=Hi_c+0.000000001),1,0)</f>
        <v>1</v>
      </c>
      <c r="M191" s="14" t="n">
        <f aca="false">IF(AND(Alpha_keep*$A191+M$3-MAX(Loss_w)&gt;=Lo_c-0.000000001,Alpha_keep*$A191+M$3-MIN(Loss_w)&lt;=Hi_c+0.000000001),1,0)</f>
        <v>1</v>
      </c>
      <c r="N191" s="14" t="n">
        <f aca="false">IF(C191=1,IF(OR(Alpha_keep*$A191+N$3&gt;=Floor_c-0.000000001,AND($B191=0,N$3&gt;=Cap_h-0.000000001)),1,0),0)</f>
        <v>1</v>
      </c>
      <c r="O191" s="14" t="n">
        <f aca="false">IF(D191=1,IF(OR(Alpha_keep*$A191+O$3&gt;=Floor_c-0.000000001,AND($B191=0,O$3&gt;=Cap_h-0.000000001)),1,0),0)</f>
        <v>1</v>
      </c>
      <c r="P191" s="14" t="n">
        <f aca="false">IF(E191=1,IF(OR(Alpha_keep*$A191+P$3&gt;=Floor_c-0.000000001,AND($B191=0,P$3&gt;=Cap_h-0.000000001)),1,0),0)</f>
        <v>1</v>
      </c>
      <c r="Q191" s="14" t="n">
        <f aca="false">IF(F191=1,IF(OR(Alpha_keep*$A191+Q$3&gt;=Floor_c-0.000000001,AND($B191=0,Q$3&gt;=Cap_h-0.000000001)),1,0),0)</f>
        <v>1</v>
      </c>
      <c r="R191" s="14" t="n">
        <f aca="false">IF(G191=1,IF(OR(Alpha_keep*$A191+R$3&gt;=Floor_c-0.000000001,AND($B191=0,R$3&gt;=Cap_h-0.000000001)),1,0),0)</f>
        <v>1</v>
      </c>
      <c r="S191" s="14" t="n">
        <f aca="false">IF(H191=1,IF(OR(Alpha_keep*$A191+S$3&gt;=Floor_c-0.000000001,AND($B191=0,S$3&gt;=Cap_h-0.000000001)),1,0),0)</f>
        <v>1</v>
      </c>
      <c r="T191" s="14" t="n">
        <f aca="false">IF(I191=1,IF(OR(Alpha_keep*$A191+T$3&gt;=Floor_c-0.000000001,AND($B191=0,T$3&gt;=Cap_h-0.000000001)),1,0),0)</f>
        <v>1</v>
      </c>
      <c r="U191" s="14" t="n">
        <f aca="false">IF(J191=1,IF(OR(Alpha_keep*$A191+U$3&gt;=Floor_c-0.000000001,AND($B191=0,U$3&gt;=Cap_h-0.000000001)),1,0),0)</f>
        <v>1</v>
      </c>
      <c r="V191" s="14" t="n">
        <f aca="false">IF(K191=1,IF(OR(Alpha_keep*$A191+V$3&gt;=Floor_c-0.000000001,AND($B191=0,V$3&gt;=Cap_h-0.000000001)),1,0),0)</f>
        <v>1</v>
      </c>
      <c r="W191" s="14" t="n">
        <f aca="false">IF(L191=1,IF(OR(Alpha_keep*$A191+W$3&gt;=Floor_c-0.000000001,AND($B191=0,W$3&gt;=Cap_h-0.000000001)),1,0),0)</f>
        <v>1</v>
      </c>
      <c r="X191" s="14" t="n">
        <f aca="false">IF(M191=1,IF(OR(Alpha_keep*$A191+X$3&gt;=Floor_c-0.000000001,AND($B191=0,X$3&gt;=Cap_h-0.000000001)),1,0),0)</f>
        <v>1</v>
      </c>
      <c r="Y191" s="14" t="n">
        <f aca="false">SUM(C191:M191)</f>
        <v>11</v>
      </c>
      <c r="Z191" s="14" t="n">
        <f aca="false">SUM(N191:X191)</f>
        <v>11</v>
      </c>
      <c r="AA191" s="12" t="n">
        <f aca="false">INDEX($C$3:$M$3,MATCH(1,C191:M191,0))</f>
        <v>0</v>
      </c>
      <c r="AB191" s="12" t="n">
        <f aca="false">INDEX($N$3:$X$3,MATCH(1,N191:X191,0))+(Z191-1)*Step_h</f>
        <v>2.5</v>
      </c>
    </row>
    <row r="192" customFormat="false" ht="15" hidden="false" customHeight="false" outlineLevel="0" collapsed="false">
      <c r="A192" s="12" t="n">
        <f aca="false">A191+Step_c</f>
        <v>76.75</v>
      </c>
      <c r="B192" s="14" t="n">
        <f aca="false">IF(SUMPRODUCT((Alpha_keep*$A192+$C$3:$M$3&gt;=Floor_c-0.000000001)*(C192:M192))&gt;0,1,0)</f>
        <v>1</v>
      </c>
      <c r="C192" s="14" t="n">
        <f aca="false">IF(AND(Alpha_keep*$A192+C$3-MAX(Loss_w)&gt;=Lo_c-0.000000001,Alpha_keep*$A192+C$3-MIN(Loss_w)&lt;=Hi_c+0.000000001),1,0)</f>
        <v>1</v>
      </c>
      <c r="D192" s="14" t="n">
        <f aca="false">IF(AND(Alpha_keep*$A192+D$3-MAX(Loss_w)&gt;=Lo_c-0.000000001,Alpha_keep*$A192+D$3-MIN(Loss_w)&lt;=Hi_c+0.000000001),1,0)</f>
        <v>1</v>
      </c>
      <c r="E192" s="14" t="n">
        <f aca="false">IF(AND(Alpha_keep*$A192+E$3-MAX(Loss_w)&gt;=Lo_c-0.000000001,Alpha_keep*$A192+E$3-MIN(Loss_w)&lt;=Hi_c+0.000000001),1,0)</f>
        <v>1</v>
      </c>
      <c r="F192" s="14" t="n">
        <f aca="false">IF(AND(Alpha_keep*$A192+F$3-MAX(Loss_w)&gt;=Lo_c-0.000000001,Alpha_keep*$A192+F$3-MIN(Loss_w)&lt;=Hi_c+0.000000001),1,0)</f>
        <v>1</v>
      </c>
      <c r="G192" s="14" t="n">
        <f aca="false">IF(AND(Alpha_keep*$A192+G$3-MAX(Loss_w)&gt;=Lo_c-0.000000001,Alpha_keep*$A192+G$3-MIN(Loss_w)&lt;=Hi_c+0.000000001),1,0)</f>
        <v>1</v>
      </c>
      <c r="H192" s="14" t="n">
        <f aca="false">IF(AND(Alpha_keep*$A192+H$3-MAX(Loss_w)&gt;=Lo_c-0.000000001,Alpha_keep*$A192+H$3-MIN(Loss_w)&lt;=Hi_c+0.000000001),1,0)</f>
        <v>1</v>
      </c>
      <c r="I192" s="14" t="n">
        <f aca="false">IF(AND(Alpha_keep*$A192+I$3-MAX(Loss_w)&gt;=Lo_c-0.000000001,Alpha_keep*$A192+I$3-MIN(Loss_w)&lt;=Hi_c+0.000000001),1,0)</f>
        <v>1</v>
      </c>
      <c r="J192" s="14" t="n">
        <f aca="false">IF(AND(Alpha_keep*$A192+J$3-MAX(Loss_w)&gt;=Lo_c-0.000000001,Alpha_keep*$A192+J$3-MIN(Loss_w)&lt;=Hi_c+0.000000001),1,0)</f>
        <v>1</v>
      </c>
      <c r="K192" s="14" t="n">
        <f aca="false">IF(AND(Alpha_keep*$A192+K$3-MAX(Loss_w)&gt;=Lo_c-0.000000001,Alpha_keep*$A192+K$3-MIN(Loss_w)&lt;=Hi_c+0.000000001),1,0)</f>
        <v>1</v>
      </c>
      <c r="L192" s="14" t="n">
        <f aca="false">IF(AND(Alpha_keep*$A192+L$3-MAX(Loss_w)&gt;=Lo_c-0.000000001,Alpha_keep*$A192+L$3-MIN(Loss_w)&lt;=Hi_c+0.000000001),1,0)</f>
        <v>1</v>
      </c>
      <c r="M192" s="14" t="n">
        <f aca="false">IF(AND(Alpha_keep*$A192+M$3-MAX(Loss_w)&gt;=Lo_c-0.000000001,Alpha_keep*$A192+M$3-MIN(Loss_w)&lt;=Hi_c+0.000000001),1,0)</f>
        <v>1</v>
      </c>
      <c r="N192" s="14" t="n">
        <f aca="false">IF(C192=1,IF(OR(Alpha_keep*$A192+N$3&gt;=Floor_c-0.000000001,AND($B192=0,N$3&gt;=Cap_h-0.000000001)),1,0),0)</f>
        <v>1</v>
      </c>
      <c r="O192" s="14" t="n">
        <f aca="false">IF(D192=1,IF(OR(Alpha_keep*$A192+O$3&gt;=Floor_c-0.000000001,AND($B192=0,O$3&gt;=Cap_h-0.000000001)),1,0),0)</f>
        <v>1</v>
      </c>
      <c r="P192" s="14" t="n">
        <f aca="false">IF(E192=1,IF(OR(Alpha_keep*$A192+P$3&gt;=Floor_c-0.000000001,AND($B192=0,P$3&gt;=Cap_h-0.000000001)),1,0),0)</f>
        <v>1</v>
      </c>
      <c r="Q192" s="14" t="n">
        <f aca="false">IF(F192=1,IF(OR(Alpha_keep*$A192+Q$3&gt;=Floor_c-0.000000001,AND($B192=0,Q$3&gt;=Cap_h-0.000000001)),1,0),0)</f>
        <v>1</v>
      </c>
      <c r="R192" s="14" t="n">
        <f aca="false">IF(G192=1,IF(OR(Alpha_keep*$A192+R$3&gt;=Floor_c-0.000000001,AND($B192=0,R$3&gt;=Cap_h-0.000000001)),1,0),0)</f>
        <v>1</v>
      </c>
      <c r="S192" s="14" t="n">
        <f aca="false">IF(H192=1,IF(OR(Alpha_keep*$A192+S$3&gt;=Floor_c-0.000000001,AND($B192=0,S$3&gt;=Cap_h-0.000000001)),1,0),0)</f>
        <v>1</v>
      </c>
      <c r="T192" s="14" t="n">
        <f aca="false">IF(I192=1,IF(OR(Alpha_keep*$A192+T$3&gt;=Floor_c-0.000000001,AND($B192=0,T$3&gt;=Cap_h-0.000000001)),1,0),0)</f>
        <v>1</v>
      </c>
      <c r="U192" s="14" t="n">
        <f aca="false">IF(J192=1,IF(OR(Alpha_keep*$A192+U$3&gt;=Floor_c-0.000000001,AND($B192=0,U$3&gt;=Cap_h-0.000000001)),1,0),0)</f>
        <v>1</v>
      </c>
      <c r="V192" s="14" t="n">
        <f aca="false">IF(K192=1,IF(OR(Alpha_keep*$A192+V$3&gt;=Floor_c-0.000000001,AND($B192=0,V$3&gt;=Cap_h-0.000000001)),1,0),0)</f>
        <v>1</v>
      </c>
      <c r="W192" s="14" t="n">
        <f aca="false">IF(L192=1,IF(OR(Alpha_keep*$A192+W$3&gt;=Floor_c-0.000000001,AND($B192=0,W$3&gt;=Cap_h-0.000000001)),1,0),0)</f>
        <v>1</v>
      </c>
      <c r="X192" s="14" t="n">
        <f aca="false">IF(M192=1,IF(OR(Alpha_keep*$A192+X$3&gt;=Floor_c-0.000000001,AND($B192=0,X$3&gt;=Cap_h-0.000000001)),1,0),0)</f>
        <v>1</v>
      </c>
      <c r="Y192" s="14" t="n">
        <f aca="false">SUM(C192:M192)</f>
        <v>11</v>
      </c>
      <c r="Z192" s="14" t="n">
        <f aca="false">SUM(N192:X192)</f>
        <v>11</v>
      </c>
      <c r="AA192" s="12" t="n">
        <f aca="false">INDEX($C$3:$M$3,MATCH(1,C192:M192,0))</f>
        <v>0</v>
      </c>
      <c r="AB192" s="12" t="n">
        <f aca="false">INDEX($N$3:$X$3,MATCH(1,N192:X192,0))+(Z192-1)*Step_h</f>
        <v>2.5</v>
      </c>
    </row>
    <row r="193" customFormat="false" ht="15" hidden="false" customHeight="false" outlineLevel="0" collapsed="false">
      <c r="A193" s="12" t="n">
        <f aca="false">A192+Step_c</f>
        <v>77</v>
      </c>
      <c r="B193" s="14" t="n">
        <f aca="false">IF(SUMPRODUCT((Alpha_keep*$A193+$C$3:$M$3&gt;=Floor_c-0.000000001)*(C193:M193))&gt;0,1,0)</f>
        <v>1</v>
      </c>
      <c r="C193" s="14" t="n">
        <f aca="false">IF(AND(Alpha_keep*$A193+C$3-MAX(Loss_w)&gt;=Lo_c-0.000000001,Alpha_keep*$A193+C$3-MIN(Loss_w)&lt;=Hi_c+0.000000001),1,0)</f>
        <v>1</v>
      </c>
      <c r="D193" s="14" t="n">
        <f aca="false">IF(AND(Alpha_keep*$A193+D$3-MAX(Loss_w)&gt;=Lo_c-0.000000001,Alpha_keep*$A193+D$3-MIN(Loss_w)&lt;=Hi_c+0.000000001),1,0)</f>
        <v>1</v>
      </c>
      <c r="E193" s="14" t="n">
        <f aca="false">IF(AND(Alpha_keep*$A193+E$3-MAX(Loss_w)&gt;=Lo_c-0.000000001,Alpha_keep*$A193+E$3-MIN(Loss_w)&lt;=Hi_c+0.000000001),1,0)</f>
        <v>1</v>
      </c>
      <c r="F193" s="14" t="n">
        <f aca="false">IF(AND(Alpha_keep*$A193+F$3-MAX(Loss_w)&gt;=Lo_c-0.000000001,Alpha_keep*$A193+F$3-MIN(Loss_w)&lt;=Hi_c+0.000000001),1,0)</f>
        <v>1</v>
      </c>
      <c r="G193" s="14" t="n">
        <f aca="false">IF(AND(Alpha_keep*$A193+G$3-MAX(Loss_w)&gt;=Lo_c-0.000000001,Alpha_keep*$A193+G$3-MIN(Loss_w)&lt;=Hi_c+0.000000001),1,0)</f>
        <v>1</v>
      </c>
      <c r="H193" s="14" t="n">
        <f aca="false">IF(AND(Alpha_keep*$A193+H$3-MAX(Loss_w)&gt;=Lo_c-0.000000001,Alpha_keep*$A193+H$3-MIN(Loss_w)&lt;=Hi_c+0.000000001),1,0)</f>
        <v>1</v>
      </c>
      <c r="I193" s="14" t="n">
        <f aca="false">IF(AND(Alpha_keep*$A193+I$3-MAX(Loss_w)&gt;=Lo_c-0.000000001,Alpha_keep*$A193+I$3-MIN(Loss_w)&lt;=Hi_c+0.000000001),1,0)</f>
        <v>1</v>
      </c>
      <c r="J193" s="14" t="n">
        <f aca="false">IF(AND(Alpha_keep*$A193+J$3-MAX(Loss_w)&gt;=Lo_c-0.000000001,Alpha_keep*$A193+J$3-MIN(Loss_w)&lt;=Hi_c+0.000000001),1,0)</f>
        <v>1</v>
      </c>
      <c r="K193" s="14" t="n">
        <f aca="false">IF(AND(Alpha_keep*$A193+K$3-MAX(Loss_w)&gt;=Lo_c-0.000000001,Alpha_keep*$A193+K$3-MIN(Loss_w)&lt;=Hi_c+0.000000001),1,0)</f>
        <v>1</v>
      </c>
      <c r="L193" s="14" t="n">
        <f aca="false">IF(AND(Alpha_keep*$A193+L$3-MAX(Loss_w)&gt;=Lo_c-0.000000001,Alpha_keep*$A193+L$3-MIN(Loss_w)&lt;=Hi_c+0.000000001),1,0)</f>
        <v>1</v>
      </c>
      <c r="M193" s="14" t="n">
        <f aca="false">IF(AND(Alpha_keep*$A193+M$3-MAX(Loss_w)&gt;=Lo_c-0.000000001,Alpha_keep*$A193+M$3-MIN(Loss_w)&lt;=Hi_c+0.000000001),1,0)</f>
        <v>1</v>
      </c>
      <c r="N193" s="14" t="n">
        <f aca="false">IF(C193=1,IF(OR(Alpha_keep*$A193+N$3&gt;=Floor_c-0.000000001,AND($B193=0,N$3&gt;=Cap_h-0.000000001)),1,0),0)</f>
        <v>1</v>
      </c>
      <c r="O193" s="14" t="n">
        <f aca="false">IF(D193=1,IF(OR(Alpha_keep*$A193+O$3&gt;=Floor_c-0.000000001,AND($B193=0,O$3&gt;=Cap_h-0.000000001)),1,0),0)</f>
        <v>1</v>
      </c>
      <c r="P193" s="14" t="n">
        <f aca="false">IF(E193=1,IF(OR(Alpha_keep*$A193+P$3&gt;=Floor_c-0.000000001,AND($B193=0,P$3&gt;=Cap_h-0.000000001)),1,0),0)</f>
        <v>1</v>
      </c>
      <c r="Q193" s="14" t="n">
        <f aca="false">IF(F193=1,IF(OR(Alpha_keep*$A193+Q$3&gt;=Floor_c-0.000000001,AND($B193=0,Q$3&gt;=Cap_h-0.000000001)),1,0),0)</f>
        <v>1</v>
      </c>
      <c r="R193" s="14" t="n">
        <f aca="false">IF(G193=1,IF(OR(Alpha_keep*$A193+R$3&gt;=Floor_c-0.000000001,AND($B193=0,R$3&gt;=Cap_h-0.000000001)),1,0),0)</f>
        <v>1</v>
      </c>
      <c r="S193" s="14" t="n">
        <f aca="false">IF(H193=1,IF(OR(Alpha_keep*$A193+S$3&gt;=Floor_c-0.000000001,AND($B193=0,S$3&gt;=Cap_h-0.000000001)),1,0),0)</f>
        <v>1</v>
      </c>
      <c r="T193" s="14" t="n">
        <f aca="false">IF(I193=1,IF(OR(Alpha_keep*$A193+T$3&gt;=Floor_c-0.000000001,AND($B193=0,T$3&gt;=Cap_h-0.000000001)),1,0),0)</f>
        <v>1</v>
      </c>
      <c r="U193" s="14" t="n">
        <f aca="false">IF(J193=1,IF(OR(Alpha_keep*$A193+U$3&gt;=Floor_c-0.000000001,AND($B193=0,U$3&gt;=Cap_h-0.000000001)),1,0),0)</f>
        <v>1</v>
      </c>
      <c r="V193" s="14" t="n">
        <f aca="false">IF(K193=1,IF(OR(Alpha_keep*$A193+V$3&gt;=Floor_c-0.000000001,AND($B193=0,V$3&gt;=Cap_h-0.000000001)),1,0),0)</f>
        <v>1</v>
      </c>
      <c r="W193" s="14" t="n">
        <f aca="false">IF(L193=1,IF(OR(Alpha_keep*$A193+W$3&gt;=Floor_c-0.000000001,AND($B193=0,W$3&gt;=Cap_h-0.000000001)),1,0),0)</f>
        <v>1</v>
      </c>
      <c r="X193" s="14" t="n">
        <f aca="false">IF(M193=1,IF(OR(Alpha_keep*$A193+X$3&gt;=Floor_c-0.000000001,AND($B193=0,X$3&gt;=Cap_h-0.000000001)),1,0),0)</f>
        <v>1</v>
      </c>
      <c r="Y193" s="14" t="n">
        <f aca="false">SUM(C193:M193)</f>
        <v>11</v>
      </c>
      <c r="Z193" s="14" t="n">
        <f aca="false">SUM(N193:X193)</f>
        <v>11</v>
      </c>
      <c r="AA193" s="12" t="n">
        <f aca="false">INDEX($C$3:$M$3,MATCH(1,C193:M193,0))</f>
        <v>0</v>
      </c>
      <c r="AB193" s="12" t="n">
        <f aca="false">INDEX($N$3:$X$3,MATCH(1,N193:X193,0))+(Z193-1)*Step_h</f>
        <v>2.5</v>
      </c>
    </row>
    <row r="194" customFormat="false" ht="15" hidden="false" customHeight="false" outlineLevel="0" collapsed="false">
      <c r="A194" s="12" t="n">
        <f aca="false">A193+Step_c</f>
        <v>77.25</v>
      </c>
      <c r="B194" s="14" t="n">
        <f aca="false">IF(SUMPRODUCT((Alpha_keep*$A194+$C$3:$M$3&gt;=Floor_c-0.000000001)*(C194:M194))&gt;0,1,0)</f>
        <v>1</v>
      </c>
      <c r="C194" s="14" t="n">
        <f aca="false">IF(AND(Alpha_keep*$A194+C$3-MAX(Loss_w)&gt;=Lo_c-0.000000001,Alpha_keep*$A194+C$3-MIN(Loss_w)&lt;=Hi_c+0.000000001),1,0)</f>
        <v>1</v>
      </c>
      <c r="D194" s="14" t="n">
        <f aca="false">IF(AND(Alpha_keep*$A194+D$3-MAX(Loss_w)&gt;=Lo_c-0.000000001,Alpha_keep*$A194+D$3-MIN(Loss_w)&lt;=Hi_c+0.000000001),1,0)</f>
        <v>1</v>
      </c>
      <c r="E194" s="14" t="n">
        <f aca="false">IF(AND(Alpha_keep*$A194+E$3-MAX(Loss_w)&gt;=Lo_c-0.000000001,Alpha_keep*$A194+E$3-MIN(Loss_w)&lt;=Hi_c+0.000000001),1,0)</f>
        <v>1</v>
      </c>
      <c r="F194" s="14" t="n">
        <f aca="false">IF(AND(Alpha_keep*$A194+F$3-MAX(Loss_w)&gt;=Lo_c-0.000000001,Alpha_keep*$A194+F$3-MIN(Loss_w)&lt;=Hi_c+0.000000001),1,0)</f>
        <v>1</v>
      </c>
      <c r="G194" s="14" t="n">
        <f aca="false">IF(AND(Alpha_keep*$A194+G$3-MAX(Loss_w)&gt;=Lo_c-0.000000001,Alpha_keep*$A194+G$3-MIN(Loss_w)&lt;=Hi_c+0.000000001),1,0)</f>
        <v>1</v>
      </c>
      <c r="H194" s="14" t="n">
        <f aca="false">IF(AND(Alpha_keep*$A194+H$3-MAX(Loss_w)&gt;=Lo_c-0.000000001,Alpha_keep*$A194+H$3-MIN(Loss_w)&lt;=Hi_c+0.000000001),1,0)</f>
        <v>1</v>
      </c>
      <c r="I194" s="14" t="n">
        <f aca="false">IF(AND(Alpha_keep*$A194+I$3-MAX(Loss_w)&gt;=Lo_c-0.000000001,Alpha_keep*$A194+I$3-MIN(Loss_w)&lt;=Hi_c+0.000000001),1,0)</f>
        <v>1</v>
      </c>
      <c r="J194" s="14" t="n">
        <f aca="false">IF(AND(Alpha_keep*$A194+J$3-MAX(Loss_w)&gt;=Lo_c-0.000000001,Alpha_keep*$A194+J$3-MIN(Loss_w)&lt;=Hi_c+0.000000001),1,0)</f>
        <v>1</v>
      </c>
      <c r="K194" s="14" t="n">
        <f aca="false">IF(AND(Alpha_keep*$A194+K$3-MAX(Loss_w)&gt;=Lo_c-0.000000001,Alpha_keep*$A194+K$3-MIN(Loss_w)&lt;=Hi_c+0.000000001),1,0)</f>
        <v>1</v>
      </c>
      <c r="L194" s="14" t="n">
        <f aca="false">IF(AND(Alpha_keep*$A194+L$3-MAX(Loss_w)&gt;=Lo_c-0.000000001,Alpha_keep*$A194+L$3-MIN(Loss_w)&lt;=Hi_c+0.000000001),1,0)</f>
        <v>1</v>
      </c>
      <c r="M194" s="14" t="n">
        <f aca="false">IF(AND(Alpha_keep*$A194+M$3-MAX(Loss_w)&gt;=Lo_c-0.000000001,Alpha_keep*$A194+M$3-MIN(Loss_w)&lt;=Hi_c+0.000000001),1,0)</f>
        <v>1</v>
      </c>
      <c r="N194" s="14" t="n">
        <f aca="false">IF(C194=1,IF(OR(Alpha_keep*$A194+N$3&gt;=Floor_c-0.000000001,AND($B194=0,N$3&gt;=Cap_h-0.000000001)),1,0),0)</f>
        <v>1</v>
      </c>
      <c r="O194" s="14" t="n">
        <f aca="false">IF(D194=1,IF(OR(Alpha_keep*$A194+O$3&gt;=Floor_c-0.000000001,AND($B194=0,O$3&gt;=Cap_h-0.000000001)),1,0),0)</f>
        <v>1</v>
      </c>
      <c r="P194" s="14" t="n">
        <f aca="false">IF(E194=1,IF(OR(Alpha_keep*$A194+P$3&gt;=Floor_c-0.000000001,AND($B194=0,P$3&gt;=Cap_h-0.000000001)),1,0),0)</f>
        <v>1</v>
      </c>
      <c r="Q194" s="14" t="n">
        <f aca="false">IF(F194=1,IF(OR(Alpha_keep*$A194+Q$3&gt;=Floor_c-0.000000001,AND($B194=0,Q$3&gt;=Cap_h-0.000000001)),1,0),0)</f>
        <v>1</v>
      </c>
      <c r="R194" s="14" t="n">
        <f aca="false">IF(G194=1,IF(OR(Alpha_keep*$A194+R$3&gt;=Floor_c-0.000000001,AND($B194=0,R$3&gt;=Cap_h-0.000000001)),1,0),0)</f>
        <v>1</v>
      </c>
      <c r="S194" s="14" t="n">
        <f aca="false">IF(H194=1,IF(OR(Alpha_keep*$A194+S$3&gt;=Floor_c-0.000000001,AND($B194=0,S$3&gt;=Cap_h-0.000000001)),1,0),0)</f>
        <v>1</v>
      </c>
      <c r="T194" s="14" t="n">
        <f aca="false">IF(I194=1,IF(OR(Alpha_keep*$A194+T$3&gt;=Floor_c-0.000000001,AND($B194=0,T$3&gt;=Cap_h-0.000000001)),1,0),0)</f>
        <v>1</v>
      </c>
      <c r="U194" s="14" t="n">
        <f aca="false">IF(J194=1,IF(OR(Alpha_keep*$A194+U$3&gt;=Floor_c-0.000000001,AND($B194=0,U$3&gt;=Cap_h-0.000000001)),1,0),0)</f>
        <v>1</v>
      </c>
      <c r="V194" s="14" t="n">
        <f aca="false">IF(K194=1,IF(OR(Alpha_keep*$A194+V$3&gt;=Floor_c-0.000000001,AND($B194=0,V$3&gt;=Cap_h-0.000000001)),1,0),0)</f>
        <v>1</v>
      </c>
      <c r="W194" s="14" t="n">
        <f aca="false">IF(L194=1,IF(OR(Alpha_keep*$A194+W$3&gt;=Floor_c-0.000000001,AND($B194=0,W$3&gt;=Cap_h-0.000000001)),1,0),0)</f>
        <v>1</v>
      </c>
      <c r="X194" s="14" t="n">
        <f aca="false">IF(M194=1,IF(OR(Alpha_keep*$A194+X$3&gt;=Floor_c-0.000000001,AND($B194=0,X$3&gt;=Cap_h-0.000000001)),1,0),0)</f>
        <v>1</v>
      </c>
      <c r="Y194" s="14" t="n">
        <f aca="false">SUM(C194:M194)</f>
        <v>11</v>
      </c>
      <c r="Z194" s="14" t="n">
        <f aca="false">SUM(N194:X194)</f>
        <v>11</v>
      </c>
      <c r="AA194" s="12" t="n">
        <f aca="false">INDEX($C$3:$M$3,MATCH(1,C194:M194,0))</f>
        <v>0</v>
      </c>
      <c r="AB194" s="12" t="n">
        <f aca="false">INDEX($N$3:$X$3,MATCH(1,N194:X194,0))+(Z194-1)*Step_h</f>
        <v>2.5</v>
      </c>
    </row>
    <row r="195" customFormat="false" ht="15" hidden="false" customHeight="false" outlineLevel="0" collapsed="false">
      <c r="A195" s="12" t="n">
        <f aca="false">A194+Step_c</f>
        <v>77.5</v>
      </c>
      <c r="B195" s="14" t="n">
        <f aca="false">IF(SUMPRODUCT((Alpha_keep*$A195+$C$3:$M$3&gt;=Floor_c-0.000000001)*(C195:M195))&gt;0,1,0)</f>
        <v>1</v>
      </c>
      <c r="C195" s="14" t="n">
        <f aca="false">IF(AND(Alpha_keep*$A195+C$3-MAX(Loss_w)&gt;=Lo_c-0.000000001,Alpha_keep*$A195+C$3-MIN(Loss_w)&lt;=Hi_c+0.000000001),1,0)</f>
        <v>1</v>
      </c>
      <c r="D195" s="14" t="n">
        <f aca="false">IF(AND(Alpha_keep*$A195+D$3-MAX(Loss_w)&gt;=Lo_c-0.000000001,Alpha_keep*$A195+D$3-MIN(Loss_w)&lt;=Hi_c+0.000000001),1,0)</f>
        <v>1</v>
      </c>
      <c r="E195" s="14" t="n">
        <f aca="false">IF(AND(Alpha_keep*$A195+E$3-MAX(Loss_w)&gt;=Lo_c-0.000000001,Alpha_keep*$A195+E$3-MIN(Loss_w)&lt;=Hi_c+0.000000001),1,0)</f>
        <v>1</v>
      </c>
      <c r="F195" s="14" t="n">
        <f aca="false">IF(AND(Alpha_keep*$A195+F$3-MAX(Loss_w)&gt;=Lo_c-0.000000001,Alpha_keep*$A195+F$3-MIN(Loss_w)&lt;=Hi_c+0.000000001),1,0)</f>
        <v>1</v>
      </c>
      <c r="G195" s="14" t="n">
        <f aca="false">IF(AND(Alpha_keep*$A195+G$3-MAX(Loss_w)&gt;=Lo_c-0.000000001,Alpha_keep*$A195+G$3-MIN(Loss_w)&lt;=Hi_c+0.000000001),1,0)</f>
        <v>1</v>
      </c>
      <c r="H195" s="14" t="n">
        <f aca="false">IF(AND(Alpha_keep*$A195+H$3-MAX(Loss_w)&gt;=Lo_c-0.000000001,Alpha_keep*$A195+H$3-MIN(Loss_w)&lt;=Hi_c+0.000000001),1,0)</f>
        <v>1</v>
      </c>
      <c r="I195" s="14" t="n">
        <f aca="false">IF(AND(Alpha_keep*$A195+I$3-MAX(Loss_w)&gt;=Lo_c-0.000000001,Alpha_keep*$A195+I$3-MIN(Loss_w)&lt;=Hi_c+0.000000001),1,0)</f>
        <v>1</v>
      </c>
      <c r="J195" s="14" t="n">
        <f aca="false">IF(AND(Alpha_keep*$A195+J$3-MAX(Loss_w)&gt;=Lo_c-0.000000001,Alpha_keep*$A195+J$3-MIN(Loss_w)&lt;=Hi_c+0.000000001),1,0)</f>
        <v>1</v>
      </c>
      <c r="K195" s="14" t="n">
        <f aca="false">IF(AND(Alpha_keep*$A195+K$3-MAX(Loss_w)&gt;=Lo_c-0.000000001,Alpha_keep*$A195+K$3-MIN(Loss_w)&lt;=Hi_c+0.000000001),1,0)</f>
        <v>1</v>
      </c>
      <c r="L195" s="14" t="n">
        <f aca="false">IF(AND(Alpha_keep*$A195+L$3-MAX(Loss_w)&gt;=Lo_c-0.000000001,Alpha_keep*$A195+L$3-MIN(Loss_w)&lt;=Hi_c+0.000000001),1,0)</f>
        <v>1</v>
      </c>
      <c r="M195" s="14" t="n">
        <f aca="false">IF(AND(Alpha_keep*$A195+M$3-MAX(Loss_w)&gt;=Lo_c-0.000000001,Alpha_keep*$A195+M$3-MIN(Loss_w)&lt;=Hi_c+0.000000001),1,0)</f>
        <v>1</v>
      </c>
      <c r="N195" s="14" t="n">
        <f aca="false">IF(C195=1,IF(OR(Alpha_keep*$A195+N$3&gt;=Floor_c-0.000000001,AND($B195=0,N$3&gt;=Cap_h-0.000000001)),1,0),0)</f>
        <v>1</v>
      </c>
      <c r="O195" s="14" t="n">
        <f aca="false">IF(D195=1,IF(OR(Alpha_keep*$A195+O$3&gt;=Floor_c-0.000000001,AND($B195=0,O$3&gt;=Cap_h-0.000000001)),1,0),0)</f>
        <v>1</v>
      </c>
      <c r="P195" s="14" t="n">
        <f aca="false">IF(E195=1,IF(OR(Alpha_keep*$A195+P$3&gt;=Floor_c-0.000000001,AND($B195=0,P$3&gt;=Cap_h-0.000000001)),1,0),0)</f>
        <v>1</v>
      </c>
      <c r="Q195" s="14" t="n">
        <f aca="false">IF(F195=1,IF(OR(Alpha_keep*$A195+Q$3&gt;=Floor_c-0.000000001,AND($B195=0,Q$3&gt;=Cap_h-0.000000001)),1,0),0)</f>
        <v>1</v>
      </c>
      <c r="R195" s="14" t="n">
        <f aca="false">IF(G195=1,IF(OR(Alpha_keep*$A195+R$3&gt;=Floor_c-0.000000001,AND($B195=0,R$3&gt;=Cap_h-0.000000001)),1,0),0)</f>
        <v>1</v>
      </c>
      <c r="S195" s="14" t="n">
        <f aca="false">IF(H195=1,IF(OR(Alpha_keep*$A195+S$3&gt;=Floor_c-0.000000001,AND($B195=0,S$3&gt;=Cap_h-0.000000001)),1,0),0)</f>
        <v>1</v>
      </c>
      <c r="T195" s="14" t="n">
        <f aca="false">IF(I195=1,IF(OR(Alpha_keep*$A195+T$3&gt;=Floor_c-0.000000001,AND($B195=0,T$3&gt;=Cap_h-0.000000001)),1,0),0)</f>
        <v>1</v>
      </c>
      <c r="U195" s="14" t="n">
        <f aca="false">IF(J195=1,IF(OR(Alpha_keep*$A195+U$3&gt;=Floor_c-0.000000001,AND($B195=0,U$3&gt;=Cap_h-0.000000001)),1,0),0)</f>
        <v>1</v>
      </c>
      <c r="V195" s="14" t="n">
        <f aca="false">IF(K195=1,IF(OR(Alpha_keep*$A195+V$3&gt;=Floor_c-0.000000001,AND($B195=0,V$3&gt;=Cap_h-0.000000001)),1,0),0)</f>
        <v>1</v>
      </c>
      <c r="W195" s="14" t="n">
        <f aca="false">IF(L195=1,IF(OR(Alpha_keep*$A195+W$3&gt;=Floor_c-0.000000001,AND($B195=0,W$3&gt;=Cap_h-0.000000001)),1,0),0)</f>
        <v>1</v>
      </c>
      <c r="X195" s="14" t="n">
        <f aca="false">IF(M195=1,IF(OR(Alpha_keep*$A195+X$3&gt;=Floor_c-0.000000001,AND($B195=0,X$3&gt;=Cap_h-0.000000001)),1,0),0)</f>
        <v>1</v>
      </c>
      <c r="Y195" s="14" t="n">
        <f aca="false">SUM(C195:M195)</f>
        <v>11</v>
      </c>
      <c r="Z195" s="14" t="n">
        <f aca="false">SUM(N195:X195)</f>
        <v>11</v>
      </c>
      <c r="AA195" s="12" t="n">
        <f aca="false">INDEX($C$3:$M$3,MATCH(1,C195:M195,0))</f>
        <v>0</v>
      </c>
      <c r="AB195" s="12" t="n">
        <f aca="false">INDEX($N$3:$X$3,MATCH(1,N195:X195,0))+(Z195-1)*Step_h</f>
        <v>2.5</v>
      </c>
    </row>
    <row r="196" customFormat="false" ht="15" hidden="false" customHeight="false" outlineLevel="0" collapsed="false">
      <c r="A196" s="12" t="n">
        <f aca="false">A195+Step_c</f>
        <v>77.75</v>
      </c>
      <c r="B196" s="14" t="n">
        <f aca="false">IF(SUMPRODUCT((Alpha_keep*$A196+$C$3:$M$3&gt;=Floor_c-0.000000001)*(C196:M196))&gt;0,1,0)</f>
        <v>1</v>
      </c>
      <c r="C196" s="14" t="n">
        <f aca="false">IF(AND(Alpha_keep*$A196+C$3-MAX(Loss_w)&gt;=Lo_c-0.000000001,Alpha_keep*$A196+C$3-MIN(Loss_w)&lt;=Hi_c+0.000000001),1,0)</f>
        <v>1</v>
      </c>
      <c r="D196" s="14" t="n">
        <f aca="false">IF(AND(Alpha_keep*$A196+D$3-MAX(Loss_w)&gt;=Lo_c-0.000000001,Alpha_keep*$A196+D$3-MIN(Loss_w)&lt;=Hi_c+0.000000001),1,0)</f>
        <v>1</v>
      </c>
      <c r="E196" s="14" t="n">
        <f aca="false">IF(AND(Alpha_keep*$A196+E$3-MAX(Loss_w)&gt;=Lo_c-0.000000001,Alpha_keep*$A196+E$3-MIN(Loss_w)&lt;=Hi_c+0.000000001),1,0)</f>
        <v>1</v>
      </c>
      <c r="F196" s="14" t="n">
        <f aca="false">IF(AND(Alpha_keep*$A196+F$3-MAX(Loss_w)&gt;=Lo_c-0.000000001,Alpha_keep*$A196+F$3-MIN(Loss_w)&lt;=Hi_c+0.000000001),1,0)</f>
        <v>1</v>
      </c>
      <c r="G196" s="14" t="n">
        <f aca="false">IF(AND(Alpha_keep*$A196+G$3-MAX(Loss_w)&gt;=Lo_c-0.000000001,Alpha_keep*$A196+G$3-MIN(Loss_w)&lt;=Hi_c+0.000000001),1,0)</f>
        <v>1</v>
      </c>
      <c r="H196" s="14" t="n">
        <f aca="false">IF(AND(Alpha_keep*$A196+H$3-MAX(Loss_w)&gt;=Lo_c-0.000000001,Alpha_keep*$A196+H$3-MIN(Loss_w)&lt;=Hi_c+0.000000001),1,0)</f>
        <v>1</v>
      </c>
      <c r="I196" s="14" t="n">
        <f aca="false">IF(AND(Alpha_keep*$A196+I$3-MAX(Loss_w)&gt;=Lo_c-0.000000001,Alpha_keep*$A196+I$3-MIN(Loss_w)&lt;=Hi_c+0.000000001),1,0)</f>
        <v>1</v>
      </c>
      <c r="J196" s="14" t="n">
        <f aca="false">IF(AND(Alpha_keep*$A196+J$3-MAX(Loss_w)&gt;=Lo_c-0.000000001,Alpha_keep*$A196+J$3-MIN(Loss_w)&lt;=Hi_c+0.000000001),1,0)</f>
        <v>1</v>
      </c>
      <c r="K196" s="14" t="n">
        <f aca="false">IF(AND(Alpha_keep*$A196+K$3-MAX(Loss_w)&gt;=Lo_c-0.000000001,Alpha_keep*$A196+K$3-MIN(Loss_w)&lt;=Hi_c+0.000000001),1,0)</f>
        <v>1</v>
      </c>
      <c r="L196" s="14" t="n">
        <f aca="false">IF(AND(Alpha_keep*$A196+L$3-MAX(Loss_w)&gt;=Lo_c-0.000000001,Alpha_keep*$A196+L$3-MIN(Loss_w)&lt;=Hi_c+0.000000001),1,0)</f>
        <v>1</v>
      </c>
      <c r="M196" s="14" t="n">
        <f aca="false">IF(AND(Alpha_keep*$A196+M$3-MAX(Loss_w)&gt;=Lo_c-0.000000001,Alpha_keep*$A196+M$3-MIN(Loss_w)&lt;=Hi_c+0.000000001),1,0)</f>
        <v>1</v>
      </c>
      <c r="N196" s="14" t="n">
        <f aca="false">IF(C196=1,IF(OR(Alpha_keep*$A196+N$3&gt;=Floor_c-0.000000001,AND($B196=0,N$3&gt;=Cap_h-0.000000001)),1,0),0)</f>
        <v>1</v>
      </c>
      <c r="O196" s="14" t="n">
        <f aca="false">IF(D196=1,IF(OR(Alpha_keep*$A196+O$3&gt;=Floor_c-0.000000001,AND($B196=0,O$3&gt;=Cap_h-0.000000001)),1,0),0)</f>
        <v>1</v>
      </c>
      <c r="P196" s="14" t="n">
        <f aca="false">IF(E196=1,IF(OR(Alpha_keep*$A196+P$3&gt;=Floor_c-0.000000001,AND($B196=0,P$3&gt;=Cap_h-0.000000001)),1,0),0)</f>
        <v>1</v>
      </c>
      <c r="Q196" s="14" t="n">
        <f aca="false">IF(F196=1,IF(OR(Alpha_keep*$A196+Q$3&gt;=Floor_c-0.000000001,AND($B196=0,Q$3&gt;=Cap_h-0.000000001)),1,0),0)</f>
        <v>1</v>
      </c>
      <c r="R196" s="14" t="n">
        <f aca="false">IF(G196=1,IF(OR(Alpha_keep*$A196+R$3&gt;=Floor_c-0.000000001,AND($B196=0,R$3&gt;=Cap_h-0.000000001)),1,0),0)</f>
        <v>1</v>
      </c>
      <c r="S196" s="14" t="n">
        <f aca="false">IF(H196=1,IF(OR(Alpha_keep*$A196+S$3&gt;=Floor_c-0.000000001,AND($B196=0,S$3&gt;=Cap_h-0.000000001)),1,0),0)</f>
        <v>1</v>
      </c>
      <c r="T196" s="14" t="n">
        <f aca="false">IF(I196=1,IF(OR(Alpha_keep*$A196+T$3&gt;=Floor_c-0.000000001,AND($B196=0,T$3&gt;=Cap_h-0.000000001)),1,0),0)</f>
        <v>1</v>
      </c>
      <c r="U196" s="14" t="n">
        <f aca="false">IF(J196=1,IF(OR(Alpha_keep*$A196+U$3&gt;=Floor_c-0.000000001,AND($B196=0,U$3&gt;=Cap_h-0.000000001)),1,0),0)</f>
        <v>1</v>
      </c>
      <c r="V196" s="14" t="n">
        <f aca="false">IF(K196=1,IF(OR(Alpha_keep*$A196+V$3&gt;=Floor_c-0.000000001,AND($B196=0,V$3&gt;=Cap_h-0.000000001)),1,0),0)</f>
        <v>1</v>
      </c>
      <c r="W196" s="14" t="n">
        <f aca="false">IF(L196=1,IF(OR(Alpha_keep*$A196+W$3&gt;=Floor_c-0.000000001,AND($B196=0,W$3&gt;=Cap_h-0.000000001)),1,0),0)</f>
        <v>1</v>
      </c>
      <c r="X196" s="14" t="n">
        <f aca="false">IF(M196=1,IF(OR(Alpha_keep*$A196+X$3&gt;=Floor_c-0.000000001,AND($B196=0,X$3&gt;=Cap_h-0.000000001)),1,0),0)</f>
        <v>1</v>
      </c>
      <c r="Y196" s="14" t="n">
        <f aca="false">SUM(C196:M196)</f>
        <v>11</v>
      </c>
      <c r="Z196" s="14" t="n">
        <f aca="false">SUM(N196:X196)</f>
        <v>11</v>
      </c>
      <c r="AA196" s="12" t="n">
        <f aca="false">INDEX($C$3:$M$3,MATCH(1,C196:M196,0))</f>
        <v>0</v>
      </c>
      <c r="AB196" s="12" t="n">
        <f aca="false">INDEX($N$3:$X$3,MATCH(1,N196:X196,0))+(Z196-1)*Step_h</f>
        <v>2.5</v>
      </c>
    </row>
    <row r="197" customFormat="false" ht="15" hidden="false" customHeight="false" outlineLevel="0" collapsed="false">
      <c r="A197" s="12" t="n">
        <f aca="false">A196+Step_c</f>
        <v>78</v>
      </c>
      <c r="B197" s="14" t="n">
        <f aca="false">IF(SUMPRODUCT((Alpha_keep*$A197+$C$3:$M$3&gt;=Floor_c-0.000000001)*(C197:M197))&gt;0,1,0)</f>
        <v>1</v>
      </c>
      <c r="C197" s="14" t="n">
        <f aca="false">IF(AND(Alpha_keep*$A197+C$3-MAX(Loss_w)&gt;=Lo_c-0.000000001,Alpha_keep*$A197+C$3-MIN(Loss_w)&lt;=Hi_c+0.000000001),1,0)</f>
        <v>1</v>
      </c>
      <c r="D197" s="14" t="n">
        <f aca="false">IF(AND(Alpha_keep*$A197+D$3-MAX(Loss_w)&gt;=Lo_c-0.000000001,Alpha_keep*$A197+D$3-MIN(Loss_w)&lt;=Hi_c+0.000000001),1,0)</f>
        <v>1</v>
      </c>
      <c r="E197" s="14" t="n">
        <f aca="false">IF(AND(Alpha_keep*$A197+E$3-MAX(Loss_w)&gt;=Lo_c-0.000000001,Alpha_keep*$A197+E$3-MIN(Loss_w)&lt;=Hi_c+0.000000001),1,0)</f>
        <v>1</v>
      </c>
      <c r="F197" s="14" t="n">
        <f aca="false">IF(AND(Alpha_keep*$A197+F$3-MAX(Loss_w)&gt;=Lo_c-0.000000001,Alpha_keep*$A197+F$3-MIN(Loss_w)&lt;=Hi_c+0.000000001),1,0)</f>
        <v>1</v>
      </c>
      <c r="G197" s="14" t="n">
        <f aca="false">IF(AND(Alpha_keep*$A197+G$3-MAX(Loss_w)&gt;=Lo_c-0.000000001,Alpha_keep*$A197+G$3-MIN(Loss_w)&lt;=Hi_c+0.000000001),1,0)</f>
        <v>1</v>
      </c>
      <c r="H197" s="14" t="n">
        <f aca="false">IF(AND(Alpha_keep*$A197+H$3-MAX(Loss_w)&gt;=Lo_c-0.000000001,Alpha_keep*$A197+H$3-MIN(Loss_w)&lt;=Hi_c+0.000000001),1,0)</f>
        <v>1</v>
      </c>
      <c r="I197" s="14" t="n">
        <f aca="false">IF(AND(Alpha_keep*$A197+I$3-MAX(Loss_w)&gt;=Lo_c-0.000000001,Alpha_keep*$A197+I$3-MIN(Loss_w)&lt;=Hi_c+0.000000001),1,0)</f>
        <v>1</v>
      </c>
      <c r="J197" s="14" t="n">
        <f aca="false">IF(AND(Alpha_keep*$A197+J$3-MAX(Loss_w)&gt;=Lo_c-0.000000001,Alpha_keep*$A197+J$3-MIN(Loss_w)&lt;=Hi_c+0.000000001),1,0)</f>
        <v>1</v>
      </c>
      <c r="K197" s="14" t="n">
        <f aca="false">IF(AND(Alpha_keep*$A197+K$3-MAX(Loss_w)&gt;=Lo_c-0.000000001,Alpha_keep*$A197+K$3-MIN(Loss_w)&lt;=Hi_c+0.000000001),1,0)</f>
        <v>1</v>
      </c>
      <c r="L197" s="14" t="n">
        <f aca="false">IF(AND(Alpha_keep*$A197+L$3-MAX(Loss_w)&gt;=Lo_c-0.000000001,Alpha_keep*$A197+L$3-MIN(Loss_w)&lt;=Hi_c+0.000000001),1,0)</f>
        <v>1</v>
      </c>
      <c r="M197" s="14" t="n">
        <f aca="false">IF(AND(Alpha_keep*$A197+M$3-MAX(Loss_w)&gt;=Lo_c-0.000000001,Alpha_keep*$A197+M$3-MIN(Loss_w)&lt;=Hi_c+0.000000001),1,0)</f>
        <v>0</v>
      </c>
      <c r="N197" s="14" t="n">
        <f aca="false">IF(C197=1,IF(OR(Alpha_keep*$A197+N$3&gt;=Floor_c-0.000000001,AND($B197=0,N$3&gt;=Cap_h-0.000000001)),1,0),0)</f>
        <v>1</v>
      </c>
      <c r="O197" s="14" t="n">
        <f aca="false">IF(D197=1,IF(OR(Alpha_keep*$A197+O$3&gt;=Floor_c-0.000000001,AND($B197=0,O$3&gt;=Cap_h-0.000000001)),1,0),0)</f>
        <v>1</v>
      </c>
      <c r="P197" s="14" t="n">
        <f aca="false">IF(E197=1,IF(OR(Alpha_keep*$A197+P$3&gt;=Floor_c-0.000000001,AND($B197=0,P$3&gt;=Cap_h-0.000000001)),1,0),0)</f>
        <v>1</v>
      </c>
      <c r="Q197" s="14" t="n">
        <f aca="false">IF(F197=1,IF(OR(Alpha_keep*$A197+Q$3&gt;=Floor_c-0.000000001,AND($B197=0,Q$3&gt;=Cap_h-0.000000001)),1,0),0)</f>
        <v>1</v>
      </c>
      <c r="R197" s="14" t="n">
        <f aca="false">IF(G197=1,IF(OR(Alpha_keep*$A197+R$3&gt;=Floor_c-0.000000001,AND($B197=0,R$3&gt;=Cap_h-0.000000001)),1,0),0)</f>
        <v>1</v>
      </c>
      <c r="S197" s="14" t="n">
        <f aca="false">IF(H197=1,IF(OR(Alpha_keep*$A197+S$3&gt;=Floor_c-0.000000001,AND($B197=0,S$3&gt;=Cap_h-0.000000001)),1,0),0)</f>
        <v>1</v>
      </c>
      <c r="T197" s="14" t="n">
        <f aca="false">IF(I197=1,IF(OR(Alpha_keep*$A197+T$3&gt;=Floor_c-0.000000001,AND($B197=0,T$3&gt;=Cap_h-0.000000001)),1,0),0)</f>
        <v>1</v>
      </c>
      <c r="U197" s="14" t="n">
        <f aca="false">IF(J197=1,IF(OR(Alpha_keep*$A197+U$3&gt;=Floor_c-0.000000001,AND($B197=0,U$3&gt;=Cap_h-0.000000001)),1,0),0)</f>
        <v>1</v>
      </c>
      <c r="V197" s="14" t="n">
        <f aca="false">IF(K197=1,IF(OR(Alpha_keep*$A197+V$3&gt;=Floor_c-0.000000001,AND($B197=0,V$3&gt;=Cap_h-0.000000001)),1,0),0)</f>
        <v>1</v>
      </c>
      <c r="W197" s="14" t="n">
        <f aca="false">IF(L197=1,IF(OR(Alpha_keep*$A197+W$3&gt;=Floor_c-0.000000001,AND($B197=0,W$3&gt;=Cap_h-0.000000001)),1,0),0)</f>
        <v>1</v>
      </c>
      <c r="X197" s="14" t="n">
        <f aca="false">IF(M197=1,IF(OR(Alpha_keep*$A197+X$3&gt;=Floor_c-0.000000001,AND($B197=0,X$3&gt;=Cap_h-0.000000001)),1,0),0)</f>
        <v>0</v>
      </c>
      <c r="Y197" s="14" t="n">
        <f aca="false">SUM(C197:M197)</f>
        <v>10</v>
      </c>
      <c r="Z197" s="14" t="n">
        <f aca="false">SUM(N197:X197)</f>
        <v>10</v>
      </c>
      <c r="AA197" s="12" t="n">
        <f aca="false">INDEX($C$3:$M$3,MATCH(1,C197:M197,0))</f>
        <v>0</v>
      </c>
      <c r="AB197" s="12" t="n">
        <f aca="false">INDEX($N$3:$X$3,MATCH(1,N197:X197,0))+(Z197-1)*Step_h</f>
        <v>2.25</v>
      </c>
    </row>
    <row r="198" customFormat="false" ht="15" hidden="false" customHeight="false" outlineLevel="0" collapsed="false">
      <c r="A198" s="12" t="n">
        <f aca="false">A197+Step_c</f>
        <v>78.25</v>
      </c>
      <c r="B198" s="14" t="n">
        <f aca="false">IF(SUMPRODUCT((Alpha_keep*$A198+$C$3:$M$3&gt;=Floor_c-0.000000001)*(C198:M198))&gt;0,1,0)</f>
        <v>1</v>
      </c>
      <c r="C198" s="14" t="n">
        <f aca="false">IF(AND(Alpha_keep*$A198+C$3-MAX(Loss_w)&gt;=Lo_c-0.000000001,Alpha_keep*$A198+C$3-MIN(Loss_w)&lt;=Hi_c+0.000000001),1,0)</f>
        <v>1</v>
      </c>
      <c r="D198" s="14" t="n">
        <f aca="false">IF(AND(Alpha_keep*$A198+D$3-MAX(Loss_w)&gt;=Lo_c-0.000000001,Alpha_keep*$A198+D$3-MIN(Loss_w)&lt;=Hi_c+0.000000001),1,0)</f>
        <v>1</v>
      </c>
      <c r="E198" s="14" t="n">
        <f aca="false">IF(AND(Alpha_keep*$A198+E$3-MAX(Loss_w)&gt;=Lo_c-0.000000001,Alpha_keep*$A198+E$3-MIN(Loss_w)&lt;=Hi_c+0.000000001),1,0)</f>
        <v>1</v>
      </c>
      <c r="F198" s="14" t="n">
        <f aca="false">IF(AND(Alpha_keep*$A198+F$3-MAX(Loss_w)&gt;=Lo_c-0.000000001,Alpha_keep*$A198+F$3-MIN(Loss_w)&lt;=Hi_c+0.000000001),1,0)</f>
        <v>1</v>
      </c>
      <c r="G198" s="14" t="n">
        <f aca="false">IF(AND(Alpha_keep*$A198+G$3-MAX(Loss_w)&gt;=Lo_c-0.000000001,Alpha_keep*$A198+G$3-MIN(Loss_w)&lt;=Hi_c+0.000000001),1,0)</f>
        <v>1</v>
      </c>
      <c r="H198" s="14" t="n">
        <f aca="false">IF(AND(Alpha_keep*$A198+H$3-MAX(Loss_w)&gt;=Lo_c-0.000000001,Alpha_keep*$A198+H$3-MIN(Loss_w)&lt;=Hi_c+0.000000001),1,0)</f>
        <v>1</v>
      </c>
      <c r="I198" s="14" t="n">
        <f aca="false">IF(AND(Alpha_keep*$A198+I$3-MAX(Loss_w)&gt;=Lo_c-0.000000001,Alpha_keep*$A198+I$3-MIN(Loss_w)&lt;=Hi_c+0.000000001),1,0)</f>
        <v>1</v>
      </c>
      <c r="J198" s="14" t="n">
        <f aca="false">IF(AND(Alpha_keep*$A198+J$3-MAX(Loss_w)&gt;=Lo_c-0.000000001,Alpha_keep*$A198+J$3-MIN(Loss_w)&lt;=Hi_c+0.000000001),1,0)</f>
        <v>1</v>
      </c>
      <c r="K198" s="14" t="n">
        <f aca="false">IF(AND(Alpha_keep*$A198+K$3-MAX(Loss_w)&gt;=Lo_c-0.000000001,Alpha_keep*$A198+K$3-MIN(Loss_w)&lt;=Hi_c+0.000000001),1,0)</f>
        <v>1</v>
      </c>
      <c r="L198" s="14" t="n">
        <f aca="false">IF(AND(Alpha_keep*$A198+L$3-MAX(Loss_w)&gt;=Lo_c-0.000000001,Alpha_keep*$A198+L$3-MIN(Loss_w)&lt;=Hi_c+0.000000001),1,0)</f>
        <v>0</v>
      </c>
      <c r="M198" s="14" t="n">
        <f aca="false">IF(AND(Alpha_keep*$A198+M$3-MAX(Loss_w)&gt;=Lo_c-0.000000001,Alpha_keep*$A198+M$3-MIN(Loss_w)&lt;=Hi_c+0.000000001),1,0)</f>
        <v>0</v>
      </c>
      <c r="N198" s="14" t="n">
        <f aca="false">IF(C198=1,IF(OR(Alpha_keep*$A198+N$3&gt;=Floor_c-0.000000001,AND($B198=0,N$3&gt;=Cap_h-0.000000001)),1,0),0)</f>
        <v>1</v>
      </c>
      <c r="O198" s="14" t="n">
        <f aca="false">IF(D198=1,IF(OR(Alpha_keep*$A198+O$3&gt;=Floor_c-0.000000001,AND($B198=0,O$3&gt;=Cap_h-0.000000001)),1,0),0)</f>
        <v>1</v>
      </c>
      <c r="P198" s="14" t="n">
        <f aca="false">IF(E198=1,IF(OR(Alpha_keep*$A198+P$3&gt;=Floor_c-0.000000001,AND($B198=0,P$3&gt;=Cap_h-0.000000001)),1,0),0)</f>
        <v>1</v>
      </c>
      <c r="Q198" s="14" t="n">
        <f aca="false">IF(F198=1,IF(OR(Alpha_keep*$A198+Q$3&gt;=Floor_c-0.000000001,AND($B198=0,Q$3&gt;=Cap_h-0.000000001)),1,0),0)</f>
        <v>1</v>
      </c>
      <c r="R198" s="14" t="n">
        <f aca="false">IF(G198=1,IF(OR(Alpha_keep*$A198+R$3&gt;=Floor_c-0.000000001,AND($B198=0,R$3&gt;=Cap_h-0.000000001)),1,0),0)</f>
        <v>1</v>
      </c>
      <c r="S198" s="14" t="n">
        <f aca="false">IF(H198=1,IF(OR(Alpha_keep*$A198+S$3&gt;=Floor_c-0.000000001,AND($B198=0,S$3&gt;=Cap_h-0.000000001)),1,0),0)</f>
        <v>1</v>
      </c>
      <c r="T198" s="14" t="n">
        <f aca="false">IF(I198=1,IF(OR(Alpha_keep*$A198+T$3&gt;=Floor_c-0.000000001,AND($B198=0,T$3&gt;=Cap_h-0.000000001)),1,0),0)</f>
        <v>1</v>
      </c>
      <c r="U198" s="14" t="n">
        <f aca="false">IF(J198=1,IF(OR(Alpha_keep*$A198+U$3&gt;=Floor_c-0.000000001,AND($B198=0,U$3&gt;=Cap_h-0.000000001)),1,0),0)</f>
        <v>1</v>
      </c>
      <c r="V198" s="14" t="n">
        <f aca="false">IF(K198=1,IF(OR(Alpha_keep*$A198+V$3&gt;=Floor_c-0.000000001,AND($B198=0,V$3&gt;=Cap_h-0.000000001)),1,0),0)</f>
        <v>1</v>
      </c>
      <c r="W198" s="14" t="n">
        <f aca="false">IF(L198=1,IF(OR(Alpha_keep*$A198+W$3&gt;=Floor_c-0.000000001,AND($B198=0,W$3&gt;=Cap_h-0.000000001)),1,0),0)</f>
        <v>0</v>
      </c>
      <c r="X198" s="14" t="n">
        <f aca="false">IF(M198=1,IF(OR(Alpha_keep*$A198+X$3&gt;=Floor_c-0.000000001,AND($B198=0,X$3&gt;=Cap_h-0.000000001)),1,0),0)</f>
        <v>0</v>
      </c>
      <c r="Y198" s="14" t="n">
        <f aca="false">SUM(C198:M198)</f>
        <v>9</v>
      </c>
      <c r="Z198" s="14" t="n">
        <f aca="false">SUM(N198:X198)</f>
        <v>9</v>
      </c>
      <c r="AA198" s="12" t="n">
        <f aca="false">INDEX($C$3:$M$3,MATCH(1,C198:M198,0))</f>
        <v>0</v>
      </c>
      <c r="AB198" s="12" t="n">
        <f aca="false">INDEX($N$3:$X$3,MATCH(1,N198:X198,0))+(Z198-1)*Step_h</f>
        <v>2</v>
      </c>
    </row>
    <row r="199" customFormat="false" ht="15" hidden="false" customHeight="false" outlineLevel="0" collapsed="false">
      <c r="A199" s="12" t="n">
        <f aca="false">A198+Step_c</f>
        <v>78.5</v>
      </c>
      <c r="B199" s="14" t="n">
        <f aca="false">IF(SUMPRODUCT((Alpha_keep*$A199+$C$3:$M$3&gt;=Floor_c-0.000000001)*(C199:M199))&gt;0,1,0)</f>
        <v>1</v>
      </c>
      <c r="C199" s="14" t="n">
        <f aca="false">IF(AND(Alpha_keep*$A199+C$3-MAX(Loss_w)&gt;=Lo_c-0.000000001,Alpha_keep*$A199+C$3-MIN(Loss_w)&lt;=Hi_c+0.000000001),1,0)</f>
        <v>1</v>
      </c>
      <c r="D199" s="14" t="n">
        <f aca="false">IF(AND(Alpha_keep*$A199+D$3-MAX(Loss_w)&gt;=Lo_c-0.000000001,Alpha_keep*$A199+D$3-MIN(Loss_w)&lt;=Hi_c+0.000000001),1,0)</f>
        <v>1</v>
      </c>
      <c r="E199" s="14" t="n">
        <f aca="false">IF(AND(Alpha_keep*$A199+E$3-MAX(Loss_w)&gt;=Lo_c-0.000000001,Alpha_keep*$A199+E$3-MIN(Loss_w)&lt;=Hi_c+0.000000001),1,0)</f>
        <v>1</v>
      </c>
      <c r="F199" s="14" t="n">
        <f aca="false">IF(AND(Alpha_keep*$A199+F$3-MAX(Loss_w)&gt;=Lo_c-0.000000001,Alpha_keep*$A199+F$3-MIN(Loss_w)&lt;=Hi_c+0.000000001),1,0)</f>
        <v>1</v>
      </c>
      <c r="G199" s="14" t="n">
        <f aca="false">IF(AND(Alpha_keep*$A199+G$3-MAX(Loss_w)&gt;=Lo_c-0.000000001,Alpha_keep*$A199+G$3-MIN(Loss_w)&lt;=Hi_c+0.000000001),1,0)</f>
        <v>1</v>
      </c>
      <c r="H199" s="14" t="n">
        <f aca="false">IF(AND(Alpha_keep*$A199+H$3-MAX(Loss_w)&gt;=Lo_c-0.000000001,Alpha_keep*$A199+H$3-MIN(Loss_w)&lt;=Hi_c+0.000000001),1,0)</f>
        <v>1</v>
      </c>
      <c r="I199" s="14" t="n">
        <f aca="false">IF(AND(Alpha_keep*$A199+I$3-MAX(Loss_w)&gt;=Lo_c-0.000000001,Alpha_keep*$A199+I$3-MIN(Loss_w)&lt;=Hi_c+0.000000001),1,0)</f>
        <v>1</v>
      </c>
      <c r="J199" s="14" t="n">
        <f aca="false">IF(AND(Alpha_keep*$A199+J$3-MAX(Loss_w)&gt;=Lo_c-0.000000001,Alpha_keep*$A199+J$3-MIN(Loss_w)&lt;=Hi_c+0.000000001),1,0)</f>
        <v>1</v>
      </c>
      <c r="K199" s="14" t="n">
        <f aca="false">IF(AND(Alpha_keep*$A199+K$3-MAX(Loss_w)&gt;=Lo_c-0.000000001,Alpha_keep*$A199+K$3-MIN(Loss_w)&lt;=Hi_c+0.000000001),1,0)</f>
        <v>0</v>
      </c>
      <c r="L199" s="14" t="n">
        <f aca="false">IF(AND(Alpha_keep*$A199+L$3-MAX(Loss_w)&gt;=Lo_c-0.000000001,Alpha_keep*$A199+L$3-MIN(Loss_w)&lt;=Hi_c+0.000000001),1,0)</f>
        <v>0</v>
      </c>
      <c r="M199" s="14" t="n">
        <f aca="false">IF(AND(Alpha_keep*$A199+M$3-MAX(Loss_w)&gt;=Lo_c-0.000000001,Alpha_keep*$A199+M$3-MIN(Loss_w)&lt;=Hi_c+0.000000001),1,0)</f>
        <v>0</v>
      </c>
      <c r="N199" s="14" t="n">
        <f aca="false">IF(C199=1,IF(OR(Alpha_keep*$A199+N$3&gt;=Floor_c-0.000000001,AND($B199=0,N$3&gt;=Cap_h-0.000000001)),1,0),0)</f>
        <v>1</v>
      </c>
      <c r="O199" s="14" t="n">
        <f aca="false">IF(D199=1,IF(OR(Alpha_keep*$A199+O$3&gt;=Floor_c-0.000000001,AND($B199=0,O$3&gt;=Cap_h-0.000000001)),1,0),0)</f>
        <v>1</v>
      </c>
      <c r="P199" s="14" t="n">
        <f aca="false">IF(E199=1,IF(OR(Alpha_keep*$A199+P$3&gt;=Floor_c-0.000000001,AND($B199=0,P$3&gt;=Cap_h-0.000000001)),1,0),0)</f>
        <v>1</v>
      </c>
      <c r="Q199" s="14" t="n">
        <f aca="false">IF(F199=1,IF(OR(Alpha_keep*$A199+Q$3&gt;=Floor_c-0.000000001,AND($B199=0,Q$3&gt;=Cap_h-0.000000001)),1,0),0)</f>
        <v>1</v>
      </c>
      <c r="R199" s="14" t="n">
        <f aca="false">IF(G199=1,IF(OR(Alpha_keep*$A199+R$3&gt;=Floor_c-0.000000001,AND($B199=0,R$3&gt;=Cap_h-0.000000001)),1,0),0)</f>
        <v>1</v>
      </c>
      <c r="S199" s="14" t="n">
        <f aca="false">IF(H199=1,IF(OR(Alpha_keep*$A199+S$3&gt;=Floor_c-0.000000001,AND($B199=0,S$3&gt;=Cap_h-0.000000001)),1,0),0)</f>
        <v>1</v>
      </c>
      <c r="T199" s="14" t="n">
        <f aca="false">IF(I199=1,IF(OR(Alpha_keep*$A199+T$3&gt;=Floor_c-0.000000001,AND($B199=0,T$3&gt;=Cap_h-0.000000001)),1,0),0)</f>
        <v>1</v>
      </c>
      <c r="U199" s="14" t="n">
        <f aca="false">IF(J199=1,IF(OR(Alpha_keep*$A199+U$3&gt;=Floor_c-0.000000001,AND($B199=0,U$3&gt;=Cap_h-0.000000001)),1,0),0)</f>
        <v>1</v>
      </c>
      <c r="V199" s="14" t="n">
        <f aca="false">IF(K199=1,IF(OR(Alpha_keep*$A199+V$3&gt;=Floor_c-0.000000001,AND($B199=0,V$3&gt;=Cap_h-0.000000001)),1,0),0)</f>
        <v>0</v>
      </c>
      <c r="W199" s="14" t="n">
        <f aca="false">IF(L199=1,IF(OR(Alpha_keep*$A199+W$3&gt;=Floor_c-0.000000001,AND($B199=0,W$3&gt;=Cap_h-0.000000001)),1,0),0)</f>
        <v>0</v>
      </c>
      <c r="X199" s="14" t="n">
        <f aca="false">IF(M199=1,IF(OR(Alpha_keep*$A199+X$3&gt;=Floor_c-0.000000001,AND($B199=0,X$3&gt;=Cap_h-0.000000001)),1,0),0)</f>
        <v>0</v>
      </c>
      <c r="Y199" s="14" t="n">
        <f aca="false">SUM(C199:M199)</f>
        <v>8</v>
      </c>
      <c r="Z199" s="14" t="n">
        <f aca="false">SUM(N199:X199)</f>
        <v>8</v>
      </c>
      <c r="AA199" s="12" t="n">
        <f aca="false">INDEX($C$3:$M$3,MATCH(1,C199:M199,0))</f>
        <v>0</v>
      </c>
      <c r="AB199" s="12" t="n">
        <f aca="false">INDEX($N$3:$X$3,MATCH(1,N199:X199,0))+(Z199-1)*Step_h</f>
        <v>1.75</v>
      </c>
    </row>
    <row r="200" customFormat="false" ht="15" hidden="false" customHeight="false" outlineLevel="0" collapsed="false">
      <c r="A200" s="12" t="n">
        <f aca="false">A199+Step_c</f>
        <v>78.75</v>
      </c>
      <c r="B200" s="14" t="n">
        <f aca="false">IF(SUMPRODUCT((Alpha_keep*$A200+$C$3:$M$3&gt;=Floor_c-0.000000001)*(C200:M200))&gt;0,1,0)</f>
        <v>1</v>
      </c>
      <c r="C200" s="14" t="n">
        <f aca="false">IF(AND(Alpha_keep*$A200+C$3-MAX(Loss_w)&gt;=Lo_c-0.000000001,Alpha_keep*$A200+C$3-MIN(Loss_w)&lt;=Hi_c+0.000000001),1,0)</f>
        <v>1</v>
      </c>
      <c r="D200" s="14" t="n">
        <f aca="false">IF(AND(Alpha_keep*$A200+D$3-MAX(Loss_w)&gt;=Lo_c-0.000000001,Alpha_keep*$A200+D$3-MIN(Loss_w)&lt;=Hi_c+0.000000001),1,0)</f>
        <v>1</v>
      </c>
      <c r="E200" s="14" t="n">
        <f aca="false">IF(AND(Alpha_keep*$A200+E$3-MAX(Loss_w)&gt;=Lo_c-0.000000001,Alpha_keep*$A200+E$3-MIN(Loss_w)&lt;=Hi_c+0.000000001),1,0)</f>
        <v>1</v>
      </c>
      <c r="F200" s="14" t="n">
        <f aca="false">IF(AND(Alpha_keep*$A200+F$3-MAX(Loss_w)&gt;=Lo_c-0.000000001,Alpha_keep*$A200+F$3-MIN(Loss_w)&lt;=Hi_c+0.000000001),1,0)</f>
        <v>1</v>
      </c>
      <c r="G200" s="14" t="n">
        <f aca="false">IF(AND(Alpha_keep*$A200+G$3-MAX(Loss_w)&gt;=Lo_c-0.000000001,Alpha_keep*$A200+G$3-MIN(Loss_w)&lt;=Hi_c+0.000000001),1,0)</f>
        <v>1</v>
      </c>
      <c r="H200" s="14" t="n">
        <f aca="false">IF(AND(Alpha_keep*$A200+H$3-MAX(Loss_w)&gt;=Lo_c-0.000000001,Alpha_keep*$A200+H$3-MIN(Loss_w)&lt;=Hi_c+0.000000001),1,0)</f>
        <v>1</v>
      </c>
      <c r="I200" s="14" t="n">
        <f aca="false">IF(AND(Alpha_keep*$A200+I$3-MAX(Loss_w)&gt;=Lo_c-0.000000001,Alpha_keep*$A200+I$3-MIN(Loss_w)&lt;=Hi_c+0.000000001),1,0)</f>
        <v>1</v>
      </c>
      <c r="J200" s="14" t="n">
        <f aca="false">IF(AND(Alpha_keep*$A200+J$3-MAX(Loss_w)&gt;=Lo_c-0.000000001,Alpha_keep*$A200+J$3-MIN(Loss_w)&lt;=Hi_c+0.000000001),1,0)</f>
        <v>0</v>
      </c>
      <c r="K200" s="14" t="n">
        <f aca="false">IF(AND(Alpha_keep*$A200+K$3-MAX(Loss_w)&gt;=Lo_c-0.000000001,Alpha_keep*$A200+K$3-MIN(Loss_w)&lt;=Hi_c+0.000000001),1,0)</f>
        <v>0</v>
      </c>
      <c r="L200" s="14" t="n">
        <f aca="false">IF(AND(Alpha_keep*$A200+L$3-MAX(Loss_w)&gt;=Lo_c-0.000000001,Alpha_keep*$A200+L$3-MIN(Loss_w)&lt;=Hi_c+0.000000001),1,0)</f>
        <v>0</v>
      </c>
      <c r="M200" s="14" t="n">
        <f aca="false">IF(AND(Alpha_keep*$A200+M$3-MAX(Loss_w)&gt;=Lo_c-0.000000001,Alpha_keep*$A200+M$3-MIN(Loss_w)&lt;=Hi_c+0.000000001),1,0)</f>
        <v>0</v>
      </c>
      <c r="N200" s="14" t="n">
        <f aca="false">IF(C200=1,IF(OR(Alpha_keep*$A200+N$3&gt;=Floor_c-0.000000001,AND($B200=0,N$3&gt;=Cap_h-0.000000001)),1,0),0)</f>
        <v>1</v>
      </c>
      <c r="O200" s="14" t="n">
        <f aca="false">IF(D200=1,IF(OR(Alpha_keep*$A200+O$3&gt;=Floor_c-0.000000001,AND($B200=0,O$3&gt;=Cap_h-0.000000001)),1,0),0)</f>
        <v>1</v>
      </c>
      <c r="P200" s="14" t="n">
        <f aca="false">IF(E200=1,IF(OR(Alpha_keep*$A200+P$3&gt;=Floor_c-0.000000001,AND($B200=0,P$3&gt;=Cap_h-0.000000001)),1,0),0)</f>
        <v>1</v>
      </c>
      <c r="Q200" s="14" t="n">
        <f aca="false">IF(F200=1,IF(OR(Alpha_keep*$A200+Q$3&gt;=Floor_c-0.000000001,AND($B200=0,Q$3&gt;=Cap_h-0.000000001)),1,0),0)</f>
        <v>1</v>
      </c>
      <c r="R200" s="14" t="n">
        <f aca="false">IF(G200=1,IF(OR(Alpha_keep*$A200+R$3&gt;=Floor_c-0.000000001,AND($B200=0,R$3&gt;=Cap_h-0.000000001)),1,0),0)</f>
        <v>1</v>
      </c>
      <c r="S200" s="14" t="n">
        <f aca="false">IF(H200=1,IF(OR(Alpha_keep*$A200+S$3&gt;=Floor_c-0.000000001,AND($B200=0,S$3&gt;=Cap_h-0.000000001)),1,0),0)</f>
        <v>1</v>
      </c>
      <c r="T200" s="14" t="n">
        <f aca="false">IF(I200=1,IF(OR(Alpha_keep*$A200+T$3&gt;=Floor_c-0.000000001,AND($B200=0,T$3&gt;=Cap_h-0.000000001)),1,0),0)</f>
        <v>1</v>
      </c>
      <c r="U200" s="14" t="n">
        <f aca="false">IF(J200=1,IF(OR(Alpha_keep*$A200+U$3&gt;=Floor_c-0.000000001,AND($B200=0,U$3&gt;=Cap_h-0.000000001)),1,0),0)</f>
        <v>0</v>
      </c>
      <c r="V200" s="14" t="n">
        <f aca="false">IF(K200=1,IF(OR(Alpha_keep*$A200+V$3&gt;=Floor_c-0.000000001,AND($B200=0,V$3&gt;=Cap_h-0.000000001)),1,0),0)</f>
        <v>0</v>
      </c>
      <c r="W200" s="14" t="n">
        <f aca="false">IF(L200=1,IF(OR(Alpha_keep*$A200+W$3&gt;=Floor_c-0.000000001,AND($B200=0,W$3&gt;=Cap_h-0.000000001)),1,0),0)</f>
        <v>0</v>
      </c>
      <c r="X200" s="14" t="n">
        <f aca="false">IF(M200=1,IF(OR(Alpha_keep*$A200+X$3&gt;=Floor_c-0.000000001,AND($B200=0,X$3&gt;=Cap_h-0.000000001)),1,0),0)</f>
        <v>0</v>
      </c>
      <c r="Y200" s="14" t="n">
        <f aca="false">SUM(C200:M200)</f>
        <v>7</v>
      </c>
      <c r="Z200" s="14" t="n">
        <f aca="false">SUM(N200:X200)</f>
        <v>7</v>
      </c>
      <c r="AA200" s="12" t="n">
        <f aca="false">INDEX($C$3:$M$3,MATCH(1,C200:M200,0))</f>
        <v>0</v>
      </c>
      <c r="AB200" s="12" t="n">
        <f aca="false">INDEX($N$3:$X$3,MATCH(1,N200:X200,0))+(Z200-1)*Step_h</f>
        <v>1.5</v>
      </c>
    </row>
    <row r="201" customFormat="false" ht="15" hidden="false" customHeight="false" outlineLevel="0" collapsed="false">
      <c r="A201" s="12" t="n">
        <f aca="false">A200+Step_c</f>
        <v>79</v>
      </c>
      <c r="B201" s="14" t="n">
        <f aca="false">IF(SUMPRODUCT((Alpha_keep*$A201+$C$3:$M$3&gt;=Floor_c-0.000000001)*(C201:M201))&gt;0,1,0)</f>
        <v>1</v>
      </c>
      <c r="C201" s="14" t="n">
        <f aca="false">IF(AND(Alpha_keep*$A201+C$3-MAX(Loss_w)&gt;=Lo_c-0.000000001,Alpha_keep*$A201+C$3-MIN(Loss_w)&lt;=Hi_c+0.000000001),1,0)</f>
        <v>1</v>
      </c>
      <c r="D201" s="14" t="n">
        <f aca="false">IF(AND(Alpha_keep*$A201+D$3-MAX(Loss_w)&gt;=Lo_c-0.000000001,Alpha_keep*$A201+D$3-MIN(Loss_w)&lt;=Hi_c+0.000000001),1,0)</f>
        <v>1</v>
      </c>
      <c r="E201" s="14" t="n">
        <f aca="false">IF(AND(Alpha_keep*$A201+E$3-MAX(Loss_w)&gt;=Lo_c-0.000000001,Alpha_keep*$A201+E$3-MIN(Loss_w)&lt;=Hi_c+0.000000001),1,0)</f>
        <v>1</v>
      </c>
      <c r="F201" s="14" t="n">
        <f aca="false">IF(AND(Alpha_keep*$A201+F$3-MAX(Loss_w)&gt;=Lo_c-0.000000001,Alpha_keep*$A201+F$3-MIN(Loss_w)&lt;=Hi_c+0.000000001),1,0)</f>
        <v>1</v>
      </c>
      <c r="G201" s="14" t="n">
        <f aca="false">IF(AND(Alpha_keep*$A201+G$3-MAX(Loss_w)&gt;=Lo_c-0.000000001,Alpha_keep*$A201+G$3-MIN(Loss_w)&lt;=Hi_c+0.000000001),1,0)</f>
        <v>1</v>
      </c>
      <c r="H201" s="14" t="n">
        <f aca="false">IF(AND(Alpha_keep*$A201+H$3-MAX(Loss_w)&gt;=Lo_c-0.000000001,Alpha_keep*$A201+H$3-MIN(Loss_w)&lt;=Hi_c+0.000000001),1,0)</f>
        <v>1</v>
      </c>
      <c r="I201" s="14" t="n">
        <f aca="false">IF(AND(Alpha_keep*$A201+I$3-MAX(Loss_w)&gt;=Lo_c-0.000000001,Alpha_keep*$A201+I$3-MIN(Loss_w)&lt;=Hi_c+0.000000001),1,0)</f>
        <v>0</v>
      </c>
      <c r="J201" s="14" t="n">
        <f aca="false">IF(AND(Alpha_keep*$A201+J$3-MAX(Loss_w)&gt;=Lo_c-0.000000001,Alpha_keep*$A201+J$3-MIN(Loss_w)&lt;=Hi_c+0.000000001),1,0)</f>
        <v>0</v>
      </c>
      <c r="K201" s="14" t="n">
        <f aca="false">IF(AND(Alpha_keep*$A201+K$3-MAX(Loss_w)&gt;=Lo_c-0.000000001,Alpha_keep*$A201+K$3-MIN(Loss_w)&lt;=Hi_c+0.000000001),1,0)</f>
        <v>0</v>
      </c>
      <c r="L201" s="14" t="n">
        <f aca="false">IF(AND(Alpha_keep*$A201+L$3-MAX(Loss_w)&gt;=Lo_c-0.000000001,Alpha_keep*$A201+L$3-MIN(Loss_w)&lt;=Hi_c+0.000000001),1,0)</f>
        <v>0</v>
      </c>
      <c r="M201" s="14" t="n">
        <f aca="false">IF(AND(Alpha_keep*$A201+M$3-MAX(Loss_w)&gt;=Lo_c-0.000000001,Alpha_keep*$A201+M$3-MIN(Loss_w)&lt;=Hi_c+0.000000001),1,0)</f>
        <v>0</v>
      </c>
      <c r="N201" s="14" t="n">
        <f aca="false">IF(C201=1,IF(OR(Alpha_keep*$A201+N$3&gt;=Floor_c-0.000000001,AND($B201=0,N$3&gt;=Cap_h-0.000000001)),1,0),0)</f>
        <v>1</v>
      </c>
      <c r="O201" s="14" t="n">
        <f aca="false">IF(D201=1,IF(OR(Alpha_keep*$A201+O$3&gt;=Floor_c-0.000000001,AND($B201=0,O$3&gt;=Cap_h-0.000000001)),1,0),0)</f>
        <v>1</v>
      </c>
      <c r="P201" s="14" t="n">
        <f aca="false">IF(E201=1,IF(OR(Alpha_keep*$A201+P$3&gt;=Floor_c-0.000000001,AND($B201=0,P$3&gt;=Cap_h-0.000000001)),1,0),0)</f>
        <v>1</v>
      </c>
      <c r="Q201" s="14" t="n">
        <f aca="false">IF(F201=1,IF(OR(Alpha_keep*$A201+Q$3&gt;=Floor_c-0.000000001,AND($B201=0,Q$3&gt;=Cap_h-0.000000001)),1,0),0)</f>
        <v>1</v>
      </c>
      <c r="R201" s="14" t="n">
        <f aca="false">IF(G201=1,IF(OR(Alpha_keep*$A201+R$3&gt;=Floor_c-0.000000001,AND($B201=0,R$3&gt;=Cap_h-0.000000001)),1,0),0)</f>
        <v>1</v>
      </c>
      <c r="S201" s="14" t="n">
        <f aca="false">IF(H201=1,IF(OR(Alpha_keep*$A201+S$3&gt;=Floor_c-0.000000001,AND($B201=0,S$3&gt;=Cap_h-0.000000001)),1,0),0)</f>
        <v>1</v>
      </c>
      <c r="T201" s="14" t="n">
        <f aca="false">IF(I201=1,IF(OR(Alpha_keep*$A201+T$3&gt;=Floor_c-0.000000001,AND($B201=0,T$3&gt;=Cap_h-0.000000001)),1,0),0)</f>
        <v>0</v>
      </c>
      <c r="U201" s="14" t="n">
        <f aca="false">IF(J201=1,IF(OR(Alpha_keep*$A201+U$3&gt;=Floor_c-0.000000001,AND($B201=0,U$3&gt;=Cap_h-0.000000001)),1,0),0)</f>
        <v>0</v>
      </c>
      <c r="V201" s="14" t="n">
        <f aca="false">IF(K201=1,IF(OR(Alpha_keep*$A201+V$3&gt;=Floor_c-0.000000001,AND($B201=0,V$3&gt;=Cap_h-0.000000001)),1,0),0)</f>
        <v>0</v>
      </c>
      <c r="W201" s="14" t="n">
        <f aca="false">IF(L201=1,IF(OR(Alpha_keep*$A201+W$3&gt;=Floor_c-0.000000001,AND($B201=0,W$3&gt;=Cap_h-0.000000001)),1,0),0)</f>
        <v>0</v>
      </c>
      <c r="X201" s="14" t="n">
        <f aca="false">IF(M201=1,IF(OR(Alpha_keep*$A201+X$3&gt;=Floor_c-0.000000001,AND($B201=0,X$3&gt;=Cap_h-0.000000001)),1,0),0)</f>
        <v>0</v>
      </c>
      <c r="Y201" s="14" t="n">
        <f aca="false">SUM(C201:M201)</f>
        <v>6</v>
      </c>
      <c r="Z201" s="14" t="n">
        <f aca="false">SUM(N201:X201)</f>
        <v>6</v>
      </c>
      <c r="AA201" s="12" t="n">
        <f aca="false">INDEX($C$3:$M$3,MATCH(1,C201:M201,0))</f>
        <v>0</v>
      </c>
      <c r="AB201" s="12" t="n">
        <f aca="false">INDEX($N$3:$X$3,MATCH(1,N201:X201,0))+(Z201-1)*Step_h</f>
        <v>1.25</v>
      </c>
    </row>
    <row r="202" customFormat="false" ht="15" hidden="false" customHeight="false" outlineLevel="0" collapsed="false">
      <c r="A202" s="12" t="n">
        <f aca="false">A201+Step_c</f>
        <v>79.25</v>
      </c>
      <c r="B202" s="14" t="n">
        <f aca="false">IF(SUMPRODUCT((Alpha_keep*$A202+$C$3:$M$3&gt;=Floor_c-0.000000001)*(C202:M202))&gt;0,1,0)</f>
        <v>1</v>
      </c>
      <c r="C202" s="14" t="n">
        <f aca="false">IF(AND(Alpha_keep*$A202+C$3-MAX(Loss_w)&gt;=Lo_c-0.000000001,Alpha_keep*$A202+C$3-MIN(Loss_w)&lt;=Hi_c+0.000000001),1,0)</f>
        <v>1</v>
      </c>
      <c r="D202" s="14" t="n">
        <f aca="false">IF(AND(Alpha_keep*$A202+D$3-MAX(Loss_w)&gt;=Lo_c-0.000000001,Alpha_keep*$A202+D$3-MIN(Loss_w)&lt;=Hi_c+0.000000001),1,0)</f>
        <v>1</v>
      </c>
      <c r="E202" s="14" t="n">
        <f aca="false">IF(AND(Alpha_keep*$A202+E$3-MAX(Loss_w)&gt;=Lo_c-0.000000001,Alpha_keep*$A202+E$3-MIN(Loss_w)&lt;=Hi_c+0.000000001),1,0)</f>
        <v>1</v>
      </c>
      <c r="F202" s="14" t="n">
        <f aca="false">IF(AND(Alpha_keep*$A202+F$3-MAX(Loss_w)&gt;=Lo_c-0.000000001,Alpha_keep*$A202+F$3-MIN(Loss_w)&lt;=Hi_c+0.000000001),1,0)</f>
        <v>1</v>
      </c>
      <c r="G202" s="14" t="n">
        <f aca="false">IF(AND(Alpha_keep*$A202+G$3-MAX(Loss_w)&gt;=Lo_c-0.000000001,Alpha_keep*$A202+G$3-MIN(Loss_w)&lt;=Hi_c+0.000000001),1,0)</f>
        <v>1</v>
      </c>
      <c r="H202" s="14" t="n">
        <f aca="false">IF(AND(Alpha_keep*$A202+H$3-MAX(Loss_w)&gt;=Lo_c-0.000000001,Alpha_keep*$A202+H$3-MIN(Loss_w)&lt;=Hi_c+0.000000001),1,0)</f>
        <v>0</v>
      </c>
      <c r="I202" s="14" t="n">
        <f aca="false">IF(AND(Alpha_keep*$A202+I$3-MAX(Loss_w)&gt;=Lo_c-0.000000001,Alpha_keep*$A202+I$3-MIN(Loss_w)&lt;=Hi_c+0.000000001),1,0)</f>
        <v>0</v>
      </c>
      <c r="J202" s="14" t="n">
        <f aca="false">IF(AND(Alpha_keep*$A202+J$3-MAX(Loss_w)&gt;=Lo_c-0.000000001,Alpha_keep*$A202+J$3-MIN(Loss_w)&lt;=Hi_c+0.000000001),1,0)</f>
        <v>0</v>
      </c>
      <c r="K202" s="14" t="n">
        <f aca="false">IF(AND(Alpha_keep*$A202+K$3-MAX(Loss_w)&gt;=Lo_c-0.000000001,Alpha_keep*$A202+K$3-MIN(Loss_w)&lt;=Hi_c+0.000000001),1,0)</f>
        <v>0</v>
      </c>
      <c r="L202" s="14" t="n">
        <f aca="false">IF(AND(Alpha_keep*$A202+L$3-MAX(Loss_w)&gt;=Lo_c-0.000000001,Alpha_keep*$A202+L$3-MIN(Loss_w)&lt;=Hi_c+0.000000001),1,0)</f>
        <v>0</v>
      </c>
      <c r="M202" s="14" t="n">
        <f aca="false">IF(AND(Alpha_keep*$A202+M$3-MAX(Loss_w)&gt;=Lo_c-0.000000001,Alpha_keep*$A202+M$3-MIN(Loss_w)&lt;=Hi_c+0.000000001),1,0)</f>
        <v>0</v>
      </c>
      <c r="N202" s="14" t="n">
        <f aca="false">IF(C202=1,IF(OR(Alpha_keep*$A202+N$3&gt;=Floor_c-0.000000001,AND($B202=0,N$3&gt;=Cap_h-0.000000001)),1,0),0)</f>
        <v>1</v>
      </c>
      <c r="O202" s="14" t="n">
        <f aca="false">IF(D202=1,IF(OR(Alpha_keep*$A202+O$3&gt;=Floor_c-0.000000001,AND($B202=0,O$3&gt;=Cap_h-0.000000001)),1,0),0)</f>
        <v>1</v>
      </c>
      <c r="P202" s="14" t="n">
        <f aca="false">IF(E202=1,IF(OR(Alpha_keep*$A202+P$3&gt;=Floor_c-0.000000001,AND($B202=0,P$3&gt;=Cap_h-0.000000001)),1,0),0)</f>
        <v>1</v>
      </c>
      <c r="Q202" s="14" t="n">
        <f aca="false">IF(F202=1,IF(OR(Alpha_keep*$A202+Q$3&gt;=Floor_c-0.000000001,AND($B202=0,Q$3&gt;=Cap_h-0.000000001)),1,0),0)</f>
        <v>1</v>
      </c>
      <c r="R202" s="14" t="n">
        <f aca="false">IF(G202=1,IF(OR(Alpha_keep*$A202+R$3&gt;=Floor_c-0.000000001,AND($B202=0,R$3&gt;=Cap_h-0.000000001)),1,0),0)</f>
        <v>1</v>
      </c>
      <c r="S202" s="14" t="n">
        <f aca="false">IF(H202=1,IF(OR(Alpha_keep*$A202+S$3&gt;=Floor_c-0.000000001,AND($B202=0,S$3&gt;=Cap_h-0.000000001)),1,0),0)</f>
        <v>0</v>
      </c>
      <c r="T202" s="14" t="n">
        <f aca="false">IF(I202=1,IF(OR(Alpha_keep*$A202+T$3&gt;=Floor_c-0.000000001,AND($B202=0,T$3&gt;=Cap_h-0.000000001)),1,0),0)</f>
        <v>0</v>
      </c>
      <c r="U202" s="14" t="n">
        <f aca="false">IF(J202=1,IF(OR(Alpha_keep*$A202+U$3&gt;=Floor_c-0.000000001,AND($B202=0,U$3&gt;=Cap_h-0.000000001)),1,0),0)</f>
        <v>0</v>
      </c>
      <c r="V202" s="14" t="n">
        <f aca="false">IF(K202=1,IF(OR(Alpha_keep*$A202+V$3&gt;=Floor_c-0.000000001,AND($B202=0,V$3&gt;=Cap_h-0.000000001)),1,0),0)</f>
        <v>0</v>
      </c>
      <c r="W202" s="14" t="n">
        <f aca="false">IF(L202=1,IF(OR(Alpha_keep*$A202+W$3&gt;=Floor_c-0.000000001,AND($B202=0,W$3&gt;=Cap_h-0.000000001)),1,0),0)</f>
        <v>0</v>
      </c>
      <c r="X202" s="14" t="n">
        <f aca="false">IF(M202=1,IF(OR(Alpha_keep*$A202+X$3&gt;=Floor_c-0.000000001,AND($B202=0,X$3&gt;=Cap_h-0.000000001)),1,0),0)</f>
        <v>0</v>
      </c>
      <c r="Y202" s="14" t="n">
        <f aca="false">SUM(C202:M202)</f>
        <v>5</v>
      </c>
      <c r="Z202" s="14" t="n">
        <f aca="false">SUM(N202:X202)</f>
        <v>5</v>
      </c>
      <c r="AA202" s="12" t="n">
        <f aca="false">INDEX($C$3:$M$3,MATCH(1,C202:M202,0))</f>
        <v>0</v>
      </c>
      <c r="AB202" s="12" t="n">
        <f aca="false">INDEX($N$3:$X$3,MATCH(1,N202:X202,0))+(Z202-1)*Step_h</f>
        <v>1</v>
      </c>
    </row>
    <row r="203" customFormat="false" ht="15" hidden="false" customHeight="false" outlineLevel="0" collapsed="false">
      <c r="A203" s="12" t="n">
        <f aca="false">A202+Step_c</f>
        <v>79.5</v>
      </c>
      <c r="B203" s="14" t="n">
        <f aca="false">IF(SUMPRODUCT((Alpha_keep*$A203+$C$3:$M$3&gt;=Floor_c-0.000000001)*(C203:M203))&gt;0,1,0)</f>
        <v>1</v>
      </c>
      <c r="C203" s="14" t="n">
        <f aca="false">IF(AND(Alpha_keep*$A203+C$3-MAX(Loss_w)&gt;=Lo_c-0.000000001,Alpha_keep*$A203+C$3-MIN(Loss_w)&lt;=Hi_c+0.000000001),1,0)</f>
        <v>1</v>
      </c>
      <c r="D203" s="14" t="n">
        <f aca="false">IF(AND(Alpha_keep*$A203+D$3-MAX(Loss_w)&gt;=Lo_c-0.000000001,Alpha_keep*$A203+D$3-MIN(Loss_w)&lt;=Hi_c+0.000000001),1,0)</f>
        <v>1</v>
      </c>
      <c r="E203" s="14" t="n">
        <f aca="false">IF(AND(Alpha_keep*$A203+E$3-MAX(Loss_w)&gt;=Lo_c-0.000000001,Alpha_keep*$A203+E$3-MIN(Loss_w)&lt;=Hi_c+0.000000001),1,0)</f>
        <v>1</v>
      </c>
      <c r="F203" s="14" t="n">
        <f aca="false">IF(AND(Alpha_keep*$A203+F$3-MAX(Loss_w)&gt;=Lo_c-0.000000001,Alpha_keep*$A203+F$3-MIN(Loss_w)&lt;=Hi_c+0.000000001),1,0)</f>
        <v>1</v>
      </c>
      <c r="G203" s="14" t="n">
        <f aca="false">IF(AND(Alpha_keep*$A203+G$3-MAX(Loss_w)&gt;=Lo_c-0.000000001,Alpha_keep*$A203+G$3-MIN(Loss_w)&lt;=Hi_c+0.000000001),1,0)</f>
        <v>0</v>
      </c>
      <c r="H203" s="14" t="n">
        <f aca="false">IF(AND(Alpha_keep*$A203+H$3-MAX(Loss_w)&gt;=Lo_c-0.000000001,Alpha_keep*$A203+H$3-MIN(Loss_w)&lt;=Hi_c+0.000000001),1,0)</f>
        <v>0</v>
      </c>
      <c r="I203" s="14" t="n">
        <f aca="false">IF(AND(Alpha_keep*$A203+I$3-MAX(Loss_w)&gt;=Lo_c-0.000000001,Alpha_keep*$A203+I$3-MIN(Loss_w)&lt;=Hi_c+0.000000001),1,0)</f>
        <v>0</v>
      </c>
      <c r="J203" s="14" t="n">
        <f aca="false">IF(AND(Alpha_keep*$A203+J$3-MAX(Loss_w)&gt;=Lo_c-0.000000001,Alpha_keep*$A203+J$3-MIN(Loss_w)&lt;=Hi_c+0.000000001),1,0)</f>
        <v>0</v>
      </c>
      <c r="K203" s="14" t="n">
        <f aca="false">IF(AND(Alpha_keep*$A203+K$3-MAX(Loss_w)&gt;=Lo_c-0.000000001,Alpha_keep*$A203+K$3-MIN(Loss_w)&lt;=Hi_c+0.000000001),1,0)</f>
        <v>0</v>
      </c>
      <c r="L203" s="14" t="n">
        <f aca="false">IF(AND(Alpha_keep*$A203+L$3-MAX(Loss_w)&gt;=Lo_c-0.000000001,Alpha_keep*$A203+L$3-MIN(Loss_w)&lt;=Hi_c+0.000000001),1,0)</f>
        <v>0</v>
      </c>
      <c r="M203" s="14" t="n">
        <f aca="false">IF(AND(Alpha_keep*$A203+M$3-MAX(Loss_w)&gt;=Lo_c-0.000000001,Alpha_keep*$A203+M$3-MIN(Loss_w)&lt;=Hi_c+0.000000001),1,0)</f>
        <v>0</v>
      </c>
      <c r="N203" s="14" t="n">
        <f aca="false">IF(C203=1,IF(OR(Alpha_keep*$A203+N$3&gt;=Floor_c-0.000000001,AND($B203=0,N$3&gt;=Cap_h-0.000000001)),1,0),0)</f>
        <v>1</v>
      </c>
      <c r="O203" s="14" t="n">
        <f aca="false">IF(D203=1,IF(OR(Alpha_keep*$A203+O$3&gt;=Floor_c-0.000000001,AND($B203=0,O$3&gt;=Cap_h-0.000000001)),1,0),0)</f>
        <v>1</v>
      </c>
      <c r="P203" s="14" t="n">
        <f aca="false">IF(E203=1,IF(OR(Alpha_keep*$A203+P$3&gt;=Floor_c-0.000000001,AND($B203=0,P$3&gt;=Cap_h-0.000000001)),1,0),0)</f>
        <v>1</v>
      </c>
      <c r="Q203" s="14" t="n">
        <f aca="false">IF(F203=1,IF(OR(Alpha_keep*$A203+Q$3&gt;=Floor_c-0.000000001,AND($B203=0,Q$3&gt;=Cap_h-0.000000001)),1,0),0)</f>
        <v>1</v>
      </c>
      <c r="R203" s="14" t="n">
        <f aca="false">IF(G203=1,IF(OR(Alpha_keep*$A203+R$3&gt;=Floor_c-0.000000001,AND($B203=0,R$3&gt;=Cap_h-0.000000001)),1,0),0)</f>
        <v>0</v>
      </c>
      <c r="S203" s="14" t="n">
        <f aca="false">IF(H203=1,IF(OR(Alpha_keep*$A203+S$3&gt;=Floor_c-0.000000001,AND($B203=0,S$3&gt;=Cap_h-0.000000001)),1,0),0)</f>
        <v>0</v>
      </c>
      <c r="T203" s="14" t="n">
        <f aca="false">IF(I203=1,IF(OR(Alpha_keep*$A203+T$3&gt;=Floor_c-0.000000001,AND($B203=0,T$3&gt;=Cap_h-0.000000001)),1,0),0)</f>
        <v>0</v>
      </c>
      <c r="U203" s="14" t="n">
        <f aca="false">IF(J203=1,IF(OR(Alpha_keep*$A203+U$3&gt;=Floor_c-0.000000001,AND($B203=0,U$3&gt;=Cap_h-0.000000001)),1,0),0)</f>
        <v>0</v>
      </c>
      <c r="V203" s="14" t="n">
        <f aca="false">IF(K203=1,IF(OR(Alpha_keep*$A203+V$3&gt;=Floor_c-0.000000001,AND($B203=0,V$3&gt;=Cap_h-0.000000001)),1,0),0)</f>
        <v>0</v>
      </c>
      <c r="W203" s="14" t="n">
        <f aca="false">IF(L203=1,IF(OR(Alpha_keep*$A203+W$3&gt;=Floor_c-0.000000001,AND($B203=0,W$3&gt;=Cap_h-0.000000001)),1,0),0)</f>
        <v>0</v>
      </c>
      <c r="X203" s="14" t="n">
        <f aca="false">IF(M203=1,IF(OR(Alpha_keep*$A203+X$3&gt;=Floor_c-0.000000001,AND($B203=0,X$3&gt;=Cap_h-0.000000001)),1,0),0)</f>
        <v>0</v>
      </c>
      <c r="Y203" s="14" t="n">
        <f aca="false">SUM(C203:M203)</f>
        <v>4</v>
      </c>
      <c r="Z203" s="14" t="n">
        <f aca="false">SUM(N203:X203)</f>
        <v>4</v>
      </c>
      <c r="AA203" s="12" t="n">
        <f aca="false">INDEX($C$3:$M$3,MATCH(1,C203:M203,0))</f>
        <v>0</v>
      </c>
      <c r="AB203" s="12" t="n">
        <f aca="false">INDEX($N$3:$X$3,MATCH(1,N203:X203,0))+(Z203-1)*Step_h</f>
        <v>0.75</v>
      </c>
    </row>
    <row r="204" customFormat="false" ht="15" hidden="false" customHeight="false" outlineLevel="0" collapsed="false">
      <c r="A204" s="12" t="n">
        <f aca="false">A203+Step_c</f>
        <v>79.75</v>
      </c>
      <c r="B204" s="14" t="n">
        <f aca="false">IF(SUMPRODUCT((Alpha_keep*$A204+$C$3:$M$3&gt;=Floor_c-0.000000001)*(C204:M204))&gt;0,1,0)</f>
        <v>1</v>
      </c>
      <c r="C204" s="14" t="n">
        <f aca="false">IF(AND(Alpha_keep*$A204+C$3-MAX(Loss_w)&gt;=Lo_c-0.000000001,Alpha_keep*$A204+C$3-MIN(Loss_w)&lt;=Hi_c+0.000000001),1,0)</f>
        <v>1</v>
      </c>
      <c r="D204" s="14" t="n">
        <f aca="false">IF(AND(Alpha_keep*$A204+D$3-MAX(Loss_w)&gt;=Lo_c-0.000000001,Alpha_keep*$A204+D$3-MIN(Loss_w)&lt;=Hi_c+0.000000001),1,0)</f>
        <v>1</v>
      </c>
      <c r="E204" s="14" t="n">
        <f aca="false">IF(AND(Alpha_keep*$A204+E$3-MAX(Loss_w)&gt;=Lo_c-0.000000001,Alpha_keep*$A204+E$3-MIN(Loss_w)&lt;=Hi_c+0.000000001),1,0)</f>
        <v>1</v>
      </c>
      <c r="F204" s="14" t="n">
        <f aca="false">IF(AND(Alpha_keep*$A204+F$3-MAX(Loss_w)&gt;=Lo_c-0.000000001,Alpha_keep*$A204+F$3-MIN(Loss_w)&lt;=Hi_c+0.000000001),1,0)</f>
        <v>0</v>
      </c>
      <c r="G204" s="14" t="n">
        <f aca="false">IF(AND(Alpha_keep*$A204+G$3-MAX(Loss_w)&gt;=Lo_c-0.000000001,Alpha_keep*$A204+G$3-MIN(Loss_w)&lt;=Hi_c+0.000000001),1,0)</f>
        <v>0</v>
      </c>
      <c r="H204" s="14" t="n">
        <f aca="false">IF(AND(Alpha_keep*$A204+H$3-MAX(Loss_w)&gt;=Lo_c-0.000000001,Alpha_keep*$A204+H$3-MIN(Loss_w)&lt;=Hi_c+0.000000001),1,0)</f>
        <v>0</v>
      </c>
      <c r="I204" s="14" t="n">
        <f aca="false">IF(AND(Alpha_keep*$A204+I$3-MAX(Loss_w)&gt;=Lo_c-0.000000001,Alpha_keep*$A204+I$3-MIN(Loss_w)&lt;=Hi_c+0.000000001),1,0)</f>
        <v>0</v>
      </c>
      <c r="J204" s="14" t="n">
        <f aca="false">IF(AND(Alpha_keep*$A204+J$3-MAX(Loss_w)&gt;=Lo_c-0.000000001,Alpha_keep*$A204+J$3-MIN(Loss_w)&lt;=Hi_c+0.000000001),1,0)</f>
        <v>0</v>
      </c>
      <c r="K204" s="14" t="n">
        <f aca="false">IF(AND(Alpha_keep*$A204+K$3-MAX(Loss_w)&gt;=Lo_c-0.000000001,Alpha_keep*$A204+K$3-MIN(Loss_w)&lt;=Hi_c+0.000000001),1,0)</f>
        <v>0</v>
      </c>
      <c r="L204" s="14" t="n">
        <f aca="false">IF(AND(Alpha_keep*$A204+L$3-MAX(Loss_w)&gt;=Lo_c-0.000000001,Alpha_keep*$A204+L$3-MIN(Loss_w)&lt;=Hi_c+0.000000001),1,0)</f>
        <v>0</v>
      </c>
      <c r="M204" s="14" t="n">
        <f aca="false">IF(AND(Alpha_keep*$A204+M$3-MAX(Loss_w)&gt;=Lo_c-0.000000001,Alpha_keep*$A204+M$3-MIN(Loss_w)&lt;=Hi_c+0.000000001),1,0)</f>
        <v>0</v>
      </c>
      <c r="N204" s="14" t="n">
        <f aca="false">IF(C204=1,IF(OR(Alpha_keep*$A204+N$3&gt;=Floor_c-0.000000001,AND($B204=0,N$3&gt;=Cap_h-0.000000001)),1,0),0)</f>
        <v>1</v>
      </c>
      <c r="O204" s="14" t="n">
        <f aca="false">IF(D204=1,IF(OR(Alpha_keep*$A204+O$3&gt;=Floor_c-0.000000001,AND($B204=0,O$3&gt;=Cap_h-0.000000001)),1,0),0)</f>
        <v>1</v>
      </c>
      <c r="P204" s="14" t="n">
        <f aca="false">IF(E204=1,IF(OR(Alpha_keep*$A204+P$3&gt;=Floor_c-0.000000001,AND($B204=0,P$3&gt;=Cap_h-0.000000001)),1,0),0)</f>
        <v>1</v>
      </c>
      <c r="Q204" s="14" t="n">
        <f aca="false">IF(F204=1,IF(OR(Alpha_keep*$A204+Q$3&gt;=Floor_c-0.000000001,AND($B204=0,Q$3&gt;=Cap_h-0.000000001)),1,0),0)</f>
        <v>0</v>
      </c>
      <c r="R204" s="14" t="n">
        <f aca="false">IF(G204=1,IF(OR(Alpha_keep*$A204+R$3&gt;=Floor_c-0.000000001,AND($B204=0,R$3&gt;=Cap_h-0.000000001)),1,0),0)</f>
        <v>0</v>
      </c>
      <c r="S204" s="14" t="n">
        <f aca="false">IF(H204=1,IF(OR(Alpha_keep*$A204+S$3&gt;=Floor_c-0.000000001,AND($B204=0,S$3&gt;=Cap_h-0.000000001)),1,0),0)</f>
        <v>0</v>
      </c>
      <c r="T204" s="14" t="n">
        <f aca="false">IF(I204=1,IF(OR(Alpha_keep*$A204+T$3&gt;=Floor_c-0.000000001,AND($B204=0,T$3&gt;=Cap_h-0.000000001)),1,0),0)</f>
        <v>0</v>
      </c>
      <c r="U204" s="14" t="n">
        <f aca="false">IF(J204=1,IF(OR(Alpha_keep*$A204+U$3&gt;=Floor_c-0.000000001,AND($B204=0,U$3&gt;=Cap_h-0.000000001)),1,0),0)</f>
        <v>0</v>
      </c>
      <c r="V204" s="14" t="n">
        <f aca="false">IF(K204=1,IF(OR(Alpha_keep*$A204+V$3&gt;=Floor_c-0.000000001,AND($B204=0,V$3&gt;=Cap_h-0.000000001)),1,0),0)</f>
        <v>0</v>
      </c>
      <c r="W204" s="14" t="n">
        <f aca="false">IF(L204=1,IF(OR(Alpha_keep*$A204+W$3&gt;=Floor_c-0.000000001,AND($B204=0,W$3&gt;=Cap_h-0.000000001)),1,0),0)</f>
        <v>0</v>
      </c>
      <c r="X204" s="14" t="n">
        <f aca="false">IF(M204=1,IF(OR(Alpha_keep*$A204+X$3&gt;=Floor_c-0.000000001,AND($B204=0,X$3&gt;=Cap_h-0.000000001)),1,0),0)</f>
        <v>0</v>
      </c>
      <c r="Y204" s="14" t="n">
        <f aca="false">SUM(C204:M204)</f>
        <v>3</v>
      </c>
      <c r="Z204" s="14" t="n">
        <f aca="false">SUM(N204:X204)</f>
        <v>3</v>
      </c>
      <c r="AA204" s="12" t="n">
        <f aca="false">INDEX($C$3:$M$3,MATCH(1,C204:M204,0))</f>
        <v>0</v>
      </c>
      <c r="AB204" s="12" t="n">
        <f aca="false">INDEX($N$3:$X$3,MATCH(1,N204:X204,0))+(Z204-1)*Step_h</f>
        <v>0.5</v>
      </c>
    </row>
    <row r="205" customFormat="false" ht="15" hidden="false" customHeight="false" outlineLevel="0" collapsed="false">
      <c r="A205" s="12" t="n">
        <f aca="false">A204+Step_c</f>
        <v>80</v>
      </c>
      <c r="B205" s="14" t="n">
        <f aca="false">IF(SUMPRODUCT((Alpha_keep*$A205+$C$3:$M$3&gt;=Floor_c-0.000000001)*(C205:M205))&gt;0,1,0)</f>
        <v>1</v>
      </c>
      <c r="C205" s="14" t="n">
        <f aca="false">IF(AND(Alpha_keep*$A205+C$3-MAX(Loss_w)&gt;=Lo_c-0.000000001,Alpha_keep*$A205+C$3-MIN(Loss_w)&lt;=Hi_c+0.000000001),1,0)</f>
        <v>1</v>
      </c>
      <c r="D205" s="14" t="n">
        <f aca="false">IF(AND(Alpha_keep*$A205+D$3-MAX(Loss_w)&gt;=Lo_c-0.000000001,Alpha_keep*$A205+D$3-MIN(Loss_w)&lt;=Hi_c+0.000000001),1,0)</f>
        <v>1</v>
      </c>
      <c r="E205" s="14" t="n">
        <f aca="false">IF(AND(Alpha_keep*$A205+E$3-MAX(Loss_w)&gt;=Lo_c-0.000000001,Alpha_keep*$A205+E$3-MIN(Loss_w)&lt;=Hi_c+0.000000001),1,0)</f>
        <v>1</v>
      </c>
      <c r="F205" s="14" t="n">
        <f aca="false">IF(AND(Alpha_keep*$A205+F$3-MAX(Loss_w)&gt;=Lo_c-0.000000001,Alpha_keep*$A205+F$3-MIN(Loss_w)&lt;=Hi_c+0.000000001),1,0)</f>
        <v>0</v>
      </c>
      <c r="G205" s="14" t="n">
        <f aca="false">IF(AND(Alpha_keep*$A205+G$3-MAX(Loss_w)&gt;=Lo_c-0.000000001,Alpha_keep*$A205+G$3-MIN(Loss_w)&lt;=Hi_c+0.000000001),1,0)</f>
        <v>0</v>
      </c>
      <c r="H205" s="14" t="n">
        <f aca="false">IF(AND(Alpha_keep*$A205+H$3-MAX(Loss_w)&gt;=Lo_c-0.000000001,Alpha_keep*$A205+H$3-MIN(Loss_w)&lt;=Hi_c+0.000000001),1,0)</f>
        <v>0</v>
      </c>
      <c r="I205" s="14" t="n">
        <f aca="false">IF(AND(Alpha_keep*$A205+I$3-MAX(Loss_w)&gt;=Lo_c-0.000000001,Alpha_keep*$A205+I$3-MIN(Loss_w)&lt;=Hi_c+0.000000001),1,0)</f>
        <v>0</v>
      </c>
      <c r="J205" s="14" t="n">
        <f aca="false">IF(AND(Alpha_keep*$A205+J$3-MAX(Loss_w)&gt;=Lo_c-0.000000001,Alpha_keep*$A205+J$3-MIN(Loss_w)&lt;=Hi_c+0.000000001),1,0)</f>
        <v>0</v>
      </c>
      <c r="K205" s="14" t="n">
        <f aca="false">IF(AND(Alpha_keep*$A205+K$3-MAX(Loss_w)&gt;=Lo_c-0.000000001,Alpha_keep*$A205+K$3-MIN(Loss_w)&lt;=Hi_c+0.000000001),1,0)</f>
        <v>0</v>
      </c>
      <c r="L205" s="14" t="n">
        <f aca="false">IF(AND(Alpha_keep*$A205+L$3-MAX(Loss_w)&gt;=Lo_c-0.000000001,Alpha_keep*$A205+L$3-MIN(Loss_w)&lt;=Hi_c+0.000000001),1,0)</f>
        <v>0</v>
      </c>
      <c r="M205" s="14" t="n">
        <f aca="false">IF(AND(Alpha_keep*$A205+M$3-MAX(Loss_w)&gt;=Lo_c-0.000000001,Alpha_keep*$A205+M$3-MIN(Loss_w)&lt;=Hi_c+0.000000001),1,0)</f>
        <v>0</v>
      </c>
      <c r="N205" s="14" t="n">
        <f aca="false">IF(C205=1,IF(OR(Alpha_keep*$A205+N$3&gt;=Floor_c-0.000000001,AND($B205=0,N$3&gt;=Cap_h-0.000000001)),1,0),0)</f>
        <v>1</v>
      </c>
      <c r="O205" s="14" t="n">
        <f aca="false">IF(D205=1,IF(OR(Alpha_keep*$A205+O$3&gt;=Floor_c-0.000000001,AND($B205=0,O$3&gt;=Cap_h-0.000000001)),1,0),0)</f>
        <v>1</v>
      </c>
      <c r="P205" s="14" t="n">
        <f aca="false">IF(E205=1,IF(OR(Alpha_keep*$A205+P$3&gt;=Floor_c-0.000000001,AND($B205=0,P$3&gt;=Cap_h-0.000000001)),1,0),0)</f>
        <v>1</v>
      </c>
      <c r="Q205" s="14" t="n">
        <f aca="false">IF(F205=1,IF(OR(Alpha_keep*$A205+Q$3&gt;=Floor_c-0.000000001,AND($B205=0,Q$3&gt;=Cap_h-0.000000001)),1,0),0)</f>
        <v>0</v>
      </c>
      <c r="R205" s="14" t="n">
        <f aca="false">IF(G205=1,IF(OR(Alpha_keep*$A205+R$3&gt;=Floor_c-0.000000001,AND($B205=0,R$3&gt;=Cap_h-0.000000001)),1,0),0)</f>
        <v>0</v>
      </c>
      <c r="S205" s="14" t="n">
        <f aca="false">IF(H205=1,IF(OR(Alpha_keep*$A205+S$3&gt;=Floor_c-0.000000001,AND($B205=0,S$3&gt;=Cap_h-0.000000001)),1,0),0)</f>
        <v>0</v>
      </c>
      <c r="T205" s="14" t="n">
        <f aca="false">IF(I205=1,IF(OR(Alpha_keep*$A205+T$3&gt;=Floor_c-0.000000001,AND($B205=0,T$3&gt;=Cap_h-0.000000001)),1,0),0)</f>
        <v>0</v>
      </c>
      <c r="U205" s="14" t="n">
        <f aca="false">IF(J205=1,IF(OR(Alpha_keep*$A205+U$3&gt;=Floor_c-0.000000001,AND($B205=0,U$3&gt;=Cap_h-0.000000001)),1,0),0)</f>
        <v>0</v>
      </c>
      <c r="V205" s="14" t="n">
        <f aca="false">IF(K205=1,IF(OR(Alpha_keep*$A205+V$3&gt;=Floor_c-0.000000001,AND($B205=0,V$3&gt;=Cap_h-0.000000001)),1,0),0)</f>
        <v>0</v>
      </c>
      <c r="W205" s="14" t="n">
        <f aca="false">IF(L205=1,IF(OR(Alpha_keep*$A205+W$3&gt;=Floor_c-0.000000001,AND($B205=0,W$3&gt;=Cap_h-0.000000001)),1,0),0)</f>
        <v>0</v>
      </c>
      <c r="X205" s="14" t="n">
        <f aca="false">IF(M205=1,IF(OR(Alpha_keep*$A205+X$3&gt;=Floor_c-0.000000001,AND($B205=0,X$3&gt;=Cap_h-0.000000001)),1,0),0)</f>
        <v>0</v>
      </c>
      <c r="Y205" s="14" t="n">
        <f aca="false">SUM(C205:M205)</f>
        <v>3</v>
      </c>
      <c r="Z205" s="14" t="n">
        <f aca="false">SUM(N205:X205)</f>
        <v>3</v>
      </c>
      <c r="AA205" s="12" t="n">
        <f aca="false">INDEX($C$3:$M$3,MATCH(1,C205:M205,0))</f>
        <v>0</v>
      </c>
      <c r="AB205" s="12" t="n">
        <f aca="false">INDEX($N$3:$X$3,MATCH(1,N205:X205,0))+(Z205-1)*Step_h</f>
        <v>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6"/>
    <col collapsed="false" customWidth="true" hidden="false" outlineLevel="0" max="4" min="4" style="0" width="12"/>
    <col collapsed="false" customWidth="true" hidden="false" outlineLevel="0" max="15" min="5" style="0" width="10"/>
    <col collapsed="false" customWidth="true" hidden="false" outlineLevel="0" max="16" min="16" style="0" width="13"/>
    <col collapsed="false" customWidth="true" hidden="false" outlineLevel="0" max="18" min="17" style="0" width="10"/>
    <col collapsed="false" customWidth="true" hidden="false" outlineLevel="0" max="19" min="19" style="0" width="8"/>
    <col collapsed="false" customWidth="true" hidden="false" outlineLevel="0" max="23" min="20" style="0" width="10"/>
    <col collapsed="false" customWidth="true" hidden="false" outlineLevel="0" max="25" min="24" style="0" width="3"/>
    <col collapsed="false" customWidth="true" hidden="false" outlineLevel="0" max="26" min="26" style="0" width="50"/>
    <col collapsed="false" customWidth="true" hidden="false" outlineLevel="0" max="27" min="27" style="0" width="12"/>
    <col collapsed="false" customWidth="true" hidden="false" outlineLevel="0" max="28" min="28" style="0" width="34"/>
  </cols>
  <sheetData>
    <row r="1" customFormat="false" ht="15" hidden="false" customHeight="false" outlineLevel="0" collapsed="false">
      <c r="A1" s="1" t="s">
        <v>129</v>
      </c>
    </row>
    <row r="2" customFormat="false" ht="15" hidden="false" customHeight="false" outlineLevel="0" collapsed="false">
      <c r="A2" s="10" t="s">
        <v>130</v>
      </c>
    </row>
    <row r="3" customFormat="false" ht="15" hidden="false" customHeight="false" outlineLevel="0" collapsed="false">
      <c r="D3" s="10" t="s">
        <v>91</v>
      </c>
      <c r="E3" s="18" t="n">
        <f aca="false">Grid!C3</f>
        <v>0</v>
      </c>
      <c r="F3" s="18" t="n">
        <f aca="false">Grid!D3</f>
        <v>0.25</v>
      </c>
      <c r="G3" s="18" t="n">
        <f aca="false">Grid!E3</f>
        <v>0.5</v>
      </c>
      <c r="H3" s="18" t="n">
        <f aca="false">Grid!F3</f>
        <v>0.75</v>
      </c>
      <c r="I3" s="18" t="n">
        <f aca="false">Grid!G3</f>
        <v>1</v>
      </c>
      <c r="J3" s="18" t="n">
        <f aca="false">Grid!H3</f>
        <v>1.25</v>
      </c>
      <c r="K3" s="18" t="n">
        <f aca="false">Grid!I3</f>
        <v>1.5</v>
      </c>
      <c r="L3" s="18" t="n">
        <f aca="false">Grid!J3</f>
        <v>1.75</v>
      </c>
      <c r="M3" s="18" t="n">
        <f aca="false">Grid!K3</f>
        <v>2</v>
      </c>
      <c r="N3" s="18" t="n">
        <f aca="false">Grid!L3</f>
        <v>2.25</v>
      </c>
      <c r="O3" s="18" t="n">
        <f aca="false">Grid!M3</f>
        <v>2.5</v>
      </c>
      <c r="Z3" s="8" t="s">
        <v>131</v>
      </c>
      <c r="AA3" s="8" t="s">
        <v>21</v>
      </c>
      <c r="AB3" s="8" t="s">
        <v>132</v>
      </c>
    </row>
    <row r="4" customFormat="false" ht="35.05" hidden="false" customHeight="false" outlineLevel="0" collapsed="false">
      <c r="A4" s="8" t="s">
        <v>133</v>
      </c>
      <c r="B4" s="8" t="s">
        <v>134</v>
      </c>
      <c r="C4" s="8" t="s">
        <v>135</v>
      </c>
      <c r="D4" s="8" t="s">
        <v>136</v>
      </c>
      <c r="E4" s="8" t="s">
        <v>137</v>
      </c>
      <c r="F4" s="8" t="s">
        <v>138</v>
      </c>
      <c r="G4" s="8" t="s">
        <v>139</v>
      </c>
      <c r="H4" s="8" t="s">
        <v>140</v>
      </c>
      <c r="I4" s="8" t="s">
        <v>141</v>
      </c>
      <c r="J4" s="8" t="s">
        <v>142</v>
      </c>
      <c r="K4" s="8" t="s">
        <v>143</v>
      </c>
      <c r="L4" s="8" t="s">
        <v>144</v>
      </c>
      <c r="M4" s="8" t="s">
        <v>145</v>
      </c>
      <c r="N4" s="8" t="s">
        <v>146</v>
      </c>
      <c r="O4" s="8" t="s">
        <v>147</v>
      </c>
      <c r="P4" s="8" t="s">
        <v>148</v>
      </c>
      <c r="Q4" s="8" t="s">
        <v>149</v>
      </c>
      <c r="R4" s="8" t="s">
        <v>150</v>
      </c>
      <c r="S4" s="8" t="s">
        <v>151</v>
      </c>
      <c r="T4" s="8" t="s">
        <v>152</v>
      </c>
      <c r="U4" s="8" t="s">
        <v>153</v>
      </c>
      <c r="V4" s="8" t="s">
        <v>154</v>
      </c>
      <c r="W4" s="8" t="s">
        <v>155</v>
      </c>
      <c r="Z4" s="2" t="s">
        <v>156</v>
      </c>
      <c r="AA4" s="16" t="n">
        <f aca="false">-INDEX(P5:P205,MATCH(Start_c,$A$5:$A$205,0))</f>
        <v>231.1783984959</v>
      </c>
      <c r="AB4" s="10" t="s">
        <v>157</v>
      </c>
    </row>
    <row r="5" customFormat="false" ht="15" hidden="false" customHeight="false" outlineLevel="0" collapsed="false">
      <c r="A5" s="18" t="n">
        <f aca="false">Grid!A5</f>
        <v>30</v>
      </c>
      <c r="B5" s="19" t="n">
        <v>-611.538723272361</v>
      </c>
      <c r="C5" s="14" t="n">
        <v>0</v>
      </c>
      <c r="D5" s="11" t="str">
        <f aca="false">IF(AND($C5&gt;=6,$C5&lt;=194),Declarations!$B$25*INDEX($B$5:$B$205,$C5+1-Declarations!$E$25)+Declarations!$B$26*INDEX($B$5:$B$205,$C5+1-Declarations!$E$26)+Declarations!$B$27*INDEX($B$5:$B$205,$C5+1-Declarations!$E$27)+Declarations!$B$28*INDEX($B$5:$B$205,$C5+1-Declarations!$E$28)+Declarations!$B$29*INDEX($B$5:$B$205,$C5+1-Declarations!$E$29),"")</f>
        <v/>
      </c>
      <c r="E5" s="16" t="str">
        <f aca="false">IF(Grid!C5=1,-Cost_k*E$3-Short_p*MAX(0,Floor_c-$A5)+Beta_q*((1-(((Alpha_keep*$A5+E$3-Lo_c)/Step_c)-MAX(6,MIN(INT(((Alpha_keep*$A5+E$3-Lo_c)/Step_c)+0.00000001),193))))*INDEX($D$5:$D$205,MAX(6,MIN(INT(((Alpha_keep*$A5+E$3-Lo_c)/Step_c)+0.00000001),193))+1)+(((Alpha_keep*$A5+E$3-Lo_c)/Step_c)-MAX(6,MIN(INT(((Alpha_keep*$A5+E$3-Lo_c)/Step_c)+0.00000001),193)))*INDEX($D$5:$D$205,MAX(6,MIN(INT(((Alpha_keep*$A5+E$3-Lo_c)/Step_c)+0.00000001),193))+2)),"")</f>
        <v/>
      </c>
      <c r="F5" s="16" t="str">
        <f aca="false">IF(Grid!D5=1,-Cost_k*F$3-Short_p*MAX(0,Floor_c-$A5)+Beta_q*((1-(((Alpha_keep*$A5+F$3-Lo_c)/Step_c)-MAX(6,MIN(INT(((Alpha_keep*$A5+F$3-Lo_c)/Step_c)+0.00000001),193))))*INDEX($D$5:$D$205,MAX(6,MIN(INT(((Alpha_keep*$A5+F$3-Lo_c)/Step_c)+0.00000001),193))+1)+(((Alpha_keep*$A5+F$3-Lo_c)/Step_c)-MAX(6,MIN(INT(((Alpha_keep*$A5+F$3-Lo_c)/Step_c)+0.00000001),193)))*INDEX($D$5:$D$205,MAX(6,MIN(INT(((Alpha_keep*$A5+F$3-Lo_c)/Step_c)+0.00000001),193))+2)),"")</f>
        <v/>
      </c>
      <c r="G5" s="16" t="str">
        <f aca="false">IF(Grid!E5=1,-Cost_k*G$3-Short_p*MAX(0,Floor_c-$A5)+Beta_q*((1-(((Alpha_keep*$A5+G$3-Lo_c)/Step_c)-MAX(6,MIN(INT(((Alpha_keep*$A5+G$3-Lo_c)/Step_c)+0.00000001),193))))*INDEX($D$5:$D$205,MAX(6,MIN(INT(((Alpha_keep*$A5+G$3-Lo_c)/Step_c)+0.00000001),193))+1)+(((Alpha_keep*$A5+G$3-Lo_c)/Step_c)-MAX(6,MIN(INT(((Alpha_keep*$A5+G$3-Lo_c)/Step_c)+0.00000001),193)))*INDEX($D$5:$D$205,MAX(6,MIN(INT(((Alpha_keep*$A5+G$3-Lo_c)/Step_c)+0.00000001),193))+2)),"")</f>
        <v/>
      </c>
      <c r="H5" s="16" t="str">
        <f aca="false">IF(Grid!F5=1,-Cost_k*H$3-Short_p*MAX(0,Floor_c-$A5)+Beta_q*((1-(((Alpha_keep*$A5+H$3-Lo_c)/Step_c)-MAX(6,MIN(INT(((Alpha_keep*$A5+H$3-Lo_c)/Step_c)+0.00000001),193))))*INDEX($D$5:$D$205,MAX(6,MIN(INT(((Alpha_keep*$A5+H$3-Lo_c)/Step_c)+0.00000001),193))+1)+(((Alpha_keep*$A5+H$3-Lo_c)/Step_c)-MAX(6,MIN(INT(((Alpha_keep*$A5+H$3-Lo_c)/Step_c)+0.00000001),193)))*INDEX($D$5:$D$205,MAX(6,MIN(INT(((Alpha_keep*$A5+H$3-Lo_c)/Step_c)+0.00000001),193))+2)),"")</f>
        <v/>
      </c>
      <c r="I5" s="16" t="str">
        <f aca="false">IF(Grid!G5=1,-Cost_k*I$3-Short_p*MAX(0,Floor_c-$A5)+Beta_q*((1-(((Alpha_keep*$A5+I$3-Lo_c)/Step_c)-MAX(6,MIN(INT(((Alpha_keep*$A5+I$3-Lo_c)/Step_c)+0.00000001),193))))*INDEX($D$5:$D$205,MAX(6,MIN(INT(((Alpha_keep*$A5+I$3-Lo_c)/Step_c)+0.00000001),193))+1)+(((Alpha_keep*$A5+I$3-Lo_c)/Step_c)-MAX(6,MIN(INT(((Alpha_keep*$A5+I$3-Lo_c)/Step_c)+0.00000001),193)))*INDEX($D$5:$D$205,MAX(6,MIN(INT(((Alpha_keep*$A5+I$3-Lo_c)/Step_c)+0.00000001),193))+2)),"")</f>
        <v/>
      </c>
      <c r="J5" s="16" t="str">
        <f aca="false">IF(Grid!H5=1,-Cost_k*J$3-Short_p*MAX(0,Floor_c-$A5)+Beta_q*((1-(((Alpha_keep*$A5+J$3-Lo_c)/Step_c)-MAX(6,MIN(INT(((Alpha_keep*$A5+J$3-Lo_c)/Step_c)+0.00000001),193))))*INDEX($D$5:$D$205,MAX(6,MIN(INT(((Alpha_keep*$A5+J$3-Lo_c)/Step_c)+0.00000001),193))+1)+(((Alpha_keep*$A5+J$3-Lo_c)/Step_c)-MAX(6,MIN(INT(((Alpha_keep*$A5+J$3-Lo_c)/Step_c)+0.00000001),193)))*INDEX($D$5:$D$205,MAX(6,MIN(INT(((Alpha_keep*$A5+J$3-Lo_c)/Step_c)+0.00000001),193))+2)),"")</f>
        <v/>
      </c>
      <c r="K5" s="16" t="str">
        <f aca="false">IF(Grid!I5=1,-Cost_k*K$3-Short_p*MAX(0,Floor_c-$A5)+Beta_q*((1-(((Alpha_keep*$A5+K$3-Lo_c)/Step_c)-MAX(6,MIN(INT(((Alpha_keep*$A5+K$3-Lo_c)/Step_c)+0.00000001),193))))*INDEX($D$5:$D$205,MAX(6,MIN(INT(((Alpha_keep*$A5+K$3-Lo_c)/Step_c)+0.00000001),193))+1)+(((Alpha_keep*$A5+K$3-Lo_c)/Step_c)-MAX(6,MIN(INT(((Alpha_keep*$A5+K$3-Lo_c)/Step_c)+0.00000001),193)))*INDEX($D$5:$D$205,MAX(6,MIN(INT(((Alpha_keep*$A5+K$3-Lo_c)/Step_c)+0.00000001),193))+2)),"")</f>
        <v/>
      </c>
      <c r="L5" s="16" t="str">
        <f aca="false">IF(Grid!J5=1,-Cost_k*L$3-Short_p*MAX(0,Floor_c-$A5)+Beta_q*((1-(((Alpha_keep*$A5+L$3-Lo_c)/Step_c)-MAX(6,MIN(INT(((Alpha_keep*$A5+L$3-Lo_c)/Step_c)+0.00000001),193))))*INDEX($D$5:$D$205,MAX(6,MIN(INT(((Alpha_keep*$A5+L$3-Lo_c)/Step_c)+0.00000001),193))+1)+(((Alpha_keep*$A5+L$3-Lo_c)/Step_c)-MAX(6,MIN(INT(((Alpha_keep*$A5+L$3-Lo_c)/Step_c)+0.00000001),193)))*INDEX($D$5:$D$205,MAX(6,MIN(INT(((Alpha_keep*$A5+L$3-Lo_c)/Step_c)+0.00000001),193))+2)),"")</f>
        <v/>
      </c>
      <c r="M5" s="16" t="str">
        <f aca="false">IF(Grid!K5=1,-Cost_k*M$3-Short_p*MAX(0,Floor_c-$A5)+Beta_q*((1-(((Alpha_keep*$A5+M$3-Lo_c)/Step_c)-MAX(6,MIN(INT(((Alpha_keep*$A5+M$3-Lo_c)/Step_c)+0.00000001),193))))*INDEX($D$5:$D$205,MAX(6,MIN(INT(((Alpha_keep*$A5+M$3-Lo_c)/Step_c)+0.00000001),193))+1)+(((Alpha_keep*$A5+M$3-Lo_c)/Step_c)-MAX(6,MIN(INT(((Alpha_keep*$A5+M$3-Lo_c)/Step_c)+0.00000001),193)))*INDEX($D$5:$D$205,MAX(6,MIN(INT(((Alpha_keep*$A5+M$3-Lo_c)/Step_c)+0.00000001),193))+2)),"")</f>
        <v/>
      </c>
      <c r="N5" s="16" t="n">
        <f aca="false">IF(Grid!L5=1,-Cost_k*N$3-Short_p*MAX(0,Floor_c-$A5)+Beta_q*((1-(((Alpha_keep*$A5+N$3-Lo_c)/Step_c)-MAX(6,MIN(INT(((Alpha_keep*$A5+N$3-Lo_c)/Step_c)+0.00000001),193))))*INDEX($D$5:$D$205,MAX(6,MIN(INT(((Alpha_keep*$A5+N$3-Lo_c)/Step_c)+0.00000001),193))+1)+(((Alpha_keep*$A5+N$3-Lo_c)/Step_c)-MAX(6,MIN(INT(((Alpha_keep*$A5+N$3-Lo_c)/Step_c)+0.00000001),193)))*INDEX($D$5:$D$205,MAX(6,MIN(INT(((Alpha_keep*$A5+N$3-Lo_c)/Step_c)+0.00000001),193))+2)),"")</f>
        <v>-615.570773850468</v>
      </c>
      <c r="O5" s="16" t="n">
        <f aca="false">IF(Grid!M5=1,-Cost_k*O$3-Short_p*MAX(0,Floor_c-$A5)+Beta_q*((1-(((Alpha_keep*$A5+O$3-Lo_c)/Step_c)-MAX(6,MIN(INT(((Alpha_keep*$A5+O$3-Lo_c)/Step_c)+0.00000001),193))))*INDEX($D$5:$D$205,MAX(6,MIN(INT(((Alpha_keep*$A5+O$3-Lo_c)/Step_c)+0.00000001),193))+1)+(((Alpha_keep*$A5+O$3-Lo_c)/Step_c)-MAX(6,MIN(INT(((Alpha_keep*$A5+O$3-Lo_c)/Step_c)+0.00000001),193)))*INDEX($D$5:$D$205,MAX(6,MIN(INT(((Alpha_keep*$A5+O$3-Lo_c)/Step_c)+0.00000001),193))+2)),"")</f>
        <v>-611.538723272361</v>
      </c>
      <c r="P5" s="11" t="n">
        <f aca="false">MAX(E5:O5)</f>
        <v>-611.538723272361</v>
      </c>
      <c r="Q5" s="12" t="n">
        <f aca="false">INDEX($E$3:$O$3,MATCH(P5,E5:O5,0))</f>
        <v>2.5</v>
      </c>
      <c r="R5" s="20" t="n">
        <v>2.5</v>
      </c>
      <c r="S5" s="14" t="n">
        <f aca="false">IF(ABS(Q5-R5)&lt;0.000000001,1,0)</f>
        <v>1</v>
      </c>
      <c r="T5" s="21" t="n">
        <f aca="false">ABS(P5-B5)</f>
        <v>0</v>
      </c>
      <c r="U5" s="16" t="n">
        <f aca="false">Alpha_keep*A5+Q5</f>
        <v>31.75</v>
      </c>
      <c r="V5" s="14" t="n">
        <f aca="false">INDEX(GuardBlock,1,ROUND(Q5/Step_h,0)+1)</f>
        <v>1</v>
      </c>
      <c r="W5" s="22" t="n">
        <v>0</v>
      </c>
      <c r="Z5" s="2" t="s">
        <v>158</v>
      </c>
      <c r="AA5" s="16" t="n">
        <f aca="false">AA4-Ch7_cost</f>
        <v>0.423398495899562</v>
      </c>
      <c r="AB5" s="10" t="s">
        <v>159</v>
      </c>
    </row>
    <row r="6" customFormat="false" ht="15" hidden="false" customHeight="false" outlineLevel="0" collapsed="false">
      <c r="A6" s="18" t="n">
        <f aca="false">Grid!A6</f>
        <v>30.25</v>
      </c>
      <c r="B6" s="19" t="n">
        <v>-606.253977187549</v>
      </c>
      <c r="C6" s="14" t="n">
        <v>1</v>
      </c>
      <c r="D6" s="11" t="str">
        <f aca="false">IF(AND($C6&gt;=6,$C6&lt;=194),Declarations!$B$25*INDEX($B$5:$B$205,$C6+1-Declarations!$E$25)+Declarations!$B$26*INDEX($B$5:$B$205,$C6+1-Declarations!$E$26)+Declarations!$B$27*INDEX($B$5:$B$205,$C6+1-Declarations!$E$27)+Declarations!$B$28*INDEX($B$5:$B$205,$C6+1-Declarations!$E$28)+Declarations!$B$29*INDEX($B$5:$B$205,$C6+1-Declarations!$E$29),"")</f>
        <v/>
      </c>
      <c r="E6" s="16" t="str">
        <f aca="false">IF(Grid!C6=1,-Cost_k*E$3-Short_p*MAX(0,Floor_c-$A6)+Beta_q*((1-(((Alpha_keep*$A6+E$3-Lo_c)/Step_c)-MAX(6,MIN(INT(((Alpha_keep*$A6+E$3-Lo_c)/Step_c)+0.00000001),193))))*INDEX($D$5:$D$205,MAX(6,MIN(INT(((Alpha_keep*$A6+E$3-Lo_c)/Step_c)+0.00000001),193))+1)+(((Alpha_keep*$A6+E$3-Lo_c)/Step_c)-MAX(6,MIN(INT(((Alpha_keep*$A6+E$3-Lo_c)/Step_c)+0.00000001),193)))*INDEX($D$5:$D$205,MAX(6,MIN(INT(((Alpha_keep*$A6+E$3-Lo_c)/Step_c)+0.00000001),193))+2)),"")</f>
        <v/>
      </c>
      <c r="F6" s="16" t="str">
        <f aca="false">IF(Grid!D6=1,-Cost_k*F$3-Short_p*MAX(0,Floor_c-$A6)+Beta_q*((1-(((Alpha_keep*$A6+F$3-Lo_c)/Step_c)-MAX(6,MIN(INT(((Alpha_keep*$A6+F$3-Lo_c)/Step_c)+0.00000001),193))))*INDEX($D$5:$D$205,MAX(6,MIN(INT(((Alpha_keep*$A6+F$3-Lo_c)/Step_c)+0.00000001),193))+1)+(((Alpha_keep*$A6+F$3-Lo_c)/Step_c)-MAX(6,MIN(INT(((Alpha_keep*$A6+F$3-Lo_c)/Step_c)+0.00000001),193)))*INDEX($D$5:$D$205,MAX(6,MIN(INT(((Alpha_keep*$A6+F$3-Lo_c)/Step_c)+0.00000001),193))+2)),"")</f>
        <v/>
      </c>
      <c r="G6" s="16" t="str">
        <f aca="false">IF(Grid!E6=1,-Cost_k*G$3-Short_p*MAX(0,Floor_c-$A6)+Beta_q*((1-(((Alpha_keep*$A6+G$3-Lo_c)/Step_c)-MAX(6,MIN(INT(((Alpha_keep*$A6+G$3-Lo_c)/Step_c)+0.00000001),193))))*INDEX($D$5:$D$205,MAX(6,MIN(INT(((Alpha_keep*$A6+G$3-Lo_c)/Step_c)+0.00000001),193))+1)+(((Alpha_keep*$A6+G$3-Lo_c)/Step_c)-MAX(6,MIN(INT(((Alpha_keep*$A6+G$3-Lo_c)/Step_c)+0.00000001),193)))*INDEX($D$5:$D$205,MAX(6,MIN(INT(((Alpha_keep*$A6+G$3-Lo_c)/Step_c)+0.00000001),193))+2)),"")</f>
        <v/>
      </c>
      <c r="H6" s="16" t="str">
        <f aca="false">IF(Grid!F6=1,-Cost_k*H$3-Short_p*MAX(0,Floor_c-$A6)+Beta_q*((1-(((Alpha_keep*$A6+H$3-Lo_c)/Step_c)-MAX(6,MIN(INT(((Alpha_keep*$A6+H$3-Lo_c)/Step_c)+0.00000001),193))))*INDEX($D$5:$D$205,MAX(6,MIN(INT(((Alpha_keep*$A6+H$3-Lo_c)/Step_c)+0.00000001),193))+1)+(((Alpha_keep*$A6+H$3-Lo_c)/Step_c)-MAX(6,MIN(INT(((Alpha_keep*$A6+H$3-Lo_c)/Step_c)+0.00000001),193)))*INDEX($D$5:$D$205,MAX(6,MIN(INT(((Alpha_keep*$A6+H$3-Lo_c)/Step_c)+0.00000001),193))+2)),"")</f>
        <v/>
      </c>
      <c r="I6" s="16" t="str">
        <f aca="false">IF(Grid!G6=1,-Cost_k*I$3-Short_p*MAX(0,Floor_c-$A6)+Beta_q*((1-(((Alpha_keep*$A6+I$3-Lo_c)/Step_c)-MAX(6,MIN(INT(((Alpha_keep*$A6+I$3-Lo_c)/Step_c)+0.00000001),193))))*INDEX($D$5:$D$205,MAX(6,MIN(INT(((Alpha_keep*$A6+I$3-Lo_c)/Step_c)+0.00000001),193))+1)+(((Alpha_keep*$A6+I$3-Lo_c)/Step_c)-MAX(6,MIN(INT(((Alpha_keep*$A6+I$3-Lo_c)/Step_c)+0.00000001),193)))*INDEX($D$5:$D$205,MAX(6,MIN(INT(((Alpha_keep*$A6+I$3-Lo_c)/Step_c)+0.00000001),193))+2)),"")</f>
        <v/>
      </c>
      <c r="J6" s="16" t="str">
        <f aca="false">IF(Grid!H6=1,-Cost_k*J$3-Short_p*MAX(0,Floor_c-$A6)+Beta_q*((1-(((Alpha_keep*$A6+J$3-Lo_c)/Step_c)-MAX(6,MIN(INT(((Alpha_keep*$A6+J$3-Lo_c)/Step_c)+0.00000001),193))))*INDEX($D$5:$D$205,MAX(6,MIN(INT(((Alpha_keep*$A6+J$3-Lo_c)/Step_c)+0.00000001),193))+1)+(((Alpha_keep*$A6+J$3-Lo_c)/Step_c)-MAX(6,MIN(INT(((Alpha_keep*$A6+J$3-Lo_c)/Step_c)+0.00000001),193)))*INDEX($D$5:$D$205,MAX(6,MIN(INT(((Alpha_keep*$A6+J$3-Lo_c)/Step_c)+0.00000001),193))+2)),"")</f>
        <v/>
      </c>
      <c r="K6" s="16" t="str">
        <f aca="false">IF(Grid!I6=1,-Cost_k*K$3-Short_p*MAX(0,Floor_c-$A6)+Beta_q*((1-(((Alpha_keep*$A6+K$3-Lo_c)/Step_c)-MAX(6,MIN(INT(((Alpha_keep*$A6+K$3-Lo_c)/Step_c)+0.00000001),193))))*INDEX($D$5:$D$205,MAX(6,MIN(INT(((Alpha_keep*$A6+K$3-Lo_c)/Step_c)+0.00000001),193))+1)+(((Alpha_keep*$A6+K$3-Lo_c)/Step_c)-MAX(6,MIN(INT(((Alpha_keep*$A6+K$3-Lo_c)/Step_c)+0.00000001),193)))*INDEX($D$5:$D$205,MAX(6,MIN(INT(((Alpha_keep*$A6+K$3-Lo_c)/Step_c)+0.00000001),193))+2)),"")</f>
        <v/>
      </c>
      <c r="L6" s="16" t="str">
        <f aca="false">IF(Grid!J6=1,-Cost_k*L$3-Short_p*MAX(0,Floor_c-$A6)+Beta_q*((1-(((Alpha_keep*$A6+L$3-Lo_c)/Step_c)-MAX(6,MIN(INT(((Alpha_keep*$A6+L$3-Lo_c)/Step_c)+0.00000001),193))))*INDEX($D$5:$D$205,MAX(6,MIN(INT(((Alpha_keep*$A6+L$3-Lo_c)/Step_c)+0.00000001),193))+1)+(((Alpha_keep*$A6+L$3-Lo_c)/Step_c)-MAX(6,MIN(INT(((Alpha_keep*$A6+L$3-Lo_c)/Step_c)+0.00000001),193)))*INDEX($D$5:$D$205,MAX(6,MIN(INT(((Alpha_keep*$A6+L$3-Lo_c)/Step_c)+0.00000001),193))+2)),"")</f>
        <v/>
      </c>
      <c r="M6" s="16" t="str">
        <f aca="false">IF(Grid!K6=1,-Cost_k*M$3-Short_p*MAX(0,Floor_c-$A6)+Beta_q*((1-(((Alpha_keep*$A6+M$3-Lo_c)/Step_c)-MAX(6,MIN(INT(((Alpha_keep*$A6+M$3-Lo_c)/Step_c)+0.00000001),193))))*INDEX($D$5:$D$205,MAX(6,MIN(INT(((Alpha_keep*$A6+M$3-Lo_c)/Step_c)+0.00000001),193))+1)+(((Alpha_keep*$A6+M$3-Lo_c)/Step_c)-MAX(6,MIN(INT(((Alpha_keep*$A6+M$3-Lo_c)/Step_c)+0.00000001),193)))*INDEX($D$5:$D$205,MAX(6,MIN(INT(((Alpha_keep*$A6+M$3-Lo_c)/Step_c)+0.00000001),193))+2)),"")</f>
        <v/>
      </c>
      <c r="N6" s="16" t="n">
        <f aca="false">IF(Grid!L6=1,-Cost_k*N$3-Short_p*MAX(0,Floor_c-$A6)+Beta_q*((1-(((Alpha_keep*$A6+N$3-Lo_c)/Step_c)-MAX(6,MIN(INT(((Alpha_keep*$A6+N$3-Lo_c)/Step_c)+0.00000001),193))))*INDEX($D$5:$D$205,MAX(6,MIN(INT(((Alpha_keep*$A6+N$3-Lo_c)/Step_c)+0.00000001),193))+1)+(((Alpha_keep*$A6+N$3-Lo_c)/Step_c)-MAX(6,MIN(INT(((Alpha_keep*$A6+N$3-Lo_c)/Step_c)+0.00000001),193)))*INDEX($D$5:$D$205,MAX(6,MIN(INT(((Alpha_keep*$A6+N$3-Lo_c)/Step_c)+0.00000001),193))+2)),"")</f>
        <v>-610.264524536813</v>
      </c>
      <c r="O6" s="16" t="n">
        <f aca="false">IF(Grid!M6=1,-Cost_k*O$3-Short_p*MAX(0,Floor_c-$A6)+Beta_q*((1-(((Alpha_keep*$A6+O$3-Lo_c)/Step_c)-MAX(6,MIN(INT(((Alpha_keep*$A6+O$3-Lo_c)/Step_c)+0.00000001),193))))*INDEX($D$5:$D$205,MAX(6,MIN(INT(((Alpha_keep*$A6+O$3-Lo_c)/Step_c)+0.00000001),193))+1)+(((Alpha_keep*$A6+O$3-Lo_c)/Step_c)-MAX(6,MIN(INT(((Alpha_keep*$A6+O$3-Lo_c)/Step_c)+0.00000001),193)))*INDEX($D$5:$D$205,MAX(6,MIN(INT(((Alpha_keep*$A6+O$3-Lo_c)/Step_c)+0.00000001),193))+2)),"")</f>
        <v>-606.253977187549</v>
      </c>
      <c r="P6" s="11" t="n">
        <f aca="false">MAX(E6:O6)</f>
        <v>-606.253977187549</v>
      </c>
      <c r="Q6" s="12" t="n">
        <f aca="false">INDEX($E$3:$O$3,MATCH(P6,E6:O6,0))</f>
        <v>2.5</v>
      </c>
      <c r="R6" s="20" t="n">
        <v>2.5</v>
      </c>
      <c r="S6" s="14" t="n">
        <f aca="false">IF(ABS(Q6-R6)&lt;0.000000001,1,0)</f>
        <v>1</v>
      </c>
      <c r="T6" s="21" t="n">
        <f aca="false">ABS(P6-B6)</f>
        <v>0</v>
      </c>
      <c r="U6" s="16" t="n">
        <f aca="false">Alpha_keep*A6+Q6</f>
        <v>31.99375</v>
      </c>
      <c r="V6" s="14" t="n">
        <f aca="false">INDEX(GuardBlock,2,ROUND(Q6/Step_h,0)+1)</f>
        <v>1</v>
      </c>
      <c r="W6" s="22" t="n">
        <v>0</v>
      </c>
      <c r="Z6" s="2" t="s">
        <v>160</v>
      </c>
      <c r="AA6" s="21" t="n">
        <f aca="false">MAX(T5:T205)</f>
        <v>0</v>
      </c>
      <c r="AB6" s="10" t="s">
        <v>161</v>
      </c>
    </row>
    <row r="7" customFormat="false" ht="15" hidden="false" customHeight="false" outlineLevel="0" collapsed="false">
      <c r="A7" s="18" t="n">
        <f aca="false">Grid!A7</f>
        <v>30.5</v>
      </c>
      <c r="B7" s="19" t="n">
        <v>-600.990424697448</v>
      </c>
      <c r="C7" s="14" t="n">
        <v>2</v>
      </c>
      <c r="D7" s="11" t="str">
        <f aca="false">IF(AND($C7&gt;=6,$C7&lt;=194),Declarations!$B$25*INDEX($B$5:$B$205,$C7+1-Declarations!$E$25)+Declarations!$B$26*INDEX($B$5:$B$205,$C7+1-Declarations!$E$26)+Declarations!$B$27*INDEX($B$5:$B$205,$C7+1-Declarations!$E$27)+Declarations!$B$28*INDEX($B$5:$B$205,$C7+1-Declarations!$E$28)+Declarations!$B$29*INDEX($B$5:$B$205,$C7+1-Declarations!$E$29),"")</f>
        <v/>
      </c>
      <c r="E7" s="16" t="str">
        <f aca="false">IF(Grid!C7=1,-Cost_k*E$3-Short_p*MAX(0,Floor_c-$A7)+Beta_q*((1-(((Alpha_keep*$A7+E$3-Lo_c)/Step_c)-MAX(6,MIN(INT(((Alpha_keep*$A7+E$3-Lo_c)/Step_c)+0.00000001),193))))*INDEX($D$5:$D$205,MAX(6,MIN(INT(((Alpha_keep*$A7+E$3-Lo_c)/Step_c)+0.00000001),193))+1)+(((Alpha_keep*$A7+E$3-Lo_c)/Step_c)-MAX(6,MIN(INT(((Alpha_keep*$A7+E$3-Lo_c)/Step_c)+0.00000001),193)))*INDEX($D$5:$D$205,MAX(6,MIN(INT(((Alpha_keep*$A7+E$3-Lo_c)/Step_c)+0.00000001),193))+2)),"")</f>
        <v/>
      </c>
      <c r="F7" s="16" t="str">
        <f aca="false">IF(Grid!D7=1,-Cost_k*F$3-Short_p*MAX(0,Floor_c-$A7)+Beta_q*((1-(((Alpha_keep*$A7+F$3-Lo_c)/Step_c)-MAX(6,MIN(INT(((Alpha_keep*$A7+F$3-Lo_c)/Step_c)+0.00000001),193))))*INDEX($D$5:$D$205,MAX(6,MIN(INT(((Alpha_keep*$A7+F$3-Lo_c)/Step_c)+0.00000001),193))+1)+(((Alpha_keep*$A7+F$3-Lo_c)/Step_c)-MAX(6,MIN(INT(((Alpha_keep*$A7+F$3-Lo_c)/Step_c)+0.00000001),193)))*INDEX($D$5:$D$205,MAX(6,MIN(INT(((Alpha_keep*$A7+F$3-Lo_c)/Step_c)+0.00000001),193))+2)),"")</f>
        <v/>
      </c>
      <c r="G7" s="16" t="str">
        <f aca="false">IF(Grid!E7=1,-Cost_k*G$3-Short_p*MAX(0,Floor_c-$A7)+Beta_q*((1-(((Alpha_keep*$A7+G$3-Lo_c)/Step_c)-MAX(6,MIN(INT(((Alpha_keep*$A7+G$3-Lo_c)/Step_c)+0.00000001),193))))*INDEX($D$5:$D$205,MAX(6,MIN(INT(((Alpha_keep*$A7+G$3-Lo_c)/Step_c)+0.00000001),193))+1)+(((Alpha_keep*$A7+G$3-Lo_c)/Step_c)-MAX(6,MIN(INT(((Alpha_keep*$A7+G$3-Lo_c)/Step_c)+0.00000001),193)))*INDEX($D$5:$D$205,MAX(6,MIN(INT(((Alpha_keep*$A7+G$3-Lo_c)/Step_c)+0.00000001),193))+2)),"")</f>
        <v/>
      </c>
      <c r="H7" s="16" t="str">
        <f aca="false">IF(Grid!F7=1,-Cost_k*H$3-Short_p*MAX(0,Floor_c-$A7)+Beta_q*((1-(((Alpha_keep*$A7+H$3-Lo_c)/Step_c)-MAX(6,MIN(INT(((Alpha_keep*$A7+H$3-Lo_c)/Step_c)+0.00000001),193))))*INDEX($D$5:$D$205,MAX(6,MIN(INT(((Alpha_keep*$A7+H$3-Lo_c)/Step_c)+0.00000001),193))+1)+(((Alpha_keep*$A7+H$3-Lo_c)/Step_c)-MAX(6,MIN(INT(((Alpha_keep*$A7+H$3-Lo_c)/Step_c)+0.00000001),193)))*INDEX($D$5:$D$205,MAX(6,MIN(INT(((Alpha_keep*$A7+H$3-Lo_c)/Step_c)+0.00000001),193))+2)),"")</f>
        <v/>
      </c>
      <c r="I7" s="16" t="str">
        <f aca="false">IF(Grid!G7=1,-Cost_k*I$3-Short_p*MAX(0,Floor_c-$A7)+Beta_q*((1-(((Alpha_keep*$A7+I$3-Lo_c)/Step_c)-MAX(6,MIN(INT(((Alpha_keep*$A7+I$3-Lo_c)/Step_c)+0.00000001),193))))*INDEX($D$5:$D$205,MAX(6,MIN(INT(((Alpha_keep*$A7+I$3-Lo_c)/Step_c)+0.00000001),193))+1)+(((Alpha_keep*$A7+I$3-Lo_c)/Step_c)-MAX(6,MIN(INT(((Alpha_keep*$A7+I$3-Lo_c)/Step_c)+0.00000001),193)))*INDEX($D$5:$D$205,MAX(6,MIN(INT(((Alpha_keep*$A7+I$3-Lo_c)/Step_c)+0.00000001),193))+2)),"")</f>
        <v/>
      </c>
      <c r="J7" s="16" t="str">
        <f aca="false">IF(Grid!H7=1,-Cost_k*J$3-Short_p*MAX(0,Floor_c-$A7)+Beta_q*((1-(((Alpha_keep*$A7+J$3-Lo_c)/Step_c)-MAX(6,MIN(INT(((Alpha_keep*$A7+J$3-Lo_c)/Step_c)+0.00000001),193))))*INDEX($D$5:$D$205,MAX(6,MIN(INT(((Alpha_keep*$A7+J$3-Lo_c)/Step_c)+0.00000001),193))+1)+(((Alpha_keep*$A7+J$3-Lo_c)/Step_c)-MAX(6,MIN(INT(((Alpha_keep*$A7+J$3-Lo_c)/Step_c)+0.00000001),193)))*INDEX($D$5:$D$205,MAX(6,MIN(INT(((Alpha_keep*$A7+J$3-Lo_c)/Step_c)+0.00000001),193))+2)),"")</f>
        <v/>
      </c>
      <c r="K7" s="16" t="str">
        <f aca="false">IF(Grid!I7=1,-Cost_k*K$3-Short_p*MAX(0,Floor_c-$A7)+Beta_q*((1-(((Alpha_keep*$A7+K$3-Lo_c)/Step_c)-MAX(6,MIN(INT(((Alpha_keep*$A7+K$3-Lo_c)/Step_c)+0.00000001),193))))*INDEX($D$5:$D$205,MAX(6,MIN(INT(((Alpha_keep*$A7+K$3-Lo_c)/Step_c)+0.00000001),193))+1)+(((Alpha_keep*$A7+K$3-Lo_c)/Step_c)-MAX(6,MIN(INT(((Alpha_keep*$A7+K$3-Lo_c)/Step_c)+0.00000001),193)))*INDEX($D$5:$D$205,MAX(6,MIN(INT(((Alpha_keep*$A7+K$3-Lo_c)/Step_c)+0.00000001),193))+2)),"")</f>
        <v/>
      </c>
      <c r="L7" s="16" t="str">
        <f aca="false">IF(Grid!J7=1,-Cost_k*L$3-Short_p*MAX(0,Floor_c-$A7)+Beta_q*((1-(((Alpha_keep*$A7+L$3-Lo_c)/Step_c)-MAX(6,MIN(INT(((Alpha_keep*$A7+L$3-Lo_c)/Step_c)+0.00000001),193))))*INDEX($D$5:$D$205,MAX(6,MIN(INT(((Alpha_keep*$A7+L$3-Lo_c)/Step_c)+0.00000001),193))+1)+(((Alpha_keep*$A7+L$3-Lo_c)/Step_c)-MAX(6,MIN(INT(((Alpha_keep*$A7+L$3-Lo_c)/Step_c)+0.00000001),193)))*INDEX($D$5:$D$205,MAX(6,MIN(INT(((Alpha_keep*$A7+L$3-Lo_c)/Step_c)+0.00000001),193))+2)),"")</f>
        <v/>
      </c>
      <c r="M7" s="16" t="n">
        <f aca="false">IF(Grid!K7=1,-Cost_k*M$3-Short_p*MAX(0,Floor_c-$A7)+Beta_q*((1-(((Alpha_keep*$A7+M$3-Lo_c)/Step_c)-MAX(6,MIN(INT(((Alpha_keep*$A7+M$3-Lo_c)/Step_c)+0.00000001),193))))*INDEX($D$5:$D$205,MAX(6,MIN(INT(((Alpha_keep*$A7+M$3-Lo_c)/Step_c)+0.00000001),193))+1)+(((Alpha_keep*$A7+M$3-Lo_c)/Step_c)-MAX(6,MIN(INT(((Alpha_keep*$A7+M$3-Lo_c)/Step_c)+0.00000001),193)))*INDEX($D$5:$D$205,MAX(6,MIN(INT(((Alpha_keep*$A7+M$3-Lo_c)/Step_c)+0.00000001),193))+2)),"")</f>
        <v>-608.990325801266</v>
      </c>
      <c r="N7" s="16" t="n">
        <f aca="false">IF(Grid!L7=1,-Cost_k*N$3-Short_p*MAX(0,Floor_c-$A7)+Beta_q*((1-(((Alpha_keep*$A7+N$3-Lo_c)/Step_c)-MAX(6,MIN(INT(((Alpha_keep*$A7+N$3-Lo_c)/Step_c)+0.00000001),193))))*INDEX($D$5:$D$205,MAX(6,MIN(INT(((Alpha_keep*$A7+N$3-Lo_c)/Step_c)+0.00000001),193))+1)+(((Alpha_keep*$A7+N$3-Lo_c)/Step_c)-MAX(6,MIN(INT(((Alpha_keep*$A7+N$3-Lo_c)/Step_c)+0.00000001),193)))*INDEX($D$5:$D$205,MAX(6,MIN(INT(((Alpha_keep*$A7+N$3-Lo_c)/Step_c)+0.00000001),193))+2)),"")</f>
        <v>-604.97922708716</v>
      </c>
      <c r="O7" s="16" t="n">
        <f aca="false">IF(Grid!M7=1,-Cost_k*O$3-Short_p*MAX(0,Floor_c-$A7)+Beta_q*((1-(((Alpha_keep*$A7+O$3-Lo_c)/Step_c)-MAX(6,MIN(INT(((Alpha_keep*$A7+O$3-Lo_c)/Step_c)+0.00000001),193))))*INDEX($D$5:$D$205,MAX(6,MIN(INT(((Alpha_keep*$A7+O$3-Lo_c)/Step_c)+0.00000001),193))+1)+(((Alpha_keep*$A7+O$3-Lo_c)/Step_c)-MAX(6,MIN(INT(((Alpha_keep*$A7+O$3-Lo_c)/Step_c)+0.00000001),193)))*INDEX($D$5:$D$205,MAX(6,MIN(INT(((Alpha_keep*$A7+O$3-Lo_c)/Step_c)+0.00000001),193))+2)),"")</f>
        <v>-600.990424697448</v>
      </c>
      <c r="P7" s="11" t="n">
        <f aca="false">MAX(E7:O7)</f>
        <v>-600.990424697448</v>
      </c>
      <c r="Q7" s="12" t="n">
        <f aca="false">INDEX($E$3:$O$3,MATCH(P7,E7:O7,0))</f>
        <v>2.5</v>
      </c>
      <c r="R7" s="20" t="n">
        <v>2.5</v>
      </c>
      <c r="S7" s="14" t="n">
        <f aca="false">IF(ABS(Q7-R7)&lt;0.000000001,1,0)</f>
        <v>1</v>
      </c>
      <c r="T7" s="21" t="n">
        <f aca="false">ABS(P7-B7)</f>
        <v>0</v>
      </c>
      <c r="U7" s="16" t="n">
        <f aca="false">Alpha_keep*A7+Q7</f>
        <v>32.2375</v>
      </c>
      <c r="V7" s="14" t="n">
        <f aca="false">INDEX(GuardBlock,3,ROUND(Q7/Step_h,0)+1)</f>
        <v>1</v>
      </c>
      <c r="W7" s="22" t="n">
        <v>0</v>
      </c>
      <c r="Z7" s="2" t="s">
        <v>162</v>
      </c>
      <c r="AA7" s="14" t="n">
        <f aca="false">SUM(S5:S205)</f>
        <v>201</v>
      </c>
      <c r="AB7" s="10" t="s">
        <v>42</v>
      </c>
    </row>
    <row r="8" customFormat="false" ht="15" hidden="false" customHeight="false" outlineLevel="0" collapsed="false">
      <c r="A8" s="18" t="n">
        <f aca="false">Grid!A8</f>
        <v>30.75</v>
      </c>
      <c r="B8" s="19" t="n">
        <v>-595.748262691155</v>
      </c>
      <c r="C8" s="14" t="n">
        <v>3</v>
      </c>
      <c r="D8" s="11" t="str">
        <f aca="false">IF(AND($C8&gt;=6,$C8&lt;=194),Declarations!$B$25*INDEX($B$5:$B$205,$C8+1-Declarations!$E$25)+Declarations!$B$26*INDEX($B$5:$B$205,$C8+1-Declarations!$E$26)+Declarations!$B$27*INDEX($B$5:$B$205,$C8+1-Declarations!$E$27)+Declarations!$B$28*INDEX($B$5:$B$205,$C8+1-Declarations!$E$28)+Declarations!$B$29*INDEX($B$5:$B$205,$C8+1-Declarations!$E$29),"")</f>
        <v/>
      </c>
      <c r="E8" s="16" t="str">
        <f aca="false">IF(Grid!C8=1,-Cost_k*E$3-Short_p*MAX(0,Floor_c-$A8)+Beta_q*((1-(((Alpha_keep*$A8+E$3-Lo_c)/Step_c)-MAX(6,MIN(INT(((Alpha_keep*$A8+E$3-Lo_c)/Step_c)+0.00000001),193))))*INDEX($D$5:$D$205,MAX(6,MIN(INT(((Alpha_keep*$A8+E$3-Lo_c)/Step_c)+0.00000001),193))+1)+(((Alpha_keep*$A8+E$3-Lo_c)/Step_c)-MAX(6,MIN(INT(((Alpha_keep*$A8+E$3-Lo_c)/Step_c)+0.00000001),193)))*INDEX($D$5:$D$205,MAX(6,MIN(INT(((Alpha_keep*$A8+E$3-Lo_c)/Step_c)+0.00000001),193))+2)),"")</f>
        <v/>
      </c>
      <c r="F8" s="16" t="str">
        <f aca="false">IF(Grid!D8=1,-Cost_k*F$3-Short_p*MAX(0,Floor_c-$A8)+Beta_q*((1-(((Alpha_keep*$A8+F$3-Lo_c)/Step_c)-MAX(6,MIN(INT(((Alpha_keep*$A8+F$3-Lo_c)/Step_c)+0.00000001),193))))*INDEX($D$5:$D$205,MAX(6,MIN(INT(((Alpha_keep*$A8+F$3-Lo_c)/Step_c)+0.00000001),193))+1)+(((Alpha_keep*$A8+F$3-Lo_c)/Step_c)-MAX(6,MIN(INT(((Alpha_keep*$A8+F$3-Lo_c)/Step_c)+0.00000001),193)))*INDEX($D$5:$D$205,MAX(6,MIN(INT(((Alpha_keep*$A8+F$3-Lo_c)/Step_c)+0.00000001),193))+2)),"")</f>
        <v/>
      </c>
      <c r="G8" s="16" t="str">
        <f aca="false">IF(Grid!E8=1,-Cost_k*G$3-Short_p*MAX(0,Floor_c-$A8)+Beta_q*((1-(((Alpha_keep*$A8+G$3-Lo_c)/Step_c)-MAX(6,MIN(INT(((Alpha_keep*$A8+G$3-Lo_c)/Step_c)+0.00000001),193))))*INDEX($D$5:$D$205,MAX(6,MIN(INT(((Alpha_keep*$A8+G$3-Lo_c)/Step_c)+0.00000001),193))+1)+(((Alpha_keep*$A8+G$3-Lo_c)/Step_c)-MAX(6,MIN(INT(((Alpha_keep*$A8+G$3-Lo_c)/Step_c)+0.00000001),193)))*INDEX($D$5:$D$205,MAX(6,MIN(INT(((Alpha_keep*$A8+G$3-Lo_c)/Step_c)+0.00000001),193))+2)),"")</f>
        <v/>
      </c>
      <c r="H8" s="16" t="str">
        <f aca="false">IF(Grid!F8=1,-Cost_k*H$3-Short_p*MAX(0,Floor_c-$A8)+Beta_q*((1-(((Alpha_keep*$A8+H$3-Lo_c)/Step_c)-MAX(6,MIN(INT(((Alpha_keep*$A8+H$3-Lo_c)/Step_c)+0.00000001),193))))*INDEX($D$5:$D$205,MAX(6,MIN(INT(((Alpha_keep*$A8+H$3-Lo_c)/Step_c)+0.00000001),193))+1)+(((Alpha_keep*$A8+H$3-Lo_c)/Step_c)-MAX(6,MIN(INT(((Alpha_keep*$A8+H$3-Lo_c)/Step_c)+0.00000001),193)))*INDEX($D$5:$D$205,MAX(6,MIN(INT(((Alpha_keep*$A8+H$3-Lo_c)/Step_c)+0.00000001),193))+2)),"")</f>
        <v/>
      </c>
      <c r="I8" s="16" t="str">
        <f aca="false">IF(Grid!G8=1,-Cost_k*I$3-Short_p*MAX(0,Floor_c-$A8)+Beta_q*((1-(((Alpha_keep*$A8+I$3-Lo_c)/Step_c)-MAX(6,MIN(INT(((Alpha_keep*$A8+I$3-Lo_c)/Step_c)+0.00000001),193))))*INDEX($D$5:$D$205,MAX(6,MIN(INT(((Alpha_keep*$A8+I$3-Lo_c)/Step_c)+0.00000001),193))+1)+(((Alpha_keep*$A8+I$3-Lo_c)/Step_c)-MAX(6,MIN(INT(((Alpha_keep*$A8+I$3-Lo_c)/Step_c)+0.00000001),193)))*INDEX($D$5:$D$205,MAX(6,MIN(INT(((Alpha_keep*$A8+I$3-Lo_c)/Step_c)+0.00000001),193))+2)),"")</f>
        <v/>
      </c>
      <c r="J8" s="16" t="str">
        <f aca="false">IF(Grid!H8=1,-Cost_k*J$3-Short_p*MAX(0,Floor_c-$A8)+Beta_q*((1-(((Alpha_keep*$A8+J$3-Lo_c)/Step_c)-MAX(6,MIN(INT(((Alpha_keep*$A8+J$3-Lo_c)/Step_c)+0.00000001),193))))*INDEX($D$5:$D$205,MAX(6,MIN(INT(((Alpha_keep*$A8+J$3-Lo_c)/Step_c)+0.00000001),193))+1)+(((Alpha_keep*$A8+J$3-Lo_c)/Step_c)-MAX(6,MIN(INT(((Alpha_keep*$A8+J$3-Lo_c)/Step_c)+0.00000001),193)))*INDEX($D$5:$D$205,MAX(6,MIN(INT(((Alpha_keep*$A8+J$3-Lo_c)/Step_c)+0.00000001),193))+2)),"")</f>
        <v/>
      </c>
      <c r="K8" s="16" t="str">
        <f aca="false">IF(Grid!I8=1,-Cost_k*K$3-Short_p*MAX(0,Floor_c-$A8)+Beta_q*((1-(((Alpha_keep*$A8+K$3-Lo_c)/Step_c)-MAX(6,MIN(INT(((Alpha_keep*$A8+K$3-Lo_c)/Step_c)+0.00000001),193))))*INDEX($D$5:$D$205,MAX(6,MIN(INT(((Alpha_keep*$A8+K$3-Lo_c)/Step_c)+0.00000001),193))+1)+(((Alpha_keep*$A8+K$3-Lo_c)/Step_c)-MAX(6,MIN(INT(((Alpha_keep*$A8+K$3-Lo_c)/Step_c)+0.00000001),193)))*INDEX($D$5:$D$205,MAX(6,MIN(INT(((Alpha_keep*$A8+K$3-Lo_c)/Step_c)+0.00000001),193))+2)),"")</f>
        <v/>
      </c>
      <c r="L8" s="16" t="n">
        <f aca="false">IF(Grid!J8=1,-Cost_k*L$3-Short_p*MAX(0,Floor_c-$A8)+Beta_q*((1-(((Alpha_keep*$A8+L$3-Lo_c)/Step_c)-MAX(6,MIN(INT(((Alpha_keep*$A8+L$3-Lo_c)/Step_c)+0.00000001),193))))*INDEX($D$5:$D$205,MAX(6,MIN(INT(((Alpha_keep*$A8+L$3-Lo_c)/Step_c)+0.00000001),193))+1)+(((Alpha_keep*$A8+L$3-Lo_c)/Step_c)-MAX(6,MIN(INT(((Alpha_keep*$A8+L$3-Lo_c)/Step_c)+0.00000001),193)))*INDEX($D$5:$D$205,MAX(6,MIN(INT(((Alpha_keep*$A8+L$3-Lo_c)/Step_c)+0.00000001),193))+2)),"")</f>
        <v>-607.716127065719</v>
      </c>
      <c r="M8" s="16" t="n">
        <f aca="false">IF(Grid!K8=1,-Cost_k*M$3-Short_p*MAX(0,Floor_c-$A8)+Beta_q*((1-(((Alpha_keep*$A8+M$3-Lo_c)/Step_c)-MAX(6,MIN(INT(((Alpha_keep*$A8+M$3-Lo_c)/Step_c)+0.00000001),193))))*INDEX($D$5:$D$205,MAX(6,MIN(INT(((Alpha_keep*$A8+M$3-Lo_c)/Step_c)+0.00000001),193))+1)+(((Alpha_keep*$A8+M$3-Lo_c)/Step_c)-MAX(6,MIN(INT(((Alpha_keep*$A8+M$3-Lo_c)/Step_c)+0.00000001),193)))*INDEX($D$5:$D$205,MAX(6,MIN(INT(((Alpha_keep*$A8+M$3-Lo_c)/Step_c)+0.00000001),193))+2)),"")</f>
        <v>-603.70447698677</v>
      </c>
      <c r="N8" s="16" t="n">
        <f aca="false">IF(Grid!L8=1,-Cost_k*N$3-Short_p*MAX(0,Floor_c-$A8)+Beta_q*((1-(((Alpha_keep*$A8+N$3-Lo_c)/Step_c)-MAX(6,MIN(INT(((Alpha_keep*$A8+N$3-Lo_c)/Step_c)+0.00000001),193))))*INDEX($D$5:$D$205,MAX(6,MIN(INT(((Alpha_keep*$A8+N$3-Lo_c)/Step_c)+0.00000001),193))+1)+(((Alpha_keep*$A8+N$3-Lo_c)/Step_c)-MAX(6,MIN(INT(((Alpha_keep*$A8+N$3-Lo_c)/Step_c)+0.00000001),193)))*INDEX($D$5:$D$205,MAX(6,MIN(INT(((Alpha_keep*$A8+N$3-Lo_c)/Step_c)+0.00000001),193))+2)),"")</f>
        <v>-599.715116870882</v>
      </c>
      <c r="O8" s="16" t="n">
        <f aca="false">IF(Grid!M8=1,-Cost_k*O$3-Short_p*MAX(0,Floor_c-$A8)+Beta_q*((1-(((Alpha_keep*$A8+O$3-Lo_c)/Step_c)-MAX(6,MIN(INT(((Alpha_keep*$A8+O$3-Lo_c)/Step_c)+0.00000001),193))))*INDEX($D$5:$D$205,MAX(6,MIN(INT(((Alpha_keep*$A8+O$3-Lo_c)/Step_c)+0.00000001),193))+1)+(((Alpha_keep*$A8+O$3-Lo_c)/Step_c)-MAX(6,MIN(INT(((Alpha_keep*$A8+O$3-Lo_c)/Step_c)+0.00000001),193)))*INDEX($D$5:$D$205,MAX(6,MIN(INT(((Alpha_keep*$A8+O$3-Lo_c)/Step_c)+0.00000001),193))+2)),"")</f>
        <v>-595.748262691155</v>
      </c>
      <c r="P8" s="11" t="n">
        <f aca="false">MAX(E8:O8)</f>
        <v>-595.748262691155</v>
      </c>
      <c r="Q8" s="12" t="n">
        <f aca="false">INDEX($E$3:$O$3,MATCH(P8,E8:O8,0))</f>
        <v>2.5</v>
      </c>
      <c r="R8" s="20" t="n">
        <v>2.5</v>
      </c>
      <c r="S8" s="14" t="n">
        <f aca="false">IF(ABS(Q8-R8)&lt;0.000000001,1,0)</f>
        <v>1</v>
      </c>
      <c r="T8" s="21" t="n">
        <f aca="false">ABS(P8-B8)</f>
        <v>0</v>
      </c>
      <c r="U8" s="16" t="n">
        <f aca="false">Alpha_keep*A8+Q8</f>
        <v>32.48125</v>
      </c>
      <c r="V8" s="14" t="n">
        <f aca="false">INDEX(GuardBlock,4,ROUND(Q8/Step_h,0)+1)</f>
        <v>1</v>
      </c>
      <c r="W8" s="22" t="n">
        <v>0</v>
      </c>
      <c r="Z8" s="2" t="s">
        <v>163</v>
      </c>
      <c r="AA8" s="12" t="n">
        <f aca="false">_xlfn.MAXIFS($A$5:$A$205,Q5:Q205,Cap_h)</f>
        <v>54.75</v>
      </c>
      <c r="AB8" s="10" t="s">
        <v>164</v>
      </c>
    </row>
    <row r="9" customFormat="false" ht="15" hidden="false" customHeight="false" outlineLevel="0" collapsed="false">
      <c r="A9" s="18" t="n">
        <f aca="false">Grid!A9</f>
        <v>31</v>
      </c>
      <c r="B9" s="19" t="n">
        <v>-590.52771594223</v>
      </c>
      <c r="C9" s="14" t="n">
        <v>4</v>
      </c>
      <c r="D9" s="11" t="str">
        <f aca="false">IF(AND($C9&gt;=6,$C9&lt;=194),Declarations!$B$25*INDEX($B$5:$B$205,$C9+1-Declarations!$E$25)+Declarations!$B$26*INDEX($B$5:$B$205,$C9+1-Declarations!$E$26)+Declarations!$B$27*INDEX($B$5:$B$205,$C9+1-Declarations!$E$27)+Declarations!$B$28*INDEX($B$5:$B$205,$C9+1-Declarations!$E$28)+Declarations!$B$29*INDEX($B$5:$B$205,$C9+1-Declarations!$E$29),"")</f>
        <v/>
      </c>
      <c r="E9" s="16" t="str">
        <f aca="false">IF(Grid!C9=1,-Cost_k*E$3-Short_p*MAX(0,Floor_c-$A9)+Beta_q*((1-(((Alpha_keep*$A9+E$3-Lo_c)/Step_c)-MAX(6,MIN(INT(((Alpha_keep*$A9+E$3-Lo_c)/Step_c)+0.00000001),193))))*INDEX($D$5:$D$205,MAX(6,MIN(INT(((Alpha_keep*$A9+E$3-Lo_c)/Step_c)+0.00000001),193))+1)+(((Alpha_keep*$A9+E$3-Lo_c)/Step_c)-MAX(6,MIN(INT(((Alpha_keep*$A9+E$3-Lo_c)/Step_c)+0.00000001),193)))*INDEX($D$5:$D$205,MAX(6,MIN(INT(((Alpha_keep*$A9+E$3-Lo_c)/Step_c)+0.00000001),193))+2)),"")</f>
        <v/>
      </c>
      <c r="F9" s="16" t="str">
        <f aca="false">IF(Grid!D9=1,-Cost_k*F$3-Short_p*MAX(0,Floor_c-$A9)+Beta_q*((1-(((Alpha_keep*$A9+F$3-Lo_c)/Step_c)-MAX(6,MIN(INT(((Alpha_keep*$A9+F$3-Lo_c)/Step_c)+0.00000001),193))))*INDEX($D$5:$D$205,MAX(6,MIN(INT(((Alpha_keep*$A9+F$3-Lo_c)/Step_c)+0.00000001),193))+1)+(((Alpha_keep*$A9+F$3-Lo_c)/Step_c)-MAX(6,MIN(INT(((Alpha_keep*$A9+F$3-Lo_c)/Step_c)+0.00000001),193)))*INDEX($D$5:$D$205,MAX(6,MIN(INT(((Alpha_keep*$A9+F$3-Lo_c)/Step_c)+0.00000001),193))+2)),"")</f>
        <v/>
      </c>
      <c r="G9" s="16" t="str">
        <f aca="false">IF(Grid!E9=1,-Cost_k*G$3-Short_p*MAX(0,Floor_c-$A9)+Beta_q*((1-(((Alpha_keep*$A9+G$3-Lo_c)/Step_c)-MAX(6,MIN(INT(((Alpha_keep*$A9+G$3-Lo_c)/Step_c)+0.00000001),193))))*INDEX($D$5:$D$205,MAX(6,MIN(INT(((Alpha_keep*$A9+G$3-Lo_c)/Step_c)+0.00000001),193))+1)+(((Alpha_keep*$A9+G$3-Lo_c)/Step_c)-MAX(6,MIN(INT(((Alpha_keep*$A9+G$3-Lo_c)/Step_c)+0.00000001),193)))*INDEX($D$5:$D$205,MAX(6,MIN(INT(((Alpha_keep*$A9+G$3-Lo_c)/Step_c)+0.00000001),193))+2)),"")</f>
        <v/>
      </c>
      <c r="H9" s="16" t="str">
        <f aca="false">IF(Grid!F9=1,-Cost_k*H$3-Short_p*MAX(0,Floor_c-$A9)+Beta_q*((1-(((Alpha_keep*$A9+H$3-Lo_c)/Step_c)-MAX(6,MIN(INT(((Alpha_keep*$A9+H$3-Lo_c)/Step_c)+0.00000001),193))))*INDEX($D$5:$D$205,MAX(6,MIN(INT(((Alpha_keep*$A9+H$3-Lo_c)/Step_c)+0.00000001),193))+1)+(((Alpha_keep*$A9+H$3-Lo_c)/Step_c)-MAX(6,MIN(INT(((Alpha_keep*$A9+H$3-Lo_c)/Step_c)+0.00000001),193)))*INDEX($D$5:$D$205,MAX(6,MIN(INT(((Alpha_keep*$A9+H$3-Lo_c)/Step_c)+0.00000001),193))+2)),"")</f>
        <v/>
      </c>
      <c r="I9" s="16" t="str">
        <f aca="false">IF(Grid!G9=1,-Cost_k*I$3-Short_p*MAX(0,Floor_c-$A9)+Beta_q*((1-(((Alpha_keep*$A9+I$3-Lo_c)/Step_c)-MAX(6,MIN(INT(((Alpha_keep*$A9+I$3-Lo_c)/Step_c)+0.00000001),193))))*INDEX($D$5:$D$205,MAX(6,MIN(INT(((Alpha_keep*$A9+I$3-Lo_c)/Step_c)+0.00000001),193))+1)+(((Alpha_keep*$A9+I$3-Lo_c)/Step_c)-MAX(6,MIN(INT(((Alpha_keep*$A9+I$3-Lo_c)/Step_c)+0.00000001),193)))*INDEX($D$5:$D$205,MAX(6,MIN(INT(((Alpha_keep*$A9+I$3-Lo_c)/Step_c)+0.00000001),193))+2)),"")</f>
        <v/>
      </c>
      <c r="J9" s="16" t="str">
        <f aca="false">IF(Grid!H9=1,-Cost_k*J$3-Short_p*MAX(0,Floor_c-$A9)+Beta_q*((1-(((Alpha_keep*$A9+J$3-Lo_c)/Step_c)-MAX(6,MIN(INT(((Alpha_keep*$A9+J$3-Lo_c)/Step_c)+0.00000001),193))))*INDEX($D$5:$D$205,MAX(6,MIN(INT(((Alpha_keep*$A9+J$3-Lo_c)/Step_c)+0.00000001),193))+1)+(((Alpha_keep*$A9+J$3-Lo_c)/Step_c)-MAX(6,MIN(INT(((Alpha_keep*$A9+J$3-Lo_c)/Step_c)+0.00000001),193)))*INDEX($D$5:$D$205,MAX(6,MIN(INT(((Alpha_keep*$A9+J$3-Lo_c)/Step_c)+0.00000001),193))+2)),"")</f>
        <v/>
      </c>
      <c r="K9" s="16" t="n">
        <f aca="false">IF(Grid!I9=1,-Cost_k*K$3-Short_p*MAX(0,Floor_c-$A9)+Beta_q*((1-(((Alpha_keep*$A9+K$3-Lo_c)/Step_c)-MAX(6,MIN(INT(((Alpha_keep*$A9+K$3-Lo_c)/Step_c)+0.00000001),193))))*INDEX($D$5:$D$205,MAX(6,MIN(INT(((Alpha_keep*$A9+K$3-Lo_c)/Step_c)+0.00000001),193))+1)+(((Alpha_keep*$A9+K$3-Lo_c)/Step_c)-MAX(6,MIN(INT(((Alpha_keep*$A9+K$3-Lo_c)/Step_c)+0.00000001),193)))*INDEX($D$5:$D$205,MAX(6,MIN(INT(((Alpha_keep*$A9+K$3-Lo_c)/Step_c)+0.00000001),193))+2)),"")</f>
        <v>-606.441928330171</v>
      </c>
      <c r="L9" s="16" t="n">
        <f aca="false">IF(Grid!J9=1,-Cost_k*L$3-Short_p*MAX(0,Floor_c-$A9)+Beta_q*((1-(((Alpha_keep*$A9+L$3-Lo_c)/Step_c)-MAX(6,MIN(INT(((Alpha_keep*$A9+L$3-Lo_c)/Step_c)+0.00000001),193))))*INDEX($D$5:$D$205,MAX(6,MIN(INT(((Alpha_keep*$A9+L$3-Lo_c)/Step_c)+0.00000001),193))+1)+(((Alpha_keep*$A9+L$3-Lo_c)/Step_c)-MAX(6,MIN(INT(((Alpha_keep*$A9+L$3-Lo_c)/Step_c)+0.00000001),193)))*INDEX($D$5:$D$205,MAX(6,MIN(INT(((Alpha_keep*$A9+L$3-Lo_c)/Step_c)+0.00000001),193))+2)),"")</f>
        <v>-602.429726886381</v>
      </c>
      <c r="M9" s="16" t="n">
        <f aca="false">IF(Grid!K9=1,-Cost_k*M$3-Short_p*MAX(0,Floor_c-$A9)+Beta_q*((1-(((Alpha_keep*$A9+M$3-Lo_c)/Step_c)-MAX(6,MIN(INT(((Alpha_keep*$A9+M$3-Lo_c)/Step_c)+0.00000001),193))))*INDEX($D$5:$D$205,MAX(6,MIN(INT(((Alpha_keep*$A9+M$3-Lo_c)/Step_c)+0.00000001),193))+1)+(((Alpha_keep*$A9+M$3-Lo_c)/Step_c)-MAX(6,MIN(INT(((Alpha_keep*$A9+M$3-Lo_c)/Step_c)+0.00000001),193)))*INDEX($D$5:$D$205,MAX(6,MIN(INT(((Alpha_keep*$A9+M$3-Lo_c)/Step_c)+0.00000001),193))+2)),"")</f>
        <v>-598.439809044316</v>
      </c>
      <c r="N9" s="16" t="n">
        <f aca="false">IF(Grid!L9=1,-Cost_k*N$3-Short_p*MAX(0,Floor_c-$A9)+Beta_q*((1-(((Alpha_keep*$A9+N$3-Lo_c)/Step_c)-MAX(6,MIN(INT(((Alpha_keep*$A9+N$3-Lo_c)/Step_c)+0.00000001),193))))*INDEX($D$5:$D$205,MAX(6,MIN(INT(((Alpha_keep*$A9+N$3-Lo_c)/Step_c)+0.00000001),193))+1)+(((Alpha_keep*$A9+N$3-Lo_c)/Step_c)-MAX(6,MIN(INT(((Alpha_keep*$A9+N$3-Lo_c)/Step_c)+0.00000001),193)))*INDEX($D$5:$D$205,MAX(6,MIN(INT(((Alpha_keep*$A9+N$3-Lo_c)/Step_c)+0.00000001),193))+2)),"")</f>
        <v>-594.472391817085</v>
      </c>
      <c r="O9" s="16" t="n">
        <f aca="false">IF(Grid!M9=1,-Cost_k*O$3-Short_p*MAX(0,Floor_c-$A9)+Beta_q*((1-(((Alpha_keep*$A9+O$3-Lo_c)/Step_c)-MAX(6,MIN(INT(((Alpha_keep*$A9+O$3-Lo_c)/Step_c)+0.00000001),193))))*INDEX($D$5:$D$205,MAX(6,MIN(INT(((Alpha_keep*$A9+O$3-Lo_c)/Step_c)+0.00000001),193))+1)+(((Alpha_keep*$A9+O$3-Lo_c)/Step_c)-MAX(6,MIN(INT(((Alpha_keep*$A9+O$3-Lo_c)/Step_c)+0.00000001),193)))*INDEX($D$5:$D$205,MAX(6,MIN(INT(((Alpha_keep*$A9+O$3-Lo_c)/Step_c)+0.00000001),193))+2)),"")</f>
        <v>-590.527715942231</v>
      </c>
      <c r="P9" s="11" t="n">
        <f aca="false">MAX(E9:O9)</f>
        <v>-590.527715942231</v>
      </c>
      <c r="Q9" s="12" t="n">
        <f aca="false">INDEX($E$3:$O$3,MATCH(P9,E9:O9,0))</f>
        <v>2.5</v>
      </c>
      <c r="R9" s="20" t="n">
        <v>2.5</v>
      </c>
      <c r="S9" s="14" t="n">
        <f aca="false">IF(ABS(Q9-R9)&lt;0.000000001,1,0)</f>
        <v>1</v>
      </c>
      <c r="T9" s="21" t="n">
        <f aca="false">ABS(P9-B9)</f>
        <v>0</v>
      </c>
      <c r="U9" s="16" t="n">
        <f aca="false">Alpha_keep*A9+Q9</f>
        <v>32.725</v>
      </c>
      <c r="V9" s="14" t="n">
        <f aca="false">INDEX(GuardBlock,5,ROUND(Q9/Step_h,0)+1)</f>
        <v>1</v>
      </c>
      <c r="W9" s="22" t="n">
        <v>0</v>
      </c>
      <c r="Z9" s="2" t="s">
        <v>165</v>
      </c>
      <c r="AA9" s="12" t="n">
        <f aca="false">_xlfn.MINIFS($A$5:$A$205,Q5:Q205,0)</f>
        <v>57.25</v>
      </c>
      <c r="AB9" s="10" t="s">
        <v>166</v>
      </c>
    </row>
    <row r="10" customFormat="false" ht="15" hidden="false" customHeight="false" outlineLevel="0" collapsed="false">
      <c r="A10" s="18" t="n">
        <f aca="false">Grid!A10</f>
        <v>31.25</v>
      </c>
      <c r="B10" s="19" t="n">
        <v>-585.329045996265</v>
      </c>
      <c r="C10" s="14" t="n">
        <v>5</v>
      </c>
      <c r="D10" s="11" t="str">
        <f aca="false">IF(AND($C10&gt;=6,$C10&lt;=194),Declarations!$B$25*INDEX($B$5:$B$205,$C10+1-Declarations!$E$25)+Declarations!$B$26*INDEX($B$5:$B$205,$C10+1-Declarations!$E$26)+Declarations!$B$27*INDEX($B$5:$B$205,$C10+1-Declarations!$E$27)+Declarations!$B$28*INDEX($B$5:$B$205,$C10+1-Declarations!$E$28)+Declarations!$B$29*INDEX($B$5:$B$205,$C10+1-Declarations!$E$29),"")</f>
        <v/>
      </c>
      <c r="E10" s="16" t="str">
        <f aca="false">IF(Grid!C10=1,-Cost_k*E$3-Short_p*MAX(0,Floor_c-$A10)+Beta_q*((1-(((Alpha_keep*$A10+E$3-Lo_c)/Step_c)-MAX(6,MIN(INT(((Alpha_keep*$A10+E$3-Lo_c)/Step_c)+0.00000001),193))))*INDEX($D$5:$D$205,MAX(6,MIN(INT(((Alpha_keep*$A10+E$3-Lo_c)/Step_c)+0.00000001),193))+1)+(((Alpha_keep*$A10+E$3-Lo_c)/Step_c)-MAX(6,MIN(INT(((Alpha_keep*$A10+E$3-Lo_c)/Step_c)+0.00000001),193)))*INDEX($D$5:$D$205,MAX(6,MIN(INT(((Alpha_keep*$A10+E$3-Lo_c)/Step_c)+0.00000001),193))+2)),"")</f>
        <v/>
      </c>
      <c r="F10" s="16" t="str">
        <f aca="false">IF(Grid!D10=1,-Cost_k*F$3-Short_p*MAX(0,Floor_c-$A10)+Beta_q*((1-(((Alpha_keep*$A10+F$3-Lo_c)/Step_c)-MAX(6,MIN(INT(((Alpha_keep*$A10+F$3-Lo_c)/Step_c)+0.00000001),193))))*INDEX($D$5:$D$205,MAX(6,MIN(INT(((Alpha_keep*$A10+F$3-Lo_c)/Step_c)+0.00000001),193))+1)+(((Alpha_keep*$A10+F$3-Lo_c)/Step_c)-MAX(6,MIN(INT(((Alpha_keep*$A10+F$3-Lo_c)/Step_c)+0.00000001),193)))*INDEX($D$5:$D$205,MAX(6,MIN(INT(((Alpha_keep*$A10+F$3-Lo_c)/Step_c)+0.00000001),193))+2)),"")</f>
        <v/>
      </c>
      <c r="G10" s="16" t="str">
        <f aca="false">IF(Grid!E10=1,-Cost_k*G$3-Short_p*MAX(0,Floor_c-$A10)+Beta_q*((1-(((Alpha_keep*$A10+G$3-Lo_c)/Step_c)-MAX(6,MIN(INT(((Alpha_keep*$A10+G$3-Lo_c)/Step_c)+0.00000001),193))))*INDEX($D$5:$D$205,MAX(6,MIN(INT(((Alpha_keep*$A10+G$3-Lo_c)/Step_c)+0.00000001),193))+1)+(((Alpha_keep*$A10+G$3-Lo_c)/Step_c)-MAX(6,MIN(INT(((Alpha_keep*$A10+G$3-Lo_c)/Step_c)+0.00000001),193)))*INDEX($D$5:$D$205,MAX(6,MIN(INT(((Alpha_keep*$A10+G$3-Lo_c)/Step_c)+0.00000001),193))+2)),"")</f>
        <v/>
      </c>
      <c r="H10" s="16" t="str">
        <f aca="false">IF(Grid!F10=1,-Cost_k*H$3-Short_p*MAX(0,Floor_c-$A10)+Beta_q*((1-(((Alpha_keep*$A10+H$3-Lo_c)/Step_c)-MAX(6,MIN(INT(((Alpha_keep*$A10+H$3-Lo_c)/Step_c)+0.00000001),193))))*INDEX($D$5:$D$205,MAX(6,MIN(INT(((Alpha_keep*$A10+H$3-Lo_c)/Step_c)+0.00000001),193))+1)+(((Alpha_keep*$A10+H$3-Lo_c)/Step_c)-MAX(6,MIN(INT(((Alpha_keep*$A10+H$3-Lo_c)/Step_c)+0.00000001),193)))*INDEX($D$5:$D$205,MAX(6,MIN(INT(((Alpha_keep*$A10+H$3-Lo_c)/Step_c)+0.00000001),193))+2)),"")</f>
        <v/>
      </c>
      <c r="I10" s="16" t="str">
        <f aca="false">IF(Grid!G10=1,-Cost_k*I$3-Short_p*MAX(0,Floor_c-$A10)+Beta_q*((1-(((Alpha_keep*$A10+I$3-Lo_c)/Step_c)-MAX(6,MIN(INT(((Alpha_keep*$A10+I$3-Lo_c)/Step_c)+0.00000001),193))))*INDEX($D$5:$D$205,MAX(6,MIN(INT(((Alpha_keep*$A10+I$3-Lo_c)/Step_c)+0.00000001),193))+1)+(((Alpha_keep*$A10+I$3-Lo_c)/Step_c)-MAX(6,MIN(INT(((Alpha_keep*$A10+I$3-Lo_c)/Step_c)+0.00000001),193)))*INDEX($D$5:$D$205,MAX(6,MIN(INT(((Alpha_keep*$A10+I$3-Lo_c)/Step_c)+0.00000001),193))+2)),"")</f>
        <v/>
      </c>
      <c r="J10" s="16" t="n">
        <f aca="false">IF(Grid!H10=1,-Cost_k*J$3-Short_p*MAX(0,Floor_c-$A10)+Beta_q*((1-(((Alpha_keep*$A10+J$3-Lo_c)/Step_c)-MAX(6,MIN(INT(((Alpha_keep*$A10+J$3-Lo_c)/Step_c)+0.00000001),193))))*INDEX($D$5:$D$205,MAX(6,MIN(INT(((Alpha_keep*$A10+J$3-Lo_c)/Step_c)+0.00000001),193))+1)+(((Alpha_keep*$A10+J$3-Lo_c)/Step_c)-MAX(6,MIN(INT(((Alpha_keep*$A10+J$3-Lo_c)/Step_c)+0.00000001),193)))*INDEX($D$5:$D$205,MAX(6,MIN(INT(((Alpha_keep*$A10+J$3-Lo_c)/Step_c)+0.00000001),193))+2)),"")</f>
        <v>-605.167729594624</v>
      </c>
      <c r="K10" s="16" t="n">
        <f aca="false">IF(Grid!I10=1,-Cost_k*K$3-Short_p*MAX(0,Floor_c-$A10)+Beta_q*((1-(((Alpha_keep*$A10+K$3-Lo_c)/Step_c)-MAX(6,MIN(INT(((Alpha_keep*$A10+K$3-Lo_c)/Step_c)+0.00000001),193))))*INDEX($D$5:$D$205,MAX(6,MIN(INT(((Alpha_keep*$A10+K$3-Lo_c)/Step_c)+0.00000001),193))+1)+(((Alpha_keep*$A10+K$3-Lo_c)/Step_c)-MAX(6,MIN(INT(((Alpha_keep*$A10+K$3-Lo_c)/Step_c)+0.00000001),193)))*INDEX($D$5:$D$205,MAX(6,MIN(INT(((Alpha_keep*$A10+K$3-Lo_c)/Step_c)+0.00000001),193))+2)),"")</f>
        <v>-601.154976785991</v>
      </c>
      <c r="L10" s="16" t="n">
        <f aca="false">IF(Grid!J10=1,-Cost_k*L$3-Short_p*MAX(0,Floor_c-$A10)+Beta_q*((1-(((Alpha_keep*$A10+L$3-Lo_c)/Step_c)-MAX(6,MIN(INT(((Alpha_keep*$A10+L$3-Lo_c)/Step_c)+0.00000001),193))))*INDEX($D$5:$D$205,MAX(6,MIN(INT(((Alpha_keep*$A10+L$3-Lo_c)/Step_c)+0.00000001),193))+1)+(((Alpha_keep*$A10+L$3-Lo_c)/Step_c)-MAX(6,MIN(INT(((Alpha_keep*$A10+L$3-Lo_c)/Step_c)+0.00000001),193)))*INDEX($D$5:$D$205,MAX(6,MIN(INT(((Alpha_keep*$A10+L$3-Lo_c)/Step_c)+0.00000001),193))+2)),"")</f>
        <v>-597.16450121775</v>
      </c>
      <c r="M10" s="16" t="n">
        <f aca="false">IF(Grid!K10=1,-Cost_k*M$3-Short_p*MAX(0,Floor_c-$A10)+Beta_q*((1-(((Alpha_keep*$A10+M$3-Lo_c)/Step_c)-MAX(6,MIN(INT(((Alpha_keep*$A10+M$3-Lo_c)/Step_c)+0.00000001),193))))*INDEX($D$5:$D$205,MAX(6,MIN(INT(((Alpha_keep*$A10+M$3-Lo_c)/Step_c)+0.00000001),193))+1)+(((Alpha_keep*$A10+M$3-Lo_c)/Step_c)-MAX(6,MIN(INT(((Alpha_keep*$A10+M$3-Lo_c)/Step_c)+0.00000001),193)))*INDEX($D$5:$D$205,MAX(6,MIN(INT(((Alpha_keep*$A10+M$3-Lo_c)/Step_c)+0.00000001),193))+2)),"")</f>
        <v>-593.196520943016</v>
      </c>
      <c r="N10" s="16" t="n">
        <f aca="false">IF(Grid!L10=1,-Cost_k*N$3-Short_p*MAX(0,Floor_c-$A10)+Beta_q*((1-(((Alpha_keep*$A10+N$3-Lo_c)/Step_c)-MAX(6,MIN(INT(((Alpha_keep*$A10+N$3-Lo_c)/Step_c)+0.00000001),193))))*INDEX($D$5:$D$205,MAX(6,MIN(INT(((Alpha_keep*$A10+N$3-Lo_c)/Step_c)+0.00000001),193))+1)+(((Alpha_keep*$A10+N$3-Lo_c)/Step_c)-MAX(6,MIN(INT(((Alpha_keep*$A10+N$3-Lo_c)/Step_c)+0.00000001),193)))*INDEX($D$5:$D$205,MAX(6,MIN(INT(((Alpha_keep*$A10+N$3-Lo_c)/Step_c)+0.00000001),193))+2)),"")</f>
        <v>-589.251275924762</v>
      </c>
      <c r="O10" s="16" t="n">
        <f aca="false">IF(Grid!M10=1,-Cost_k*O$3-Short_p*MAX(0,Floor_c-$A10)+Beta_q*((1-(((Alpha_keep*$A10+O$3-Lo_c)/Step_c)-MAX(6,MIN(INT(((Alpha_keep*$A10+O$3-Lo_c)/Step_c)+0.00000001),193))))*INDEX($D$5:$D$205,MAX(6,MIN(INT(((Alpha_keep*$A10+O$3-Lo_c)/Step_c)+0.00000001),193))+1)+(((Alpha_keep*$A10+O$3-Lo_c)/Step_c)-MAX(6,MIN(INT(((Alpha_keep*$A10+O$3-Lo_c)/Step_c)+0.00000001),193)))*INDEX($D$5:$D$205,MAX(6,MIN(INT(((Alpha_keep*$A10+O$3-Lo_c)/Step_c)+0.00000001),193))+2)),"")</f>
        <v>-585.329045996265</v>
      </c>
      <c r="P10" s="11" t="n">
        <f aca="false">MAX(E10:O10)</f>
        <v>-585.329045996265</v>
      </c>
      <c r="Q10" s="12" t="n">
        <f aca="false">INDEX($E$3:$O$3,MATCH(P10,E10:O10,0))</f>
        <v>2.5</v>
      </c>
      <c r="R10" s="20" t="n">
        <v>2.5</v>
      </c>
      <c r="S10" s="14" t="n">
        <f aca="false">IF(ABS(Q10-R10)&lt;0.000000001,1,0)</f>
        <v>1</v>
      </c>
      <c r="T10" s="21" t="n">
        <f aca="false">ABS(P10-B10)</f>
        <v>0</v>
      </c>
      <c r="U10" s="16" t="n">
        <f aca="false">Alpha_keep*A10+Q10</f>
        <v>32.96875</v>
      </c>
      <c r="V10" s="14" t="n">
        <f aca="false">INDEX(GuardBlock,6,ROUND(Q10/Step_h,0)+1)</f>
        <v>1</v>
      </c>
      <c r="W10" s="22" t="n">
        <v>0</v>
      </c>
      <c r="Z10" s="2" t="s">
        <v>167</v>
      </c>
      <c r="AA10" s="16" t="n">
        <f aca="false">_xlfn.MINIFS(U5:U205,Q5:Q205,"&gt;0",Q5:Q205,"&lt;"&amp;Cap_h)</f>
        <v>55.825</v>
      </c>
      <c r="AB10" s="10" t="s">
        <v>168</v>
      </c>
    </row>
    <row r="11" customFormat="false" ht="15" hidden="false" customHeight="false" outlineLevel="0" collapsed="false">
      <c r="A11" s="18" t="n">
        <f aca="false">Grid!A11</f>
        <v>31.5</v>
      </c>
      <c r="B11" s="19" t="n">
        <v>-580.152474853921</v>
      </c>
      <c r="C11" s="14" t="n">
        <v>6</v>
      </c>
      <c r="D11" s="11" t="n">
        <f aca="false">IF(AND($C11&gt;=6,$C11&lt;=194),Declarations!$B$25*INDEX($B$5:$B$205,$C11+1-Declarations!$E$25)+Declarations!$B$26*INDEX($B$5:$B$205,$C11+1-Declarations!$E$26)+Declarations!$B$27*INDEX($B$5:$B$205,$C11+1-Declarations!$E$27)+Declarations!$B$28*INDEX($B$5:$B$205,$C11+1-Declarations!$E$28)+Declarations!$B$29*INDEX($B$5:$B$205,$C11+1-Declarations!$E$29),"")</f>
        <v>-580.232885335432</v>
      </c>
      <c r="E11" s="16" t="str">
        <f aca="false">IF(Grid!C11=1,-Cost_k*E$3-Short_p*MAX(0,Floor_c-$A11)+Beta_q*((1-(((Alpha_keep*$A11+E$3-Lo_c)/Step_c)-MAX(6,MIN(INT(((Alpha_keep*$A11+E$3-Lo_c)/Step_c)+0.00000001),193))))*INDEX($D$5:$D$205,MAX(6,MIN(INT(((Alpha_keep*$A11+E$3-Lo_c)/Step_c)+0.00000001),193))+1)+(((Alpha_keep*$A11+E$3-Lo_c)/Step_c)-MAX(6,MIN(INT(((Alpha_keep*$A11+E$3-Lo_c)/Step_c)+0.00000001),193)))*INDEX($D$5:$D$205,MAX(6,MIN(INT(((Alpha_keep*$A11+E$3-Lo_c)/Step_c)+0.00000001),193))+2)),"")</f>
        <v/>
      </c>
      <c r="F11" s="16" t="str">
        <f aca="false">IF(Grid!D11=1,-Cost_k*F$3-Short_p*MAX(0,Floor_c-$A11)+Beta_q*((1-(((Alpha_keep*$A11+F$3-Lo_c)/Step_c)-MAX(6,MIN(INT(((Alpha_keep*$A11+F$3-Lo_c)/Step_c)+0.00000001),193))))*INDEX($D$5:$D$205,MAX(6,MIN(INT(((Alpha_keep*$A11+F$3-Lo_c)/Step_c)+0.00000001),193))+1)+(((Alpha_keep*$A11+F$3-Lo_c)/Step_c)-MAX(6,MIN(INT(((Alpha_keep*$A11+F$3-Lo_c)/Step_c)+0.00000001),193)))*INDEX($D$5:$D$205,MAX(6,MIN(INT(((Alpha_keep*$A11+F$3-Lo_c)/Step_c)+0.00000001),193))+2)),"")</f>
        <v/>
      </c>
      <c r="G11" s="16" t="str">
        <f aca="false">IF(Grid!E11=1,-Cost_k*G$3-Short_p*MAX(0,Floor_c-$A11)+Beta_q*((1-(((Alpha_keep*$A11+G$3-Lo_c)/Step_c)-MAX(6,MIN(INT(((Alpha_keep*$A11+G$3-Lo_c)/Step_c)+0.00000001),193))))*INDEX($D$5:$D$205,MAX(6,MIN(INT(((Alpha_keep*$A11+G$3-Lo_c)/Step_c)+0.00000001),193))+1)+(((Alpha_keep*$A11+G$3-Lo_c)/Step_c)-MAX(6,MIN(INT(((Alpha_keep*$A11+G$3-Lo_c)/Step_c)+0.00000001),193)))*INDEX($D$5:$D$205,MAX(6,MIN(INT(((Alpha_keep*$A11+G$3-Lo_c)/Step_c)+0.00000001),193))+2)),"")</f>
        <v/>
      </c>
      <c r="H11" s="16" t="str">
        <f aca="false">IF(Grid!F11=1,-Cost_k*H$3-Short_p*MAX(0,Floor_c-$A11)+Beta_q*((1-(((Alpha_keep*$A11+H$3-Lo_c)/Step_c)-MAX(6,MIN(INT(((Alpha_keep*$A11+H$3-Lo_c)/Step_c)+0.00000001),193))))*INDEX($D$5:$D$205,MAX(6,MIN(INT(((Alpha_keep*$A11+H$3-Lo_c)/Step_c)+0.00000001),193))+1)+(((Alpha_keep*$A11+H$3-Lo_c)/Step_c)-MAX(6,MIN(INT(((Alpha_keep*$A11+H$3-Lo_c)/Step_c)+0.00000001),193)))*INDEX($D$5:$D$205,MAX(6,MIN(INT(((Alpha_keep*$A11+H$3-Lo_c)/Step_c)+0.00000001),193))+2)),"")</f>
        <v/>
      </c>
      <c r="I11" s="16" t="n">
        <f aca="false">IF(Grid!G11=1,-Cost_k*I$3-Short_p*MAX(0,Floor_c-$A11)+Beta_q*((1-(((Alpha_keep*$A11+I$3-Lo_c)/Step_c)-MAX(6,MIN(INT(((Alpha_keep*$A11+I$3-Lo_c)/Step_c)+0.00000001),193))))*INDEX($D$5:$D$205,MAX(6,MIN(INT(((Alpha_keep*$A11+I$3-Lo_c)/Step_c)+0.00000001),193))+1)+(((Alpha_keep*$A11+I$3-Lo_c)/Step_c)-MAX(6,MIN(INT(((Alpha_keep*$A11+I$3-Lo_c)/Step_c)+0.00000001),193)))*INDEX($D$5:$D$205,MAX(6,MIN(INT(((Alpha_keep*$A11+I$3-Lo_c)/Step_c)+0.00000001),193))+2)),"")</f>
        <v>-603.893530859077</v>
      </c>
      <c r="J11" s="16" t="n">
        <f aca="false">IF(Grid!H11=1,-Cost_k*J$3-Short_p*MAX(0,Floor_c-$A11)+Beta_q*((1-(((Alpha_keep*$A11+J$3-Lo_c)/Step_c)-MAX(6,MIN(INT(((Alpha_keep*$A11+J$3-Lo_c)/Step_c)+0.00000001),193))))*INDEX($D$5:$D$205,MAX(6,MIN(INT(((Alpha_keep*$A11+J$3-Lo_c)/Step_c)+0.00000001),193))+1)+(((Alpha_keep*$A11+J$3-Lo_c)/Step_c)-MAX(6,MIN(INT(((Alpha_keep*$A11+J$3-Lo_c)/Step_c)+0.00000001),193)))*INDEX($D$5:$D$205,MAX(6,MIN(INT(((Alpha_keep*$A11+J$3-Lo_c)/Step_c)+0.00000001),193))+2)),"")</f>
        <v>-599.880226685602</v>
      </c>
      <c r="K11" s="16" t="n">
        <f aca="false">IF(Grid!I11=1,-Cost_k*K$3-Short_p*MAX(0,Floor_c-$A11)+Beta_q*((1-(((Alpha_keep*$A11+K$3-Lo_c)/Step_c)-MAX(6,MIN(INT(((Alpha_keep*$A11+K$3-Lo_c)/Step_c)+0.00000001),193))))*INDEX($D$5:$D$205,MAX(6,MIN(INT(((Alpha_keep*$A11+K$3-Lo_c)/Step_c)+0.00000001),193))+1)+(((Alpha_keep*$A11+K$3-Lo_c)/Step_c)-MAX(6,MIN(INT(((Alpha_keep*$A11+K$3-Lo_c)/Step_c)+0.00000001),193)))*INDEX($D$5:$D$205,MAX(6,MIN(INT(((Alpha_keep*$A11+K$3-Lo_c)/Step_c)+0.00000001),193))+2)),"")</f>
        <v>-595.889193391184</v>
      </c>
      <c r="L11" s="16" t="n">
        <f aca="false">IF(Grid!J11=1,-Cost_k*L$3-Short_p*MAX(0,Floor_c-$A11)+Beta_q*((1-(((Alpha_keep*$A11+L$3-Lo_c)/Step_c)-MAX(6,MIN(INT(((Alpha_keep*$A11+L$3-Lo_c)/Step_c)+0.00000001),193))))*INDEX($D$5:$D$205,MAX(6,MIN(INT(((Alpha_keep*$A11+L$3-Lo_c)/Step_c)+0.00000001),193))+1)+(((Alpha_keep*$A11+L$3-Lo_c)/Step_c)-MAX(6,MIN(INT(((Alpha_keep*$A11+L$3-Lo_c)/Step_c)+0.00000001),193)))*INDEX($D$5:$D$205,MAX(6,MIN(INT(((Alpha_keep*$A11+L$3-Lo_c)/Step_c)+0.00000001),193))+2)),"")</f>
        <v>-591.920650068946</v>
      </c>
      <c r="M11" s="16" t="n">
        <f aca="false">IF(Grid!K11=1,-Cost_k*M$3-Short_p*MAX(0,Floor_c-$A11)+Beta_q*((1-(((Alpha_keep*$A11+M$3-Lo_c)/Step_c)-MAX(6,MIN(INT(((Alpha_keep*$A11+M$3-Lo_c)/Step_c)+0.00000001),193))))*INDEX($D$5:$D$205,MAX(6,MIN(INT(((Alpha_keep*$A11+M$3-Lo_c)/Step_c)+0.00000001),193))+1)+(((Alpha_keep*$A11+M$3-Lo_c)/Step_c)-MAX(6,MIN(INT(((Alpha_keep*$A11+M$3-Lo_c)/Step_c)+0.00000001),193)))*INDEX($D$5:$D$205,MAX(6,MIN(INT(((Alpha_keep*$A11+M$3-Lo_c)/Step_c)+0.00000001),193))+2)),"")</f>
        <v>-587.974835907294</v>
      </c>
      <c r="N11" s="16" t="n">
        <f aca="false">IF(Grid!L11=1,-Cost_k*N$3-Short_p*MAX(0,Floor_c-$A11)+Beta_q*((1-(((Alpha_keep*$A11+N$3-Lo_c)/Step_c)-MAX(6,MIN(INT(((Alpha_keep*$A11+N$3-Lo_c)/Step_c)+0.00000001),193))))*INDEX($D$5:$D$205,MAX(6,MIN(INT(((Alpha_keep*$A11+N$3-Lo_c)/Step_c)+0.00000001),193))+1)+(((Alpha_keep*$A11+N$3-Lo_c)/Step_c)-MAX(6,MIN(INT(((Alpha_keep*$A11+N$3-Lo_c)/Step_c)+0.00000001),193)))*INDEX($D$5:$D$205,MAX(6,MIN(INT(((Alpha_keep*$A11+N$3-Lo_c)/Step_c)+0.00000001),193))+2)),"")</f>
        <v>-584.052029711004</v>
      </c>
      <c r="O11" s="16" t="n">
        <f aca="false">IF(Grid!M11=1,-Cost_k*O$3-Short_p*MAX(0,Floor_c-$A11)+Beta_q*((1-(((Alpha_keep*$A11+O$3-Lo_c)/Step_c)-MAX(6,MIN(INT(((Alpha_keep*$A11+O$3-Lo_c)/Step_c)+0.00000001),193))))*INDEX($D$5:$D$205,MAX(6,MIN(INT(((Alpha_keep*$A11+O$3-Lo_c)/Step_c)+0.00000001),193))+1)+(((Alpha_keep*$A11+O$3-Lo_c)/Step_c)-MAX(6,MIN(INT(((Alpha_keep*$A11+O$3-Lo_c)/Step_c)+0.00000001),193)))*INDEX($D$5:$D$205,MAX(6,MIN(INT(((Alpha_keep*$A11+O$3-Lo_c)/Step_c)+0.00000001),193))+2)),"")</f>
        <v>-580.152474853921</v>
      </c>
      <c r="P11" s="11" t="n">
        <f aca="false">MAX(E11:O11)</f>
        <v>-580.152474853921</v>
      </c>
      <c r="Q11" s="12" t="n">
        <f aca="false">INDEX($E$3:$O$3,MATCH(P11,E11:O11,0))</f>
        <v>2.5</v>
      </c>
      <c r="R11" s="20" t="n">
        <v>2.5</v>
      </c>
      <c r="S11" s="14" t="n">
        <f aca="false">IF(ABS(Q11-R11)&lt;0.000000001,1,0)</f>
        <v>1</v>
      </c>
      <c r="T11" s="21" t="n">
        <f aca="false">ABS(P11-B11)</f>
        <v>0</v>
      </c>
      <c r="U11" s="16" t="n">
        <f aca="false">Alpha_keep*A11+Q11</f>
        <v>33.2125</v>
      </c>
      <c r="V11" s="14" t="n">
        <f aca="false">INDEX(GuardBlock,7,ROUND(Q11/Step_h,0)+1)</f>
        <v>1</v>
      </c>
      <c r="W11" s="22" t="n">
        <v>0</v>
      </c>
      <c r="Z11" s="2" t="s">
        <v>169</v>
      </c>
      <c r="AA11" s="16" t="n">
        <f aca="false">_xlfn.MAXIFS(U5:U205,Q5:Q205,"&gt;0",Q5:Q205,"&lt;"&amp;Cap_h)</f>
        <v>55.875</v>
      </c>
      <c r="AB11" s="10" t="s">
        <v>170</v>
      </c>
    </row>
    <row r="12" customFormat="false" ht="15" hidden="false" customHeight="false" outlineLevel="0" collapsed="false">
      <c r="A12" s="18" t="n">
        <f aca="false">Grid!A12</f>
        <v>31.75</v>
      </c>
      <c r="B12" s="19" t="n">
        <v>-574.998212098781</v>
      </c>
      <c r="C12" s="14" t="n">
        <v>7</v>
      </c>
      <c r="D12" s="11" t="n">
        <f aca="false">IF(AND($C12&gt;=6,$C12&lt;=194),Declarations!$B$25*INDEX($B$5:$B$205,$C12+1-Declarations!$E$25)+Declarations!$B$26*INDEX($B$5:$B$205,$C12+1-Declarations!$E$26)+Declarations!$B$27*INDEX($B$5:$B$205,$C12+1-Declarations!$E$27)+Declarations!$B$28*INDEX($B$5:$B$205,$C12+1-Declarations!$E$28)+Declarations!$B$29*INDEX($B$5:$B$205,$C12+1-Declarations!$E$29),"")</f>
        <v>-575.079493454227</v>
      </c>
      <c r="E12" s="16" t="str">
        <f aca="false">IF(Grid!C12=1,-Cost_k*E$3-Short_p*MAX(0,Floor_c-$A12)+Beta_q*((1-(((Alpha_keep*$A12+E$3-Lo_c)/Step_c)-MAX(6,MIN(INT(((Alpha_keep*$A12+E$3-Lo_c)/Step_c)+0.00000001),193))))*INDEX($D$5:$D$205,MAX(6,MIN(INT(((Alpha_keep*$A12+E$3-Lo_c)/Step_c)+0.00000001),193))+1)+(((Alpha_keep*$A12+E$3-Lo_c)/Step_c)-MAX(6,MIN(INT(((Alpha_keep*$A12+E$3-Lo_c)/Step_c)+0.00000001),193)))*INDEX($D$5:$D$205,MAX(6,MIN(INT(((Alpha_keep*$A12+E$3-Lo_c)/Step_c)+0.00000001),193))+2)),"")</f>
        <v/>
      </c>
      <c r="F12" s="16" t="str">
        <f aca="false">IF(Grid!D12=1,-Cost_k*F$3-Short_p*MAX(0,Floor_c-$A12)+Beta_q*((1-(((Alpha_keep*$A12+F$3-Lo_c)/Step_c)-MAX(6,MIN(INT(((Alpha_keep*$A12+F$3-Lo_c)/Step_c)+0.00000001),193))))*INDEX($D$5:$D$205,MAX(6,MIN(INT(((Alpha_keep*$A12+F$3-Lo_c)/Step_c)+0.00000001),193))+1)+(((Alpha_keep*$A12+F$3-Lo_c)/Step_c)-MAX(6,MIN(INT(((Alpha_keep*$A12+F$3-Lo_c)/Step_c)+0.00000001),193)))*INDEX($D$5:$D$205,MAX(6,MIN(INT(((Alpha_keep*$A12+F$3-Lo_c)/Step_c)+0.00000001),193))+2)),"")</f>
        <v/>
      </c>
      <c r="G12" s="16" t="str">
        <f aca="false">IF(Grid!E12=1,-Cost_k*G$3-Short_p*MAX(0,Floor_c-$A12)+Beta_q*((1-(((Alpha_keep*$A12+G$3-Lo_c)/Step_c)-MAX(6,MIN(INT(((Alpha_keep*$A12+G$3-Lo_c)/Step_c)+0.00000001),193))))*INDEX($D$5:$D$205,MAX(6,MIN(INT(((Alpha_keep*$A12+G$3-Lo_c)/Step_c)+0.00000001),193))+1)+(((Alpha_keep*$A12+G$3-Lo_c)/Step_c)-MAX(6,MIN(INT(((Alpha_keep*$A12+G$3-Lo_c)/Step_c)+0.00000001),193)))*INDEX($D$5:$D$205,MAX(6,MIN(INT(((Alpha_keep*$A12+G$3-Lo_c)/Step_c)+0.00000001),193))+2)),"")</f>
        <v/>
      </c>
      <c r="H12" s="16" t="n">
        <f aca="false">IF(Grid!F12=1,-Cost_k*H$3-Short_p*MAX(0,Floor_c-$A12)+Beta_q*((1-(((Alpha_keep*$A12+H$3-Lo_c)/Step_c)-MAX(6,MIN(INT(((Alpha_keep*$A12+H$3-Lo_c)/Step_c)+0.00000001),193))))*INDEX($D$5:$D$205,MAX(6,MIN(INT(((Alpha_keep*$A12+H$3-Lo_c)/Step_c)+0.00000001),193))+1)+(((Alpha_keep*$A12+H$3-Lo_c)/Step_c)-MAX(6,MIN(INT(((Alpha_keep*$A12+H$3-Lo_c)/Step_c)+0.00000001),193)))*INDEX($D$5:$D$205,MAX(6,MIN(INT(((Alpha_keep*$A12+H$3-Lo_c)/Step_c)+0.00000001),193))+2)),"")</f>
        <v>-602.619332123529</v>
      </c>
      <c r="I12" s="16" t="n">
        <f aca="false">IF(Grid!G12=1,-Cost_k*I$3-Short_p*MAX(0,Floor_c-$A12)+Beta_q*((1-(((Alpha_keep*$A12+I$3-Lo_c)/Step_c)-MAX(6,MIN(INT(((Alpha_keep*$A12+I$3-Lo_c)/Step_c)+0.00000001),193))))*INDEX($D$5:$D$205,MAX(6,MIN(INT(((Alpha_keep*$A12+I$3-Lo_c)/Step_c)+0.00000001),193))+1)+(((Alpha_keep*$A12+I$3-Lo_c)/Step_c)-MAX(6,MIN(INT(((Alpha_keep*$A12+I$3-Lo_c)/Step_c)+0.00000001),193)))*INDEX($D$5:$D$205,MAX(6,MIN(INT(((Alpha_keep*$A12+I$3-Lo_c)/Step_c)+0.00000001),193))+2)),"")</f>
        <v>-598.605476585213</v>
      </c>
      <c r="J12" s="16" t="n">
        <f aca="false">IF(Grid!H12=1,-Cost_k*J$3-Short_p*MAX(0,Floor_c-$A12)+Beta_q*((1-(((Alpha_keep*$A12+J$3-Lo_c)/Step_c)-MAX(6,MIN(INT(((Alpha_keep*$A12+J$3-Lo_c)/Step_c)+0.00000001),193))))*INDEX($D$5:$D$205,MAX(6,MIN(INT(((Alpha_keep*$A12+J$3-Lo_c)/Step_c)+0.00000001),193))+1)+(((Alpha_keep*$A12+J$3-Lo_c)/Step_c)-MAX(6,MIN(INT(((Alpha_keep*$A12+J$3-Lo_c)/Step_c)+0.00000001),193)))*INDEX($D$5:$D$205,MAX(6,MIN(INT(((Alpha_keep*$A12+J$3-Lo_c)/Step_c)+0.00000001),193))+2)),"")</f>
        <v>-594.613885564618</v>
      </c>
      <c r="K12" s="16" t="n">
        <f aca="false">IF(Grid!I12=1,-Cost_k*K$3-Short_p*MAX(0,Floor_c-$A12)+Beta_q*((1-(((Alpha_keep*$A12+K$3-Lo_c)/Step_c)-MAX(6,MIN(INT(((Alpha_keep*$A12+K$3-Lo_c)/Step_c)+0.00000001),193))))*INDEX($D$5:$D$205,MAX(6,MIN(INT(((Alpha_keep*$A12+K$3-Lo_c)/Step_c)+0.00000001),193))+1)+(((Alpha_keep*$A12+K$3-Lo_c)/Step_c)-MAX(6,MIN(INT(((Alpha_keep*$A12+K$3-Lo_c)/Step_c)+0.00000001),193)))*INDEX($D$5:$D$205,MAX(6,MIN(INT(((Alpha_keep*$A12+K$3-Lo_c)/Step_c)+0.00000001),193))+2)),"")</f>
        <v>-590.644779194876</v>
      </c>
      <c r="L12" s="16" t="n">
        <f aca="false">IF(Grid!J12=1,-Cost_k*L$3-Short_p*MAX(0,Floor_c-$A12)+Beta_q*((1-(((Alpha_keep*$A12+L$3-Lo_c)/Step_c)-MAX(6,MIN(INT(((Alpha_keep*$A12+L$3-Lo_c)/Step_c)+0.00000001),193))))*INDEX($D$5:$D$205,MAX(6,MIN(INT(((Alpha_keep*$A12+L$3-Lo_c)/Step_c)+0.00000001),193))+1)+(((Alpha_keep*$A12+L$3-Lo_c)/Step_c)-MAX(6,MIN(INT(((Alpha_keep*$A12+L$3-Lo_c)/Step_c)+0.00000001),193)))*INDEX($D$5:$D$205,MAX(6,MIN(INT(((Alpha_keep*$A12+L$3-Lo_c)/Step_c)+0.00000001),193))+2)),"")</f>
        <v>-586.698395889825</v>
      </c>
      <c r="M12" s="16" t="n">
        <f aca="false">IF(Grid!K12=1,-Cost_k*M$3-Short_p*MAX(0,Floor_c-$A12)+Beta_q*((1-(((Alpha_keep*$A12+M$3-Lo_c)/Step_c)-MAX(6,MIN(INT(((Alpha_keep*$A12+M$3-Lo_c)/Step_c)+0.00000001),193))))*INDEX($D$5:$D$205,MAX(6,MIN(INT(((Alpha_keep*$A12+M$3-Lo_c)/Step_c)+0.00000001),193))+1)+(((Alpha_keep*$A12+M$3-Lo_c)/Step_c)-MAX(6,MIN(INT(((Alpha_keep*$A12+M$3-Lo_c)/Step_c)+0.00000001),193)))*INDEX($D$5:$D$205,MAX(6,MIN(INT(((Alpha_keep*$A12+M$3-Lo_c)/Step_c)+0.00000001),193))+2)),"")</f>
        <v>-582.775013425742</v>
      </c>
      <c r="N12" s="16" t="n">
        <f aca="false">IF(Grid!L12=1,-Cost_k*N$3-Short_p*MAX(0,Floor_c-$A12)+Beta_q*((1-(((Alpha_keep*$A12+N$3-Lo_c)/Step_c)-MAX(6,MIN(INT(((Alpha_keep*$A12+N$3-Lo_c)/Step_c)+0.00000001),193))))*INDEX($D$5:$D$205,MAX(6,MIN(INT(((Alpha_keep*$A12+N$3-Lo_c)/Step_c)+0.00000001),193))+1)+(((Alpha_keep*$A12+N$3-Lo_c)/Step_c)-MAX(6,MIN(INT(((Alpha_keep*$A12+N$3-Lo_c)/Step_c)+0.00000001),193)))*INDEX($D$5:$D$205,MAX(6,MIN(INT(((Alpha_keep*$A12+N$3-Lo_c)/Step_c)+0.00000001),193))+2)),"")</f>
        <v>-578.874876400058</v>
      </c>
      <c r="O12" s="16" t="n">
        <f aca="false">IF(Grid!M12=1,-Cost_k*O$3-Short_p*MAX(0,Floor_c-$A12)+Beta_q*((1-(((Alpha_keep*$A12+O$3-Lo_c)/Step_c)-MAX(6,MIN(INT(((Alpha_keep*$A12+O$3-Lo_c)/Step_c)+0.00000001),193))))*INDEX($D$5:$D$205,MAX(6,MIN(INT(((Alpha_keep*$A12+O$3-Lo_c)/Step_c)+0.00000001),193))+1)+(((Alpha_keep*$A12+O$3-Lo_c)/Step_c)-MAX(6,MIN(INT(((Alpha_keep*$A12+O$3-Lo_c)/Step_c)+0.00000001),193)))*INDEX($D$5:$D$205,MAX(6,MIN(INT(((Alpha_keep*$A12+O$3-Lo_c)/Step_c)+0.00000001),193))+2)),"")</f>
        <v>-574.998212098781</v>
      </c>
      <c r="P12" s="11" t="n">
        <f aca="false">MAX(E12:O12)</f>
        <v>-574.998212098781</v>
      </c>
      <c r="Q12" s="12" t="n">
        <f aca="false">INDEX($E$3:$O$3,MATCH(P12,E12:O12,0))</f>
        <v>2.5</v>
      </c>
      <c r="R12" s="20" t="n">
        <v>2.5</v>
      </c>
      <c r="S12" s="14" t="n">
        <f aca="false">IF(ABS(Q12-R12)&lt;0.000000001,1,0)</f>
        <v>1</v>
      </c>
      <c r="T12" s="21" t="n">
        <f aca="false">ABS(P12-B12)</f>
        <v>0</v>
      </c>
      <c r="U12" s="16" t="n">
        <f aca="false">Alpha_keep*A12+Q12</f>
        <v>33.45625</v>
      </c>
      <c r="V12" s="14" t="n">
        <f aca="false">INDEX(GuardBlock,8,ROUND(Q12/Step_h,0)+1)</f>
        <v>1</v>
      </c>
      <c r="W12" s="22" t="n">
        <v>0</v>
      </c>
      <c r="Z12" s="2" t="s">
        <v>171</v>
      </c>
      <c r="AA12" s="14" t="n">
        <f aca="false">SUM(V5:V205)</f>
        <v>201</v>
      </c>
      <c r="AB12" s="10" t="s">
        <v>42</v>
      </c>
    </row>
    <row r="13" customFormat="false" ht="15" hidden="false" customHeight="false" outlineLevel="0" collapsed="false">
      <c r="A13" s="18" t="n">
        <f aca="false">Grid!A13</f>
        <v>32</v>
      </c>
      <c r="B13" s="19" t="n">
        <v>-569.866525985485</v>
      </c>
      <c r="C13" s="14" t="n">
        <v>8</v>
      </c>
      <c r="D13" s="11" t="n">
        <f aca="false">IF(AND($C13&gt;=6,$C13&lt;=194),Declarations!$B$25*INDEX($B$5:$B$205,$C13+1-Declarations!$E$25)+Declarations!$B$26*INDEX($B$5:$B$205,$C13+1-Declarations!$E$26)+Declarations!$B$27*INDEX($B$5:$B$205,$C13+1-Declarations!$E$27)+Declarations!$B$28*INDEX($B$5:$B$205,$C13+1-Declarations!$E$28)+Declarations!$B$29*INDEX($B$5:$B$205,$C13+1-Declarations!$E$29),"")</f>
        <v>-569.948687984322</v>
      </c>
      <c r="E13" s="16" t="str">
        <f aca="false">IF(Grid!C13=1,-Cost_k*E$3-Short_p*MAX(0,Floor_c-$A13)+Beta_q*((1-(((Alpha_keep*$A13+E$3-Lo_c)/Step_c)-MAX(6,MIN(INT(((Alpha_keep*$A13+E$3-Lo_c)/Step_c)+0.00000001),193))))*INDEX($D$5:$D$205,MAX(6,MIN(INT(((Alpha_keep*$A13+E$3-Lo_c)/Step_c)+0.00000001),193))+1)+(((Alpha_keep*$A13+E$3-Lo_c)/Step_c)-MAX(6,MIN(INT(((Alpha_keep*$A13+E$3-Lo_c)/Step_c)+0.00000001),193)))*INDEX($D$5:$D$205,MAX(6,MIN(INT(((Alpha_keep*$A13+E$3-Lo_c)/Step_c)+0.00000001),193))+2)),"")</f>
        <v/>
      </c>
      <c r="F13" s="16" t="str">
        <f aca="false">IF(Grid!D13=1,-Cost_k*F$3-Short_p*MAX(0,Floor_c-$A13)+Beta_q*((1-(((Alpha_keep*$A13+F$3-Lo_c)/Step_c)-MAX(6,MIN(INT(((Alpha_keep*$A13+F$3-Lo_c)/Step_c)+0.00000001),193))))*INDEX($D$5:$D$205,MAX(6,MIN(INT(((Alpha_keep*$A13+F$3-Lo_c)/Step_c)+0.00000001),193))+1)+(((Alpha_keep*$A13+F$3-Lo_c)/Step_c)-MAX(6,MIN(INT(((Alpha_keep*$A13+F$3-Lo_c)/Step_c)+0.00000001),193)))*INDEX($D$5:$D$205,MAX(6,MIN(INT(((Alpha_keep*$A13+F$3-Lo_c)/Step_c)+0.00000001),193))+2)),"")</f>
        <v/>
      </c>
      <c r="G13" s="16" t="n">
        <f aca="false">IF(Grid!E13=1,-Cost_k*G$3-Short_p*MAX(0,Floor_c-$A13)+Beta_q*((1-(((Alpha_keep*$A13+G$3-Lo_c)/Step_c)-MAX(6,MIN(INT(((Alpha_keep*$A13+G$3-Lo_c)/Step_c)+0.00000001),193))))*INDEX($D$5:$D$205,MAX(6,MIN(INT(((Alpha_keep*$A13+G$3-Lo_c)/Step_c)+0.00000001),193))+1)+(((Alpha_keep*$A13+G$3-Lo_c)/Step_c)-MAX(6,MIN(INT(((Alpha_keep*$A13+G$3-Lo_c)/Step_c)+0.00000001),193)))*INDEX($D$5:$D$205,MAX(6,MIN(INT(((Alpha_keep*$A13+G$3-Lo_c)/Step_c)+0.00000001),193))+2)),"")</f>
        <v>-601.345133387982</v>
      </c>
      <c r="H13" s="16" t="n">
        <f aca="false">IF(Grid!F13=1,-Cost_k*H$3-Short_p*MAX(0,Floor_c-$A13)+Beta_q*((1-(((Alpha_keep*$A13+H$3-Lo_c)/Step_c)-MAX(6,MIN(INT(((Alpha_keep*$A13+H$3-Lo_c)/Step_c)+0.00000001),193))))*INDEX($D$5:$D$205,MAX(6,MIN(INT(((Alpha_keep*$A13+H$3-Lo_c)/Step_c)+0.00000001),193))+1)+(((Alpha_keep*$A13+H$3-Lo_c)/Step_c)-MAX(6,MIN(INT(((Alpha_keep*$A13+H$3-Lo_c)/Step_c)+0.00000001),193)))*INDEX($D$5:$D$205,MAX(6,MIN(INT(((Alpha_keep*$A13+H$3-Lo_c)/Step_c)+0.00000001),193))+2)),"")</f>
        <v>-597.330726484823</v>
      </c>
      <c r="I13" s="16" t="n">
        <f aca="false">IF(Grid!G13=1,-Cost_k*I$3-Short_p*MAX(0,Floor_c-$A13)+Beta_q*((1-(((Alpha_keep*$A13+I$3-Lo_c)/Step_c)-MAX(6,MIN(INT(((Alpha_keep*$A13+I$3-Lo_c)/Step_c)+0.00000001),193))))*INDEX($D$5:$D$205,MAX(6,MIN(INT(((Alpha_keep*$A13+I$3-Lo_c)/Step_c)+0.00000001),193))+1)+(((Alpha_keep*$A13+I$3-Lo_c)/Step_c)-MAX(6,MIN(INT(((Alpha_keep*$A13+I$3-Lo_c)/Step_c)+0.00000001),193)))*INDEX($D$5:$D$205,MAX(6,MIN(INT(((Alpha_keep*$A13+I$3-Lo_c)/Step_c)+0.00000001),193))+2)),"")</f>
        <v>-593.338577738051</v>
      </c>
      <c r="J13" s="16" t="n">
        <f aca="false">IF(Grid!H13=1,-Cost_k*J$3-Short_p*MAX(0,Floor_c-$A13)+Beta_q*((1-(((Alpha_keep*$A13+J$3-Lo_c)/Step_c)-MAX(6,MIN(INT(((Alpha_keep*$A13+J$3-Lo_c)/Step_c)+0.00000001),193))))*INDEX($D$5:$D$205,MAX(6,MIN(INT(((Alpha_keep*$A13+J$3-Lo_c)/Step_c)+0.00000001),193))+1)+(((Alpha_keep*$A13+J$3-Lo_c)/Step_c)-MAX(6,MIN(INT(((Alpha_keep*$A13+J$3-Lo_c)/Step_c)+0.00000001),193)))*INDEX($D$5:$D$205,MAX(6,MIN(INT(((Alpha_keep*$A13+J$3-Lo_c)/Step_c)+0.00000001),193))+2)),"")</f>
        <v>-589.368908320807</v>
      </c>
      <c r="K13" s="16" t="n">
        <f aca="false">IF(Grid!I13=1,-Cost_k*K$3-Short_p*MAX(0,Floor_c-$A13)+Beta_q*((1-(((Alpha_keep*$A13+K$3-Lo_c)/Step_c)-MAX(6,MIN(INT(((Alpha_keep*$A13+K$3-Lo_c)/Step_c)+0.00000001),193))))*INDEX($D$5:$D$205,MAX(6,MIN(INT(((Alpha_keep*$A13+K$3-Lo_c)/Step_c)+0.00000001),193))+1)+(((Alpha_keep*$A13+K$3-Lo_c)/Step_c)-MAX(6,MIN(INT(((Alpha_keep*$A13+K$3-Lo_c)/Step_c)+0.00000001),193)))*INDEX($D$5:$D$205,MAX(6,MIN(INT(((Alpha_keep*$A13+K$3-Lo_c)/Step_c)+0.00000001),193))+2)),"")</f>
        <v>-585.421955872356</v>
      </c>
      <c r="L13" s="16" t="n">
        <f aca="false">IF(Grid!J13=1,-Cost_k*L$3-Short_p*MAX(0,Floor_c-$A13)+Beta_q*((1-(((Alpha_keep*$A13+L$3-Lo_c)/Step_c)-MAX(6,MIN(INT(((Alpha_keep*$A13+L$3-Lo_c)/Step_c)+0.00000001),193))))*INDEX($D$5:$D$205,MAX(6,MIN(INT(((Alpha_keep*$A13+L$3-Lo_c)/Step_c)+0.00000001),193))+1)+(((Alpha_keep*$A13+L$3-Lo_c)/Step_c)-MAX(6,MIN(INT(((Alpha_keep*$A13+L$3-Lo_c)/Step_c)+0.00000001),193)))*INDEX($D$5:$D$205,MAX(6,MIN(INT(((Alpha_keep*$A13+L$3-Lo_c)/Step_c)+0.00000001),193))+2)),"")</f>
        <v>-581.49799714048</v>
      </c>
      <c r="M13" s="16" t="n">
        <f aca="false">IF(Grid!K13=1,-Cost_k*M$3-Short_p*MAX(0,Floor_c-$A13)+Beta_q*((1-(((Alpha_keep*$A13+M$3-Lo_c)/Step_c)-MAX(6,MIN(INT(((Alpha_keep*$A13+M$3-Lo_c)/Step_c)+0.00000001),193))))*INDEX($D$5:$D$205,MAX(6,MIN(INT(((Alpha_keep*$A13+M$3-Lo_c)/Step_c)+0.00000001),193))+1)+(((Alpha_keep*$A13+M$3-Lo_c)/Step_c)-MAX(6,MIN(INT(((Alpha_keep*$A13+M$3-Lo_c)/Step_c)+0.00000001),193)))*INDEX($D$5:$D$205,MAX(6,MIN(INT(((Alpha_keep*$A13+M$3-Lo_c)/Step_c)+0.00000001),193))+2)),"")</f>
        <v>-577.597277946195</v>
      </c>
      <c r="N13" s="16" t="n">
        <f aca="false">IF(Grid!L13=1,-Cost_k*N$3-Short_p*MAX(0,Floor_c-$A13)+Beta_q*((1-(((Alpha_keep*$A13+N$3-Lo_c)/Step_c)-MAX(6,MIN(INT(((Alpha_keep*$A13+N$3-Lo_c)/Step_c)+0.00000001),193))))*INDEX($D$5:$D$205,MAX(6,MIN(INT(((Alpha_keep*$A13+N$3-Lo_c)/Step_c)+0.00000001),193))+1)+(((Alpha_keep*$A13+N$3-Lo_c)/Step_c)-MAX(6,MIN(INT(((Alpha_keep*$A13+N$3-Lo_c)/Step_c)+0.00000001),193)))*INDEX($D$5:$D$205,MAX(6,MIN(INT(((Alpha_keep*$A13+N$3-Lo_c)/Step_c)+0.00000001),193))+2)),"")</f>
        <v>-573.720025840548</v>
      </c>
      <c r="O13" s="16" t="n">
        <f aca="false">IF(Grid!M13=1,-Cost_k*O$3-Short_p*MAX(0,Floor_c-$A13)+Beta_q*((1-(((Alpha_keep*$A13+O$3-Lo_c)/Step_c)-MAX(6,MIN(INT(((Alpha_keep*$A13+O$3-Lo_c)/Step_c)+0.00000001),193))))*INDEX($D$5:$D$205,MAX(6,MIN(INT(((Alpha_keep*$A13+O$3-Lo_c)/Step_c)+0.00000001),193))+1)+(((Alpha_keep*$A13+O$3-Lo_c)/Step_c)-MAX(6,MIN(INT(((Alpha_keep*$A13+O$3-Lo_c)/Step_c)+0.00000001),193)))*INDEX($D$5:$D$205,MAX(6,MIN(INT(((Alpha_keep*$A13+O$3-Lo_c)/Step_c)+0.00000001),193))+2)),"")</f>
        <v>-569.866525985485</v>
      </c>
      <c r="P13" s="11" t="n">
        <f aca="false">MAX(E13:O13)</f>
        <v>-569.866525985485</v>
      </c>
      <c r="Q13" s="12" t="n">
        <f aca="false">INDEX($E$3:$O$3,MATCH(P13,E13:O13,0))</f>
        <v>2.5</v>
      </c>
      <c r="R13" s="20" t="n">
        <v>2.5</v>
      </c>
      <c r="S13" s="14" t="n">
        <f aca="false">IF(ABS(Q13-R13)&lt;0.000000001,1,0)</f>
        <v>1</v>
      </c>
      <c r="T13" s="21" t="n">
        <f aca="false">ABS(P13-B13)</f>
        <v>0</v>
      </c>
      <c r="U13" s="16" t="n">
        <f aca="false">Alpha_keep*A13+Q13</f>
        <v>33.7</v>
      </c>
      <c r="V13" s="14" t="n">
        <f aca="false">INDEX(GuardBlock,9,ROUND(Q13/Step_h,0)+1)</f>
        <v>1</v>
      </c>
      <c r="W13" s="22" t="n">
        <v>0</v>
      </c>
      <c r="Z13" s="2" t="s">
        <v>172</v>
      </c>
      <c r="AA13" s="23" t="n">
        <f aca="false">SUMPRODUCT(W5:W205,--($A$5:$A$205&lt;Floor_c-0.000000001))</f>
        <v>0.058199363320079</v>
      </c>
      <c r="AB13" s="10" t="s">
        <v>173</v>
      </c>
    </row>
    <row r="14" customFormat="false" ht="15" hidden="false" customHeight="false" outlineLevel="0" collapsed="false">
      <c r="A14" s="18" t="n">
        <f aca="false">Grid!A14</f>
        <v>32.25</v>
      </c>
      <c r="B14" s="19" t="n">
        <v>-564.757677864527</v>
      </c>
      <c r="C14" s="14" t="n">
        <v>9</v>
      </c>
      <c r="D14" s="11" t="n">
        <f aca="false">IF(AND($C14&gt;=6,$C14&lt;=194),Declarations!$B$25*INDEX($B$5:$B$205,$C14+1-Declarations!$E$25)+Declarations!$B$26*INDEX($B$5:$B$205,$C14+1-Declarations!$E$26)+Declarations!$B$27*INDEX($B$5:$B$205,$C14+1-Declarations!$E$27)+Declarations!$B$28*INDEX($B$5:$B$205,$C14+1-Declarations!$E$28)+Declarations!$B$29*INDEX($B$5:$B$205,$C14+1-Declarations!$E$29),"")</f>
        <v>-564.840729514905</v>
      </c>
      <c r="E14" s="16" t="str">
        <f aca="false">IF(Grid!C14=1,-Cost_k*E$3-Short_p*MAX(0,Floor_c-$A14)+Beta_q*((1-(((Alpha_keep*$A14+E$3-Lo_c)/Step_c)-MAX(6,MIN(INT(((Alpha_keep*$A14+E$3-Lo_c)/Step_c)+0.00000001),193))))*INDEX($D$5:$D$205,MAX(6,MIN(INT(((Alpha_keep*$A14+E$3-Lo_c)/Step_c)+0.00000001),193))+1)+(((Alpha_keep*$A14+E$3-Lo_c)/Step_c)-MAX(6,MIN(INT(((Alpha_keep*$A14+E$3-Lo_c)/Step_c)+0.00000001),193)))*INDEX($D$5:$D$205,MAX(6,MIN(INT(((Alpha_keep*$A14+E$3-Lo_c)/Step_c)+0.00000001),193))+2)),"")</f>
        <v/>
      </c>
      <c r="F14" s="16" t="n">
        <f aca="false">IF(Grid!D14=1,-Cost_k*F$3-Short_p*MAX(0,Floor_c-$A14)+Beta_q*((1-(((Alpha_keep*$A14+F$3-Lo_c)/Step_c)-MAX(6,MIN(INT(((Alpha_keep*$A14+F$3-Lo_c)/Step_c)+0.00000001),193))))*INDEX($D$5:$D$205,MAX(6,MIN(INT(((Alpha_keep*$A14+F$3-Lo_c)/Step_c)+0.00000001),193))+1)+(((Alpha_keep*$A14+F$3-Lo_c)/Step_c)-MAX(6,MIN(INT(((Alpha_keep*$A14+F$3-Lo_c)/Step_c)+0.00000001),193)))*INDEX($D$5:$D$205,MAX(6,MIN(INT(((Alpha_keep*$A14+F$3-Lo_c)/Step_c)+0.00000001),193))+2)),"")</f>
        <v>-600.070934652435</v>
      </c>
      <c r="G14" s="16" t="n">
        <f aca="false">IF(Grid!E14=1,-Cost_k*G$3-Short_p*MAX(0,Floor_c-$A14)+Beta_q*((1-(((Alpha_keep*$A14+G$3-Lo_c)/Step_c)-MAX(6,MIN(INT(((Alpha_keep*$A14+G$3-Lo_c)/Step_c)+0.00000001),193))))*INDEX($D$5:$D$205,MAX(6,MIN(INT(((Alpha_keep*$A14+G$3-Lo_c)/Step_c)+0.00000001),193))+1)+(((Alpha_keep*$A14+G$3-Lo_c)/Step_c)-MAX(6,MIN(INT(((Alpha_keep*$A14+G$3-Lo_c)/Step_c)+0.00000001),193)))*INDEX($D$5:$D$205,MAX(6,MIN(INT(((Alpha_keep*$A14+G$3-Lo_c)/Step_c)+0.00000001),193))+2)),"")</f>
        <v>-596.055976384434</v>
      </c>
      <c r="H14" s="16" t="n">
        <f aca="false">IF(Grid!F14=1,-Cost_k*H$3-Short_p*MAX(0,Floor_c-$A14)+Beta_q*((1-(((Alpha_keep*$A14+H$3-Lo_c)/Step_c)-MAX(6,MIN(INT(((Alpha_keep*$A14+H$3-Lo_c)/Step_c)+0.00000001),193))))*INDEX($D$5:$D$205,MAX(6,MIN(INT(((Alpha_keep*$A14+H$3-Lo_c)/Step_c)+0.00000001),193))+1)+(((Alpha_keep*$A14+H$3-Lo_c)/Step_c)-MAX(6,MIN(INT(((Alpha_keep*$A14+H$3-Lo_c)/Step_c)+0.00000001),193)))*INDEX($D$5:$D$205,MAX(6,MIN(INT(((Alpha_keep*$A14+H$3-Lo_c)/Step_c)+0.00000001),193))+2)),"")</f>
        <v>-592.063269911486</v>
      </c>
      <c r="I14" s="16" t="n">
        <f aca="false">IF(Grid!G14=1,-Cost_k*I$3-Short_p*MAX(0,Floor_c-$A14)+Beta_q*((1-(((Alpha_keep*$A14+I$3-Lo_c)/Step_c)-MAX(6,MIN(INT(((Alpha_keep*$A14+I$3-Lo_c)/Step_c)+0.00000001),193))))*INDEX($D$5:$D$205,MAX(6,MIN(INT(((Alpha_keep*$A14+I$3-Lo_c)/Step_c)+0.00000001),193))+1)+(((Alpha_keep*$A14+I$3-Lo_c)/Step_c)-MAX(6,MIN(INT(((Alpha_keep*$A14+I$3-Lo_c)/Step_c)+0.00000001),193)))*INDEX($D$5:$D$205,MAX(6,MIN(INT(((Alpha_keep*$A14+I$3-Lo_c)/Step_c)+0.00000001),193))+2)),"")</f>
        <v>-588.093037446737</v>
      </c>
      <c r="J14" s="16" t="n">
        <f aca="false">IF(Grid!H14=1,-Cost_k*J$3-Short_p*MAX(0,Floor_c-$A14)+Beta_q*((1-(((Alpha_keep*$A14+J$3-Lo_c)/Step_c)-MAX(6,MIN(INT(((Alpha_keep*$A14+J$3-Lo_c)/Step_c)+0.00000001),193))))*INDEX($D$5:$D$205,MAX(6,MIN(INT(((Alpha_keep*$A14+J$3-Lo_c)/Step_c)+0.00000001),193))+1)+(((Alpha_keep*$A14+J$3-Lo_c)/Step_c)-MAX(6,MIN(INT(((Alpha_keep*$A14+J$3-Lo_c)/Step_c)+0.00000001),193)))*INDEX($D$5:$D$205,MAX(6,MIN(INT(((Alpha_keep*$A14+J$3-Lo_c)/Step_c)+0.00000001),193))+2)),"")</f>
        <v>-584.145515854888</v>
      </c>
      <c r="K14" s="16" t="n">
        <f aca="false">IF(Grid!I14=1,-Cost_k*K$3-Short_p*MAX(0,Floor_c-$A14)+Beta_q*((1-(((Alpha_keep*$A14+K$3-Lo_c)/Step_c)-MAX(6,MIN(INT(((Alpha_keep*$A14+K$3-Lo_c)/Step_c)+0.00000001),193))))*INDEX($D$5:$D$205,MAX(6,MIN(INT(((Alpha_keep*$A14+K$3-Lo_c)/Step_c)+0.00000001),193))+1)+(((Alpha_keep*$A14+K$3-Lo_c)/Step_c)-MAX(6,MIN(INT(((Alpha_keep*$A14+K$3-Lo_c)/Step_c)+0.00000001),193)))*INDEX($D$5:$D$205,MAX(6,MIN(INT(((Alpha_keep*$A14+K$3-Lo_c)/Step_c)+0.00000001),193))+2)),"")</f>
        <v>-580.220980855218</v>
      </c>
      <c r="L14" s="16" t="n">
        <f aca="false">IF(Grid!J14=1,-Cost_k*L$3-Short_p*MAX(0,Floor_c-$A14)+Beta_q*((1-(((Alpha_keep*$A14+L$3-Lo_c)/Step_c)-MAX(6,MIN(INT(((Alpha_keep*$A14+L$3-Lo_c)/Step_c)+0.00000001),193))))*INDEX($D$5:$D$205,MAX(6,MIN(INT(((Alpha_keep*$A14+L$3-Lo_c)/Step_c)+0.00000001),193))+1)+(((Alpha_keep*$A14+L$3-Lo_c)/Step_c)-MAX(6,MIN(INT(((Alpha_keep*$A14+L$3-Lo_c)/Step_c)+0.00000001),193)))*INDEX($D$5:$D$205,MAX(6,MIN(INT(((Alpha_keep*$A14+L$3-Lo_c)/Step_c)+0.00000001),193))+2)),"")</f>
        <v>-576.319679492332</v>
      </c>
      <c r="M14" s="16" t="n">
        <f aca="false">IF(Grid!K14=1,-Cost_k*M$3-Short_p*MAX(0,Floor_c-$A14)+Beta_q*((1-(((Alpha_keep*$A14+M$3-Lo_c)/Step_c)-MAX(6,MIN(INT(((Alpha_keep*$A14+M$3-Lo_c)/Step_c)+0.00000001),193))))*INDEX($D$5:$D$205,MAX(6,MIN(INT(((Alpha_keep*$A14+M$3-Lo_c)/Step_c)+0.00000001),193))+1)+(((Alpha_keep*$A14+M$3-Lo_c)/Step_c)-MAX(6,MIN(INT(((Alpha_keep*$A14+M$3-Lo_c)/Step_c)+0.00000001),193)))*INDEX($D$5:$D$205,MAX(6,MIN(INT(((Alpha_keep*$A14+M$3-Lo_c)/Step_c)+0.00000001),193))+2)),"")</f>
        <v>-572.441839582315</v>
      </c>
      <c r="N14" s="16" t="n">
        <f aca="false">IF(Grid!L14=1,-Cost_k*N$3-Short_p*MAX(0,Floor_c-$A14)+Beta_q*((1-(((Alpha_keep*$A14+N$3-Lo_c)/Step_c)-MAX(6,MIN(INT(((Alpha_keep*$A14+N$3-Lo_c)/Step_c)+0.00000001),193))))*INDEX($D$5:$D$205,MAX(6,MIN(INT(((Alpha_keep*$A14+N$3-Lo_c)/Step_c)+0.00000001),193))+1)+(((Alpha_keep*$A14+N$3-Lo_c)/Step_c)-MAX(6,MIN(INT(((Alpha_keep*$A14+N$3-Lo_c)/Step_c)+0.00000001),193)))*INDEX($D$5:$D$205,MAX(6,MIN(INT(((Alpha_keep*$A14+N$3-Lo_c)/Step_c)+0.00000001),193))+2)),"")</f>
        <v>-568.587744420514</v>
      </c>
      <c r="O14" s="16" t="n">
        <f aca="false">IF(Grid!M14=1,-Cost_k*O$3-Short_p*MAX(0,Floor_c-$A14)+Beta_q*((1-(((Alpha_keep*$A14+O$3-Lo_c)/Step_c)-MAX(6,MIN(INT(((Alpha_keep*$A14+O$3-Lo_c)/Step_c)+0.00000001),193))))*INDEX($D$5:$D$205,MAX(6,MIN(INT(((Alpha_keep*$A14+O$3-Lo_c)/Step_c)+0.00000001),193))+1)+(((Alpha_keep*$A14+O$3-Lo_c)/Step_c)-MAX(6,MIN(INT(((Alpha_keep*$A14+O$3-Lo_c)/Step_c)+0.00000001),193)))*INDEX($D$5:$D$205,MAX(6,MIN(INT(((Alpha_keep*$A14+O$3-Lo_c)/Step_c)+0.00000001),193))+2)),"")</f>
        <v>-564.757677864527</v>
      </c>
      <c r="P14" s="11" t="n">
        <f aca="false">MAX(E14:O14)</f>
        <v>-564.757677864527</v>
      </c>
      <c r="Q14" s="12" t="n">
        <f aca="false">INDEX($E$3:$O$3,MATCH(P14,E14:O14,0))</f>
        <v>2.5</v>
      </c>
      <c r="R14" s="20" t="n">
        <v>2.5</v>
      </c>
      <c r="S14" s="14" t="n">
        <f aca="false">IF(ABS(Q14-R14)&lt;0.000000001,1,0)</f>
        <v>1</v>
      </c>
      <c r="T14" s="21" t="n">
        <f aca="false">ABS(P14-B14)</f>
        <v>0</v>
      </c>
      <c r="U14" s="16" t="n">
        <f aca="false">Alpha_keep*A14+Q14</f>
        <v>33.94375</v>
      </c>
      <c r="V14" s="14" t="n">
        <f aca="false">INDEX(GuardBlock,10,ROUND(Q14/Step_h,0)+1)</f>
        <v>1</v>
      </c>
      <c r="W14" s="22" t="n">
        <v>0</v>
      </c>
      <c r="Z14" s="2" t="s">
        <v>174</v>
      </c>
      <c r="AA14" s="12" t="n">
        <f aca="false">SUMPRODUCT(W5:W205,$A$5:$A$205)</f>
        <v>55.8377425411407</v>
      </c>
    </row>
    <row r="15" customFormat="false" ht="15" hidden="false" customHeight="false" outlineLevel="0" collapsed="false">
      <c r="A15" s="18" t="n">
        <f aca="false">Grid!A15</f>
        <v>32.5</v>
      </c>
      <c r="B15" s="19" t="n">
        <v>-559.67187630385</v>
      </c>
      <c r="C15" s="14" t="n">
        <v>10</v>
      </c>
      <c r="D15" s="11" t="n">
        <f aca="false">IF(AND($C15&gt;=6,$C15&lt;=194),Declarations!$B$25*INDEX($B$5:$B$205,$C15+1-Declarations!$E$25)+Declarations!$B$26*INDEX($B$5:$B$205,$C15+1-Declarations!$E$26)+Declarations!$B$27*INDEX($B$5:$B$205,$C15+1-Declarations!$E$27)+Declarations!$B$28*INDEX($B$5:$B$205,$C15+1-Declarations!$E$28)+Declarations!$B$29*INDEX($B$5:$B$205,$C15+1-Declarations!$E$29),"")</f>
        <v>-559.755836031728</v>
      </c>
      <c r="E15" s="16" t="n">
        <f aca="false">IF(Grid!C15=1,-Cost_k*E$3-Short_p*MAX(0,Floor_c-$A15)+Beta_q*((1-(((Alpha_keep*$A15+E$3-Lo_c)/Step_c)-MAX(6,MIN(INT(((Alpha_keep*$A15+E$3-Lo_c)/Step_c)+0.00000001),193))))*INDEX($D$5:$D$205,MAX(6,MIN(INT(((Alpha_keep*$A15+E$3-Lo_c)/Step_c)+0.00000001),193))+1)+(((Alpha_keep*$A15+E$3-Lo_c)/Step_c)-MAX(6,MIN(INT(((Alpha_keep*$A15+E$3-Lo_c)/Step_c)+0.00000001),193)))*INDEX($D$5:$D$205,MAX(6,MIN(INT(((Alpha_keep*$A15+E$3-Lo_c)/Step_c)+0.00000001),193))+2)),"")</f>
        <v>-598.796735916888</v>
      </c>
      <c r="F15" s="16" t="n">
        <f aca="false">IF(Grid!D15=1,-Cost_k*F$3-Short_p*MAX(0,Floor_c-$A15)+Beta_q*((1-(((Alpha_keep*$A15+F$3-Lo_c)/Step_c)-MAX(6,MIN(INT(((Alpha_keep*$A15+F$3-Lo_c)/Step_c)+0.00000001),193))))*INDEX($D$5:$D$205,MAX(6,MIN(INT(((Alpha_keep*$A15+F$3-Lo_c)/Step_c)+0.00000001),193))+1)+(((Alpha_keep*$A15+F$3-Lo_c)/Step_c)-MAX(6,MIN(INT(((Alpha_keep*$A15+F$3-Lo_c)/Step_c)+0.00000001),193)))*INDEX($D$5:$D$205,MAX(6,MIN(INT(((Alpha_keep*$A15+F$3-Lo_c)/Step_c)+0.00000001),193))+2)),"")</f>
        <v>-594.781226284044</v>
      </c>
      <c r="G15" s="16" t="n">
        <f aca="false">IF(Grid!E15=1,-Cost_k*G$3-Short_p*MAX(0,Floor_c-$A15)+Beta_q*((1-(((Alpha_keep*$A15+G$3-Lo_c)/Step_c)-MAX(6,MIN(INT(((Alpha_keep*$A15+G$3-Lo_c)/Step_c)+0.00000001),193))))*INDEX($D$5:$D$205,MAX(6,MIN(INT(((Alpha_keep*$A15+G$3-Lo_c)/Step_c)+0.00000001),193))+1)+(((Alpha_keep*$A15+G$3-Lo_c)/Step_c)-MAX(6,MIN(INT(((Alpha_keep*$A15+G$3-Lo_c)/Step_c)+0.00000001),193)))*INDEX($D$5:$D$205,MAX(6,MIN(INT(((Alpha_keep*$A15+G$3-Lo_c)/Step_c)+0.00000001),193))+2)),"")</f>
        <v>-590.787962084919</v>
      </c>
      <c r="H15" s="16" t="n">
        <f aca="false">IF(Grid!F15=1,-Cost_k*H$3-Short_p*MAX(0,Floor_c-$A15)+Beta_q*((1-(((Alpha_keep*$A15+H$3-Lo_c)/Step_c)-MAX(6,MIN(INT(((Alpha_keep*$A15+H$3-Lo_c)/Step_c)+0.00000001),193))))*INDEX($D$5:$D$205,MAX(6,MIN(INT(((Alpha_keep*$A15+H$3-Lo_c)/Step_c)+0.00000001),193))+1)+(((Alpha_keep*$A15+H$3-Lo_c)/Step_c)-MAX(6,MIN(INT(((Alpha_keep*$A15+H$3-Lo_c)/Step_c)+0.00000001),193)))*INDEX($D$5:$D$205,MAX(6,MIN(INT(((Alpha_keep*$A15+H$3-Lo_c)/Step_c)+0.00000001),193))+2)),"")</f>
        <v>-586.817166572668</v>
      </c>
      <c r="I15" s="16" t="n">
        <f aca="false">IF(Grid!G15=1,-Cost_k*I$3-Short_p*MAX(0,Floor_c-$A15)+Beta_q*((1-(((Alpha_keep*$A15+I$3-Lo_c)/Step_c)-MAX(6,MIN(INT(((Alpha_keep*$A15+I$3-Lo_c)/Step_c)+0.00000001),193))))*INDEX($D$5:$D$205,MAX(6,MIN(INT(((Alpha_keep*$A15+I$3-Lo_c)/Step_c)+0.00000001),193))+1)+(((Alpha_keep*$A15+I$3-Lo_c)/Step_c)-MAX(6,MIN(INT(((Alpha_keep*$A15+I$3-Lo_c)/Step_c)+0.00000001),193)))*INDEX($D$5:$D$205,MAX(6,MIN(INT(((Alpha_keep*$A15+I$3-Lo_c)/Step_c)+0.00000001),193))+2)),"")</f>
        <v>-582.869075837419</v>
      </c>
      <c r="J15" s="16" t="n">
        <f aca="false">IF(Grid!H15=1,-Cost_k*J$3-Short_p*MAX(0,Floor_c-$A15)+Beta_q*((1-(((Alpha_keep*$A15+J$3-Lo_c)/Step_c)-MAX(6,MIN(INT(((Alpha_keep*$A15+J$3-Lo_c)/Step_c)+0.00000001),193))))*INDEX($D$5:$D$205,MAX(6,MIN(INT(((Alpha_keep*$A15+J$3-Lo_c)/Step_c)+0.00000001),193))+1)+(((Alpha_keep*$A15+J$3-Lo_c)/Step_c)-MAX(6,MIN(INT(((Alpha_keep*$A15+J$3-Lo_c)/Step_c)+0.00000001),193)))*INDEX($D$5:$D$205,MAX(6,MIN(INT(((Alpha_keep*$A15+J$3-Lo_c)/Step_c)+0.00000001),193))+2)),"")</f>
        <v>-578.943964569957</v>
      </c>
      <c r="K15" s="16" t="n">
        <f aca="false">IF(Grid!I15=1,-Cost_k*K$3-Short_p*MAX(0,Floor_c-$A15)+Beta_q*((1-(((Alpha_keep*$A15+K$3-Lo_c)/Step_c)-MAX(6,MIN(INT(((Alpha_keep*$A15+K$3-Lo_c)/Step_c)+0.00000001),193))))*INDEX($D$5:$D$205,MAX(6,MIN(INT(((Alpha_keep*$A15+K$3-Lo_c)/Step_c)+0.00000001),193))+1)+(((Alpha_keep*$A15+K$3-Lo_c)/Step_c)-MAX(6,MIN(INT(((Alpha_keep*$A15+K$3-Lo_c)/Step_c)+0.00000001),193)))*INDEX($D$5:$D$205,MAX(6,MIN(INT(((Alpha_keep*$A15+K$3-Lo_c)/Step_c)+0.00000001),193))+2)),"")</f>
        <v>-575.042081038468</v>
      </c>
      <c r="L15" s="16" t="n">
        <f aca="false">IF(Grid!J15=1,-Cost_k*L$3-Short_p*MAX(0,Floor_c-$A15)+Beta_q*((1-(((Alpha_keep*$A15+L$3-Lo_c)/Step_c)-MAX(6,MIN(INT(((Alpha_keep*$A15+L$3-Lo_c)/Step_c)+0.00000001),193))))*INDEX($D$5:$D$205,MAX(6,MIN(INT(((Alpha_keep*$A15+L$3-Lo_c)/Step_c)+0.00000001),193))+1)+(((Alpha_keep*$A15+L$3-Lo_c)/Step_c)-MAX(6,MIN(INT(((Alpha_keep*$A15+L$3-Lo_c)/Step_c)+0.00000001),193)))*INDEX($D$5:$D$205,MAX(6,MIN(INT(((Alpha_keep*$A15+L$3-Lo_c)/Step_c)+0.00000001),193))+2)),"")</f>
        <v>-571.163653324083</v>
      </c>
      <c r="M15" s="16" t="n">
        <f aca="false">IF(Grid!K15=1,-Cost_k*M$3-Short_p*MAX(0,Floor_c-$A15)+Beta_q*((1-(((Alpha_keep*$A15+M$3-Lo_c)/Step_c)-MAX(6,MIN(INT(((Alpha_keep*$A15+M$3-Lo_c)/Step_c)+0.00000001),193))))*INDEX($D$5:$D$205,MAX(6,MIN(INT(((Alpha_keep*$A15+M$3-Lo_c)/Step_c)+0.00000001),193))+1)+(((Alpha_keep*$A15+M$3-Lo_c)/Step_c)-MAX(6,MIN(INT(((Alpha_keep*$A15+M$3-Lo_c)/Step_c)+0.00000001),193)))*INDEX($D$5:$D$205,MAX(6,MIN(INT(((Alpha_keep*$A15+M$3-Lo_c)/Step_c)+0.00000001),193))+2)),"")</f>
        <v>-567.308962855543</v>
      </c>
      <c r="N15" s="16" t="n">
        <f aca="false">IF(Grid!L15=1,-Cost_k*N$3-Short_p*MAX(0,Floor_c-$A15)+Beta_q*((1-(((Alpha_keep*$A15+N$3-Lo_c)/Step_c)-MAX(6,MIN(INT(((Alpha_keep*$A15+N$3-Lo_c)/Step_c)+0.00000001),193))))*INDEX($D$5:$D$205,MAX(6,MIN(INT(((Alpha_keep*$A15+N$3-Lo_c)/Step_c)+0.00000001),193))+1)+(((Alpha_keep*$A15+N$3-Lo_c)/Step_c)-MAX(6,MIN(INT(((Alpha_keep*$A15+N$3-Lo_c)/Step_c)+0.00000001),193)))*INDEX($D$5:$D$205,MAX(6,MIN(INT(((Alpha_keep*$A15+N$3-Lo_c)/Step_c)+0.00000001),193))+2)),"")</f>
        <v>-563.478294014228</v>
      </c>
      <c r="O15" s="16" t="n">
        <f aca="false">IF(Grid!M15=1,-Cost_k*O$3-Short_p*MAX(0,Floor_c-$A15)+Beta_q*((1-(((Alpha_keep*$A15+O$3-Lo_c)/Step_c)-MAX(6,MIN(INT(((Alpha_keep*$A15+O$3-Lo_c)/Step_c)+0.00000001),193))))*INDEX($D$5:$D$205,MAX(6,MIN(INT(((Alpha_keep*$A15+O$3-Lo_c)/Step_c)+0.00000001),193))+1)+(((Alpha_keep*$A15+O$3-Lo_c)/Step_c)-MAX(6,MIN(INT(((Alpha_keep*$A15+O$3-Lo_c)/Step_c)+0.00000001),193)))*INDEX($D$5:$D$205,MAX(6,MIN(INT(((Alpha_keep*$A15+O$3-Lo_c)/Step_c)+0.00000001),193))+2)),"")</f>
        <v>-559.67187630385</v>
      </c>
      <c r="P15" s="11" t="n">
        <f aca="false">MAX(E15:O15)</f>
        <v>-559.67187630385</v>
      </c>
      <c r="Q15" s="12" t="n">
        <f aca="false">INDEX($E$3:$O$3,MATCH(P15,E15:O15,0))</f>
        <v>2.5</v>
      </c>
      <c r="R15" s="20" t="n">
        <v>2.5</v>
      </c>
      <c r="S15" s="14" t="n">
        <f aca="false">IF(ABS(Q15-R15)&lt;0.000000001,1,0)</f>
        <v>1</v>
      </c>
      <c r="T15" s="21" t="n">
        <f aca="false">ABS(P15-B15)</f>
        <v>0</v>
      </c>
      <c r="U15" s="16" t="n">
        <f aca="false">Alpha_keep*A15+Q15</f>
        <v>34.1875</v>
      </c>
      <c r="V15" s="14" t="n">
        <f aca="false">INDEX(GuardBlock,11,ROUND(Q15/Step_h,0)+1)</f>
        <v>1</v>
      </c>
      <c r="W15" s="22" t="n">
        <v>0</v>
      </c>
      <c r="Z15" s="2" t="s">
        <v>175</v>
      </c>
      <c r="AA15" s="12" t="n">
        <f aca="false">Alpha_keep*Start_c+INDEX(Q5:Q205,MATCH(Start_c,$A$5:$A$205,0))-Mean_w</f>
        <v>56.55</v>
      </c>
      <c r="AB15" s="10" t="s">
        <v>176</v>
      </c>
    </row>
    <row r="16" customFormat="false" ht="15" hidden="false" customHeight="false" outlineLevel="0" collapsed="false">
      <c r="A16" s="18" t="n">
        <f aca="false">Grid!A16</f>
        <v>32.75</v>
      </c>
      <c r="B16" s="19" t="n">
        <v>-554.609374977201</v>
      </c>
      <c r="C16" s="14" t="n">
        <v>11</v>
      </c>
      <c r="D16" s="11" t="n">
        <f aca="false">IF(AND($C16&gt;=6,$C16&lt;=194),Declarations!$B$25*INDEX($B$5:$B$205,$C16+1-Declarations!$E$25)+Declarations!$B$26*INDEX($B$5:$B$205,$C16+1-Declarations!$E$26)+Declarations!$B$27*INDEX($B$5:$B$205,$C16+1-Declarations!$E$27)+Declarations!$B$28*INDEX($B$5:$B$205,$C16+1-Declarations!$E$28)+Declarations!$B$29*INDEX($B$5:$B$205,$C16+1-Declarations!$E$29),"")</f>
        <v>-554.694257250388</v>
      </c>
      <c r="E16" s="16" t="n">
        <f aca="false">IF(Grid!C16=1,-Cost_k*E$3-Short_p*MAX(0,Floor_c-$A16)+Beta_q*((1-(((Alpha_keep*$A16+E$3-Lo_c)/Step_c)-MAX(6,MIN(INT(((Alpha_keep*$A16+E$3-Lo_c)/Step_c)+0.00000001),193))))*INDEX($D$5:$D$205,MAX(6,MIN(INT(((Alpha_keep*$A16+E$3-Lo_c)/Step_c)+0.00000001),193))+1)+(((Alpha_keep*$A16+E$3-Lo_c)/Step_c)-MAX(6,MIN(INT(((Alpha_keep*$A16+E$3-Lo_c)/Step_c)+0.00000001),193)))*INDEX($D$5:$D$205,MAX(6,MIN(INT(((Alpha_keep*$A16+E$3-Lo_c)/Step_c)+0.00000001),193))+2)),"")</f>
        <v>-593.506476183655</v>
      </c>
      <c r="F16" s="16" t="n">
        <f aca="false">IF(Grid!D16=1,-Cost_k*F$3-Short_p*MAX(0,Floor_c-$A16)+Beta_q*((1-(((Alpha_keep*$A16+F$3-Lo_c)/Step_c)-MAX(6,MIN(INT(((Alpha_keep*$A16+F$3-Lo_c)/Step_c)+0.00000001),193))))*INDEX($D$5:$D$205,MAX(6,MIN(INT(((Alpha_keep*$A16+F$3-Lo_c)/Step_c)+0.00000001),193))+1)+(((Alpha_keep*$A16+F$3-Lo_c)/Step_c)-MAX(6,MIN(INT(((Alpha_keep*$A16+F$3-Lo_c)/Step_c)+0.00000001),193)))*INDEX($D$5:$D$205,MAX(6,MIN(INT(((Alpha_keep*$A16+F$3-Lo_c)/Step_c)+0.00000001),193))+2)),"")</f>
        <v>-589.512654258354</v>
      </c>
      <c r="G16" s="16" t="n">
        <f aca="false">IF(Grid!E16=1,-Cost_k*G$3-Short_p*MAX(0,Floor_c-$A16)+Beta_q*((1-(((Alpha_keep*$A16+G$3-Lo_c)/Step_c)-MAX(6,MIN(INT(((Alpha_keep*$A16+G$3-Lo_c)/Step_c)+0.00000001),193))))*INDEX($D$5:$D$205,MAX(6,MIN(INT(((Alpha_keep*$A16+G$3-Lo_c)/Step_c)+0.00000001),193))+1)+(((Alpha_keep*$A16+G$3-Lo_c)/Step_c)-MAX(6,MIN(INT(((Alpha_keep*$A16+G$3-Lo_c)/Step_c)+0.00000001),193)))*INDEX($D$5:$D$205,MAX(6,MIN(INT(((Alpha_keep*$A16+G$3-Lo_c)/Step_c)+0.00000001),193))+2)),"")</f>
        <v>-585.541295698598</v>
      </c>
      <c r="H16" s="16" t="n">
        <f aca="false">IF(Grid!F16=1,-Cost_k*H$3-Short_p*MAX(0,Floor_c-$A16)+Beta_q*((1-(((Alpha_keep*$A16+H$3-Lo_c)/Step_c)-MAX(6,MIN(INT(((Alpha_keep*$A16+H$3-Lo_c)/Step_c)+0.00000001),193))))*INDEX($D$5:$D$205,MAX(6,MIN(INT(((Alpha_keep*$A16+H$3-Lo_c)/Step_c)+0.00000001),193))+1)+(((Alpha_keep*$A16+H$3-Lo_c)/Step_c)-MAX(6,MIN(INT(((Alpha_keep*$A16+H$3-Lo_c)/Step_c)+0.00000001),193)))*INDEX($D$5:$D$205,MAX(6,MIN(INT(((Alpha_keep*$A16+H$3-Lo_c)/Step_c)+0.00000001),193))+2)),"")</f>
        <v>-581.592635819951</v>
      </c>
      <c r="I16" s="16" t="n">
        <f aca="false">IF(Grid!G16=1,-Cost_k*I$3-Short_p*MAX(0,Floor_c-$A16)+Beta_q*((1-(((Alpha_keep*$A16+I$3-Lo_c)/Step_c)-MAX(6,MIN(INT(((Alpha_keep*$A16+I$3-Lo_c)/Step_c)+0.00000001),193))))*INDEX($D$5:$D$205,MAX(6,MIN(INT(((Alpha_keep*$A16+I$3-Lo_c)/Step_c)+0.00000001),193))+1)+(((Alpha_keep*$A16+I$3-Lo_c)/Step_c)-MAX(6,MIN(INT(((Alpha_keep*$A16+I$3-Lo_c)/Step_c)+0.00000001),193)))*INDEX($D$5:$D$205,MAX(6,MIN(INT(((Alpha_keep*$A16+I$3-Lo_c)/Step_c)+0.00000001),193))+2)),"")</f>
        <v>-577.666948284695</v>
      </c>
      <c r="J16" s="16" t="n">
        <f aca="false">IF(Grid!H16=1,-Cost_k*J$3-Short_p*MAX(0,Floor_c-$A16)+Beta_q*((1-(((Alpha_keep*$A16+J$3-Lo_c)/Step_c)-MAX(6,MIN(INT(((Alpha_keep*$A16+J$3-Lo_c)/Step_c)+0.00000001),193))))*INDEX($D$5:$D$205,MAX(6,MIN(INT(((Alpha_keep*$A16+J$3-Lo_c)/Step_c)+0.00000001),193))+1)+(((Alpha_keep*$A16+J$3-Lo_c)/Step_c)-MAX(6,MIN(INT(((Alpha_keep*$A16+J$3-Lo_c)/Step_c)+0.00000001),193)))*INDEX($D$5:$D$205,MAX(6,MIN(INT(((Alpha_keep*$A16+J$3-Lo_c)/Step_c)+0.00000001),193))+2)),"")</f>
        <v>-573.764482584605</v>
      </c>
      <c r="K16" s="16" t="n">
        <f aca="false">IF(Grid!I16=1,-Cost_k*K$3-Short_p*MAX(0,Floor_c-$A16)+Beta_q*((1-(((Alpha_keep*$A16+K$3-Lo_c)/Step_c)-MAX(6,MIN(INT(((Alpha_keep*$A16+K$3-Lo_c)/Step_c)+0.00000001),193))))*INDEX($D$5:$D$205,MAX(6,MIN(INT(((Alpha_keep*$A16+K$3-Lo_c)/Step_c)+0.00000001),193))+1)+(((Alpha_keep*$A16+K$3-Lo_c)/Step_c)-MAX(6,MIN(INT(((Alpha_keep*$A16+K$3-Lo_c)/Step_c)+0.00000001),193)))*INDEX($D$5:$D$205,MAX(6,MIN(INT(((Alpha_keep*$A16+K$3-Lo_c)/Step_c)+0.00000001),193))+2)),"")</f>
        <v>-569.88546706585</v>
      </c>
      <c r="L16" s="16" t="n">
        <f aca="false">IF(Grid!J16=1,-Cost_k*L$3-Short_p*MAX(0,Floor_c-$A16)+Beta_q*((1-(((Alpha_keep*$A16+L$3-Lo_c)/Step_c)-MAX(6,MIN(INT(((Alpha_keep*$A16+L$3-Lo_c)/Step_c)+0.00000001),193))))*INDEX($D$5:$D$205,MAX(6,MIN(INT(((Alpha_keep*$A16+L$3-Lo_c)/Step_c)+0.00000001),193))+1)+(((Alpha_keep*$A16+L$3-Lo_c)/Step_c)-MAX(6,MIN(INT(((Alpha_keep*$A16+L$3-Lo_c)/Step_c)+0.00000001),193)))*INDEX($D$5:$D$205,MAX(6,MIN(INT(((Alpha_keep*$A16+L$3-Lo_c)/Step_c)+0.00000001),193))+2)),"")</f>
        <v>-566.030181290572</v>
      </c>
      <c r="M16" s="16" t="n">
        <f aca="false">IF(Grid!K16=1,-Cost_k*M$3-Short_p*MAX(0,Floor_c-$A16)+Beta_q*((1-(((Alpha_keep*$A16+M$3-Lo_c)/Step_c)-MAX(6,MIN(INT(((Alpha_keep*$A16+M$3-Lo_c)/Step_c)+0.00000001),193))))*INDEX($D$5:$D$205,MAX(6,MIN(INT(((Alpha_keep*$A16+M$3-Lo_c)/Step_c)+0.00000001),193))+1)+(((Alpha_keep*$A16+M$3-Lo_c)/Step_c)-MAX(6,MIN(INT(((Alpha_keep*$A16+M$3-Lo_c)/Step_c)+0.00000001),193)))*INDEX($D$5:$D$205,MAX(6,MIN(INT(((Alpha_keep*$A16+M$3-Lo_c)/Step_c)+0.00000001),193))+2)),"")</f>
        <v>-562.198910163929</v>
      </c>
      <c r="N16" s="16" t="n">
        <f aca="false">IF(Grid!L16=1,-Cost_k*N$3-Short_p*MAX(0,Floor_c-$A16)+Beta_q*((1-(((Alpha_keep*$A16+N$3-Lo_c)/Step_c)-MAX(6,MIN(INT(((Alpha_keep*$A16+N$3-Lo_c)/Step_c)+0.00000001),193))))*INDEX($D$5:$D$205,MAX(6,MIN(INT(((Alpha_keep*$A16+N$3-Lo_c)/Step_c)+0.00000001),193))+1)+(((Alpha_keep*$A16+N$3-Lo_c)/Step_c)-MAX(6,MIN(INT(((Alpha_keep*$A16+N$3-Lo_c)/Step_c)+0.00000001),193)))*INDEX($D$5:$D$205,MAX(6,MIN(INT(((Alpha_keep*$A16+N$3-Lo_c)/Step_c)+0.00000001),193))+2)),"")</f>
        <v>-558.391884844296</v>
      </c>
      <c r="O16" s="16" t="n">
        <f aca="false">IF(Grid!M16=1,-Cost_k*O$3-Short_p*MAX(0,Floor_c-$A16)+Beta_q*((1-(((Alpha_keep*$A16+O$3-Lo_c)/Step_c)-MAX(6,MIN(INT(((Alpha_keep*$A16+O$3-Lo_c)/Step_c)+0.00000001),193))))*INDEX($D$5:$D$205,MAX(6,MIN(INT(((Alpha_keep*$A16+O$3-Lo_c)/Step_c)+0.00000001),193))+1)+(((Alpha_keep*$A16+O$3-Lo_c)/Step_c)-MAX(6,MIN(INT(((Alpha_keep*$A16+O$3-Lo_c)/Step_c)+0.00000001),193)))*INDEX($D$5:$D$205,MAX(6,MIN(INT(((Alpha_keep*$A16+O$3-Lo_c)/Step_c)+0.00000001),193))+2)),"")</f>
        <v>-554.609374977201</v>
      </c>
      <c r="P16" s="11" t="n">
        <f aca="false">MAX(E16:O16)</f>
        <v>-554.609374977201</v>
      </c>
      <c r="Q16" s="12" t="n">
        <f aca="false">INDEX($E$3:$O$3,MATCH(P16,E16:O16,0))</f>
        <v>2.5</v>
      </c>
      <c r="R16" s="20" t="n">
        <v>2.5</v>
      </c>
      <c r="S16" s="14" t="n">
        <f aca="false">IF(ABS(Q16-R16)&lt;0.000000001,1,0)</f>
        <v>1</v>
      </c>
      <c r="T16" s="21" t="n">
        <f aca="false">ABS(P16-B16)</f>
        <v>0</v>
      </c>
      <c r="U16" s="16" t="n">
        <f aca="false">Alpha_keep*A16+Q16</f>
        <v>34.43125</v>
      </c>
      <c r="V16" s="14" t="n">
        <f aca="false">INDEX(GuardBlock,12,ROUND(Q16/Step_h,0)+1)</f>
        <v>1</v>
      </c>
      <c r="W16" s="22" t="n">
        <v>0</v>
      </c>
    </row>
    <row r="17" customFormat="false" ht="15" hidden="false" customHeight="false" outlineLevel="0" collapsed="false">
      <c r="A17" s="18" t="n">
        <f aca="false">Grid!A17</f>
        <v>33</v>
      </c>
      <c r="B17" s="19" t="n">
        <v>-549.570472674338</v>
      </c>
      <c r="C17" s="14" t="n">
        <v>12</v>
      </c>
      <c r="D17" s="11" t="n">
        <f aca="false">IF(AND($C17&gt;=6,$C17&lt;=194),Declarations!$B$25*INDEX($B$5:$B$205,$C17+1-Declarations!$E$25)+Declarations!$B$26*INDEX($B$5:$B$205,$C17+1-Declarations!$E$26)+Declarations!$B$27*INDEX($B$5:$B$205,$C17+1-Declarations!$E$27)+Declarations!$B$28*INDEX($B$5:$B$205,$C17+1-Declarations!$E$28)+Declarations!$B$29*INDEX($B$5:$B$205,$C17+1-Declarations!$E$29),"")</f>
        <v>-549.656285018471</v>
      </c>
      <c r="E17" s="16" t="n">
        <f aca="false">IF(Grid!C17=1,-Cost_k*E$3-Short_p*MAX(0,Floor_c-$A17)+Beta_q*((1-(((Alpha_keep*$A17+E$3-Lo_c)/Step_c)-MAX(6,MIN(INT(((Alpha_keep*$A17+E$3-Lo_c)/Step_c)+0.00000001),193))))*INDEX($D$5:$D$205,MAX(6,MIN(INT(((Alpha_keep*$A17+E$3-Lo_c)/Step_c)+0.00000001),193))+1)+(((Alpha_keep*$A17+E$3-Lo_c)/Step_c)-MAX(6,MIN(INT(((Alpha_keep*$A17+E$3-Lo_c)/Step_c)+0.00000001),193)))*INDEX($D$5:$D$205,MAX(6,MIN(INT(((Alpha_keep*$A17+E$3-Lo_c)/Step_c)+0.00000001),193))+2)),"")</f>
        <v>-588.237346431788</v>
      </c>
      <c r="F17" s="16" t="n">
        <f aca="false">IF(Grid!D17=1,-Cost_k*F$3-Short_p*MAX(0,Floor_c-$A17)+Beta_q*((1-(((Alpha_keep*$A17+F$3-Lo_c)/Step_c)-MAX(6,MIN(INT(((Alpha_keep*$A17+F$3-Lo_c)/Step_c)+0.00000001),193))))*INDEX($D$5:$D$205,MAX(6,MIN(INT(((Alpha_keep*$A17+F$3-Lo_c)/Step_c)+0.00000001),193))+1)+(((Alpha_keep*$A17+F$3-Lo_c)/Step_c)-MAX(6,MIN(INT(((Alpha_keep*$A17+F$3-Lo_c)/Step_c)+0.00000001),193)))*INDEX($D$5:$D$205,MAX(6,MIN(INT(((Alpha_keep*$A17+F$3-Lo_c)/Step_c)+0.00000001),193))+2)),"")</f>
        <v>-584.265424824528</v>
      </c>
      <c r="G17" s="16" t="n">
        <f aca="false">IF(Grid!E17=1,-Cost_k*G$3-Short_p*MAX(0,Floor_c-$A17)+Beta_q*((1-(((Alpha_keep*$A17+G$3-Lo_c)/Step_c)-MAX(6,MIN(INT(((Alpha_keep*$A17+G$3-Lo_c)/Step_c)+0.00000001),193))))*INDEX($D$5:$D$205,MAX(6,MIN(INT(((Alpha_keep*$A17+G$3-Lo_c)/Step_c)+0.00000001),193))+1)+(((Alpha_keep*$A17+G$3-Lo_c)/Step_c)-MAX(6,MIN(INT(((Alpha_keep*$A17+G$3-Lo_c)/Step_c)+0.00000001),193)))*INDEX($D$5:$D$205,MAX(6,MIN(INT(((Alpha_keep*$A17+G$3-Lo_c)/Step_c)+0.00000001),193))+2)),"")</f>
        <v>-580.316195802482</v>
      </c>
      <c r="H17" s="16" t="n">
        <f aca="false">IF(Grid!F17=1,-Cost_k*H$3-Short_p*MAX(0,Floor_c-$A17)+Beta_q*((1-(((Alpha_keep*$A17+H$3-Lo_c)/Step_c)-MAX(6,MIN(INT(((Alpha_keep*$A17+H$3-Lo_c)/Step_c)+0.00000001),193))))*INDEX($D$5:$D$205,MAX(6,MIN(INT(((Alpha_keep*$A17+H$3-Lo_c)/Step_c)+0.00000001),193))+1)+(((Alpha_keep*$A17+H$3-Lo_c)/Step_c)-MAX(6,MIN(INT(((Alpha_keep*$A17+H$3-Lo_c)/Step_c)+0.00000001),193)))*INDEX($D$5:$D$205,MAX(6,MIN(INT(((Alpha_keep*$A17+H$3-Lo_c)/Step_c)+0.00000001),193))+2)),"")</f>
        <v>-576.389931999433</v>
      </c>
      <c r="I17" s="16" t="n">
        <f aca="false">IF(Grid!G17=1,-Cost_k*I$3-Short_p*MAX(0,Floor_c-$A17)+Beta_q*((1-(((Alpha_keep*$A17+I$3-Lo_c)/Step_c)-MAX(6,MIN(INT(((Alpha_keep*$A17+I$3-Lo_c)/Step_c)+0.00000001),193))))*INDEX($D$5:$D$205,MAX(6,MIN(INT(((Alpha_keep*$A17+I$3-Lo_c)/Step_c)+0.00000001),193))+1)+(((Alpha_keep*$A17+I$3-Lo_c)/Step_c)-MAX(6,MIN(INT(((Alpha_keep*$A17+I$3-Lo_c)/Step_c)+0.00000001),193)))*INDEX($D$5:$D$205,MAX(6,MIN(INT(((Alpha_keep*$A17+I$3-Lo_c)/Step_c)+0.00000001),193))+2)),"")</f>
        <v>-572.486884130742</v>
      </c>
      <c r="J17" s="16" t="n">
        <f aca="false">IF(Grid!H17=1,-Cost_k*J$3-Short_p*MAX(0,Floor_c-$A17)+Beta_q*((1-(((Alpha_keep*$A17+J$3-Lo_c)/Step_c)-MAX(6,MIN(INT(((Alpha_keep*$A17+J$3-Lo_c)/Step_c)+0.00000001),193))))*INDEX($D$5:$D$205,MAX(6,MIN(INT(((Alpha_keep*$A17+J$3-Lo_c)/Step_c)+0.00000001),193))+1)+(((Alpha_keep*$A17+J$3-Lo_c)/Step_c)-MAX(6,MIN(INT(((Alpha_keep*$A17+J$3-Lo_c)/Step_c)+0.00000001),193)))*INDEX($D$5:$D$205,MAX(6,MIN(INT(((Alpha_keep*$A17+J$3-Lo_c)/Step_c)+0.00000001),193))+2)),"")</f>
        <v>-568.607280807617</v>
      </c>
      <c r="K17" s="16" t="n">
        <f aca="false">IF(Grid!I17=1,-Cost_k*K$3-Short_p*MAX(0,Floor_c-$A17)+Beta_q*((1-(((Alpha_keep*$A17+K$3-Lo_c)/Step_c)-MAX(6,MIN(INT(((Alpha_keep*$A17+K$3-Lo_c)/Step_c)+0.00000001),193))))*INDEX($D$5:$D$205,MAX(6,MIN(INT(((Alpha_keep*$A17+K$3-Lo_c)/Step_c)+0.00000001),193))+1)+(((Alpha_keep*$A17+K$3-Lo_c)/Step_c)-MAX(6,MIN(INT(((Alpha_keep*$A17+K$3-Lo_c)/Step_c)+0.00000001),193)))*INDEX($D$5:$D$205,MAX(6,MIN(INT(((Alpha_keep*$A17+K$3-Lo_c)/Step_c)+0.00000001),193))+2)),"")</f>
        <v>-564.751399725601</v>
      </c>
      <c r="L17" s="16" t="n">
        <f aca="false">IF(Grid!J17=1,-Cost_k*L$3-Short_p*MAX(0,Floor_c-$A17)+Beta_q*((1-(((Alpha_keep*$A17+L$3-Lo_c)/Step_c)-MAX(6,MIN(INT(((Alpha_keep*$A17+L$3-Lo_c)/Step_c)+0.00000001),193))))*INDEX($D$5:$D$205,MAX(6,MIN(INT(((Alpha_keep*$A17+L$3-Lo_c)/Step_c)+0.00000001),193))+1)+(((Alpha_keep*$A17+L$3-Lo_c)/Step_c)-MAX(6,MIN(INT(((Alpha_keep*$A17+L$3-Lo_c)/Step_c)+0.00000001),193)))*INDEX($D$5:$D$205,MAX(6,MIN(INT(((Alpha_keep*$A17+L$3-Lo_c)/Step_c)+0.00000001),193))+2)),"")</f>
        <v>-560.91952631363</v>
      </c>
      <c r="M17" s="16" t="n">
        <f aca="false">IF(Grid!K17=1,-Cost_k*M$3-Short_p*MAX(0,Floor_c-$A17)+Beta_q*((1-(((Alpha_keep*$A17+M$3-Lo_c)/Step_c)-MAX(6,MIN(INT(((Alpha_keep*$A17+M$3-Lo_c)/Step_c)+0.00000001),193))))*INDEX($D$5:$D$205,MAX(6,MIN(INT(((Alpha_keep*$A17+M$3-Lo_c)/Step_c)+0.00000001),193))+1)+(((Alpha_keep*$A17+M$3-Lo_c)/Step_c)-MAX(6,MIN(INT(((Alpha_keep*$A17+M$3-Lo_c)/Step_c)+0.00000001),193)))*INDEX($D$5:$D$205,MAX(6,MIN(INT(((Alpha_keep*$A17+M$3-Lo_c)/Step_c)+0.00000001),193))+2)),"")</f>
        <v>-557.111893384742</v>
      </c>
      <c r="N17" s="16" t="n">
        <f aca="false">IF(Grid!L17=1,-Cost_k*N$3-Short_p*MAX(0,Floor_c-$A17)+Beta_q*((1-(((Alpha_keep*$A17+N$3-Lo_c)/Step_c)-MAX(6,MIN(INT(((Alpha_keep*$A17+N$3-Lo_c)/Step_c)+0.00000001),193))))*INDEX($D$5:$D$205,MAX(6,MIN(INT(((Alpha_keep*$A17+N$3-Lo_c)/Step_c)+0.00000001),193))+1)+(((Alpha_keep*$A17+N$3-Lo_c)/Step_c)-MAX(6,MIN(INT(((Alpha_keep*$A17+N$3-Lo_c)/Step_c)+0.00000001),193)))*INDEX($D$5:$D$205,MAX(6,MIN(INT(((Alpha_keep*$A17+N$3-Lo_c)/Step_c)+0.00000001),193))+2)),"")</f>
        <v>-553.32876862969</v>
      </c>
      <c r="O17" s="16" t="n">
        <f aca="false">IF(Grid!M17=1,-Cost_k*O$3-Short_p*MAX(0,Floor_c-$A17)+Beta_q*((1-(((Alpha_keep*$A17+O$3-Lo_c)/Step_c)-MAX(6,MIN(INT(((Alpha_keep*$A17+O$3-Lo_c)/Step_c)+0.00000001),193))))*INDEX($D$5:$D$205,MAX(6,MIN(INT(((Alpha_keep*$A17+O$3-Lo_c)/Step_c)+0.00000001),193))+1)+(((Alpha_keep*$A17+O$3-Lo_c)/Step_c)-MAX(6,MIN(INT(((Alpha_keep*$A17+O$3-Lo_c)/Step_c)+0.00000001),193)))*INDEX($D$5:$D$205,MAX(6,MIN(INT(((Alpha_keep*$A17+O$3-Lo_c)/Step_c)+0.00000001),193))+2)),"")</f>
        <v>-549.570472674338</v>
      </c>
      <c r="P17" s="11" t="n">
        <f aca="false">MAX(E17:O17)</f>
        <v>-549.570472674338</v>
      </c>
      <c r="Q17" s="12" t="n">
        <f aca="false">INDEX($E$3:$O$3,MATCH(P17,E17:O17,0))</f>
        <v>2.5</v>
      </c>
      <c r="R17" s="20" t="n">
        <v>2.5</v>
      </c>
      <c r="S17" s="14" t="n">
        <f aca="false">IF(ABS(Q17-R17)&lt;0.000000001,1,0)</f>
        <v>1</v>
      </c>
      <c r="T17" s="21" t="n">
        <f aca="false">ABS(P17-B17)</f>
        <v>0</v>
      </c>
      <c r="U17" s="16" t="n">
        <f aca="false">Alpha_keep*A17+Q17</f>
        <v>34.675</v>
      </c>
      <c r="V17" s="14" t="n">
        <f aca="false">INDEX(GuardBlock,13,ROUND(Q17/Step_h,0)+1)</f>
        <v>1</v>
      </c>
      <c r="W17" s="22" t="n">
        <v>0</v>
      </c>
    </row>
    <row r="18" customFormat="false" ht="15" hidden="false" customHeight="false" outlineLevel="0" collapsed="false">
      <c r="A18" s="18" t="n">
        <f aca="false">Grid!A18</f>
        <v>33.25</v>
      </c>
      <c r="B18" s="19" t="n">
        <v>-544.55540192485</v>
      </c>
      <c r="C18" s="14" t="n">
        <v>13</v>
      </c>
      <c r="D18" s="11" t="n">
        <f aca="false">IF(AND($C18&gt;=6,$C18&lt;=194),Declarations!$B$25*INDEX($B$5:$B$205,$C18+1-Declarations!$E$25)+Declarations!$B$26*INDEX($B$5:$B$205,$C18+1-Declarations!$E$26)+Declarations!$B$27*INDEX($B$5:$B$205,$C18+1-Declarations!$E$27)+Declarations!$B$28*INDEX($B$5:$B$205,$C18+1-Declarations!$E$28)+Declarations!$B$29*INDEX($B$5:$B$205,$C18+1-Declarations!$E$29),"")</f>
        <v>-544.642161059917</v>
      </c>
      <c r="E18" s="16" t="n">
        <f aca="false">IF(Grid!C18=1,-Cost_k*E$3-Short_p*MAX(0,Floor_c-$A18)+Beta_q*((1-(((Alpha_keep*$A18+E$3-Lo_c)/Step_c)-MAX(6,MIN(INT(((Alpha_keep*$A18+E$3-Lo_c)/Step_c)+0.00000001),193))))*INDEX($D$5:$D$205,MAX(6,MIN(INT(((Alpha_keep*$A18+E$3-Lo_c)/Step_c)+0.00000001),193))+1)+(((Alpha_keep*$A18+E$3-Lo_c)/Step_c)-MAX(6,MIN(INT(((Alpha_keep*$A18+E$3-Lo_c)/Step_c)+0.00000001),193)))*INDEX($D$5:$D$205,MAX(6,MIN(INT(((Alpha_keep*$A18+E$3-Lo_c)/Step_c)+0.00000001),193))+2)),"")</f>
        <v>-582.989553950459</v>
      </c>
      <c r="F18" s="16" t="n">
        <f aca="false">IF(Grid!D18=1,-Cost_k*F$3-Short_p*MAX(0,Floor_c-$A18)+Beta_q*((1-(((Alpha_keep*$A18+F$3-Lo_c)/Step_c)-MAX(6,MIN(INT(((Alpha_keep*$A18+F$3-Lo_c)/Step_c)+0.00000001),193))))*INDEX($D$5:$D$205,MAX(6,MIN(INT(((Alpha_keep*$A18+F$3-Lo_c)/Step_c)+0.00000001),193))+1)+(((Alpha_keep*$A18+F$3-Lo_c)/Step_c)-MAX(6,MIN(INT(((Alpha_keep*$A18+F$3-Lo_c)/Step_c)+0.00000001),193)))*INDEX($D$5:$D$205,MAX(6,MIN(INT(((Alpha_keep*$A18+F$3-Lo_c)/Step_c)+0.00000001),193))+2)),"")</f>
        <v>-579.039755785014</v>
      </c>
      <c r="G18" s="16" t="n">
        <f aca="false">IF(Grid!E18=1,-Cost_k*G$3-Short_p*MAX(0,Floor_c-$A18)+Beta_q*((1-(((Alpha_keep*$A18+G$3-Lo_c)/Step_c)-MAX(6,MIN(INT(((Alpha_keep*$A18+G$3-Lo_c)/Step_c)+0.00000001),193))))*INDEX($D$5:$D$205,MAX(6,MIN(INT(((Alpha_keep*$A18+G$3-Lo_c)/Step_c)+0.00000001),193))+1)+(((Alpha_keep*$A18+G$3-Lo_c)/Step_c)-MAX(6,MIN(INT(((Alpha_keep*$A18+G$3-Lo_c)/Step_c)+0.00000001),193)))*INDEX($D$5:$D$205,MAX(6,MIN(INT(((Alpha_keep*$A18+G$3-Lo_c)/Step_c)+0.00000001),193))+2)),"")</f>
        <v>-575.112915714171</v>
      </c>
      <c r="H18" s="16" t="n">
        <f aca="false">IF(Grid!F18=1,-Cost_k*H$3-Short_p*MAX(0,Floor_c-$A18)+Beta_q*((1-(((Alpha_keep*$A18+H$3-Lo_c)/Step_c)-MAX(6,MIN(INT(((Alpha_keep*$A18+H$3-Lo_c)/Step_c)+0.00000001),193))))*INDEX($D$5:$D$205,MAX(6,MIN(INT(((Alpha_keep*$A18+H$3-Lo_c)/Step_c)+0.00000001),193))+1)+(((Alpha_keep*$A18+H$3-Lo_c)/Step_c)-MAX(6,MIN(INT(((Alpha_keep*$A18+H$3-Lo_c)/Step_c)+0.00000001),193)))*INDEX($D$5:$D$205,MAX(6,MIN(INT(((Alpha_keep*$A18+H$3-Lo_c)/Step_c)+0.00000001),193))+2)),"")</f>
        <v>-571.209285676879</v>
      </c>
      <c r="I18" s="16" t="n">
        <f aca="false">IF(Grid!G18=1,-Cost_k*I$3-Short_p*MAX(0,Floor_c-$A18)+Beta_q*((1-(((Alpha_keep*$A18+I$3-Lo_c)/Step_c)-MAX(6,MIN(INT(((Alpha_keep*$A18+I$3-Lo_c)/Step_c)+0.00000001),193))))*INDEX($D$5:$D$205,MAX(6,MIN(INT(((Alpha_keep*$A18+I$3-Lo_c)/Step_c)+0.00000001),193))+1)+(((Alpha_keep*$A18+I$3-Lo_c)/Step_c)-MAX(6,MIN(INT(((Alpha_keep*$A18+I$3-Lo_c)/Step_c)+0.00000001),193)))*INDEX($D$5:$D$205,MAX(6,MIN(INT(((Alpha_keep*$A18+I$3-Lo_c)/Step_c)+0.00000001),193))+2)),"")</f>
        <v>-567.329094549384</v>
      </c>
      <c r="J18" s="16" t="n">
        <f aca="false">IF(Grid!H18=1,-Cost_k*J$3-Short_p*MAX(0,Floor_c-$A18)+Beta_q*((1-(((Alpha_keep*$A18+J$3-Lo_c)/Step_c)-MAX(6,MIN(INT(((Alpha_keep*$A18+J$3-Lo_c)/Step_c)+0.00000001),193))))*INDEX($D$5:$D$205,MAX(6,MIN(INT(((Alpha_keep*$A18+J$3-Lo_c)/Step_c)+0.00000001),193))+1)+(((Alpha_keep*$A18+J$3-Lo_c)/Step_c)-MAX(6,MIN(INT(((Alpha_keep*$A18+J$3-Lo_c)/Step_c)+0.00000001),193)))*INDEX($D$5:$D$205,MAX(6,MIN(INT(((Alpha_keep*$A18+J$3-Lo_c)/Step_c)+0.00000001),193))+2)),"")</f>
        <v>-563.47261816063</v>
      </c>
      <c r="K18" s="16" t="n">
        <f aca="false">IF(Grid!I18=1,-Cost_k*K$3-Short_p*MAX(0,Floor_c-$A18)+Beta_q*((1-(((Alpha_keep*$A18+K$3-Lo_c)/Step_c)-MAX(6,MIN(INT(((Alpha_keep*$A18+K$3-Lo_c)/Step_c)+0.00000001),193))))*INDEX($D$5:$D$205,MAX(6,MIN(INT(((Alpha_keep*$A18+K$3-Lo_c)/Step_c)+0.00000001),193))+1)+(((Alpha_keep*$A18+K$3-Lo_c)/Step_c)-MAX(6,MIN(INT(((Alpha_keep*$A18+K$3-Lo_c)/Step_c)+0.00000001),193)))*INDEX($D$5:$D$205,MAX(6,MIN(INT(((Alpha_keep*$A18+K$3-Lo_c)/Step_c)+0.00000001),193))+2)),"")</f>
        <v>-559.640142463331</v>
      </c>
      <c r="L18" s="16" t="n">
        <f aca="false">IF(Grid!J18=1,-Cost_k*L$3-Short_p*MAX(0,Floor_c-$A18)+Beta_q*((1-(((Alpha_keep*$A18+L$3-Lo_c)/Step_c)-MAX(6,MIN(INT(((Alpha_keep*$A18+L$3-Lo_c)/Step_c)+0.00000001),193))))*INDEX($D$5:$D$205,MAX(6,MIN(INT(((Alpha_keep*$A18+L$3-Lo_c)/Step_c)+0.00000001),193))+1)+(((Alpha_keep*$A18+L$3-Lo_c)/Step_c)-MAX(6,MIN(INT(((Alpha_keep*$A18+L$3-Lo_c)/Step_c)+0.00000001),193)))*INDEX($D$5:$D$205,MAX(6,MIN(INT(((Alpha_keep*$A18+L$3-Lo_c)/Step_c)+0.00000001),193))+2)),"")</f>
        <v>-555.831901925187</v>
      </c>
      <c r="M18" s="16" t="n">
        <f aca="false">IF(Grid!K18=1,-Cost_k*M$3-Short_p*MAX(0,Floor_c-$A18)+Beta_q*((1-(((Alpha_keep*$A18+M$3-Lo_c)/Step_c)-MAX(6,MIN(INT(((Alpha_keep*$A18+M$3-Lo_c)/Step_c)+0.00000001),193))))*INDEX($D$5:$D$205,MAX(6,MIN(INT(((Alpha_keep*$A18+M$3-Lo_c)/Step_c)+0.00000001),193))+1)+(((Alpha_keep*$A18+M$3-Lo_c)/Step_c)-MAX(6,MIN(INT(((Alpha_keep*$A18+M$3-Lo_c)/Step_c)+0.00000001),193)))*INDEX($D$5:$D$205,MAX(6,MIN(INT(((Alpha_keep*$A18+M$3-Lo_c)/Step_c)+0.00000001),193))+2)),"")</f>
        <v>-552.04816228218</v>
      </c>
      <c r="N18" s="16" t="n">
        <f aca="false">IF(Grid!L18=1,-Cost_k*N$3-Short_p*MAX(0,Floor_c-$A18)+Beta_q*((1-(((Alpha_keep*$A18+N$3-Lo_c)/Step_c)-MAX(6,MIN(INT(((Alpha_keep*$A18+N$3-Lo_c)/Step_c)+0.00000001),193))))*INDEX($D$5:$D$205,MAX(6,MIN(INT(((Alpha_keep*$A18+N$3-Lo_c)/Step_c)+0.00000001),193))+1)+(((Alpha_keep*$A18+N$3-Lo_c)/Step_c)-MAX(6,MIN(INT(((Alpha_keep*$A18+N$3-Lo_c)/Step_c)+0.00000001),193)))*INDEX($D$5:$D$205,MAX(6,MIN(INT(((Alpha_keep*$A18+N$3-Lo_c)/Step_c)+0.00000001),193))+2)),"")</f>
        <v>-548.28924310739</v>
      </c>
      <c r="O18" s="16" t="n">
        <f aca="false">IF(Grid!M18=1,-Cost_k*O$3-Short_p*MAX(0,Floor_c-$A18)+Beta_q*((1-(((Alpha_keep*$A18+O$3-Lo_c)/Step_c)-MAX(6,MIN(INT(((Alpha_keep*$A18+O$3-Lo_c)/Step_c)+0.00000001),193))))*INDEX($D$5:$D$205,MAX(6,MIN(INT(((Alpha_keep*$A18+O$3-Lo_c)/Step_c)+0.00000001),193))+1)+(((Alpha_keep*$A18+O$3-Lo_c)/Step_c)-MAX(6,MIN(INT(((Alpha_keep*$A18+O$3-Lo_c)/Step_c)+0.00000001),193)))*INDEX($D$5:$D$205,MAX(6,MIN(INT(((Alpha_keep*$A18+O$3-Lo_c)/Step_c)+0.00000001),193))+2)),"")</f>
        <v>-544.55540192485</v>
      </c>
      <c r="P18" s="11" t="n">
        <f aca="false">MAX(E18:O18)</f>
        <v>-544.55540192485</v>
      </c>
      <c r="Q18" s="12" t="n">
        <f aca="false">INDEX($E$3:$O$3,MATCH(P18,E18:O18,0))</f>
        <v>2.5</v>
      </c>
      <c r="R18" s="20" t="n">
        <v>2.5</v>
      </c>
      <c r="S18" s="14" t="n">
        <f aca="false">IF(ABS(Q18-R18)&lt;0.000000001,1,0)</f>
        <v>1</v>
      </c>
      <c r="T18" s="21" t="n">
        <f aca="false">ABS(P18-B18)</f>
        <v>0</v>
      </c>
      <c r="U18" s="16" t="n">
        <f aca="false">Alpha_keep*A18+Q18</f>
        <v>34.91875</v>
      </c>
      <c r="V18" s="14" t="n">
        <f aca="false">INDEX(GuardBlock,14,ROUND(Q18/Step_h,0)+1)</f>
        <v>1</v>
      </c>
      <c r="W18" s="22" t="n">
        <v>0</v>
      </c>
    </row>
    <row r="19" customFormat="false" ht="15" hidden="false" customHeight="false" outlineLevel="0" collapsed="false">
      <c r="A19" s="18" t="n">
        <f aca="false">Grid!A19</f>
        <v>33.5</v>
      </c>
      <c r="B19" s="19" t="n">
        <v>-539.564391240278</v>
      </c>
      <c r="C19" s="14" t="n">
        <v>14</v>
      </c>
      <c r="D19" s="11" t="n">
        <f aca="false">IF(AND($C19&gt;=6,$C19&lt;=194),Declarations!$B$25*INDEX($B$5:$B$205,$C19+1-Declarations!$E$25)+Declarations!$B$26*INDEX($B$5:$B$205,$C19+1-Declarations!$E$26)+Declarations!$B$27*INDEX($B$5:$B$205,$C19+1-Declarations!$E$27)+Declarations!$B$28*INDEX($B$5:$B$205,$C19+1-Declarations!$E$28)+Declarations!$B$29*INDEX($B$5:$B$205,$C19+1-Declarations!$E$29),"")</f>
        <v>-539.65211624142</v>
      </c>
      <c r="E19" s="16" t="n">
        <f aca="false">IF(Grid!C19=1,-Cost_k*E$3-Short_p*MAX(0,Floor_c-$A19)+Beta_q*((1-(((Alpha_keep*$A19+E$3-Lo_c)/Step_c)-MAX(6,MIN(INT(((Alpha_keep*$A19+E$3-Lo_c)/Step_c)+0.00000001),193))))*INDEX($D$5:$D$205,MAX(6,MIN(INT(((Alpha_keep*$A19+E$3-Lo_c)/Step_c)+0.00000001),193))+1)+(((Alpha_keep*$A19+E$3-Lo_c)/Step_c)-MAX(6,MIN(INT(((Alpha_keep*$A19+E$3-Lo_c)/Step_c)+0.00000001),193)))*INDEX($D$5:$D$205,MAX(6,MIN(INT(((Alpha_keep*$A19+E$3-Lo_c)/Step_c)+0.00000001),193))+2)),"")</f>
        <v>-577.763315767545</v>
      </c>
      <c r="F19" s="16" t="n">
        <f aca="false">IF(Grid!D19=1,-Cost_k*F$3-Short_p*MAX(0,Floor_c-$A19)+Beta_q*((1-(((Alpha_keep*$A19+F$3-Lo_c)/Step_c)-MAX(6,MIN(INT(((Alpha_keep*$A19+F$3-Lo_c)/Step_c)+0.00000001),193))))*INDEX($D$5:$D$205,MAX(6,MIN(INT(((Alpha_keep*$A19+F$3-Lo_c)/Step_c)+0.00000001),193))+1)+(((Alpha_keep*$A19+F$3-Lo_c)/Step_c)-MAX(6,MIN(INT(((Alpha_keep*$A19+F$3-Lo_c)/Step_c)+0.00000001),193)))*INDEX($D$5:$D$205,MAX(6,MIN(INT(((Alpha_keep*$A19+F$3-Lo_c)/Step_c)+0.00000001),193))+2)),"")</f>
        <v>-573.835899428909</v>
      </c>
      <c r="G19" s="16" t="n">
        <f aca="false">IF(Grid!E19=1,-Cost_k*G$3-Short_p*MAX(0,Floor_c-$A19)+Beta_q*((1-(((Alpha_keep*$A19+G$3-Lo_c)/Step_c)-MAX(6,MIN(INT(((Alpha_keep*$A19+G$3-Lo_c)/Step_c)+0.00000001),193))))*INDEX($D$5:$D$205,MAX(6,MIN(INT(((Alpha_keep*$A19+G$3-Lo_c)/Step_c)+0.00000001),193))+1)+(((Alpha_keep*$A19+G$3-Lo_c)/Step_c)-MAX(6,MIN(INT(((Alpha_keep*$A19+G$3-Lo_c)/Step_c)+0.00000001),193)))*INDEX($D$5:$D$205,MAX(6,MIN(INT(((Alpha_keep*$A19+G$3-Lo_c)/Step_c)+0.00000001),193))+2)),"")</f>
        <v>-569.931687223016</v>
      </c>
      <c r="H19" s="16" t="n">
        <f aca="false">IF(Grid!F19=1,-Cost_k*H$3-Short_p*MAX(0,Floor_c-$A19)+Beta_q*((1-(((Alpha_keep*$A19+H$3-Lo_c)/Step_c)-MAX(6,MIN(INT(((Alpha_keep*$A19+H$3-Lo_c)/Step_c)+0.00000001),193))))*INDEX($D$5:$D$205,MAX(6,MIN(INT(((Alpha_keep*$A19+H$3-Lo_c)/Step_c)+0.00000001),193))+1)+(((Alpha_keep*$A19+H$3-Lo_c)/Step_c)-MAX(6,MIN(INT(((Alpha_keep*$A19+H$3-Lo_c)/Step_c)+0.00000001),193)))*INDEX($D$5:$D$205,MAX(6,MIN(INT(((Alpha_keep*$A19+H$3-Lo_c)/Step_c)+0.00000001),193))+2)),"")</f>
        <v>-566.050908291152</v>
      </c>
      <c r="I19" s="16" t="n">
        <f aca="false">IF(Grid!G19=1,-Cost_k*I$3-Short_p*MAX(0,Floor_c-$A19)+Beta_q*((1-(((Alpha_keep*$A19+I$3-Lo_c)/Step_c)-MAX(6,MIN(INT(((Alpha_keep*$A19+I$3-Lo_c)/Step_c)+0.00000001),193))))*INDEX($D$5:$D$205,MAX(6,MIN(INT(((Alpha_keep*$A19+I$3-Lo_c)/Step_c)+0.00000001),193))+1)+(((Alpha_keep*$A19+I$3-Lo_c)/Step_c)-MAX(6,MIN(INT(((Alpha_keep*$A19+I$3-Lo_c)/Step_c)+0.00000001),193)))*INDEX($D$5:$D$205,MAX(6,MIN(INT(((Alpha_keep*$A19+I$3-Lo_c)/Step_c)+0.00000001),193))+2)),"")</f>
        <v>-562.193836595659</v>
      </c>
      <c r="J19" s="16" t="n">
        <f aca="false">IF(Grid!H19=1,-Cost_k*J$3-Short_p*MAX(0,Floor_c-$A19)+Beta_q*((1-(((Alpha_keep*$A19+J$3-Lo_c)/Step_c)-MAX(6,MIN(INT(((Alpha_keep*$A19+J$3-Lo_c)/Step_c)+0.00000001),193))))*INDEX($D$5:$D$205,MAX(6,MIN(INT(((Alpha_keep*$A19+J$3-Lo_c)/Step_c)+0.00000001),193))+1)+(((Alpha_keep*$A19+J$3-Lo_c)/Step_c)-MAX(6,MIN(INT(((Alpha_keep*$A19+J$3-Lo_c)/Step_c)+0.00000001),193)))*INDEX($D$5:$D$205,MAX(6,MIN(INT(((Alpha_keep*$A19+J$3-Lo_c)/Step_c)+0.00000001),193))+2)),"")</f>
        <v>-558.360758613031</v>
      </c>
      <c r="K19" s="16" t="n">
        <f aca="false">IF(Grid!I19=1,-Cost_k*K$3-Short_p*MAX(0,Floor_c-$A19)+Beta_q*((1-(((Alpha_keep*$A19+K$3-Lo_c)/Step_c)-MAX(6,MIN(INT(((Alpha_keep*$A19+K$3-Lo_c)/Step_c)+0.00000001),193))))*INDEX($D$5:$D$205,MAX(6,MIN(INT(((Alpha_keep*$A19+K$3-Lo_c)/Step_c)+0.00000001),193))+1)+(((Alpha_keep*$A19+K$3-Lo_c)/Step_c)-MAX(6,MIN(INT(((Alpha_keep*$A19+K$3-Lo_c)/Step_c)+0.00000001),193)))*INDEX($D$5:$D$205,MAX(6,MIN(INT(((Alpha_keep*$A19+K$3-Lo_c)/Step_c)+0.00000001),193))+2)),"")</f>
        <v>-554.551910465633</v>
      </c>
      <c r="L19" s="16" t="n">
        <f aca="false">IF(Grid!J19=1,-Cost_k*L$3-Short_p*MAX(0,Floor_c-$A19)+Beta_q*((1-(((Alpha_keep*$A19+L$3-Lo_c)/Step_c)-MAX(6,MIN(INT(((Alpha_keep*$A19+L$3-Lo_c)/Step_c)+0.00000001),193))))*INDEX($D$5:$D$205,MAX(6,MIN(INT(((Alpha_keep*$A19+L$3-Lo_c)/Step_c)+0.00000001),193))+1)+(((Alpha_keep*$A19+L$3-Lo_c)/Step_c)-MAX(6,MIN(INT(((Alpha_keep*$A19+L$3-Lo_c)/Step_c)+0.00000001),193)))*INDEX($D$5:$D$205,MAX(6,MIN(INT(((Alpha_keep*$A19+L$3-Lo_c)/Step_c)+0.00000001),193))+2)),"")</f>
        <v>-550.767555934669</v>
      </c>
      <c r="M19" s="16" t="n">
        <f aca="false">IF(Grid!K19=1,-Cost_k*M$3-Short_p*MAX(0,Floor_c-$A19)+Beta_q*((1-(((Alpha_keep*$A19+M$3-Lo_c)/Step_c)-MAX(6,MIN(INT(((Alpha_keep*$A19+M$3-Lo_c)/Step_c)+0.00000001),193))))*INDEX($D$5:$D$205,MAX(6,MIN(INT(((Alpha_keep*$A19+M$3-Lo_c)/Step_c)+0.00000001),193))+1)+(((Alpha_keep*$A19+M$3-Lo_c)/Step_c)-MAX(6,MIN(INT(((Alpha_keep*$A19+M$3-Lo_c)/Step_c)+0.00000001),193)))*INDEX($D$5:$D$205,MAX(6,MIN(INT(((Alpha_keep*$A19+M$3-Lo_c)/Step_c)+0.00000001),193))+2)),"")</f>
        <v>-547.008013540443</v>
      </c>
      <c r="N19" s="16" t="n">
        <f aca="false">IF(Grid!L19=1,-Cost_k*N$3-Short_p*MAX(0,Floor_c-$A19)+Beta_q*((1-(((Alpha_keep*$A19+N$3-Lo_c)/Step_c)-MAX(6,MIN(INT(((Alpha_keep*$A19+N$3-Lo_c)/Step_c)+0.00000001),193))))*INDEX($D$5:$D$205,MAX(6,MIN(INT(((Alpha_keep*$A19+N$3-Lo_c)/Step_c)+0.00000001),193))+1)+(((Alpha_keep*$A19+N$3-Lo_c)/Step_c)-MAX(6,MIN(INT(((Alpha_keep*$A19+N$3-Lo_c)/Step_c)+0.00000001),193)))*INDEX($D$5:$D$205,MAX(6,MIN(INT(((Alpha_keep*$A19+N$3-Lo_c)/Step_c)+0.00000001),193))+2)),"")</f>
        <v>-543.273543611992</v>
      </c>
      <c r="O19" s="16" t="n">
        <f aca="false">IF(Grid!M19=1,-Cost_k*O$3-Short_p*MAX(0,Floor_c-$A19)+Beta_q*((1-(((Alpha_keep*$A19+O$3-Lo_c)/Step_c)-MAX(6,MIN(INT(((Alpha_keep*$A19+O$3-Lo_c)/Step_c)+0.00000001),193))))*INDEX($D$5:$D$205,MAX(6,MIN(INT(((Alpha_keep*$A19+O$3-Lo_c)/Step_c)+0.00000001),193))+1)+(((Alpha_keep*$A19+O$3-Lo_c)/Step_c)-MAX(6,MIN(INT(((Alpha_keep*$A19+O$3-Lo_c)/Step_c)+0.00000001),193)))*INDEX($D$5:$D$205,MAX(6,MIN(INT(((Alpha_keep*$A19+O$3-Lo_c)/Step_c)+0.00000001),193))+2)),"")</f>
        <v>-539.564391240279</v>
      </c>
      <c r="P19" s="11" t="n">
        <f aca="false">MAX(E19:O19)</f>
        <v>-539.564391240279</v>
      </c>
      <c r="Q19" s="12" t="n">
        <f aca="false">INDEX($E$3:$O$3,MATCH(P19,E19:O19,0))</f>
        <v>2.5</v>
      </c>
      <c r="R19" s="20" t="n">
        <v>2.5</v>
      </c>
      <c r="S19" s="14" t="n">
        <f aca="false">IF(ABS(Q19-R19)&lt;0.000000001,1,0)</f>
        <v>1</v>
      </c>
      <c r="T19" s="21" t="n">
        <f aca="false">ABS(P19-B19)</f>
        <v>0</v>
      </c>
      <c r="U19" s="16" t="n">
        <f aca="false">Alpha_keep*A19+Q19</f>
        <v>35.1625</v>
      </c>
      <c r="V19" s="14" t="n">
        <f aca="false">INDEX(GuardBlock,15,ROUND(Q19/Step_h,0)+1)</f>
        <v>1</v>
      </c>
      <c r="W19" s="22" t="n">
        <v>0</v>
      </c>
    </row>
    <row r="20" customFormat="false" ht="15" hidden="false" customHeight="false" outlineLevel="0" collapsed="false">
      <c r="A20" s="18" t="n">
        <f aca="false">Grid!A20</f>
        <v>33.75</v>
      </c>
      <c r="B20" s="19" t="n">
        <v>-534.597758848635</v>
      </c>
      <c r="C20" s="14" t="n">
        <v>15</v>
      </c>
      <c r="D20" s="11" t="n">
        <f aca="false">IF(AND($C20&gt;=6,$C20&lt;=194),Declarations!$B$25*INDEX($B$5:$B$205,$C20+1-Declarations!$E$25)+Declarations!$B$26*INDEX($B$5:$B$205,$C20+1-Declarations!$E$26)+Declarations!$B$27*INDEX($B$5:$B$205,$C20+1-Declarations!$E$27)+Declarations!$B$28*INDEX($B$5:$B$205,$C20+1-Declarations!$E$28)+Declarations!$B$29*INDEX($B$5:$B$205,$C20+1-Declarations!$E$29),"")</f>
        <v>-534.68645789412</v>
      </c>
      <c r="E20" s="16" t="n">
        <f aca="false">IF(Grid!C20=1,-Cost_k*E$3-Short_p*MAX(0,Floor_c-$A20)+Beta_q*((1-(((Alpha_keep*$A20+E$3-Lo_c)/Step_c)-MAX(6,MIN(INT(((Alpha_keep*$A20+E$3-Lo_c)/Step_c)+0.00000001),193))))*INDEX($D$5:$D$205,MAX(6,MIN(INT(((Alpha_keep*$A20+E$3-Lo_c)/Step_c)+0.00000001),193))+1)+(((Alpha_keep*$A20+E$3-Lo_c)/Step_c)-MAX(6,MIN(INT(((Alpha_keep*$A20+E$3-Lo_c)/Step_c)+0.00000001),193)))*INDEX($D$5:$D$205,MAX(6,MIN(INT(((Alpha_keep*$A20+E$3-Lo_c)/Step_c)+0.00000001),193))+2)),"")</f>
        <v>-572.558883143648</v>
      </c>
      <c r="F20" s="16" t="n">
        <f aca="false">IF(Grid!D20=1,-Cost_k*F$3-Short_p*MAX(0,Floor_c-$A20)+Beta_q*((1-(((Alpha_keep*$A20+F$3-Lo_c)/Step_c)-MAX(6,MIN(INT(((Alpha_keep*$A20+F$3-Lo_c)/Step_c)+0.00000001),193))))*INDEX($D$5:$D$205,MAX(6,MIN(INT(((Alpha_keep*$A20+F$3-Lo_c)/Step_c)+0.00000001),193))+1)+(((Alpha_keep*$A20+F$3-Lo_c)/Step_c)-MAX(6,MIN(INT(((Alpha_keep*$A20+F$3-Lo_c)/Step_c)+0.00000001),193)))*INDEX($D$5:$D$205,MAX(6,MIN(INT(((Alpha_keep*$A20+F$3-Lo_c)/Step_c)+0.00000001),193))+2)),"")</f>
        <v>-568.654088769153</v>
      </c>
      <c r="G20" s="16" t="n">
        <f aca="false">IF(Grid!E20=1,-Cost_k*G$3-Short_p*MAX(0,Floor_c-$A20)+Beta_q*((1-(((Alpha_keep*$A20+G$3-Lo_c)/Step_c)-MAX(6,MIN(INT(((Alpha_keep*$A20+G$3-Lo_c)/Step_c)+0.00000001),193))))*INDEX($D$5:$D$205,MAX(6,MIN(INT(((Alpha_keep*$A20+G$3-Lo_c)/Step_c)+0.00000001),193))+1)+(((Alpha_keep*$A20+G$3-Lo_c)/Step_c)-MAX(6,MIN(INT(((Alpha_keep*$A20+G$3-Lo_c)/Step_c)+0.00000001),193)))*INDEX($D$5:$D$205,MAX(6,MIN(INT(((Alpha_keep*$A20+G$3-Lo_c)/Step_c)+0.00000001),193))+2)),"")</f>
        <v>-564.772722032919</v>
      </c>
      <c r="H20" s="16" t="n">
        <f aca="false">IF(Grid!F20=1,-Cost_k*H$3-Short_p*MAX(0,Floor_c-$A20)+Beta_q*((1-(((Alpha_keep*$A20+H$3-Lo_c)/Step_c)-MAX(6,MIN(INT(((Alpha_keep*$A20+H$3-Lo_c)/Step_c)+0.00000001),193))))*INDEX($D$5:$D$205,MAX(6,MIN(INT(((Alpha_keep*$A20+H$3-Lo_c)/Step_c)+0.00000001),193))+1)+(((Alpha_keep*$A20+H$3-Lo_c)/Step_c)-MAX(6,MIN(INT(((Alpha_keep*$A20+H$3-Lo_c)/Step_c)+0.00000001),193)))*INDEX($D$5:$D$205,MAX(6,MIN(INT(((Alpha_keep*$A20+H$3-Lo_c)/Step_c)+0.00000001),193))+2)),"")</f>
        <v>-560.915055030687</v>
      </c>
      <c r="I20" s="16" t="n">
        <f aca="false">IF(Grid!G20=1,-Cost_k*I$3-Short_p*MAX(0,Floor_c-$A20)+Beta_q*((1-(((Alpha_keep*$A20+I$3-Lo_c)/Step_c)-MAX(6,MIN(INT(((Alpha_keep*$A20+I$3-Lo_c)/Step_c)+0.00000001),193))))*INDEX($D$5:$D$205,MAX(6,MIN(INT(((Alpha_keep*$A20+I$3-Lo_c)/Step_c)+0.00000001),193))+1)+(((Alpha_keep*$A20+I$3-Lo_c)/Step_c)-MAX(6,MIN(INT(((Alpha_keep*$A20+I$3-Lo_c)/Step_c)+0.00000001),193)))*INDEX($D$5:$D$205,MAX(6,MIN(INT(((Alpha_keep*$A20+I$3-Lo_c)/Step_c)+0.00000001),193))+2)),"")</f>
        <v>-557.081374762732</v>
      </c>
      <c r="J20" s="16" t="n">
        <f aca="false">IF(Grid!H20=1,-Cost_k*J$3-Short_p*MAX(0,Floor_c-$A20)+Beta_q*((1-(((Alpha_keep*$A20+J$3-Lo_c)/Step_c)-MAX(6,MIN(INT(((Alpha_keep*$A20+J$3-Lo_c)/Step_c)+0.00000001),193))))*INDEX($D$5:$D$205,MAX(6,MIN(INT(((Alpha_keep*$A20+J$3-Lo_c)/Step_c)+0.00000001),193))+1)+(((Alpha_keep*$A20+J$3-Lo_c)/Step_c)-MAX(6,MIN(INT(((Alpha_keep*$A20+J$3-Lo_c)/Step_c)+0.00000001),193)))*INDEX($D$5:$D$205,MAX(6,MIN(INT(((Alpha_keep*$A20+J$3-Lo_c)/Step_c)+0.00000001),193))+2)),"")</f>
        <v>-553.271919006078</v>
      </c>
      <c r="K20" s="16" t="n">
        <f aca="false">IF(Grid!I20=1,-Cost_k*K$3-Short_p*MAX(0,Floor_c-$A20)+Beta_q*((1-(((Alpha_keep*$A20+K$3-Lo_c)/Step_c)-MAX(6,MIN(INT(((Alpha_keep*$A20+K$3-Lo_c)/Step_c)+0.00000001),193))))*INDEX($D$5:$D$205,MAX(6,MIN(INT(((Alpha_keep*$A20+K$3-Lo_c)/Step_c)+0.00000001),193))+1)+(((Alpha_keep*$A20+K$3-Lo_c)/Step_c)-MAX(6,MIN(INT(((Alpha_keep*$A20+K$3-Lo_c)/Step_c)+0.00000001),193)))*INDEX($D$5:$D$205,MAX(6,MIN(INT(((Alpha_keep*$A20+K$3-Lo_c)/Step_c)+0.00000001),193))+2)),"")</f>
        <v>-549.486949587158</v>
      </c>
      <c r="L20" s="16" t="n">
        <f aca="false">IF(Grid!J20=1,-Cost_k*L$3-Short_p*MAX(0,Floor_c-$A20)+Beta_q*((1-(((Alpha_keep*$A20+L$3-Lo_c)/Step_c)-MAX(6,MIN(INT(((Alpha_keep*$A20+L$3-Lo_c)/Step_c)+0.00000001),193))))*INDEX($D$5:$D$205,MAX(6,MIN(INT(((Alpha_keep*$A20+L$3-Lo_c)/Step_c)+0.00000001),193))+1)+(((Alpha_keep*$A20+L$3-Lo_c)/Step_c)-MAX(6,MIN(INT(((Alpha_keep*$A20+L$3-Lo_c)/Step_c)+0.00000001),193)))*INDEX($D$5:$D$205,MAX(6,MIN(INT(((Alpha_keep*$A20+L$3-Lo_c)/Step_c)+0.00000001),193))+2)),"")</f>
        <v>-545.726783973496</v>
      </c>
      <c r="M20" s="16" t="n">
        <f aca="false">IF(Grid!K20=1,-Cost_k*M$3-Short_p*MAX(0,Floor_c-$A20)+Beta_q*((1-(((Alpha_keep*$A20+M$3-Lo_c)/Step_c)-MAX(6,MIN(INT(((Alpha_keep*$A20+M$3-Lo_c)/Step_c)+0.00000001),193))))*INDEX($D$5:$D$205,MAX(6,MIN(INT(((Alpha_keep*$A20+M$3-Lo_c)/Step_c)+0.00000001),193))+1)+(((Alpha_keep*$A20+M$3-Lo_c)/Step_c)-MAX(6,MIN(INT(((Alpha_keep*$A20+M$3-Lo_c)/Step_c)+0.00000001),193)))*INDEX($D$5:$D$205,MAX(6,MIN(INT(((Alpha_keep*$A20+M$3-Lo_c)/Step_c)+0.00000001),193))+2)),"")</f>
        <v>-541.991685299135</v>
      </c>
      <c r="N20" s="16" t="n">
        <f aca="false">IF(Grid!L20=1,-Cost_k*N$3-Short_p*MAX(0,Floor_c-$A20)+Beta_q*((1-(((Alpha_keep*$A20+N$3-Lo_c)/Step_c)-MAX(6,MIN(INT(((Alpha_keep*$A20+N$3-Lo_c)/Step_c)+0.00000001),193))))*INDEX($D$5:$D$205,MAX(6,MIN(INT(((Alpha_keep*$A20+N$3-Lo_c)/Step_c)+0.00000001),193))+1)+(((Alpha_keep*$A20+N$3-Lo_c)/Step_c)-MAX(6,MIN(INT(((Alpha_keep*$A20+N$3-Lo_c)/Step_c)+0.00000001),193)))*INDEX($D$5:$D$205,MAX(6,MIN(INT(((Alpha_keep*$A20+N$3-Lo_c)/Step_c)+0.00000001),193))+2)),"")</f>
        <v>-538.281897730729</v>
      </c>
      <c r="O20" s="16" t="n">
        <f aca="false">IF(Grid!M20=1,-Cost_k*O$3-Short_p*MAX(0,Floor_c-$A20)+Beta_q*((1-(((Alpha_keep*$A20+O$3-Lo_c)/Step_c)-MAX(6,MIN(INT(((Alpha_keep*$A20+O$3-Lo_c)/Step_c)+0.00000001),193))))*INDEX($D$5:$D$205,MAX(6,MIN(INT(((Alpha_keep*$A20+O$3-Lo_c)/Step_c)+0.00000001),193))+1)+(((Alpha_keep*$A20+O$3-Lo_c)/Step_c)-MAX(6,MIN(INT(((Alpha_keep*$A20+O$3-Lo_c)/Step_c)+0.00000001),193)))*INDEX($D$5:$D$205,MAX(6,MIN(INT(((Alpha_keep*$A20+O$3-Lo_c)/Step_c)+0.00000001),193))+2)),"")</f>
        <v>-534.597758848634</v>
      </c>
      <c r="P20" s="11" t="n">
        <f aca="false">MAX(E20:O20)</f>
        <v>-534.597758848634</v>
      </c>
      <c r="Q20" s="12" t="n">
        <f aca="false">INDEX($E$3:$O$3,MATCH(P20,E20:O20,0))</f>
        <v>2.5</v>
      </c>
      <c r="R20" s="20" t="n">
        <v>2.5</v>
      </c>
      <c r="S20" s="14" t="n">
        <f aca="false">IF(ABS(Q20-R20)&lt;0.000000001,1,0)</f>
        <v>1</v>
      </c>
      <c r="T20" s="21" t="n">
        <f aca="false">ABS(P20-B20)</f>
        <v>0</v>
      </c>
      <c r="U20" s="16" t="n">
        <f aca="false">Alpha_keep*A20+Q20</f>
        <v>35.40625</v>
      </c>
      <c r="V20" s="14" t="n">
        <f aca="false">INDEX(GuardBlock,16,ROUND(Q20/Step_h,0)+1)</f>
        <v>1</v>
      </c>
      <c r="W20" s="22" t="n">
        <v>0</v>
      </c>
    </row>
    <row r="21" customFormat="false" ht="15" hidden="false" customHeight="false" outlineLevel="0" collapsed="false">
      <c r="A21" s="18" t="n">
        <f aca="false">Grid!A21</f>
        <v>34</v>
      </c>
      <c r="B21" s="19" t="n">
        <v>-529.65578555931</v>
      </c>
      <c r="C21" s="14" t="n">
        <v>16</v>
      </c>
      <c r="D21" s="11" t="n">
        <f aca="false">IF(AND($C21&gt;=6,$C21&lt;=194),Declarations!$B$25*INDEX($B$5:$B$205,$C21+1-Declarations!$E$25)+Declarations!$B$26*INDEX($B$5:$B$205,$C21+1-Declarations!$E$26)+Declarations!$B$27*INDEX($B$5:$B$205,$C21+1-Declarations!$E$27)+Declarations!$B$28*INDEX($B$5:$B$205,$C21+1-Declarations!$E$28)+Declarations!$B$29*INDEX($B$5:$B$205,$C21+1-Declarations!$E$29),"")</f>
        <v>-529.745471892788</v>
      </c>
      <c r="E21" s="16" t="n">
        <f aca="false">IF(Grid!C21=1,-Cost_k*E$3-Short_p*MAX(0,Floor_c-$A21)+Beta_q*((1-(((Alpha_keep*$A21+E$3-Lo_c)/Step_c)-MAX(6,MIN(INT(((Alpha_keep*$A21+E$3-Lo_c)/Step_c)+0.00000001),193))))*INDEX($D$5:$D$205,MAX(6,MIN(INT(((Alpha_keep*$A21+E$3-Lo_c)/Step_c)+0.00000001),193))+1)+(((Alpha_keep*$A21+E$3-Lo_c)/Step_c)-MAX(6,MIN(INT(((Alpha_keep*$A21+E$3-Lo_c)/Step_c)+0.00000001),193)))*INDEX($D$5:$D$205,MAX(6,MIN(INT(((Alpha_keep*$A21+E$3-Lo_c)/Step_c)+0.00000001),193))+2)),"")</f>
        <v>-567.37649031529</v>
      </c>
      <c r="F21" s="16" t="n">
        <f aca="false">IF(Grid!D21=1,-Cost_k*F$3-Short_p*MAX(0,Floor_c-$A21)+Beta_q*((1-(((Alpha_keep*$A21+F$3-Lo_c)/Step_c)-MAX(6,MIN(INT(((Alpha_keep*$A21+F$3-Lo_c)/Step_c)+0.00000001),193))))*INDEX($D$5:$D$205,MAX(6,MIN(INT(((Alpha_keep*$A21+F$3-Lo_c)/Step_c)+0.00000001),193))+1)+(((Alpha_keep*$A21+F$3-Lo_c)/Step_c)-MAX(6,MIN(INT(((Alpha_keep*$A21+F$3-Lo_c)/Step_c)+0.00000001),193)))*INDEX($D$5:$D$205,MAX(6,MIN(INT(((Alpha_keep*$A21+F$3-Lo_c)/Step_c)+0.00000001),193))+2)),"")</f>
        <v>-563.494535774686</v>
      </c>
      <c r="G21" s="16" t="n">
        <f aca="false">IF(Grid!E21=1,-Cost_k*G$3-Short_p*MAX(0,Floor_c-$A21)+Beta_q*((1-(((Alpha_keep*$A21+G$3-Lo_c)/Step_c)-MAX(6,MIN(INT(((Alpha_keep*$A21+G$3-Lo_c)/Step_c)+0.00000001),193))))*INDEX($D$5:$D$205,MAX(6,MIN(INT(((Alpha_keep*$A21+G$3-Lo_c)/Step_c)+0.00000001),193))+1)+(((Alpha_keep*$A21+G$3-Lo_c)/Step_c)-MAX(6,MIN(INT(((Alpha_keep*$A21+G$3-Lo_c)/Step_c)+0.00000001),193)))*INDEX($D$5:$D$205,MAX(6,MIN(INT(((Alpha_keep*$A21+G$3-Lo_c)/Step_c)+0.00000001),193))+2)),"")</f>
        <v>-559.636273465716</v>
      </c>
      <c r="H21" s="16" t="n">
        <f aca="false">IF(Grid!F21=1,-Cost_k*H$3-Short_p*MAX(0,Floor_c-$A21)+Beta_q*((1-(((Alpha_keep*$A21+H$3-Lo_c)/Step_c)-MAX(6,MIN(INT(((Alpha_keep*$A21+H$3-Lo_c)/Step_c)+0.00000001),193))))*INDEX($D$5:$D$205,MAX(6,MIN(INT(((Alpha_keep*$A21+H$3-Lo_c)/Step_c)+0.00000001),193))+1)+(((Alpha_keep*$A21+H$3-Lo_c)/Step_c)-MAX(6,MIN(INT(((Alpha_keep*$A21+H$3-Lo_c)/Step_c)+0.00000001),193)))*INDEX($D$5:$D$205,MAX(6,MIN(INT(((Alpha_keep*$A21+H$3-Lo_c)/Step_c)+0.00000001),193))+2)),"")</f>
        <v>-555.801990912433</v>
      </c>
      <c r="I21" s="16" t="n">
        <f aca="false">IF(Grid!G21=1,-Cost_k*I$3-Short_p*MAX(0,Floor_c-$A21)+Beta_q*((1-(((Alpha_keep*$A21+I$3-Lo_c)/Step_c)-MAX(6,MIN(INT(((Alpha_keep*$A21+I$3-Lo_c)/Step_c)+0.00000001),193))))*INDEX($D$5:$D$205,MAX(6,MIN(INT(((Alpha_keep*$A21+I$3-Lo_c)/Step_c)+0.00000001),193))+1)+(((Alpha_keep*$A21+I$3-Lo_c)/Step_c)-MAX(6,MIN(INT(((Alpha_keep*$A21+I$3-Lo_c)/Step_c)+0.00000001),193)))*INDEX($D$5:$D$205,MAX(6,MIN(INT(((Alpha_keep*$A21+I$3-Lo_c)/Step_c)+0.00000001),193))+2)),"")</f>
        <v>-551.991927546524</v>
      </c>
      <c r="J21" s="16" t="n">
        <f aca="false">IF(Grid!H21=1,-Cost_k*J$3-Short_p*MAX(0,Floor_c-$A21)+Beta_q*((1-(((Alpha_keep*$A21+J$3-Lo_c)/Step_c)-MAX(6,MIN(INT(((Alpha_keep*$A21+J$3-Lo_c)/Step_c)+0.00000001),193))))*INDEX($D$5:$D$205,MAX(6,MIN(INT(((Alpha_keep*$A21+J$3-Lo_c)/Step_c)+0.00000001),193))+1)+(((Alpha_keep*$A21+J$3-Lo_c)/Step_c)-MAX(6,MIN(INT(((Alpha_keep*$A21+J$3-Lo_c)/Step_c)+0.00000001),193)))*INDEX($D$5:$D$205,MAX(6,MIN(INT(((Alpha_keep*$A21+J$3-Lo_c)/Step_c)+0.00000001),193))+2)),"")</f>
        <v>-548.206343239648</v>
      </c>
      <c r="K21" s="16" t="n">
        <f aca="false">IF(Grid!I21=1,-Cost_k*K$3-Short_p*MAX(0,Floor_c-$A21)+Beta_q*((1-(((Alpha_keep*$A21+K$3-Lo_c)/Step_c)-MAX(6,MIN(INT(((Alpha_keep*$A21+K$3-Lo_c)/Step_c)+0.00000001),193))))*INDEX($D$5:$D$205,MAX(6,MIN(INT(((Alpha_keep*$A21+K$3-Lo_c)/Step_c)+0.00000001),193))+1)+(((Alpha_keep*$A21+K$3-Lo_c)/Step_c)-MAX(6,MIN(INT(((Alpha_keep*$A21+K$3-Lo_c)/Step_c)+0.00000001),193)))*INDEX($D$5:$D$205,MAX(6,MIN(INT(((Alpha_keep*$A21+K$3-Lo_c)/Step_c)+0.00000001),193))+2)),"")</f>
        <v>-544.445554406549</v>
      </c>
      <c r="L21" s="16" t="n">
        <f aca="false">IF(Grid!J21=1,-Cost_k*L$3-Short_p*MAX(0,Floor_c-$A21)+Beta_q*((1-(((Alpha_keep*$A21+L$3-Lo_c)/Step_c)-MAX(6,MIN(INT(((Alpha_keep*$A21+L$3-Lo_c)/Step_c)+0.00000001),193))))*INDEX($D$5:$D$205,MAX(6,MIN(INT(((Alpha_keep*$A21+L$3-Lo_c)/Step_c)+0.00000001),193))+1)+(((Alpha_keep*$A21+L$3-Lo_c)/Step_c)-MAX(6,MIN(INT(((Alpha_keep*$A21+L$3-Lo_c)/Step_c)+0.00000001),193)))*INDEX($D$5:$D$205,MAX(6,MIN(INT(((Alpha_keep*$A21+L$3-Lo_c)/Step_c)+0.00000001),193))+2)),"")</f>
        <v>-540.709826986278</v>
      </c>
      <c r="M21" s="16" t="n">
        <f aca="false">IF(Grid!K21=1,-Cost_k*M$3-Short_p*MAX(0,Floor_c-$A21)+Beta_q*((1-(((Alpha_keep*$A21+M$3-Lo_c)/Step_c)-MAX(6,MIN(INT(((Alpha_keep*$A21+M$3-Lo_c)/Step_c)+0.00000001),193))))*INDEX($D$5:$D$205,MAX(6,MIN(INT(((Alpha_keep*$A21+M$3-Lo_c)/Step_c)+0.00000001),193))+1)+(((Alpha_keep*$A21+M$3-Lo_c)/Step_c)-MAX(6,MIN(INT(((Alpha_keep*$A21+M$3-Lo_c)/Step_c)+0.00000001),193)))*INDEX($D$5:$D$205,MAX(6,MIN(INT(((Alpha_keep*$A21+M$3-Lo_c)/Step_c)+0.00000001),193))+2)),"")</f>
        <v>-536.99940422118</v>
      </c>
      <c r="N21" s="16" t="n">
        <f aca="false">IF(Grid!L21=1,-Cost_k*N$3-Short_p*MAX(0,Floor_c-$A21)+Beta_q*((1-(((Alpha_keep*$A21+N$3-Lo_c)/Step_c)-MAX(6,MIN(INT(((Alpha_keep*$A21+N$3-Lo_c)/Step_c)+0.00000001),193))))*INDEX($D$5:$D$205,MAX(6,MIN(INT(((Alpha_keep*$A21+N$3-Lo_c)/Step_c)+0.00000001),193))+1)+(((Alpha_keep*$A21+N$3-Lo_c)/Step_c)-MAX(6,MIN(INT(((Alpha_keep*$A21+N$3-Lo_c)/Step_c)+0.00000001),193)))*INDEX($D$5:$D$205,MAX(6,MIN(INT(((Alpha_keep*$A21+N$3-Lo_c)/Step_c)+0.00000001),193))+2)),"")</f>
        <v>-533.314620509648</v>
      </c>
      <c r="O21" s="16" t="n">
        <f aca="false">IF(Grid!M21=1,-Cost_k*O$3-Short_p*MAX(0,Floor_c-$A21)+Beta_q*((1-(((Alpha_keep*$A21+O$3-Lo_c)/Step_c)-MAX(6,MIN(INT(((Alpha_keep*$A21+O$3-Lo_c)/Step_c)+0.00000001),193))))*INDEX($D$5:$D$205,MAX(6,MIN(INT(((Alpha_keep*$A21+O$3-Lo_c)/Step_c)+0.00000001),193))+1)+(((Alpha_keep*$A21+O$3-Lo_c)/Step_c)-MAX(6,MIN(INT(((Alpha_keep*$A21+O$3-Lo_c)/Step_c)+0.00000001),193)))*INDEX($D$5:$D$205,MAX(6,MIN(INT(((Alpha_keep*$A21+O$3-Lo_c)/Step_c)+0.00000001),193))+2)),"")</f>
        <v>-529.65578555931</v>
      </c>
      <c r="P21" s="11" t="n">
        <f aca="false">MAX(E21:O21)</f>
        <v>-529.65578555931</v>
      </c>
      <c r="Q21" s="12" t="n">
        <f aca="false">INDEX($E$3:$O$3,MATCH(P21,E21:O21,0))</f>
        <v>2.5</v>
      </c>
      <c r="R21" s="20" t="n">
        <v>2.5</v>
      </c>
      <c r="S21" s="14" t="n">
        <f aca="false">IF(ABS(Q21-R21)&lt;0.000000001,1,0)</f>
        <v>1</v>
      </c>
      <c r="T21" s="21" t="n">
        <f aca="false">ABS(P21-B21)</f>
        <v>0</v>
      </c>
      <c r="U21" s="16" t="n">
        <f aca="false">Alpha_keep*A21+Q21</f>
        <v>35.65</v>
      </c>
      <c r="V21" s="14" t="n">
        <f aca="false">INDEX(GuardBlock,17,ROUND(Q21/Step_h,0)+1)</f>
        <v>1</v>
      </c>
      <c r="W21" s="22" t="n">
        <v>0</v>
      </c>
    </row>
    <row r="22" customFormat="false" ht="15" hidden="false" customHeight="false" outlineLevel="0" collapsed="false">
      <c r="A22" s="18" t="n">
        <f aca="false">Grid!A22</f>
        <v>34.25</v>
      </c>
      <c r="B22" s="19" t="n">
        <v>-524.73868033643</v>
      </c>
      <c r="C22" s="14" t="n">
        <v>17</v>
      </c>
      <c r="D22" s="11" t="n">
        <f aca="false">IF(AND($C22&gt;=6,$C22&lt;=194),Declarations!$B$25*INDEX($B$5:$B$205,$C22+1-Declarations!$E$25)+Declarations!$B$26*INDEX($B$5:$B$205,$C22+1-Declarations!$E$26)+Declarations!$B$27*INDEX($B$5:$B$205,$C22+1-Declarations!$E$27)+Declarations!$B$28*INDEX($B$5:$B$205,$C22+1-Declarations!$E$28)+Declarations!$B$29*INDEX($B$5:$B$205,$C22+1-Declarations!$E$29),"")</f>
        <v>-524.829376329691</v>
      </c>
      <c r="E22" s="16" t="n">
        <f aca="false">IF(Grid!C22=1,-Cost_k*E$3-Short_p*MAX(0,Floor_c-$A22)+Beta_q*((1-(((Alpha_keep*$A22+E$3-Lo_c)/Step_c)-MAX(6,MIN(INT(((Alpha_keep*$A22+E$3-Lo_c)/Step_c)+0.00000001),193))))*INDEX($D$5:$D$205,MAX(6,MIN(INT(((Alpha_keep*$A22+E$3-Lo_c)/Step_c)+0.00000001),193))+1)+(((Alpha_keep*$A22+E$3-Lo_c)/Step_c)-MAX(6,MIN(INT(((Alpha_keep*$A22+E$3-Lo_c)/Step_c)+0.00000001),193)))*INDEX($D$5:$D$205,MAX(6,MIN(INT(((Alpha_keep*$A22+E$3-Lo_c)/Step_c)+0.00000001),193))+2)),"")</f>
        <v>-562.216349516453</v>
      </c>
      <c r="F22" s="16" t="n">
        <f aca="false">IF(Grid!D22=1,-Cost_k*F$3-Short_p*MAX(0,Floor_c-$A22)+Beta_q*((1-(((Alpha_keep*$A22+F$3-Lo_c)/Step_c)-MAX(6,MIN(INT(((Alpha_keep*$A22+F$3-Lo_c)/Step_c)+0.00000001),193))))*INDEX($D$5:$D$205,MAX(6,MIN(INT(((Alpha_keep*$A22+F$3-Lo_c)/Step_c)+0.00000001),193))+1)+(((Alpha_keep*$A22+F$3-Lo_c)/Step_c)-MAX(6,MIN(INT(((Alpha_keep*$A22+F$3-Lo_c)/Step_c)+0.00000001),193)))*INDEX($D$5:$D$205,MAX(6,MIN(INT(((Alpha_keep*$A22+F$3-Lo_c)/Step_c)+0.00000001),193))+2)),"")</f>
        <v>-558.357491900745</v>
      </c>
      <c r="G22" s="16" t="n">
        <f aca="false">IF(Grid!E22=1,-Cost_k*G$3-Short_p*MAX(0,Floor_c-$A22)+Beta_q*((1-(((Alpha_keep*$A22+G$3-Lo_c)/Step_c)-MAX(6,MIN(INT(((Alpha_keep*$A22+G$3-Lo_c)/Step_c)+0.00000001),193))))*INDEX($D$5:$D$205,MAX(6,MIN(INT(((Alpha_keep*$A22+G$3-Lo_c)/Step_c)+0.00000001),193))+1)+(((Alpha_keep*$A22+G$3-Lo_c)/Step_c)-MAX(6,MIN(INT(((Alpha_keep*$A22+G$3-Lo_c)/Step_c)+0.00000001),193)))*INDEX($D$5:$D$205,MAX(6,MIN(INT(((Alpha_keep*$A22+G$3-Lo_c)/Step_c)+0.00000001),193))+2)),"")</f>
        <v>-554.522607062134</v>
      </c>
      <c r="H22" s="16" t="n">
        <f aca="false">IF(Grid!F22=1,-Cost_k*H$3-Short_p*MAX(0,Floor_c-$A22)+Beta_q*((1-(((Alpha_keep*$A22+H$3-Lo_c)/Step_c)-MAX(6,MIN(INT(((Alpha_keep*$A22+H$3-Lo_c)/Step_c)+0.00000001),193))))*INDEX($D$5:$D$205,MAX(6,MIN(INT(((Alpha_keep*$A22+H$3-Lo_c)/Step_c)+0.00000001),193))+1)+(((Alpha_keep*$A22+H$3-Lo_c)/Step_c)-MAX(6,MIN(INT(((Alpha_keep*$A22+H$3-Lo_c)/Step_c)+0.00000001),193)))*INDEX($D$5:$D$205,MAX(6,MIN(INT(((Alpha_keep*$A22+H$3-Lo_c)/Step_c)+0.00000001),193))+2)),"")</f>
        <v>-550.71193608697</v>
      </c>
      <c r="I22" s="16" t="n">
        <f aca="false">IF(Grid!G22=1,-Cost_k*I$3-Short_p*MAX(0,Floor_c-$A22)+Beta_q*((1-(((Alpha_keep*$A22+I$3-Lo_c)/Step_c)-MAX(6,MIN(INT(((Alpha_keep*$A22+I$3-Lo_c)/Step_c)+0.00000001),193))))*INDEX($D$5:$D$205,MAX(6,MIN(INT(((Alpha_keep*$A22+I$3-Lo_c)/Step_c)+0.00000001),193))+1)+(((Alpha_keep*$A22+I$3-Lo_c)/Step_c)-MAX(6,MIN(INT(((Alpha_keep*$A22+I$3-Lo_c)/Step_c)+0.00000001),193)))*INDEX($D$5:$D$205,MAX(6,MIN(INT(((Alpha_keep*$A22+I$3-Lo_c)/Step_c)+0.00000001),193))+2)),"")</f>
        <v>-546.925736892137</v>
      </c>
      <c r="J22" s="16" t="n">
        <f aca="false">IF(Grid!H22=1,-Cost_k*J$3-Short_p*MAX(0,Floor_c-$A22)+Beta_q*((1-(((Alpha_keep*$A22+J$3-Lo_c)/Step_c)-MAX(6,MIN(INT(((Alpha_keep*$A22+J$3-Lo_c)/Step_c)+0.00000001),193))))*INDEX($D$5:$D$205,MAX(6,MIN(INT(((Alpha_keep*$A22+J$3-Lo_c)/Step_c)+0.00000001),193))+1)+(((Alpha_keep*$A22+J$3-Lo_c)/Step_c)-MAX(6,MIN(INT(((Alpha_keep*$A22+J$3-Lo_c)/Step_c)+0.00000001),193)))*INDEX($D$5:$D$205,MAX(6,MIN(INT(((Alpha_keep*$A22+J$3-Lo_c)/Step_c)+0.00000001),193))+2)),"")</f>
        <v>-543.164324839602</v>
      </c>
      <c r="K22" s="16" t="n">
        <f aca="false">IF(Grid!I22=1,-Cost_k*K$3-Short_p*MAX(0,Floor_c-$A22)+Beta_q*((1-(((Alpha_keep*$A22+K$3-Lo_c)/Step_c)-MAX(6,MIN(INT(((Alpha_keep*$A22+K$3-Lo_c)/Step_c)+0.00000001),193))))*INDEX($D$5:$D$205,MAX(6,MIN(INT(((Alpha_keep*$A22+K$3-Lo_c)/Step_c)+0.00000001),193))+1)+(((Alpha_keep*$A22+K$3-Lo_c)/Step_c)-MAX(6,MIN(INT(((Alpha_keep*$A22+K$3-Lo_c)/Step_c)+0.00000001),193)))*INDEX($D$5:$D$205,MAX(6,MIN(INT(((Alpha_keep*$A22+K$3-Lo_c)/Step_c)+0.00000001),193))+2)),"")</f>
        <v>-539.42796867342</v>
      </c>
      <c r="L22" s="16" t="n">
        <f aca="false">IF(Grid!J22=1,-Cost_k*L$3-Short_p*MAX(0,Floor_c-$A22)+Beta_q*((1-(((Alpha_keep*$A22+L$3-Lo_c)/Step_c)-MAX(6,MIN(INT(((Alpha_keep*$A22+L$3-Lo_c)/Step_c)+0.00000001),193))))*INDEX($D$5:$D$205,MAX(6,MIN(INT(((Alpha_keep*$A22+L$3-Lo_c)/Step_c)+0.00000001),193))+1)+(((Alpha_keep*$A22+L$3-Lo_c)/Step_c)-MAX(6,MIN(INT(((Alpha_keep*$A22+L$3-Lo_c)/Step_c)+0.00000001),193)))*INDEX($D$5:$D$205,MAX(6,MIN(INT(((Alpha_keep*$A22+L$3-Lo_c)/Step_c)+0.00000001),193))+2)),"")</f>
        <v>-535.71691071163</v>
      </c>
      <c r="M22" s="16" t="n">
        <f aca="false">IF(Grid!K22=1,-Cost_k*M$3-Short_p*MAX(0,Floor_c-$A22)+Beta_q*((1-(((Alpha_keep*$A22+M$3-Lo_c)/Step_c)-MAX(6,MIN(INT(((Alpha_keep*$A22+M$3-Lo_c)/Step_c)+0.00000001),193))))*INDEX($D$5:$D$205,MAX(6,MIN(INT(((Alpha_keep*$A22+M$3-Lo_c)/Step_c)+0.00000001),193))+1)+(((Alpha_keep*$A22+M$3-Lo_c)/Step_c)-MAX(6,MIN(INT(((Alpha_keep*$A22+M$3-Lo_c)/Step_c)+0.00000001),193)))*INDEX($D$5:$D$205,MAX(6,MIN(INT(((Alpha_keep*$A22+M$3-Lo_c)/Step_c)+0.00000001),193))+2)),"")</f>
        <v>-532.031482170661</v>
      </c>
      <c r="N22" s="16" t="n">
        <f aca="false">IF(Grid!L22=1,-Cost_k*N$3-Short_p*MAX(0,Floor_c-$A22)+Beta_q*((1-(((Alpha_keep*$A22+N$3-Lo_c)/Step_c)-MAX(6,MIN(INT(((Alpha_keep*$A22+N$3-Lo_c)/Step_c)+0.00000001),193))))*INDEX($D$5:$D$205,MAX(6,MIN(INT(((Alpha_keep*$A22+N$3-Lo_c)/Step_c)+0.00000001),193))+1)+(((Alpha_keep*$A22+N$3-Lo_c)/Step_c)-MAX(6,MIN(INT(((Alpha_keep*$A22+N$3-Lo_c)/Step_c)+0.00000001),193)))*INDEX($D$5:$D$205,MAX(6,MIN(INT(((Alpha_keep*$A22+N$3-Lo_c)/Step_c)+0.00000001),193))+2)),"")</f>
        <v>-528.371995908232</v>
      </c>
      <c r="O22" s="16" t="n">
        <f aca="false">IF(Grid!M22=1,-Cost_k*O$3-Short_p*MAX(0,Floor_c-$A22)+Beta_q*((1-(((Alpha_keep*$A22+O$3-Lo_c)/Step_c)-MAX(6,MIN(INT(((Alpha_keep*$A22+O$3-Lo_c)/Step_c)+0.00000001),193))))*INDEX($D$5:$D$205,MAX(6,MIN(INT(((Alpha_keep*$A22+O$3-Lo_c)/Step_c)+0.00000001),193))+1)+(((Alpha_keep*$A22+O$3-Lo_c)/Step_c)-MAX(6,MIN(INT(((Alpha_keep*$A22+O$3-Lo_c)/Step_c)+0.00000001),193)))*INDEX($D$5:$D$205,MAX(6,MIN(INT(((Alpha_keep*$A22+O$3-Lo_c)/Step_c)+0.00000001),193))+2)),"")</f>
        <v>-524.73868033643</v>
      </c>
      <c r="P22" s="11" t="n">
        <f aca="false">MAX(E22:O22)</f>
        <v>-524.73868033643</v>
      </c>
      <c r="Q22" s="12" t="n">
        <f aca="false">INDEX($E$3:$O$3,MATCH(P22,E22:O22,0))</f>
        <v>2.5</v>
      </c>
      <c r="R22" s="20" t="n">
        <v>2.5</v>
      </c>
      <c r="S22" s="14" t="n">
        <f aca="false">IF(ABS(Q22-R22)&lt;0.000000001,1,0)</f>
        <v>1</v>
      </c>
      <c r="T22" s="21" t="n">
        <f aca="false">ABS(P22-B22)</f>
        <v>0</v>
      </c>
      <c r="U22" s="16" t="n">
        <f aca="false">Alpha_keep*A22+Q22</f>
        <v>35.89375</v>
      </c>
      <c r="V22" s="14" t="n">
        <f aca="false">INDEX(GuardBlock,18,ROUND(Q22/Step_h,0)+1)</f>
        <v>1</v>
      </c>
      <c r="W22" s="22" t="n">
        <v>0</v>
      </c>
    </row>
    <row r="23" customFormat="false" ht="15" hidden="false" customHeight="false" outlineLevel="0" collapsed="false">
      <c r="A23" s="18" t="n">
        <f aca="false">Grid!A23</f>
        <v>34.5</v>
      </c>
      <c r="B23" s="19" t="n">
        <v>-519.846751919477</v>
      </c>
      <c r="C23" s="14" t="n">
        <v>18</v>
      </c>
      <c r="D23" s="11" t="n">
        <f aca="false">IF(AND($C23&gt;=6,$C23&lt;=194),Declarations!$B$25*INDEX($B$5:$B$205,$C23+1-Declarations!$E$25)+Declarations!$B$26*INDEX($B$5:$B$205,$C23+1-Declarations!$E$26)+Declarations!$B$27*INDEX($B$5:$B$205,$C23+1-Declarations!$E$27)+Declarations!$B$28*INDEX($B$5:$B$205,$C23+1-Declarations!$E$28)+Declarations!$B$29*INDEX($B$5:$B$205,$C23+1-Declarations!$E$29),"")</f>
        <v>-519.938469373523</v>
      </c>
      <c r="E23" s="16" t="n">
        <f aca="false">IF(Grid!C23=1,-Cost_k*E$3-Short_p*MAX(0,Floor_c-$A23)+Beta_q*((1-(((Alpha_keep*$A23+E$3-Lo_c)/Step_c)-MAX(6,MIN(INT(((Alpha_keep*$A23+E$3-Lo_c)/Step_c)+0.00000001),193))))*INDEX($D$5:$D$205,MAX(6,MIN(INT(((Alpha_keep*$A23+E$3-Lo_c)/Step_c)+0.00000001),193))+1)+(((Alpha_keep*$A23+E$3-Lo_c)/Step_c)-MAX(6,MIN(INT(((Alpha_keep*$A23+E$3-Lo_c)/Step_c)+0.00000001),193)))*INDEX($D$5:$D$205,MAX(6,MIN(INT(((Alpha_keep*$A23+E$3-Lo_c)/Step_c)+0.00000001),193))+2)),"")</f>
        <v>-557.078710335774</v>
      </c>
      <c r="F23" s="16" t="n">
        <f aca="false">IF(Grid!D23=1,-Cost_k*F$3-Short_p*MAX(0,Floor_c-$A23)+Beta_q*((1-(((Alpha_keep*$A23+F$3-Lo_c)/Step_c)-MAX(6,MIN(INT(((Alpha_keep*$A23+F$3-Lo_c)/Step_c)+0.00000001),193))))*INDEX($D$5:$D$205,MAX(6,MIN(INT(((Alpha_keep*$A23+F$3-Lo_c)/Step_c)+0.00000001),193))+1)+(((Alpha_keep*$A23+F$3-Lo_c)/Step_c)-MAX(6,MIN(INT(((Alpha_keep*$A23+F$3-Lo_c)/Step_c)+0.00000001),193)))*INDEX($D$5:$D$205,MAX(6,MIN(INT(((Alpha_keep*$A23+F$3-Lo_c)/Step_c)+0.00000001),193))+2)),"")</f>
        <v>-553.243223211835</v>
      </c>
      <c r="G23" s="16" t="n">
        <f aca="false">IF(Grid!E23=1,-Cost_k*G$3-Short_p*MAX(0,Floor_c-$A23)+Beta_q*((1-(((Alpha_keep*$A23+G$3-Lo_c)/Step_c)-MAX(6,MIN(INT(((Alpha_keep*$A23+G$3-Lo_c)/Step_c)+0.00000001),193))))*INDEX($D$5:$D$205,MAX(6,MIN(INT(((Alpha_keep*$A23+G$3-Lo_c)/Step_c)+0.00000001),193))+1)+(((Alpha_keep*$A23+G$3-Lo_c)/Step_c)-MAX(6,MIN(INT(((Alpha_keep*$A23+G$3-Lo_c)/Step_c)+0.00000001),193)))*INDEX($D$5:$D$205,MAX(6,MIN(INT(((Alpha_keep*$A23+G$3-Lo_c)/Step_c)+0.00000001),193))+2)),"")</f>
        <v>-549.431944627415</v>
      </c>
      <c r="H23" s="16" t="n">
        <f aca="false">IF(Grid!F23=1,-Cost_k*H$3-Short_p*MAX(0,Floor_c-$A23)+Beta_q*((1-(((Alpha_keep*$A23+H$3-Lo_c)/Step_c)-MAX(6,MIN(INT(((Alpha_keep*$A23+H$3-Lo_c)/Step_c)+0.00000001),193))))*INDEX($D$5:$D$205,MAX(6,MIN(INT(((Alpha_keep*$A23+H$3-Lo_c)/Step_c)+0.00000001),193))+1)+(((Alpha_keep*$A23+H$3-Lo_c)/Step_c)-MAX(6,MIN(INT(((Alpha_keep*$A23+H$3-Lo_c)/Step_c)+0.00000001),193)))*INDEX($D$5:$D$205,MAX(6,MIN(INT(((Alpha_keep*$A23+H$3-Lo_c)/Step_c)+0.00000001),193))+2)),"")</f>
        <v>-545.645130544627</v>
      </c>
      <c r="I23" s="16" t="n">
        <f aca="false">IF(Grid!G23=1,-Cost_k*I$3-Short_p*MAX(0,Floor_c-$A23)+Beta_q*((1-(((Alpha_keep*$A23+I$3-Lo_c)/Step_c)-MAX(6,MIN(INT(((Alpha_keep*$A23+I$3-Lo_c)/Step_c)+0.00000001),193))))*INDEX($D$5:$D$205,MAX(6,MIN(INT(((Alpha_keep*$A23+I$3-Lo_c)/Step_c)+0.00000001),193))+1)+(((Alpha_keep*$A23+I$3-Lo_c)/Step_c)-MAX(6,MIN(INT(((Alpha_keep*$A23+I$3-Lo_c)/Step_c)+0.00000001),193)))*INDEX($D$5:$D$205,MAX(6,MIN(INT(((Alpha_keep*$A23+I$3-Lo_c)/Step_c)+0.00000001),193))+2)),"")</f>
        <v>-541.883095272655</v>
      </c>
      <c r="J23" s="16" t="n">
        <f aca="false">IF(Grid!H23=1,-Cost_k*J$3-Short_p*MAX(0,Floor_c-$A23)+Beta_q*((1-(((Alpha_keep*$A23+J$3-Lo_c)/Step_c)-MAX(6,MIN(INT(((Alpha_keep*$A23+J$3-Lo_c)/Step_c)+0.00000001),193))))*INDEX($D$5:$D$205,MAX(6,MIN(INT(((Alpha_keep*$A23+J$3-Lo_c)/Step_c)+0.00000001),193))+1)+(((Alpha_keep*$A23+J$3-Lo_c)/Step_c)-MAX(6,MIN(INT(((Alpha_keep*$A23+J$3-Lo_c)/Step_c)+0.00000001),193)))*INDEX($D$5:$D$205,MAX(6,MIN(INT(((Alpha_keep*$A23+J$3-Lo_c)/Step_c)+0.00000001),193))+2)),"")</f>
        <v>-538.146110360563</v>
      </c>
      <c r="K23" s="16" t="n">
        <f aca="false">IF(Grid!I23=1,-Cost_k*K$3-Short_p*MAX(0,Floor_c-$A23)+Beta_q*((1-(((Alpha_keep*$A23+K$3-Lo_c)/Step_c)-MAX(6,MIN(INT(((Alpha_keep*$A23+K$3-Lo_c)/Step_c)+0.00000001),193))))*INDEX($D$5:$D$205,MAX(6,MIN(INT(((Alpha_keep*$A23+K$3-Lo_c)/Step_c)+0.00000001),193))+1)+(((Alpha_keep*$A23+K$3-Lo_c)/Step_c)-MAX(6,MIN(INT(((Alpha_keep*$A23+K$3-Lo_c)/Step_c)+0.00000001),193)))*INDEX($D$5:$D$205,MAX(6,MIN(INT(((Alpha_keep*$A23+K$3-Lo_c)/Step_c)+0.00000001),193))+2)),"")</f>
        <v>-534.434417202081</v>
      </c>
      <c r="L23" s="16" t="n">
        <f aca="false">IF(Grid!J23=1,-Cost_k*L$3-Short_p*MAX(0,Floor_c-$A23)+Beta_q*((1-(((Alpha_keep*$A23+L$3-Lo_c)/Step_c)-MAX(6,MIN(INT(((Alpha_keep*$A23+L$3-Lo_c)/Step_c)+0.00000001),193))))*INDEX($D$5:$D$205,MAX(6,MIN(INT(((Alpha_keep*$A23+L$3-Lo_c)/Step_c)+0.00000001),193))+1)+(((Alpha_keep*$A23+L$3-Lo_c)/Step_c)-MAX(6,MIN(INT(((Alpha_keep*$A23+L$3-Lo_c)/Step_c)+0.00000001),193)))*INDEX($D$5:$D$205,MAX(6,MIN(INT(((Alpha_keep*$A23+L$3-Lo_c)/Step_c)+0.00000001),193))+2)),"")</f>
        <v>-530.748343831675</v>
      </c>
      <c r="M23" s="16" t="n">
        <f aca="false">IF(Grid!K23=1,-Cost_k*M$3-Short_p*MAX(0,Floor_c-$A23)+Beta_q*((1-(((Alpha_keep*$A23+M$3-Lo_c)/Step_c)-MAX(6,MIN(INT(((Alpha_keep*$A23+M$3-Lo_c)/Step_c)+0.00000001),193))))*INDEX($D$5:$D$205,MAX(6,MIN(INT(((Alpha_keep*$A23+M$3-Lo_c)/Step_c)+0.00000001),193))+1)+(((Alpha_keep*$A23+M$3-Lo_c)/Step_c)-MAX(6,MIN(INT(((Alpha_keep*$A23+M$3-Lo_c)/Step_c)+0.00000001),193)))*INDEX($D$5:$D$205,MAX(6,MIN(INT(((Alpha_keep*$A23+M$3-Lo_c)/Step_c)+0.00000001),193))+2)),"")</f>
        <v>-527.088206257154</v>
      </c>
      <c r="N23" s="16" t="n">
        <f aca="false">IF(Grid!L23=1,-Cost_k*N$3-Short_p*MAX(0,Floor_c-$A23)+Beta_q*((1-(((Alpha_keep*$A23+N$3-Lo_c)/Step_c)-MAX(6,MIN(INT(((Alpha_keep*$A23+N$3-Lo_c)/Step_c)+0.00000001),193))))*INDEX($D$5:$D$205,MAX(6,MIN(INT(((Alpha_keep*$A23+N$3-Lo_c)/Step_c)+0.00000001),193))+1)+(((Alpha_keep*$A23+N$3-Lo_c)/Step_c)-MAX(6,MIN(INT(((Alpha_keep*$A23+N$3-Lo_c)/Step_c)+0.00000001),193)))*INDEX($D$5:$D$205,MAX(6,MIN(INT(((Alpha_keep*$A23+N$3-Lo_c)/Step_c)+0.00000001),193))+2)),"")</f>
        <v>-523.454234233827</v>
      </c>
      <c r="O23" s="16" t="n">
        <f aca="false">IF(Grid!M23=1,-Cost_k*O$3-Short_p*MAX(0,Floor_c-$A23)+Beta_q*((1-(((Alpha_keep*$A23+O$3-Lo_c)/Step_c)-MAX(6,MIN(INT(((Alpha_keep*$A23+O$3-Lo_c)/Step_c)+0.00000001),193))))*INDEX($D$5:$D$205,MAX(6,MIN(INT(((Alpha_keep*$A23+O$3-Lo_c)/Step_c)+0.00000001),193))+1)+(((Alpha_keep*$A23+O$3-Lo_c)/Step_c)-MAX(6,MIN(INT(((Alpha_keep*$A23+O$3-Lo_c)/Step_c)+0.00000001),193)))*INDEX($D$5:$D$205,MAX(6,MIN(INT(((Alpha_keep*$A23+O$3-Lo_c)/Step_c)+0.00000001),193))+2)),"")</f>
        <v>-519.846751919477</v>
      </c>
      <c r="P23" s="11" t="n">
        <f aca="false">MAX(E23:O23)</f>
        <v>-519.846751919477</v>
      </c>
      <c r="Q23" s="12" t="n">
        <f aca="false">INDEX($E$3:$O$3,MATCH(P23,E23:O23,0))</f>
        <v>2.5</v>
      </c>
      <c r="R23" s="20" t="n">
        <v>2.5</v>
      </c>
      <c r="S23" s="14" t="n">
        <f aca="false">IF(ABS(Q23-R23)&lt;0.000000001,1,0)</f>
        <v>1</v>
      </c>
      <c r="T23" s="21" t="n">
        <f aca="false">ABS(P23-B23)</f>
        <v>0</v>
      </c>
      <c r="U23" s="16" t="n">
        <f aca="false">Alpha_keep*A23+Q23</f>
        <v>36.1375</v>
      </c>
      <c r="V23" s="14" t="n">
        <f aca="false">INDEX(GuardBlock,19,ROUND(Q23/Step_h,0)+1)</f>
        <v>1</v>
      </c>
      <c r="W23" s="22" t="n">
        <v>0</v>
      </c>
    </row>
    <row r="24" customFormat="false" ht="15" hidden="false" customHeight="false" outlineLevel="0" collapsed="false">
      <c r="A24" s="18" t="n">
        <f aca="false">Grid!A24</f>
        <v>34.75</v>
      </c>
      <c r="B24" s="19" t="n">
        <v>-514.980342398421</v>
      </c>
      <c r="C24" s="14" t="n">
        <v>19</v>
      </c>
      <c r="D24" s="11" t="n">
        <f aca="false">IF(AND($C24&gt;=6,$C24&lt;=194),Declarations!$B$25*INDEX($B$5:$B$205,$C24+1-Declarations!$E$25)+Declarations!$B$26*INDEX($B$5:$B$205,$C24+1-Declarations!$E$26)+Declarations!$B$27*INDEX($B$5:$B$205,$C24+1-Declarations!$E$27)+Declarations!$B$28*INDEX($B$5:$B$205,$C24+1-Declarations!$E$28)+Declarations!$B$29*INDEX($B$5:$B$205,$C24+1-Declarations!$E$29),"")</f>
        <v>-515.073092319606</v>
      </c>
      <c r="E24" s="16" t="n">
        <f aca="false">IF(Grid!C24=1,-Cost_k*E$3-Short_p*MAX(0,Floor_c-$A24)+Beta_q*((1-(((Alpha_keep*$A24+E$3-Lo_c)/Step_c)-MAX(6,MIN(INT(((Alpha_keep*$A24+E$3-Lo_c)/Step_c)+0.00000001),193))))*INDEX($D$5:$D$205,MAX(6,MIN(INT(((Alpha_keep*$A24+E$3-Lo_c)/Step_c)+0.00000001),193))+1)+(((Alpha_keep*$A24+E$3-Lo_c)/Step_c)-MAX(6,MIN(INT(((Alpha_keep*$A24+E$3-Lo_c)/Step_c)+0.00000001),193)))*INDEX($D$5:$D$205,MAX(6,MIN(INT(((Alpha_keep*$A24+E$3-Lo_c)/Step_c)+0.00000001),193))+2)),"")</f>
        <v>-551.963839361536</v>
      </c>
      <c r="F24" s="16" t="n">
        <f aca="false">IF(Grid!D24=1,-Cost_k*F$3-Short_p*MAX(0,Floor_c-$A24)+Beta_q*((1-(((Alpha_keep*$A24+F$3-Lo_c)/Step_c)-MAX(6,MIN(INT(((Alpha_keep*$A24+F$3-Lo_c)/Step_c)+0.00000001),193))))*INDEX($D$5:$D$205,MAX(6,MIN(INT(((Alpha_keep*$A24+F$3-Lo_c)/Step_c)+0.00000001),193))+1)+(((Alpha_keep*$A24+F$3-Lo_c)/Step_c)-MAX(6,MIN(INT(((Alpha_keep*$A24+F$3-Lo_c)/Step_c)+0.00000001),193)))*INDEX($D$5:$D$205,MAX(6,MIN(INT(((Alpha_keep*$A24+F$3-Lo_c)/Step_c)+0.00000001),193))+2)),"")</f>
        <v>-548.151953167861</v>
      </c>
      <c r="G24" s="16" t="n">
        <f aca="false">IF(Grid!E24=1,-Cost_k*G$3-Short_p*MAX(0,Floor_c-$A24)+Beta_q*((1-(((Alpha_keep*$A24+G$3-Lo_c)/Step_c)-MAX(6,MIN(INT(((Alpha_keep*$A24+G$3-Lo_c)/Step_c)+0.00000001),193))))*INDEX($D$5:$D$205,MAX(6,MIN(INT(((Alpha_keep*$A24+G$3-Lo_c)/Step_c)+0.00000001),193))+1)+(((Alpha_keep*$A24+G$3-Lo_c)/Step_c)-MAX(6,MIN(INT(((Alpha_keep*$A24+G$3-Lo_c)/Step_c)+0.00000001),193)))*INDEX($D$5:$D$205,MAX(6,MIN(INT(((Alpha_keep*$A24+G$3-Lo_c)/Step_c)+0.00000001),193))+2)),"")</f>
        <v>-544.364524197116</v>
      </c>
      <c r="H24" s="16" t="n">
        <f aca="false">IF(Grid!F24=1,-Cost_k*H$3-Short_p*MAX(0,Floor_c-$A24)+Beta_q*((1-(((Alpha_keep*$A24+H$3-Lo_c)/Step_c)-MAX(6,MIN(INT(((Alpha_keep*$A24+H$3-Lo_c)/Step_c)+0.00000001),193))))*INDEX($D$5:$D$205,MAX(6,MIN(INT(((Alpha_keep*$A24+H$3-Lo_c)/Step_c)+0.00000001),193))+1)+(((Alpha_keep*$A24+H$3-Lo_c)/Step_c)-MAX(6,MIN(INT(((Alpha_keep*$A24+H$3-Lo_c)/Step_c)+0.00000001),193)))*INDEX($D$5:$D$205,MAX(6,MIN(INT(((Alpha_keep*$A24+H$3-Lo_c)/Step_c)+0.00000001),193))+2)),"")</f>
        <v>-540.601865705707</v>
      </c>
      <c r="I24" s="16" t="n">
        <f aca="false">IF(Grid!G24=1,-Cost_k*I$3-Short_p*MAX(0,Floor_c-$A24)+Beta_q*((1-(((Alpha_keep*$A24+I$3-Lo_c)/Step_c)-MAX(6,MIN(INT(((Alpha_keep*$A24+I$3-Lo_c)/Step_c)+0.00000001),193))))*INDEX($D$5:$D$205,MAX(6,MIN(INT(((Alpha_keep*$A24+I$3-Lo_c)/Step_c)+0.00000001),193))+1)+(((Alpha_keep*$A24+I$3-Lo_c)/Step_c)-MAX(6,MIN(INT(((Alpha_keep*$A24+I$3-Lo_c)/Step_c)+0.00000001),193)))*INDEX($D$5:$D$205,MAX(6,MIN(INT(((Alpha_keep*$A24+I$3-Lo_c)/Step_c)+0.00000001),193))+2)),"")</f>
        <v>-536.864252047706</v>
      </c>
      <c r="J24" s="16" t="n">
        <f aca="false">IF(Grid!H24=1,-Cost_k*J$3-Short_p*MAX(0,Floor_c-$A24)+Beta_q*((1-(((Alpha_keep*$A24+J$3-Lo_c)/Step_c)-MAX(6,MIN(INT(((Alpha_keep*$A24+J$3-Lo_c)/Step_c)+0.00000001),193))))*INDEX($D$5:$D$205,MAX(6,MIN(INT(((Alpha_keep*$A24+J$3-Lo_c)/Step_c)+0.00000001),193))+1)+(((Alpha_keep*$A24+J$3-Lo_c)/Step_c)-MAX(6,MIN(INT(((Alpha_keep*$A24+J$3-Lo_c)/Step_c)+0.00000001),193)))*INDEX($D$5:$D$205,MAX(6,MIN(INT(((Alpha_keep*$A24+J$3-Lo_c)/Step_c)+0.00000001),193))+2)),"")</f>
        <v>-533.151923692532</v>
      </c>
      <c r="K24" s="16" t="n">
        <f aca="false">IF(Grid!I24=1,-Cost_k*K$3-Short_p*MAX(0,Floor_c-$A24)+Beta_q*((1-(((Alpha_keep*$A24+K$3-Lo_c)/Step_c)-MAX(6,MIN(INT(((Alpha_keep*$A24+K$3-Lo_c)/Step_c)+0.00000001),193))))*INDEX($D$5:$D$205,MAX(6,MIN(INT(((Alpha_keep*$A24+K$3-Lo_c)/Step_c)+0.00000001),193))+1)+(((Alpha_keep*$A24+K$3-Lo_c)/Step_c)-MAX(6,MIN(INT(((Alpha_keep*$A24+K$3-Lo_c)/Step_c)+0.00000001),193)))*INDEX($D$5:$D$205,MAX(6,MIN(INT(((Alpha_keep*$A24+K$3-Lo_c)/Step_c)+0.00000001),193))+2)),"")</f>
        <v>-529.465205492688</v>
      </c>
      <c r="L24" s="16" t="n">
        <f aca="false">IF(Grid!J24=1,-Cost_k*L$3-Short_p*MAX(0,Floor_c-$A24)+Beta_q*((1-(((Alpha_keep*$A24+L$3-Lo_c)/Step_c)-MAX(6,MIN(INT(((Alpha_keep*$A24+L$3-Lo_c)/Step_c)+0.00000001),193))))*INDEX($D$5:$D$205,MAX(6,MIN(INT(((Alpha_keep*$A24+L$3-Lo_c)/Step_c)+0.00000001),193))+1)+(((Alpha_keep*$A24+L$3-Lo_c)/Step_c)-MAX(6,MIN(INT(((Alpha_keep*$A24+L$3-Lo_c)/Step_c)+0.00000001),193)))*INDEX($D$5:$D$205,MAX(6,MIN(INT(((Alpha_keep*$A24+L$3-Lo_c)/Step_c)+0.00000001),193))+2)),"")</f>
        <v>-525.804416606076</v>
      </c>
      <c r="M24" s="16" t="n">
        <f aca="false">IF(Grid!K24=1,-Cost_k*M$3-Short_p*MAX(0,Floor_c-$A24)+Beta_q*((1-(((Alpha_keep*$A24+M$3-Lo_c)/Step_c)-MAX(6,MIN(INT(((Alpha_keep*$A24+M$3-Lo_c)/Step_c)+0.00000001),193))))*INDEX($D$5:$D$205,MAX(6,MIN(INT(((Alpha_keep*$A24+M$3-Lo_c)/Step_c)+0.00000001),193))+1)+(((Alpha_keep*$A24+M$3-Lo_c)/Step_c)-MAX(6,MIN(INT(((Alpha_keep*$A24+M$3-Lo_c)/Step_c)+0.00000001),193)))*INDEX($D$5:$D$205,MAX(6,MIN(INT(((Alpha_keep*$A24+M$3-Lo_c)/Step_c)+0.00000001),193))+2)),"")</f>
        <v>-522.169788131224</v>
      </c>
      <c r="N24" s="16" t="n">
        <f aca="false">IF(Grid!L24=1,-Cost_k*N$3-Short_p*MAX(0,Floor_c-$A24)+Beta_q*((1-(((Alpha_keep*$A24+N$3-Lo_c)/Step_c)-MAX(6,MIN(INT(((Alpha_keep*$A24+N$3-Lo_c)/Step_c)+0.00000001),193))))*INDEX($D$5:$D$205,MAX(6,MIN(INT(((Alpha_keep*$A24+N$3-Lo_c)/Step_c)+0.00000001),193))+1)+(((Alpha_keep*$A24+N$3-Lo_c)/Step_c)-MAX(6,MIN(INT(((Alpha_keep*$A24+N$3-Lo_c)/Step_c)+0.00000001),193)))*INDEX($D$5:$D$205,MAX(6,MIN(INT(((Alpha_keep*$A24+N$3-Lo_c)/Step_c)+0.00000001),193))+2)),"")</f>
        <v>-518.561638835895</v>
      </c>
      <c r="O24" s="16" t="n">
        <f aca="false">IF(Grid!M24=1,-Cost_k*O$3-Short_p*MAX(0,Floor_c-$A24)+Beta_q*((1-(((Alpha_keep*$A24+O$3-Lo_c)/Step_c)-MAX(6,MIN(INT(((Alpha_keep*$A24+O$3-Lo_c)/Step_c)+0.00000001),193))))*INDEX($D$5:$D$205,MAX(6,MIN(INT(((Alpha_keep*$A24+O$3-Lo_c)/Step_c)+0.00000001),193))+1)+(((Alpha_keep*$A24+O$3-Lo_c)/Step_c)-MAX(6,MIN(INT(((Alpha_keep*$A24+O$3-Lo_c)/Step_c)+0.00000001),193)))*INDEX($D$5:$D$205,MAX(6,MIN(INT(((Alpha_keep*$A24+O$3-Lo_c)/Step_c)+0.00000001),193))+2)),"")</f>
        <v>-514.980342398421</v>
      </c>
      <c r="P24" s="11" t="n">
        <f aca="false">MAX(E24:O24)</f>
        <v>-514.980342398421</v>
      </c>
      <c r="Q24" s="12" t="n">
        <f aca="false">INDEX($E$3:$O$3,MATCH(P24,E24:O24,0))</f>
        <v>2.5</v>
      </c>
      <c r="R24" s="20" t="n">
        <v>2.5</v>
      </c>
      <c r="S24" s="14" t="n">
        <f aca="false">IF(ABS(Q24-R24)&lt;0.000000001,1,0)</f>
        <v>1</v>
      </c>
      <c r="T24" s="21" t="n">
        <f aca="false">ABS(P24-B24)</f>
        <v>0</v>
      </c>
      <c r="U24" s="16" t="n">
        <f aca="false">Alpha_keep*A24+Q24</f>
        <v>36.38125</v>
      </c>
      <c r="V24" s="14" t="n">
        <f aca="false">INDEX(GuardBlock,20,ROUND(Q24/Step_h,0)+1)</f>
        <v>1</v>
      </c>
      <c r="W24" s="22" t="n">
        <v>0</v>
      </c>
    </row>
    <row r="25" customFormat="false" ht="15" hidden="false" customHeight="false" outlineLevel="0" collapsed="false">
      <c r="A25" s="18" t="n">
        <f aca="false">Grid!A25</f>
        <v>35</v>
      </c>
      <c r="B25" s="19" t="n">
        <v>-510.13966518561</v>
      </c>
      <c r="C25" s="14" t="n">
        <v>20</v>
      </c>
      <c r="D25" s="11" t="n">
        <f aca="false">IF(AND($C25&gt;=6,$C25&lt;=194),Declarations!$B$25*INDEX($B$5:$B$205,$C25+1-Declarations!$E$25)+Declarations!$B$26*INDEX($B$5:$B$205,$C25+1-Declarations!$E$26)+Declarations!$B$27*INDEX($B$5:$B$205,$C25+1-Declarations!$E$27)+Declarations!$B$28*INDEX($B$5:$B$205,$C25+1-Declarations!$E$28)+Declarations!$B$29*INDEX($B$5:$B$205,$C25+1-Declarations!$E$29),"")</f>
        <v>-510.23347155743</v>
      </c>
      <c r="E25" s="16" t="n">
        <f aca="false">IF(Grid!C25=1,-Cost_k*E$3-Short_p*MAX(0,Floor_c-$A25)+Beta_q*((1-(((Alpha_keep*$A25+E$3-Lo_c)/Step_c)-MAX(6,MIN(INT(((Alpha_keep*$A25+E$3-Lo_c)/Step_c)+0.00000001),193))))*INDEX($D$5:$D$205,MAX(6,MIN(INT(((Alpha_keep*$A25+E$3-Lo_c)/Step_c)+0.00000001),193))+1)+(((Alpha_keep*$A25+E$3-Lo_c)/Step_c)-MAX(6,MIN(INT(((Alpha_keep*$A25+E$3-Lo_c)/Step_c)+0.00000001),193)))*INDEX($D$5:$D$205,MAX(6,MIN(INT(((Alpha_keep*$A25+E$3-Lo_c)/Step_c)+0.00000001),193))+2)),"")</f>
        <v>-546.871961708307</v>
      </c>
      <c r="F25" s="16" t="n">
        <f aca="false">IF(Grid!D25=1,-Cost_k*F$3-Short_p*MAX(0,Floor_c-$A25)+Beta_q*((1-(((Alpha_keep*$A25+F$3-Lo_c)/Step_c)-MAX(6,MIN(INT(((Alpha_keep*$A25+F$3-Lo_c)/Step_c)+0.00000001),193))))*INDEX($D$5:$D$205,MAX(6,MIN(INT(((Alpha_keep*$A25+F$3-Lo_c)/Step_c)+0.00000001),193))+1)+(((Alpha_keep*$A25+F$3-Lo_c)/Step_c)-MAX(6,MIN(INT(((Alpha_keep*$A25+F$3-Lo_c)/Step_c)+0.00000001),193)))*INDEX($D$5:$D$205,MAX(6,MIN(INT(((Alpha_keep*$A25+F$3-Lo_c)/Step_c)+0.00000001),193))+2)),"")</f>
        <v>-543.083917849605</v>
      </c>
      <c r="G25" s="16" t="n">
        <f aca="false">IF(Grid!E25=1,-Cost_k*G$3-Short_p*MAX(0,Floor_c-$A25)+Beta_q*((1-(((Alpha_keep*$A25+G$3-Lo_c)/Step_c)-MAX(6,MIN(INT(((Alpha_keep*$A25+G$3-Lo_c)/Step_c)+0.00000001),193))))*INDEX($D$5:$D$205,MAX(6,MIN(INT(((Alpha_keep*$A25+G$3-Lo_c)/Step_c)+0.00000001),193))+1)+(((Alpha_keep*$A25+G$3-Lo_c)/Step_c)-MAX(6,MIN(INT(((Alpha_keep*$A25+G$3-Lo_c)/Step_c)+0.00000001),193)))*INDEX($D$5:$D$205,MAX(6,MIN(INT(((Alpha_keep*$A25+G$3-Lo_c)/Step_c)+0.00000001),193))+2)),"")</f>
        <v>-539.32063613876</v>
      </c>
      <c r="H25" s="16" t="n">
        <f aca="false">IF(Grid!F25=1,-Cost_k*H$3-Short_p*MAX(0,Floor_c-$A25)+Beta_q*((1-(((Alpha_keep*$A25+H$3-Lo_c)/Step_c)-MAX(6,MIN(INT(((Alpha_keep*$A25+H$3-Lo_c)/Step_c)+0.00000001),193))))*INDEX($D$5:$D$205,MAX(6,MIN(INT(((Alpha_keep*$A25+H$3-Lo_c)/Step_c)+0.00000001),193))+1)+(((Alpha_keep*$A25+H$3-Lo_c)/Step_c)-MAX(6,MIN(INT(((Alpha_keep*$A25+H$3-Lo_c)/Step_c)+0.00000001),193)))*INDEX($D$5:$D$205,MAX(6,MIN(INT(((Alpha_keep*$A25+H$3-Lo_c)/Step_c)+0.00000001),193))+2)),"")</f>
        <v>-535.582393734849</v>
      </c>
      <c r="I25" s="16" t="n">
        <f aca="false">IF(Grid!G25=1,-Cost_k*I$3-Short_p*MAX(0,Floor_c-$A25)+Beta_q*((1-(((Alpha_keep*$A25+I$3-Lo_c)/Step_c)-MAX(6,MIN(INT(((Alpha_keep*$A25+I$3-Lo_c)/Step_c)+0.00000001),193))))*INDEX($D$5:$D$205,MAX(6,MIN(INT(((Alpha_keep*$A25+I$3-Lo_c)/Step_c)+0.00000001),193))+1)+(((Alpha_keep*$A25+I$3-Lo_c)/Step_c)-MAX(6,MIN(INT(((Alpha_keep*$A25+I$3-Lo_c)/Step_c)+0.00000001),193)))*INDEX($D$5:$D$205,MAX(6,MIN(INT(((Alpha_keep*$A25+I$3-Lo_c)/Step_c)+0.00000001),193))+2)),"")</f>
        <v>-531.869430182982</v>
      </c>
      <c r="J25" s="16" t="n">
        <f aca="false">IF(Grid!H25=1,-Cost_k*J$3-Short_p*MAX(0,Floor_c-$A25)+Beta_q*((1-(((Alpha_keep*$A25+J$3-Lo_c)/Step_c)-MAX(6,MIN(INT(((Alpha_keep*$A25+J$3-Lo_c)/Step_c)+0.00000001),193))))*INDEX($D$5:$D$205,MAX(6,MIN(INT(((Alpha_keep*$A25+J$3-Lo_c)/Step_c)+0.00000001),193))+1)+(((Alpha_keep*$A25+J$3-Lo_c)/Step_c)-MAX(6,MIN(INT(((Alpha_keep*$A25+J$3-Lo_c)/Step_c)+0.00000001),193)))*INDEX($D$5:$D$205,MAX(6,MIN(INT(((Alpha_keep*$A25+J$3-Lo_c)/Step_c)+0.00000001),193))+2)),"")</f>
        <v>-528.182067153702</v>
      </c>
      <c r="K25" s="16" t="n">
        <f aca="false">IF(Grid!I25=1,-Cost_k*K$3-Short_p*MAX(0,Floor_c-$A25)+Beta_q*((1-(((Alpha_keep*$A25+K$3-Lo_c)/Step_c)-MAX(6,MIN(INT(((Alpha_keep*$A25+K$3-Lo_c)/Step_c)+0.00000001),193))))*INDEX($D$5:$D$205,MAX(6,MIN(INT(((Alpha_keep*$A25+K$3-Lo_c)/Step_c)+0.00000001),193))+1)+(((Alpha_keep*$A25+K$3-Lo_c)/Step_c)-MAX(6,MIN(INT(((Alpha_keep*$A25+K$3-Lo_c)/Step_c)+0.00000001),193)))*INDEX($D$5:$D$205,MAX(6,MIN(INT(((Alpha_keep*$A25+K$3-Lo_c)/Step_c)+0.00000001),193))+2)),"")</f>
        <v>-524.520626954998</v>
      </c>
      <c r="L25" s="16" t="n">
        <f aca="false">IF(Grid!J25=1,-Cost_k*L$3-Short_p*MAX(0,Floor_c-$A25)+Beta_q*((1-(((Alpha_keep*$A25+L$3-Lo_c)/Step_c)-MAX(6,MIN(INT(((Alpha_keep*$A25+L$3-Lo_c)/Step_c)+0.00000001),193))))*INDEX($D$5:$D$205,MAX(6,MIN(INT(((Alpha_keep*$A25+L$3-Lo_c)/Step_c)+0.00000001),193))+1)+(((Alpha_keep*$A25+L$3-Lo_c)/Step_c)-MAX(6,MIN(INT(((Alpha_keep*$A25+L$3-Lo_c)/Step_c)+0.00000001),193)))*INDEX($D$5:$D$205,MAX(6,MIN(INT(((Alpha_keep*$A25+L$3-Lo_c)/Step_c)+0.00000001),193))+2)),"")</f>
        <v>-520.885342028621</v>
      </c>
      <c r="M25" s="16" t="n">
        <f aca="false">IF(Grid!K25=1,-Cost_k*M$3-Short_p*MAX(0,Floor_c-$A25)+Beta_q*((1-(((Alpha_keep*$A25+M$3-Lo_c)/Step_c)-MAX(6,MIN(INT(((Alpha_keep*$A25+M$3-Lo_c)/Step_c)+0.00000001),193))))*INDEX($D$5:$D$205,MAX(6,MIN(INT(((Alpha_keep*$A25+M$3-Lo_c)/Step_c)+0.00000001),193))+1)+(((Alpha_keep*$A25+M$3-Lo_c)/Step_c)-MAX(6,MIN(INT(((Alpha_keep*$A25+M$3-Lo_c)/Step_c)+0.00000001),193)))*INDEX($D$5:$D$205,MAX(6,MIN(INT(((Alpha_keep*$A25+M$3-Lo_c)/Step_c)+0.00000001),193))+2)),"")</f>
        <v>-517.276525752314</v>
      </c>
      <c r="N25" s="16" t="n">
        <f aca="false">IF(Grid!L25=1,-Cost_k*N$3-Short_p*MAX(0,Floor_c-$A25)+Beta_q*((1-(((Alpha_keep*$A25+N$3-Lo_c)/Step_c)-MAX(6,MIN(INT(((Alpha_keep*$A25+N$3-Lo_c)/Step_c)+0.00000001),193))))*INDEX($D$5:$D$205,MAX(6,MIN(INT(((Alpha_keep*$A25+N$3-Lo_c)/Step_c)+0.00000001),193))+1)+(((Alpha_keep*$A25+N$3-Lo_c)/Step_c)-MAX(6,MIN(INT(((Alpha_keep*$A25+N$3-Lo_c)/Step_c)+0.00000001),193)))*INDEX($D$5:$D$205,MAX(6,MIN(INT(((Alpha_keep*$A25+N$3-Lo_c)/Step_c)+0.00000001),193))+2)),"")</f>
        <v>-513.694554066303</v>
      </c>
      <c r="O25" s="16" t="n">
        <f aca="false">IF(Grid!M25=1,-Cost_k*O$3-Short_p*MAX(0,Floor_c-$A25)+Beta_q*((1-(((Alpha_keep*$A25+O$3-Lo_c)/Step_c)-MAX(6,MIN(INT(((Alpha_keep*$A25+O$3-Lo_c)/Step_c)+0.00000001),193))))*INDEX($D$5:$D$205,MAX(6,MIN(INT(((Alpha_keep*$A25+O$3-Lo_c)/Step_c)+0.00000001),193))+1)+(((Alpha_keep*$A25+O$3-Lo_c)/Step_c)-MAX(6,MIN(INT(((Alpha_keep*$A25+O$3-Lo_c)/Step_c)+0.00000001),193)))*INDEX($D$5:$D$205,MAX(6,MIN(INT(((Alpha_keep*$A25+O$3-Lo_c)/Step_c)+0.00000001),193))+2)),"")</f>
        <v>-510.13966518561</v>
      </c>
      <c r="P25" s="11" t="n">
        <f aca="false">MAX(E25:O25)</f>
        <v>-510.13966518561</v>
      </c>
      <c r="Q25" s="12" t="n">
        <f aca="false">INDEX($E$3:$O$3,MATCH(P25,E25:O25,0))</f>
        <v>2.5</v>
      </c>
      <c r="R25" s="20" t="n">
        <v>2.5</v>
      </c>
      <c r="S25" s="14" t="n">
        <f aca="false">IF(ABS(Q25-R25)&lt;0.000000001,1,0)</f>
        <v>1</v>
      </c>
      <c r="T25" s="21" t="n">
        <f aca="false">ABS(P25-B25)</f>
        <v>0</v>
      </c>
      <c r="U25" s="16" t="n">
        <f aca="false">Alpha_keep*A25+Q25</f>
        <v>36.625</v>
      </c>
      <c r="V25" s="14" t="n">
        <f aca="false">INDEX(GuardBlock,21,ROUND(Q25/Step_h,0)+1)</f>
        <v>1</v>
      </c>
      <c r="W25" s="22" t="n">
        <v>0</v>
      </c>
    </row>
    <row r="26" customFormat="false" ht="15" hidden="false" customHeight="false" outlineLevel="0" collapsed="false">
      <c r="A26" s="18" t="n">
        <f aca="false">Grid!A26</f>
        <v>35.25</v>
      </c>
      <c r="B26" s="19" t="n">
        <v>-505.324993156261</v>
      </c>
      <c r="C26" s="14" t="n">
        <v>21</v>
      </c>
      <c r="D26" s="11" t="n">
        <f aca="false">IF(AND($C26&gt;=6,$C26&lt;=194),Declarations!$B$25*INDEX($B$5:$B$205,$C26+1-Declarations!$E$25)+Declarations!$B$26*INDEX($B$5:$B$205,$C26+1-Declarations!$E$26)+Declarations!$B$27*INDEX($B$5:$B$205,$C26+1-Declarations!$E$27)+Declarations!$B$28*INDEX($B$5:$B$205,$C26+1-Declarations!$E$28)+Declarations!$B$29*INDEX($B$5:$B$205,$C26+1-Declarations!$E$29),"")</f>
        <v>-505.419871340361</v>
      </c>
      <c r="E26" s="16" t="n">
        <f aca="false">IF(Grid!C26=1,-Cost_k*E$3-Short_p*MAX(0,Floor_c-$A26)+Beta_q*((1-(((Alpha_keep*$A26+E$3-Lo_c)/Step_c)-MAX(6,MIN(INT(((Alpha_keep*$A26+E$3-Lo_c)/Step_c)+0.00000001),193))))*INDEX($D$5:$D$205,MAX(6,MIN(INT(((Alpha_keep*$A26+E$3-Lo_c)/Step_c)+0.00000001),193))+1)+(((Alpha_keep*$A26+E$3-Lo_c)/Step_c)-MAX(6,MIN(INT(((Alpha_keep*$A26+E$3-Lo_c)/Step_c)+0.00000001),193)))*INDEX($D$5:$D$205,MAX(6,MIN(INT(((Alpha_keep*$A26+E$3-Lo_c)/Step_c)+0.00000001),193))+2)),"")</f>
        <v>-541.803311502095</v>
      </c>
      <c r="F26" s="16" t="n">
        <f aca="false">IF(Grid!D26=1,-Cost_k*F$3-Short_p*MAX(0,Floor_c-$A26)+Beta_q*((1-(((Alpha_keep*$A26+F$3-Lo_c)/Step_c)-MAX(6,MIN(INT(((Alpha_keep*$A26+F$3-Lo_c)/Step_c)+0.00000001),193))))*INDEX($D$5:$D$205,MAX(6,MIN(INT(((Alpha_keep*$A26+F$3-Lo_c)/Step_c)+0.00000001),193))+1)+(((Alpha_keep*$A26+F$3-Lo_c)/Step_c)-MAX(6,MIN(INT(((Alpha_keep*$A26+F$3-Lo_c)/Step_c)+0.00000001),193)))*INDEX($D$5:$D$205,MAX(6,MIN(INT(((Alpha_keep*$A26+F$3-Lo_c)/Step_c)+0.00000001),193))+2)),"")</f>
        <v>-538.039406571813</v>
      </c>
      <c r="G26" s="16" t="n">
        <f aca="false">IF(Grid!E26=1,-Cost_k*G$3-Short_p*MAX(0,Floor_c-$A26)+Beta_q*((1-(((Alpha_keep*$A26+G$3-Lo_c)/Step_c)-MAX(6,MIN(INT(((Alpha_keep*$A26+G$3-Lo_c)/Step_c)+0.00000001),193))))*INDEX($D$5:$D$205,MAX(6,MIN(INT(((Alpha_keep*$A26+G$3-Lo_c)/Step_c)+0.00000001),193))+1)+(((Alpha_keep*$A26+G$3-Lo_c)/Step_c)-MAX(6,MIN(INT(((Alpha_keep*$A26+G$3-Lo_c)/Step_c)+0.00000001),193)))*INDEX($D$5:$D$205,MAX(6,MIN(INT(((Alpha_keep*$A26+G$3-Lo_c)/Step_c)+0.00000001),193))+2)),"")</f>
        <v>-534.300535421991</v>
      </c>
      <c r="H26" s="16" t="n">
        <f aca="false">IF(Grid!F26=1,-Cost_k*H$3-Short_p*MAX(0,Floor_c-$A26)+Beta_q*((1-(((Alpha_keep*$A26+H$3-Lo_c)/Step_c)-MAX(6,MIN(INT(((Alpha_keep*$A26+H$3-Lo_c)/Step_c)+0.00000001),193))))*INDEX($D$5:$D$205,MAX(6,MIN(INT(((Alpha_keep*$A26+H$3-Lo_c)/Step_c)+0.00000001),193))+1)+(((Alpha_keep*$A26+H$3-Lo_c)/Step_c)-MAX(6,MIN(INT(((Alpha_keep*$A26+H$3-Lo_c)/Step_c)+0.00000001),193)))*INDEX($D$5:$D$205,MAX(6,MIN(INT(((Alpha_keep*$A26+H$3-Lo_c)/Step_c)+0.00000001),193))+2)),"")</f>
        <v>-530.586936673433</v>
      </c>
      <c r="I26" s="16" t="n">
        <f aca="false">IF(Grid!G26=1,-Cost_k*I$3-Short_p*MAX(0,Floor_c-$A26)+Beta_q*((1-(((Alpha_keep*$A26+I$3-Lo_c)/Step_c)-MAX(6,MIN(INT(((Alpha_keep*$A26+I$3-Lo_c)/Step_c)+0.00000001),193))))*INDEX($D$5:$D$205,MAX(6,MIN(INT(((Alpha_keep*$A26+I$3-Lo_c)/Step_c)+0.00000001),193))+1)+(((Alpha_keep*$A26+I$3-Lo_c)/Step_c)-MAX(6,MIN(INT(((Alpha_keep*$A26+I$3-Lo_c)/Step_c)+0.00000001),193)))*INDEX($D$5:$D$205,MAX(6,MIN(INT(((Alpha_keep*$A26+I$3-Lo_c)/Step_c)+0.00000001),193))+2)),"")</f>
        <v>-526.898928814715</v>
      </c>
      <c r="J26" s="16" t="n">
        <f aca="false">IF(Grid!H26=1,-Cost_k*J$3-Short_p*MAX(0,Floor_c-$A26)+Beta_q*((1-(((Alpha_keep*$A26+J$3-Lo_c)/Step_c)-MAX(6,MIN(INT(((Alpha_keep*$A26+J$3-Lo_c)/Step_c)+0.00000001),193))))*INDEX($D$5:$D$205,MAX(6,MIN(INT(((Alpha_keep*$A26+J$3-Lo_c)/Step_c)+0.00000001),193))+1)+(((Alpha_keep*$A26+J$3-Lo_c)/Step_c)-MAX(6,MIN(INT(((Alpha_keep*$A26+J$3-Lo_c)/Step_c)+0.00000001),193)))*INDEX($D$5:$D$205,MAX(6,MIN(INT(((Alpha_keep*$A26+J$3-Lo_c)/Step_c)+0.00000001),193))+2)),"")</f>
        <v>-523.236837303919</v>
      </c>
      <c r="K26" s="16" t="n">
        <f aca="false">IF(Grid!I26=1,-Cost_k*K$3-Short_p*MAX(0,Floor_c-$A26)+Beta_q*((1-(((Alpha_keep*$A26+K$3-Lo_c)/Step_c)-MAX(6,MIN(INT(((Alpha_keep*$A26+K$3-Lo_c)/Step_c)+0.00000001),193))))*INDEX($D$5:$D$205,MAX(6,MIN(INT(((Alpha_keep*$A26+K$3-Lo_c)/Step_c)+0.00000001),193))+1)+(((Alpha_keep*$A26+K$3-Lo_c)/Step_c)-MAX(6,MIN(INT(((Alpha_keep*$A26+K$3-Lo_c)/Step_c)+0.00000001),193)))*INDEX($D$5:$D$205,MAX(6,MIN(INT(((Alpha_keep*$A26+K$3-Lo_c)/Step_c)+0.00000001),193))+2)),"")</f>
        <v>-519.600895926018</v>
      </c>
      <c r="L26" s="16" t="n">
        <f aca="false">IF(Grid!J26=1,-Cost_k*L$3-Short_p*MAX(0,Floor_c-$A26)+Beta_q*((1-(((Alpha_keep*$A26+L$3-Lo_c)/Step_c)-MAX(6,MIN(INT(((Alpha_keep*$A26+L$3-Lo_c)/Step_c)+0.00000001),193))))*INDEX($D$5:$D$205,MAX(6,MIN(INT(((Alpha_keep*$A26+L$3-Lo_c)/Step_c)+0.00000001),193))+1)+(((Alpha_keep*$A26+L$3-Lo_c)/Step_c)-MAX(6,MIN(INT(((Alpha_keep*$A26+L$3-Lo_c)/Step_c)+0.00000001),193)))*INDEX($D$5:$D$205,MAX(6,MIN(INT(((Alpha_keep*$A26+L$3-Lo_c)/Step_c)+0.00000001),193))+2)),"")</f>
        <v>-515.991412668732</v>
      </c>
      <c r="M26" s="16" t="n">
        <f aca="false">IF(Grid!K26=1,-Cost_k*M$3-Short_p*MAX(0,Floor_c-$A26)+Beta_q*((1-(((Alpha_keep*$A26+M$3-Lo_c)/Step_c)-MAX(6,MIN(INT(((Alpha_keep*$A26+M$3-Lo_c)/Step_c)+0.00000001),193))))*INDEX($D$5:$D$205,MAX(6,MIN(INT(((Alpha_keep*$A26+M$3-Lo_c)/Step_c)+0.00000001),193))+1)+(((Alpha_keep*$A26+M$3-Lo_c)/Step_c)-MAX(6,MIN(INT(((Alpha_keep*$A26+M$3-Lo_c)/Step_c)+0.00000001),193)))*INDEX($D$5:$D$205,MAX(6,MIN(INT(((Alpha_keep*$A26+M$3-Lo_c)/Step_c)+0.00000001),193))+2)),"")</f>
        <v>-512.408765734186</v>
      </c>
      <c r="N26" s="16" t="n">
        <f aca="false">IF(Grid!L26=1,-Cost_k*N$3-Short_p*MAX(0,Floor_c-$A26)+Beta_q*((1-(((Alpha_keep*$A26+N$3-Lo_c)/Step_c)-MAX(6,MIN(INT(((Alpha_keep*$A26+N$3-Lo_c)/Step_c)+0.00000001),193))))*INDEX($D$5:$D$205,MAX(6,MIN(INT(((Alpha_keep*$A26+N$3-Lo_c)/Step_c)+0.00000001),193))+1)+(((Alpha_keep*$A26+N$3-Lo_c)/Step_c)-MAX(6,MIN(INT(((Alpha_keep*$A26+N$3-Lo_c)/Step_c)+0.00000001),193)))*INDEX($D$5:$D$205,MAX(6,MIN(INT(((Alpha_keep*$A26+N$3-Lo_c)/Step_c)+0.00000001),193))+2)),"")</f>
        <v>-508.853197961762</v>
      </c>
      <c r="O26" s="16" t="n">
        <f aca="false">IF(Grid!M26=1,-Cost_k*O$3-Short_p*MAX(0,Floor_c-$A26)+Beta_q*((1-(((Alpha_keep*$A26+O$3-Lo_c)/Step_c)-MAX(6,MIN(INT(((Alpha_keep*$A26+O$3-Lo_c)/Step_c)+0.00000001),193))))*INDEX($D$5:$D$205,MAX(6,MIN(INT(((Alpha_keep*$A26+O$3-Lo_c)/Step_c)+0.00000001),193))+1)+(((Alpha_keep*$A26+O$3-Lo_c)/Step_c)-MAX(6,MIN(INT(((Alpha_keep*$A26+O$3-Lo_c)/Step_c)+0.00000001),193)))*INDEX($D$5:$D$205,MAX(6,MIN(INT(((Alpha_keep*$A26+O$3-Lo_c)/Step_c)+0.00000001),193))+2)),"")</f>
        <v>-505.324993156261</v>
      </c>
      <c r="P26" s="11" t="n">
        <f aca="false">MAX(E26:O26)</f>
        <v>-505.324993156261</v>
      </c>
      <c r="Q26" s="12" t="n">
        <f aca="false">INDEX($E$3:$O$3,MATCH(P26,E26:O26,0))</f>
        <v>2.5</v>
      </c>
      <c r="R26" s="20" t="n">
        <v>2.5</v>
      </c>
      <c r="S26" s="14" t="n">
        <f aca="false">IF(ABS(Q26-R26)&lt;0.000000001,1,0)</f>
        <v>1</v>
      </c>
      <c r="T26" s="21" t="n">
        <f aca="false">ABS(P26-B26)</f>
        <v>0</v>
      </c>
      <c r="U26" s="16" t="n">
        <f aca="false">Alpha_keep*A26+Q26</f>
        <v>36.86875</v>
      </c>
      <c r="V26" s="14" t="n">
        <f aca="false">INDEX(GuardBlock,22,ROUND(Q26/Step_h,0)+1)</f>
        <v>1</v>
      </c>
      <c r="W26" s="22" t="n">
        <v>0</v>
      </c>
    </row>
    <row r="27" customFormat="false" ht="15" hidden="false" customHeight="false" outlineLevel="0" collapsed="false">
      <c r="A27" s="18" t="n">
        <f aca="false">Grid!A27</f>
        <v>35.5</v>
      </c>
      <c r="B27" s="19" t="n">
        <v>-500.536728665718</v>
      </c>
      <c r="C27" s="14" t="n">
        <v>22</v>
      </c>
      <c r="D27" s="11" t="n">
        <f aca="false">IF(AND($C27&gt;=6,$C27&lt;=194),Declarations!$B$25*INDEX($B$5:$B$205,$C27+1-Declarations!$E$25)+Declarations!$B$26*INDEX($B$5:$B$205,$C27+1-Declarations!$E$26)+Declarations!$B$27*INDEX($B$5:$B$205,$C27+1-Declarations!$E$27)+Declarations!$B$28*INDEX($B$5:$B$205,$C27+1-Declarations!$E$28)+Declarations!$B$29*INDEX($B$5:$B$205,$C27+1-Declarations!$E$29),"")</f>
        <v>-500.632686269441</v>
      </c>
      <c r="E27" s="16" t="n">
        <f aca="false">IF(Grid!C27=1,-Cost_k*E$3-Short_p*MAX(0,Floor_c-$A27)+Beta_q*((1-(((Alpha_keep*$A27+E$3-Lo_c)/Step_c)-MAX(6,MIN(INT(((Alpha_keep*$A27+E$3-Lo_c)/Step_c)+0.00000001),193))))*INDEX($D$5:$D$205,MAX(6,MIN(INT(((Alpha_keep*$A27+E$3-Lo_c)/Step_c)+0.00000001),193))+1)+(((Alpha_keep*$A27+E$3-Lo_c)/Step_c)-MAX(6,MIN(INT(((Alpha_keep*$A27+E$3-Lo_c)/Step_c)+0.00000001),193)))*INDEX($D$5:$D$205,MAX(6,MIN(INT(((Alpha_keep*$A27+E$3-Lo_c)/Step_c)+0.00000001),193))+2)),"")</f>
        <v>-536.758177004866</v>
      </c>
      <c r="F27" s="16" t="n">
        <f aca="false">IF(Grid!D27=1,-Cost_k*F$3-Short_p*MAX(0,Floor_c-$A27)+Beta_q*((1-(((Alpha_keep*$A27+F$3-Lo_c)/Step_c)-MAX(6,MIN(INT(((Alpha_keep*$A27+F$3-Lo_c)/Step_c)+0.00000001),193))))*INDEX($D$5:$D$205,MAX(6,MIN(INT(((Alpha_keep*$A27+F$3-Lo_c)/Step_c)+0.00000001),193))+1)+(((Alpha_keep*$A27+F$3-Lo_c)/Step_c)-MAX(6,MIN(INT(((Alpha_keep*$A27+F$3-Lo_c)/Step_c)+0.00000001),193)))*INDEX($D$5:$D$205,MAX(6,MIN(INT(((Alpha_keep*$A27+F$3-Lo_c)/Step_c)+0.00000001),193))+2)),"")</f>
        <v>-533.018677109134</v>
      </c>
      <c r="G27" s="16" t="n">
        <f aca="false">IF(Grid!E27=1,-Cost_k*G$3-Short_p*MAX(0,Floor_c-$A27)+Beta_q*((1-(((Alpha_keep*$A27+G$3-Lo_c)/Step_c)-MAX(6,MIN(INT(((Alpha_keep*$A27+G$3-Lo_c)/Step_c)+0.00000001),193))))*INDEX($D$5:$D$205,MAX(6,MIN(INT(((Alpha_keep*$A27+G$3-Lo_c)/Step_c)+0.00000001),193))+1)+(((Alpha_keep*$A27+G$3-Lo_c)/Step_c)-MAX(6,MIN(INT(((Alpha_keep*$A27+G$3-Lo_c)/Step_c)+0.00000001),193)))*INDEX($D$5:$D$205,MAX(6,MIN(INT(((Alpha_keep*$A27+G$3-Lo_c)/Step_c)+0.00000001),193))+2)),"")</f>
        <v>-529.304443163883</v>
      </c>
      <c r="H27" s="16" t="n">
        <f aca="false">IF(Grid!F27=1,-Cost_k*H$3-Short_p*MAX(0,Floor_c-$A27)+Beta_q*((1-(((Alpha_keep*$A27+H$3-Lo_c)/Step_c)-MAX(6,MIN(INT(((Alpha_keep*$A27+H$3-Lo_c)/Step_c)+0.00000001),193))))*INDEX($D$5:$D$205,MAX(6,MIN(INT(((Alpha_keep*$A27+H$3-Lo_c)/Step_c)+0.00000001),193))+1)+(((Alpha_keep*$A27+H$3-Lo_c)/Step_c)-MAX(6,MIN(INT(((Alpha_keep*$A27+H$3-Lo_c)/Step_c)+0.00000001),193)))*INDEX($D$5:$D$205,MAX(6,MIN(INT(((Alpha_keep*$A27+H$3-Lo_c)/Step_c)+0.00000001),193))+2)),"")</f>
        <v>-525.615790475729</v>
      </c>
      <c r="I27" s="16" t="n">
        <f aca="false">IF(Grid!G27=1,-Cost_k*I$3-Short_p*MAX(0,Floor_c-$A27)+Beta_q*((1-(((Alpha_keep*$A27+I$3-Lo_c)/Step_c)-MAX(6,MIN(INT(((Alpha_keep*$A27+I$3-Lo_c)/Step_c)+0.00000001),193))))*INDEX($D$5:$D$205,MAX(6,MIN(INT(((Alpha_keep*$A27+I$3-Lo_c)/Step_c)+0.00000001),193))+1)+(((Alpha_keep*$A27+I$3-Lo_c)/Step_c)-MAX(6,MIN(INT(((Alpha_keep*$A27+I$3-Lo_c)/Step_c)+0.00000001),193)))*INDEX($D$5:$D$205,MAX(6,MIN(INT(((Alpha_keep*$A27+I$3-Lo_c)/Step_c)+0.00000001),193))+2)),"")</f>
        <v>-521.953047652841</v>
      </c>
      <c r="J27" s="16" t="n">
        <f aca="false">IF(Grid!H27=1,-Cost_k*J$3-Short_p*MAX(0,Floor_c-$A27)+Beta_q*((1-(((Alpha_keep*$A27+J$3-Lo_c)/Step_c)-MAX(6,MIN(INT(((Alpha_keep*$A27+J$3-Lo_c)/Step_c)+0.00000001),193))))*INDEX($D$5:$D$205,MAX(6,MIN(INT(((Alpha_keep*$A27+J$3-Lo_c)/Step_c)+0.00000001),193))+1)+(((Alpha_keep*$A27+J$3-Lo_c)/Step_c)-MAX(6,MIN(INT(((Alpha_keep*$A27+J$3-Lo_c)/Step_c)+0.00000001),193)))*INDEX($D$5:$D$205,MAX(6,MIN(INT(((Alpha_keep*$A27+J$3-Lo_c)/Step_c)+0.00000001),193))+2)),"")</f>
        <v>-518.316449823415</v>
      </c>
      <c r="K27" s="16" t="n">
        <f aca="false">IF(Grid!I27=1,-Cost_k*K$3-Short_p*MAX(0,Floor_c-$A27)+Beta_q*((1-(((Alpha_keep*$A27+K$3-Lo_c)/Step_c)-MAX(6,MIN(INT(((Alpha_keep*$A27+K$3-Lo_c)/Step_c)+0.00000001),193))))*INDEX($D$5:$D$205,MAX(6,MIN(INT(((Alpha_keep*$A27+K$3-Lo_c)/Step_c)+0.00000001),193))+1)+(((Alpha_keep*$A27+K$3-Lo_c)/Step_c)-MAX(6,MIN(INT(((Alpha_keep*$A27+K$3-Lo_c)/Step_c)+0.00000001),193)))*INDEX($D$5:$D$205,MAX(6,MIN(INT(((Alpha_keep*$A27+K$3-Lo_c)/Step_c)+0.00000001),193))+2)),"")</f>
        <v>-514.70629958515</v>
      </c>
      <c r="L27" s="16" t="n">
        <f aca="false">IF(Grid!J27=1,-Cost_k*L$3-Short_p*MAX(0,Floor_c-$A27)+Beta_q*((1-(((Alpha_keep*$A27+L$3-Lo_c)/Step_c)-MAX(6,MIN(INT(((Alpha_keep*$A27+L$3-Lo_c)/Step_c)+0.00000001),193))))*INDEX($D$5:$D$205,MAX(6,MIN(INT(((Alpha_keep*$A27+L$3-Lo_c)/Step_c)+0.00000001),193))+1)+(((Alpha_keep*$A27+L$3-Lo_c)/Step_c)-MAX(6,MIN(INT(((Alpha_keep*$A27+L$3-Lo_c)/Step_c)+0.00000001),193)))*INDEX($D$5:$D$205,MAX(6,MIN(INT(((Alpha_keep*$A27+L$3-Lo_c)/Step_c)+0.00000001),193))+2)),"")</f>
        <v>-511.122977402068</v>
      </c>
      <c r="M27" s="16" t="n">
        <f aca="false">IF(Grid!K27=1,-Cost_k*M$3-Short_p*MAX(0,Floor_c-$A27)+Beta_q*((1-(((Alpha_keep*$A27+M$3-Lo_c)/Step_c)-MAX(6,MIN(INT(((Alpha_keep*$A27+M$3-Lo_c)/Step_c)+0.00000001),193))))*INDEX($D$5:$D$205,MAX(6,MIN(INT(((Alpha_keep*$A27+M$3-Lo_c)/Step_c)+0.00000001),193))+1)+(((Alpha_keep*$A27+M$3-Lo_c)/Step_c)-MAX(6,MIN(INT(((Alpha_keep*$A27+M$3-Lo_c)/Step_c)+0.00000001),193)))*INDEX($D$5:$D$205,MAX(6,MIN(INT(((Alpha_keep*$A27+M$3-Lo_c)/Step_c)+0.00000001),193))+2)),"")</f>
        <v>-507.566730737915</v>
      </c>
      <c r="N27" s="16" t="n">
        <f aca="false">IF(Grid!L27=1,-Cost_k*N$3-Short_p*MAX(0,Floor_c-$A27)+Beta_q*((1-(((Alpha_keep*$A27+N$3-Lo_c)/Step_c)-MAX(6,MIN(INT(((Alpha_keep*$A27+N$3-Lo_c)/Step_c)+0.00000001),193))))*INDEX($D$5:$D$205,MAX(6,MIN(INT(((Alpha_keep*$A27+N$3-Lo_c)/Step_c)+0.00000001),193))+1)+(((Alpha_keep*$A27+N$3-Lo_c)/Step_c)-MAX(6,MIN(INT(((Alpha_keep*$A27+N$3-Lo_c)/Step_c)+0.00000001),193)))*INDEX($D$5:$D$205,MAX(6,MIN(INT(((Alpha_keep*$A27+N$3-Lo_c)/Step_c)+0.00000001),193))+2)),"")</f>
        <v>-504.037836130277</v>
      </c>
      <c r="O27" s="16" t="n">
        <f aca="false">IF(Grid!M27=1,-Cost_k*O$3-Short_p*MAX(0,Floor_c-$A27)+Beta_q*((1-(((Alpha_keep*$A27+O$3-Lo_c)/Step_c)-MAX(6,MIN(INT(((Alpha_keep*$A27+O$3-Lo_c)/Step_c)+0.00000001),193))))*INDEX($D$5:$D$205,MAX(6,MIN(INT(((Alpha_keep*$A27+O$3-Lo_c)/Step_c)+0.00000001),193))+1)+(((Alpha_keep*$A27+O$3-Lo_c)/Step_c)-MAX(6,MIN(INT(((Alpha_keep*$A27+O$3-Lo_c)/Step_c)+0.00000001),193)))*INDEX($D$5:$D$205,MAX(6,MIN(INT(((Alpha_keep*$A27+O$3-Lo_c)/Step_c)+0.00000001),193))+2)),"")</f>
        <v>-500.536728665718</v>
      </c>
      <c r="P27" s="11" t="n">
        <f aca="false">MAX(E27:O27)</f>
        <v>-500.536728665718</v>
      </c>
      <c r="Q27" s="12" t="n">
        <f aca="false">INDEX($E$3:$O$3,MATCH(P27,E27:O27,0))</f>
        <v>2.5</v>
      </c>
      <c r="R27" s="20" t="n">
        <v>2.5</v>
      </c>
      <c r="S27" s="14" t="n">
        <f aca="false">IF(ABS(Q27-R27)&lt;0.000000001,1,0)</f>
        <v>1</v>
      </c>
      <c r="T27" s="21" t="n">
        <f aca="false">ABS(P27-B27)</f>
        <v>0</v>
      </c>
      <c r="U27" s="16" t="n">
        <f aca="false">Alpha_keep*A27+Q27</f>
        <v>37.1125</v>
      </c>
      <c r="V27" s="14" t="n">
        <f aca="false">INDEX(GuardBlock,23,ROUND(Q27/Step_h,0)+1)</f>
        <v>1</v>
      </c>
      <c r="W27" s="22" t="n">
        <v>0</v>
      </c>
    </row>
    <row r="28" customFormat="false" ht="15" hidden="false" customHeight="false" outlineLevel="0" collapsed="false">
      <c r="A28" s="18" t="n">
        <f aca="false">Grid!A28</f>
        <v>35.75</v>
      </c>
      <c r="B28" s="19" t="n">
        <v>-495.775122548758</v>
      </c>
      <c r="C28" s="14" t="n">
        <v>23</v>
      </c>
      <c r="D28" s="11" t="n">
        <f aca="false">IF(AND($C28&gt;=6,$C28&lt;=194),Declarations!$B$25*INDEX($B$5:$B$205,$C28+1-Declarations!$E$25)+Declarations!$B$26*INDEX($B$5:$B$205,$C28+1-Declarations!$E$26)+Declarations!$B$27*INDEX($B$5:$B$205,$C28+1-Declarations!$E$27)+Declarations!$B$28*INDEX($B$5:$B$205,$C28+1-Declarations!$E$28)+Declarations!$B$29*INDEX($B$5:$B$205,$C28+1-Declarations!$E$29),"")</f>
        <v>-495.872181903678</v>
      </c>
      <c r="E28" s="16" t="n">
        <f aca="false">IF(Grid!C28=1,-Cost_k*E$3-Short_p*MAX(0,Floor_c-$A28)+Beta_q*((1-(((Alpha_keep*$A28+E$3-Lo_c)/Step_c)-MAX(6,MIN(INT(((Alpha_keep*$A28+E$3-Lo_c)/Step_c)+0.00000001),193))))*INDEX($D$5:$D$205,MAX(6,MIN(INT(((Alpha_keep*$A28+E$3-Lo_c)/Step_c)+0.00000001),193))+1)+(((Alpha_keep*$A28+E$3-Lo_c)/Step_c)-MAX(6,MIN(INT(((Alpha_keep*$A28+E$3-Lo_c)/Step_c)+0.00000001),193)))*INDEX($D$5:$D$205,MAX(6,MIN(INT(((Alpha_keep*$A28+E$3-Lo_c)/Step_c)+0.00000001),193))+2)),"")</f>
        <v>-531.736818796277</v>
      </c>
      <c r="F28" s="16" t="n">
        <f aca="false">IF(Grid!D28=1,-Cost_k*F$3-Short_p*MAX(0,Floor_c-$A28)+Beta_q*((1-(((Alpha_keep*$A28+F$3-Lo_c)/Step_c)-MAX(6,MIN(INT(((Alpha_keep*$A28+F$3-Lo_c)/Step_c)+0.00000001),193))))*INDEX($D$5:$D$205,MAX(6,MIN(INT(((Alpha_keep*$A28+F$3-Lo_c)/Step_c)+0.00000001),193))+1)+(((Alpha_keep*$A28+F$3-Lo_c)/Step_c)-MAX(6,MIN(INT(((Alpha_keep*$A28+F$3-Lo_c)/Step_c)+0.00000001),193)))*INDEX($D$5:$D$205,MAX(6,MIN(INT(((Alpha_keep*$A28+F$3-Lo_c)/Step_c)+0.00000001),193))+2)),"")</f>
        <v>-528.021949654334</v>
      </c>
      <c r="G28" s="16" t="n">
        <f aca="false">IF(Grid!E28=1,-Cost_k*G$3-Short_p*MAX(0,Floor_c-$A28)+Beta_q*((1-(((Alpha_keep*$A28+G$3-Lo_c)/Step_c)-MAX(6,MIN(INT(((Alpha_keep*$A28+G$3-Lo_c)/Step_c)+0.00000001),193))))*INDEX($D$5:$D$205,MAX(6,MIN(INT(((Alpha_keep*$A28+G$3-Lo_c)/Step_c)+0.00000001),193))+1)+(((Alpha_keep*$A28+G$3-Lo_c)/Step_c)-MAX(6,MIN(INT(((Alpha_keep*$A28+G$3-Lo_c)/Step_c)+0.00000001),193)))*INDEX($D$5:$D$205,MAX(6,MIN(INT(((Alpha_keep*$A28+G$3-Lo_c)/Step_c)+0.00000001),193))+2)),"")</f>
        <v>-524.332652136742</v>
      </c>
      <c r="H28" s="16" t="n">
        <f aca="false">IF(Grid!F28=1,-Cost_k*H$3-Short_p*MAX(0,Floor_c-$A28)+Beta_q*((1-(((Alpha_keep*$A28+H$3-Lo_c)/Step_c)-MAX(6,MIN(INT(((Alpha_keep*$A28+H$3-Lo_c)/Step_c)+0.00000001),193))))*INDEX($D$5:$D$205,MAX(6,MIN(INT(((Alpha_keep*$A28+H$3-Lo_c)/Step_c)+0.00000001),193))+1)+(((Alpha_keep*$A28+H$3-Lo_c)/Step_c)-MAX(6,MIN(INT(((Alpha_keep*$A28+H$3-Lo_c)/Step_c)+0.00000001),193)))*INDEX($D$5:$D$205,MAX(6,MIN(INT(((Alpha_keep*$A28+H$3-Lo_c)/Step_c)+0.00000001),193))+2)),"")</f>
        <v>-520.669258001763</v>
      </c>
      <c r="I28" s="16" t="n">
        <f aca="false">IF(Grid!G28=1,-Cost_k*I$3-Short_p*MAX(0,Floor_c-$A28)+Beta_q*((1-(((Alpha_keep*$A28+I$3-Lo_c)/Step_c)-MAX(6,MIN(INT(((Alpha_keep*$A28+I$3-Lo_c)/Step_c)+0.00000001),193))))*INDEX($D$5:$D$205,MAX(6,MIN(INT(((Alpha_keep*$A28+I$3-Lo_c)/Step_c)+0.00000001),193))+1)+(((Alpha_keep*$A28+I$3-Lo_c)/Step_c)-MAX(6,MIN(INT(((Alpha_keep*$A28+I$3-Lo_c)/Step_c)+0.00000001),193)))*INDEX($D$5:$D$205,MAX(6,MIN(INT(((Alpha_keep*$A28+I$3-Lo_c)/Step_c)+0.00000001),193))+2)),"")</f>
        <v>-517.032003720812</v>
      </c>
      <c r="J28" s="16" t="n">
        <f aca="false">IF(Grid!H28=1,-Cost_k*J$3-Short_p*MAX(0,Floor_c-$A28)+Beta_q*((1-(((Alpha_keep*$A28+J$3-Lo_c)/Step_c)-MAX(6,MIN(INT(((Alpha_keep*$A28+J$3-Lo_c)/Step_c)+0.00000001),193))))*INDEX($D$5:$D$205,MAX(6,MIN(INT(((Alpha_keep*$A28+J$3-Lo_c)/Step_c)+0.00000001),193))+1)+(((Alpha_keep*$A28+J$3-Lo_c)/Step_c)-MAX(6,MIN(INT(((Alpha_keep*$A28+J$3-Lo_c)/Step_c)+0.00000001),193)))*INDEX($D$5:$D$205,MAX(6,MIN(INT(((Alpha_keep*$A28+J$3-Lo_c)/Step_c)+0.00000001),193))+2)),"")</f>
        <v>-513.421186501569</v>
      </c>
      <c r="K28" s="16" t="n">
        <f aca="false">IF(Grid!I28=1,-Cost_k*K$3-Short_p*MAX(0,Floor_c-$A28)+Beta_q*((1-(((Alpha_keep*$A28+K$3-Lo_c)/Step_c)-MAX(6,MIN(INT(((Alpha_keep*$A28+K$3-Lo_c)/Step_c)+0.00000001),193))))*INDEX($D$5:$D$205,MAX(6,MIN(INT(((Alpha_keep*$A28+K$3-Lo_c)/Step_c)+0.00000001),193))+1)+(((Alpha_keep*$A28+K$3-Lo_c)/Step_c)-MAX(6,MIN(INT(((Alpha_keep*$A28+K$3-Lo_c)/Step_c)+0.00000001),193)))*INDEX($D$5:$D$205,MAX(6,MIN(INT(((Alpha_keep*$A28+K$3-Lo_c)/Step_c)+0.00000001),193))+2)),"")</f>
        <v>-509.83718906995</v>
      </c>
      <c r="L28" s="16" t="n">
        <f aca="false">IF(Grid!J28=1,-Cost_k*L$3-Short_p*MAX(0,Floor_c-$A28)+Beta_q*((1-(((Alpha_keep*$A28+L$3-Lo_c)/Step_c)-MAX(6,MIN(INT(((Alpha_keep*$A28+L$3-Lo_c)/Step_c)+0.00000001),193))))*INDEX($D$5:$D$205,MAX(6,MIN(INT(((Alpha_keep*$A28+L$3-Lo_c)/Step_c)+0.00000001),193))+1)+(((Alpha_keep*$A28+L$3-Lo_c)/Step_c)-MAX(6,MIN(INT(((Alpha_keep*$A28+L$3-Lo_c)/Step_c)+0.00000001),193)))*INDEX($D$5:$D$205,MAX(6,MIN(INT(((Alpha_keep*$A28+L$3-Lo_c)/Step_c)+0.00000001),193))+2)),"")</f>
        <v>-506.280263514067</v>
      </c>
      <c r="M28" s="16" t="n">
        <f aca="false">IF(Grid!K28=1,-Cost_k*M$3-Short_p*MAX(0,Floor_c-$A28)+Beta_q*((1-(((Alpha_keep*$A28+M$3-Lo_c)/Step_c)-MAX(6,MIN(INT(((Alpha_keep*$A28+M$3-Lo_c)/Step_c)+0.00000001),193))))*INDEX($D$5:$D$205,MAX(6,MIN(INT(((Alpha_keep*$A28+M$3-Lo_c)/Step_c)+0.00000001),193))+1)+(((Alpha_keep*$A28+M$3-Lo_c)/Step_c)-MAX(6,MIN(INT(((Alpha_keep*$A28+M$3-Lo_c)/Step_c)+0.00000001),193)))*INDEX($D$5:$D$205,MAX(6,MIN(INT(((Alpha_keep*$A28+M$3-Lo_c)/Step_c)+0.00000001),193))+2)),"")</f>
        <v>-502.750679104292</v>
      </c>
      <c r="N28" s="16" t="n">
        <f aca="false">IF(Grid!L28=1,-Cost_k*N$3-Short_p*MAX(0,Floor_c-$A28)+Beta_q*((1-(((Alpha_keep*$A28+N$3-Lo_c)/Step_c)-MAX(6,MIN(INT(((Alpha_keep*$A28+N$3-Lo_c)/Step_c)+0.00000001),193))))*INDEX($D$5:$D$205,MAX(6,MIN(INT(((Alpha_keep*$A28+N$3-Lo_c)/Step_c)+0.00000001),193))+1)+(((Alpha_keep*$A28+N$3-Lo_c)/Step_c)-MAX(6,MIN(INT(((Alpha_keep*$A28+N$3-Lo_c)/Step_c)+0.00000001),193)))*INDEX($D$5:$D$205,MAX(6,MIN(INT(((Alpha_keep*$A28+N$3-Lo_c)/Step_c)+0.00000001),193))+2)),"")</f>
        <v>-499.248871001063</v>
      </c>
      <c r="O28" s="16" t="n">
        <f aca="false">IF(Grid!M28=1,-Cost_k*O$3-Short_p*MAX(0,Floor_c-$A28)+Beta_q*((1-(((Alpha_keep*$A28+O$3-Lo_c)/Step_c)-MAX(6,MIN(INT(((Alpha_keep*$A28+O$3-Lo_c)/Step_c)+0.00000001),193))))*INDEX($D$5:$D$205,MAX(6,MIN(INT(((Alpha_keep*$A28+O$3-Lo_c)/Step_c)+0.00000001),193))+1)+(((Alpha_keep*$A28+O$3-Lo_c)/Step_c)-MAX(6,MIN(INT(((Alpha_keep*$A28+O$3-Lo_c)/Step_c)+0.00000001),193)))*INDEX($D$5:$D$205,MAX(6,MIN(INT(((Alpha_keep*$A28+O$3-Lo_c)/Step_c)+0.00000001),193))+2)),"")</f>
        <v>-495.775122548758</v>
      </c>
      <c r="P28" s="11" t="n">
        <f aca="false">MAX(E28:O28)</f>
        <v>-495.775122548758</v>
      </c>
      <c r="Q28" s="12" t="n">
        <f aca="false">INDEX($E$3:$O$3,MATCH(P28,E28:O28,0))</f>
        <v>2.5</v>
      </c>
      <c r="R28" s="20" t="n">
        <v>2.5</v>
      </c>
      <c r="S28" s="14" t="n">
        <f aca="false">IF(ABS(Q28-R28)&lt;0.000000001,1,0)</f>
        <v>1</v>
      </c>
      <c r="T28" s="21" t="n">
        <f aca="false">ABS(P28-B28)</f>
        <v>0</v>
      </c>
      <c r="U28" s="16" t="n">
        <f aca="false">Alpha_keep*A28+Q28</f>
        <v>37.35625</v>
      </c>
      <c r="V28" s="14" t="n">
        <f aca="false">INDEX(GuardBlock,24,ROUND(Q28/Step_h,0)+1)</f>
        <v>1</v>
      </c>
      <c r="W28" s="22" t="n">
        <v>0</v>
      </c>
    </row>
    <row r="29" customFormat="false" ht="15" hidden="false" customHeight="false" outlineLevel="0" collapsed="false">
      <c r="A29" s="18" t="n">
        <f aca="false">Grid!A29</f>
        <v>36</v>
      </c>
      <c r="B29" s="19" t="n">
        <v>-491.040387581759</v>
      </c>
      <c r="C29" s="14" t="n">
        <v>24</v>
      </c>
      <c r="D29" s="11" t="n">
        <f aca="false">IF(AND($C29&gt;=6,$C29&lt;=194),Declarations!$B$25*INDEX($B$5:$B$205,$C29+1-Declarations!$E$25)+Declarations!$B$26*INDEX($B$5:$B$205,$C29+1-Declarations!$E$26)+Declarations!$B$27*INDEX($B$5:$B$205,$C29+1-Declarations!$E$27)+Declarations!$B$28*INDEX($B$5:$B$205,$C29+1-Declarations!$E$28)+Declarations!$B$29*INDEX($B$5:$B$205,$C29+1-Declarations!$E$29),"")</f>
        <v>-491.138568777623</v>
      </c>
      <c r="E29" s="16" t="n">
        <f aca="false">IF(Grid!C29=1,-Cost_k*E$3-Short_p*MAX(0,Floor_c-$A29)+Beta_q*((1-(((Alpha_keep*$A29+E$3-Lo_c)/Step_c)-MAX(6,MIN(INT(((Alpha_keep*$A29+E$3-Lo_c)/Step_c)+0.00000001),193))))*INDEX($D$5:$D$205,MAX(6,MIN(INT(((Alpha_keep*$A29+E$3-Lo_c)/Step_c)+0.00000001),193))+1)+(((Alpha_keep*$A29+E$3-Lo_c)/Step_c)-MAX(6,MIN(INT(((Alpha_keep*$A29+E$3-Lo_c)/Step_c)+0.00000001),193)))*INDEX($D$5:$D$205,MAX(6,MIN(INT(((Alpha_keep*$A29+E$3-Lo_c)/Step_c)+0.00000001),193))+2)),"")</f>
        <v>-526.739456144784</v>
      </c>
      <c r="F29" s="16" t="n">
        <f aca="false">IF(Grid!D29=1,-Cost_k*F$3-Short_p*MAX(0,Floor_c-$A29)+Beta_q*((1-(((Alpha_keep*$A29+F$3-Lo_c)/Step_c)-MAX(6,MIN(INT(((Alpha_keep*$A29+F$3-Lo_c)/Step_c)+0.00000001),193))))*INDEX($D$5:$D$205,MAX(6,MIN(INT(((Alpha_keep*$A29+F$3-Lo_c)/Step_c)+0.00000001),193))+1)+(((Alpha_keep*$A29+F$3-Lo_c)/Step_c)-MAX(6,MIN(INT(((Alpha_keep*$A29+F$3-Lo_c)/Step_c)+0.00000001),193)))*INDEX($D$5:$D$205,MAX(6,MIN(INT(((Alpha_keep*$A29+F$3-Lo_c)/Step_c)+0.00000001),193))+2)),"")</f>
        <v>-523.049513797755</v>
      </c>
      <c r="G29" s="16" t="n">
        <f aca="false">IF(Grid!E29=1,-Cost_k*G$3-Short_p*MAX(0,Floor_c-$A29)+Beta_q*((1-(((Alpha_keep*$A29+G$3-Lo_c)/Step_c)-MAX(6,MIN(INT(((Alpha_keep*$A29+G$3-Lo_c)/Step_c)+0.00000001),193))))*INDEX($D$5:$D$205,MAX(6,MIN(INT(((Alpha_keep*$A29+G$3-Lo_c)/Step_c)+0.00000001),193))+1)+(((Alpha_keep*$A29+G$3-Lo_c)/Step_c)-MAX(6,MIN(INT(((Alpha_keep*$A29+G$3-Lo_c)/Step_c)+0.00000001),193)))*INDEX($D$5:$D$205,MAX(6,MIN(INT(((Alpha_keep*$A29+G$3-Lo_c)/Step_c)+0.00000001),193))+2)),"")</f>
        <v>-519.385468350685</v>
      </c>
      <c r="H29" s="16" t="n">
        <f aca="false">IF(Grid!F29=1,-Cost_k*H$3-Short_p*MAX(0,Floor_c-$A29)+Beta_q*((1-(((Alpha_keep*$A29+H$3-Lo_c)/Step_c)-MAX(6,MIN(INT(((Alpha_keep*$A29+H$3-Lo_c)/Step_c)+0.00000001),193))))*INDEX($D$5:$D$205,MAX(6,MIN(INT(((Alpha_keep*$A29+H$3-Lo_c)/Step_c)+0.00000001),193))+1)+(((Alpha_keep*$A29+H$3-Lo_c)/Step_c)-MAX(6,MIN(INT(((Alpha_keep*$A29+H$3-Lo_c)/Step_c)+0.00000001),193)))*INDEX($D$5:$D$205,MAX(6,MIN(INT(((Alpha_keep*$A29+H$3-Lo_c)/Step_c)+0.00000001),193))+2)),"")</f>
        <v>-515.747557618209</v>
      </c>
      <c r="I29" s="16" t="n">
        <f aca="false">IF(Grid!G29=1,-Cost_k*I$3-Short_p*MAX(0,Floor_c-$A29)+Beta_q*((1-(((Alpha_keep*$A29+I$3-Lo_c)/Step_c)-MAX(6,MIN(INT(((Alpha_keep*$A29+I$3-Lo_c)/Step_c)+0.00000001),193))))*INDEX($D$5:$D$205,MAX(6,MIN(INT(((Alpha_keep*$A29+I$3-Lo_c)/Step_c)+0.00000001),193))+1)+(((Alpha_keep*$A29+I$3-Lo_c)/Step_c)-MAX(6,MIN(INT(((Alpha_keep*$A29+I$3-Lo_c)/Step_c)+0.00000001),193)))*INDEX($D$5:$D$205,MAX(6,MIN(INT(((Alpha_keep*$A29+I$3-Lo_c)/Step_c)+0.00000001),193))+2)),"")</f>
        <v>-512.136073417987</v>
      </c>
      <c r="J29" s="16" t="n">
        <f aca="false">IF(Grid!H29=1,-Cost_k*J$3-Short_p*MAX(0,Floor_c-$A29)+Beta_q*((1-(((Alpha_keep*$A29+J$3-Lo_c)/Step_c)-MAX(6,MIN(INT(((Alpha_keep*$A29+J$3-Lo_c)/Step_c)+0.00000001),193))))*INDEX($D$5:$D$205,MAX(6,MIN(INT(((Alpha_keep*$A29+J$3-Lo_c)/Step_c)+0.00000001),193))+1)+(((Alpha_keep*$A29+J$3-Lo_c)/Step_c)-MAX(6,MIN(INT(((Alpha_keep*$A29+J$3-Lo_c)/Step_c)+0.00000001),193)))*INDEX($D$5:$D$205,MAX(6,MIN(INT(((Alpha_keep*$A29+J$3-Lo_c)/Step_c)+0.00000001),193))+2)),"")</f>
        <v>-508.551400737832</v>
      </c>
      <c r="K29" s="16" t="n">
        <f aca="false">IF(Grid!I29=1,-Cost_k*K$3-Short_p*MAX(0,Floor_c-$A29)+Beta_q*((1-(((Alpha_keep*$A29+K$3-Lo_c)/Step_c)-MAX(6,MIN(INT(((Alpha_keep*$A29+K$3-Lo_c)/Step_c)+0.00000001),193))))*INDEX($D$5:$D$205,MAX(6,MIN(INT(((Alpha_keep*$A29+K$3-Lo_c)/Step_c)+0.00000001),193))+1)+(((Alpha_keep*$A29+K$3-Lo_c)/Step_c)-MAX(6,MIN(INT(((Alpha_keep*$A29+K$3-Lo_c)/Step_c)+0.00000001),193)))*INDEX($D$5:$D$205,MAX(6,MIN(INT(((Alpha_keep*$A29+K$3-Lo_c)/Step_c)+0.00000001),193))+2)),"")</f>
        <v>-504.99379629022</v>
      </c>
      <c r="L29" s="16" t="n">
        <f aca="false">IF(Grid!J29=1,-Cost_k*L$3-Short_p*MAX(0,Floor_c-$A29)+Beta_q*((1-(((Alpha_keep*$A29+L$3-Lo_c)/Step_c)-MAX(6,MIN(INT(((Alpha_keep*$A29+L$3-Lo_c)/Step_c)+0.00000001),193))))*INDEX($D$5:$D$205,MAX(6,MIN(INT(((Alpha_keep*$A29+L$3-Lo_c)/Step_c)+0.00000001),193))+1)+(((Alpha_keep*$A29+L$3-Lo_c)/Step_c)-MAX(6,MIN(INT(((Alpha_keep*$A29+L$3-Lo_c)/Step_c)+0.00000001),193)))*INDEX($D$5:$D$205,MAX(6,MIN(INT(((Alpha_keep*$A29+L$3-Lo_c)/Step_c)+0.00000001),193))+2)),"")</f>
        <v>-501.463522078308</v>
      </c>
      <c r="M29" s="16" t="n">
        <f aca="false">IF(Grid!K29=1,-Cost_k*M$3-Short_p*MAX(0,Floor_c-$A29)+Beta_q*((1-(((Alpha_keep*$A29+M$3-Lo_c)/Step_c)-MAX(6,MIN(INT(((Alpha_keep*$A29+M$3-Lo_c)/Step_c)+0.00000001),193))))*INDEX($D$5:$D$205,MAX(6,MIN(INT(((Alpha_keep*$A29+M$3-Lo_c)/Step_c)+0.00000001),193))+1)+(((Alpha_keep*$A29+M$3-Lo_c)/Step_c)-MAX(6,MIN(INT(((Alpha_keep*$A29+M$3-Lo_c)/Step_c)+0.00000001),193)))*INDEX($D$5:$D$205,MAX(6,MIN(INT(((Alpha_keep*$A29+M$3-Lo_c)/Step_c)+0.00000001),193))+2)),"")</f>
        <v>-497.961013336408</v>
      </c>
      <c r="N29" s="16" t="n">
        <f aca="false">IF(Grid!L29=1,-Cost_k*N$3-Short_p*MAX(0,Floor_c-$A29)+Beta_q*((1-(((Alpha_keep*$A29+N$3-Lo_c)/Step_c)-MAX(6,MIN(INT(((Alpha_keep*$A29+N$3-Lo_c)/Step_c)+0.00000001),193))))*INDEX($D$5:$D$205,MAX(6,MIN(INT(((Alpha_keep*$A29+N$3-Lo_c)/Step_c)+0.00000001),193))+1)+(((Alpha_keep*$A29+N$3-Lo_c)/Step_c)-MAX(6,MIN(INT(((Alpha_keep*$A29+N$3-Lo_c)/Step_c)+0.00000001),193)))*INDEX($D$5:$D$205,MAX(6,MIN(INT(((Alpha_keep*$A29+N$3-Lo_c)/Step_c)+0.00000001),193))+2)),"")</f>
        <v>-494.486562239309</v>
      </c>
      <c r="O29" s="16" t="n">
        <f aca="false">IF(Grid!M29=1,-Cost_k*O$3-Short_p*MAX(0,Floor_c-$A29)+Beta_q*((1-(((Alpha_keep*$A29+O$3-Lo_c)/Step_c)-MAX(6,MIN(INT(((Alpha_keep*$A29+O$3-Lo_c)/Step_c)+0.00000001),193))))*INDEX($D$5:$D$205,MAX(6,MIN(INT(((Alpha_keep*$A29+O$3-Lo_c)/Step_c)+0.00000001),193))+1)+(((Alpha_keep*$A29+O$3-Lo_c)/Step_c)-MAX(6,MIN(INT(((Alpha_keep*$A29+O$3-Lo_c)/Step_c)+0.00000001),193)))*INDEX($D$5:$D$205,MAX(6,MIN(INT(((Alpha_keep*$A29+O$3-Lo_c)/Step_c)+0.00000001),193))+2)),"")</f>
        <v>-491.040387581759</v>
      </c>
      <c r="P29" s="11" t="n">
        <f aca="false">MAX(E29:O29)</f>
        <v>-491.040387581759</v>
      </c>
      <c r="Q29" s="12" t="n">
        <f aca="false">INDEX($E$3:$O$3,MATCH(P29,E29:O29,0))</f>
        <v>2.5</v>
      </c>
      <c r="R29" s="20" t="n">
        <v>2.5</v>
      </c>
      <c r="S29" s="14" t="n">
        <f aca="false">IF(ABS(Q29-R29)&lt;0.000000001,1,0)</f>
        <v>1</v>
      </c>
      <c r="T29" s="21" t="n">
        <f aca="false">ABS(P29-B29)</f>
        <v>0</v>
      </c>
      <c r="U29" s="16" t="n">
        <f aca="false">Alpha_keep*A29+Q29</f>
        <v>37.6</v>
      </c>
      <c r="V29" s="14" t="n">
        <f aca="false">INDEX(GuardBlock,25,ROUND(Q29/Step_h,0)+1)</f>
        <v>1</v>
      </c>
      <c r="W29" s="22" t="n">
        <v>0</v>
      </c>
    </row>
    <row r="30" customFormat="false" ht="15" hidden="false" customHeight="false" outlineLevel="0" collapsed="false">
      <c r="A30" s="18" t="n">
        <f aca="false">Grid!A30</f>
        <v>36.25</v>
      </c>
      <c r="B30" s="19" t="n">
        <v>-486.332963582949</v>
      </c>
      <c r="C30" s="14" t="n">
        <v>25</v>
      </c>
      <c r="D30" s="11" t="n">
        <f aca="false">IF(AND($C30&gt;=6,$C30&lt;=194),Declarations!$B$25*INDEX($B$5:$B$205,$C30+1-Declarations!$E$25)+Declarations!$B$26*INDEX($B$5:$B$205,$C30+1-Declarations!$E$26)+Declarations!$B$27*INDEX($B$5:$B$205,$C30+1-Declarations!$E$27)+Declarations!$B$28*INDEX($B$5:$B$205,$C30+1-Declarations!$E$28)+Declarations!$B$29*INDEX($B$5:$B$205,$C30+1-Declarations!$E$29),"")</f>
        <v>-486.432278225595</v>
      </c>
      <c r="E30" s="16" t="n">
        <f aca="false">IF(Grid!C30=1,-Cost_k*E$3-Short_p*MAX(0,Floor_c-$A30)+Beta_q*((1-(((Alpha_keep*$A30+E$3-Lo_c)/Step_c)-MAX(6,MIN(INT(((Alpha_keep*$A30+E$3-Lo_c)/Step_c)+0.00000001),193))))*INDEX($D$5:$D$205,MAX(6,MIN(INT(((Alpha_keep*$A30+E$3-Lo_c)/Step_c)+0.00000001),193))+1)+(((Alpha_keep*$A30+E$3-Lo_c)/Step_c)-MAX(6,MIN(INT(((Alpha_keep*$A30+E$3-Lo_c)/Step_c)+0.00000001),193)))*INDEX($D$5:$D$205,MAX(6,MIN(INT(((Alpha_keep*$A30+E$3-Lo_c)/Step_c)+0.00000001),193))+2)),"")</f>
        <v>-521.766375458769</v>
      </c>
      <c r="F30" s="16" t="n">
        <f aca="false">IF(Grid!D30=1,-Cost_k*F$3-Short_p*MAX(0,Floor_c-$A30)+Beta_q*((1-(((Alpha_keep*$A30+F$3-Lo_c)/Step_c)-MAX(6,MIN(INT(((Alpha_keep*$A30+F$3-Lo_c)/Step_c)+0.00000001),193))))*INDEX($D$5:$D$205,MAX(6,MIN(INT(((Alpha_keep*$A30+F$3-Lo_c)/Step_c)+0.00000001),193))+1)+(((Alpha_keep*$A30+F$3-Lo_c)/Step_c)-MAX(6,MIN(INT(((Alpha_keep*$A30+F$3-Lo_c)/Step_c)+0.00000001),193)))*INDEX($D$5:$D$205,MAX(6,MIN(INT(((Alpha_keep*$A30+F$3-Lo_c)/Step_c)+0.00000001),193))+2)),"")</f>
        <v>-518.101678699606</v>
      </c>
      <c r="G30" s="16" t="n">
        <f aca="false">IF(Grid!E30=1,-Cost_k*G$3-Short_p*MAX(0,Floor_c-$A30)+Beta_q*((1-(((Alpha_keep*$A30+G$3-Lo_c)/Step_c)-MAX(6,MIN(INT(((Alpha_keep*$A30+G$3-Lo_c)/Step_c)+0.00000001),193))))*INDEX($D$5:$D$205,MAX(6,MIN(INT(((Alpha_keep*$A30+G$3-Lo_c)/Step_c)+0.00000001),193))+1)+(((Alpha_keep*$A30+G$3-Lo_c)/Step_c)-MAX(6,MIN(INT(((Alpha_keep*$A30+G$3-Lo_c)/Step_c)+0.00000001),193)))*INDEX($D$5:$D$205,MAX(6,MIN(INT(((Alpha_keep*$A30+G$3-Lo_c)/Step_c)+0.00000001),193))+2)),"")</f>
        <v>-514.463111515606</v>
      </c>
      <c r="H30" s="16" t="n">
        <f aca="false">IF(Grid!F30=1,-Cost_k*H$3-Short_p*MAX(0,Floor_c-$A30)+Beta_q*((1-(((Alpha_keep*$A30+H$3-Lo_c)/Step_c)-MAX(6,MIN(INT(((Alpha_keep*$A30+H$3-Lo_c)/Step_c)+0.00000001),193))))*INDEX($D$5:$D$205,MAX(6,MIN(INT(((Alpha_keep*$A30+H$3-Lo_c)/Step_c)+0.00000001),193))+1)+(((Alpha_keep*$A30+H$3-Lo_c)/Step_c)-MAX(6,MIN(INT(((Alpha_keep*$A30+H$3-Lo_c)/Step_c)+0.00000001),193)))*INDEX($D$5:$D$205,MAX(6,MIN(INT(((Alpha_keep*$A30+H$3-Lo_c)/Step_c)+0.00000001),193))+2)),"")</f>
        <v>-510.850960334405</v>
      </c>
      <c r="I30" s="16" t="n">
        <f aca="false">IF(Grid!G30=1,-Cost_k*I$3-Short_p*MAX(0,Floor_c-$A30)+Beta_q*((1-(((Alpha_keep*$A30+I$3-Lo_c)/Step_c)-MAX(6,MIN(INT(((Alpha_keep*$A30+I$3-Lo_c)/Step_c)+0.00000001),193))))*INDEX($D$5:$D$205,MAX(6,MIN(INT(((Alpha_keep*$A30+I$3-Lo_c)/Step_c)+0.00000001),193))+1)+(((Alpha_keep*$A30+I$3-Lo_c)/Step_c)-MAX(6,MIN(INT(((Alpha_keep*$A30+I$3-Lo_c)/Step_c)+0.00000001),193)))*INDEX($D$5:$D$205,MAX(6,MIN(INT(((Alpha_keep*$A30+I$3-Lo_c)/Step_c)+0.00000001),193))+2)),"")</f>
        <v>-507.265612405714</v>
      </c>
      <c r="J30" s="16" t="n">
        <f aca="false">IF(Grid!H30=1,-Cost_k*J$3-Short_p*MAX(0,Floor_c-$A30)+Beta_q*((1-(((Alpha_keep*$A30+J$3-Lo_c)/Step_c)-MAX(6,MIN(INT(((Alpha_keep*$A30+J$3-Lo_c)/Step_c)+0.00000001),193))))*INDEX($D$5:$D$205,MAX(6,MIN(INT(((Alpha_keep*$A30+J$3-Lo_c)/Step_c)+0.00000001),193))+1)+(((Alpha_keep*$A30+J$3-Lo_c)/Step_c)-MAX(6,MIN(INT(((Alpha_keep*$A30+J$3-Lo_c)/Step_c)+0.00000001),193)))*INDEX($D$5:$D$205,MAX(6,MIN(INT(((Alpha_keep*$A30+J$3-Lo_c)/Step_c)+0.00000001),193))+2)),"")</f>
        <v>-503.707329066372</v>
      </c>
      <c r="K30" s="16" t="n">
        <f aca="false">IF(Grid!I30=1,-Cost_k*K$3-Short_p*MAX(0,Floor_c-$A30)+Beta_q*((1-(((Alpha_keep*$A30+K$3-Lo_c)/Step_c)-MAX(6,MIN(INT(((Alpha_keep*$A30+K$3-Lo_c)/Step_c)+0.00000001),193))))*INDEX($D$5:$D$205,MAX(6,MIN(INT(((Alpha_keep*$A30+K$3-Lo_c)/Step_c)+0.00000001),193))+1)+(((Alpha_keep*$A30+K$3-Lo_c)/Step_c)-MAX(6,MIN(INT(((Alpha_keep*$A30+K$3-Lo_c)/Step_c)+0.00000001),193)))*INDEX($D$5:$D$205,MAX(6,MIN(INT(((Alpha_keep*$A30+K$3-Lo_c)/Step_c)+0.00000001),193))+2)),"")</f>
        <v>-500.176365052324</v>
      </c>
      <c r="L30" s="16" t="n">
        <f aca="false">IF(Grid!J30=1,-Cost_k*L$3-Short_p*MAX(0,Floor_c-$A30)+Beta_q*((1-(((Alpha_keep*$A30+L$3-Lo_c)/Step_c)-MAX(6,MIN(INT(((Alpha_keep*$A30+L$3-Lo_c)/Step_c)+0.00000001),193))))*INDEX($D$5:$D$205,MAX(6,MIN(INT(((Alpha_keep*$A30+L$3-Lo_c)/Step_c)+0.00000001),193))+1)+(((Alpha_keep*$A30+L$3-Lo_c)/Step_c)-MAX(6,MIN(INT(((Alpha_keep*$A30+L$3-Lo_c)/Step_c)+0.00000001),193)))*INDEX($D$5:$D$205,MAX(6,MIN(INT(((Alpha_keep*$A30+L$3-Lo_c)/Step_c)+0.00000001),193))+2)),"")</f>
        <v>-496.673155671753</v>
      </c>
      <c r="M30" s="16" t="n">
        <f aca="false">IF(Grid!K30=1,-Cost_k*M$3-Short_p*MAX(0,Floor_c-$A30)+Beta_q*((1-(((Alpha_keep*$A30+M$3-Lo_c)/Step_c)-MAX(6,MIN(INT(((Alpha_keep*$A30+M$3-Lo_c)/Step_c)+0.00000001),193))))*INDEX($D$5:$D$205,MAX(6,MIN(INT(((Alpha_keep*$A30+M$3-Lo_c)/Step_c)+0.00000001),193))+1)+(((Alpha_keep*$A30+M$3-Lo_c)/Step_c)-MAX(6,MIN(INT(((Alpha_keep*$A30+M$3-Lo_c)/Step_c)+0.00000001),193)))*INDEX($D$5:$D$205,MAX(6,MIN(INT(((Alpha_keep*$A30+M$3-Lo_c)/Step_c)+0.00000001),193))+2)),"")</f>
        <v>-493.19800192986</v>
      </c>
      <c r="N30" s="16" t="n">
        <f aca="false">IF(Grid!L30=1,-Cost_k*N$3-Short_p*MAX(0,Floor_c-$A30)+Beta_q*((1-(((Alpha_keep*$A30+N$3-Lo_c)/Step_c)-MAX(6,MIN(INT(((Alpha_keep*$A30+N$3-Lo_c)/Step_c)+0.00000001),193))))*INDEX($D$5:$D$205,MAX(6,MIN(INT(((Alpha_keep*$A30+N$3-Lo_c)/Step_c)+0.00000001),193))+1)+(((Alpha_keep*$A30+N$3-Lo_c)/Step_c)-MAX(6,MIN(INT(((Alpha_keep*$A30+N$3-Lo_c)/Step_c)+0.00000001),193)))*INDEX($D$5:$D$205,MAX(6,MIN(INT(((Alpha_keep*$A30+N$3-Lo_c)/Step_c)+0.00000001),193))+2)),"")</f>
        <v>-489.751113962029</v>
      </c>
      <c r="O30" s="16" t="n">
        <f aca="false">IF(Grid!M30=1,-Cost_k*O$3-Short_p*MAX(0,Floor_c-$A30)+Beta_q*((1-(((Alpha_keep*$A30+O$3-Lo_c)/Step_c)-MAX(6,MIN(INT(((Alpha_keep*$A30+O$3-Lo_c)/Step_c)+0.00000001),193))))*INDEX($D$5:$D$205,MAX(6,MIN(INT(((Alpha_keep*$A30+O$3-Lo_c)/Step_c)+0.00000001),193))+1)+(((Alpha_keep*$A30+O$3-Lo_c)/Step_c)-MAX(6,MIN(INT(((Alpha_keep*$A30+O$3-Lo_c)/Step_c)+0.00000001),193)))*INDEX($D$5:$D$205,MAX(6,MIN(INT(((Alpha_keep*$A30+O$3-Lo_c)/Step_c)+0.00000001),193))+2)),"")</f>
        <v>-486.332963582949</v>
      </c>
      <c r="P30" s="11" t="n">
        <f aca="false">MAX(E30:O30)</f>
        <v>-486.332963582949</v>
      </c>
      <c r="Q30" s="12" t="n">
        <f aca="false">INDEX($E$3:$O$3,MATCH(P30,E30:O30,0))</f>
        <v>2.5</v>
      </c>
      <c r="R30" s="20" t="n">
        <v>2.5</v>
      </c>
      <c r="S30" s="14" t="n">
        <f aca="false">IF(ABS(Q30-R30)&lt;0.000000001,1,0)</f>
        <v>1</v>
      </c>
      <c r="T30" s="21" t="n">
        <f aca="false">ABS(P30-B30)</f>
        <v>0</v>
      </c>
      <c r="U30" s="16" t="n">
        <f aca="false">Alpha_keep*A30+Q30</f>
        <v>37.84375</v>
      </c>
      <c r="V30" s="14" t="n">
        <f aca="false">INDEX(GuardBlock,26,ROUND(Q30/Step_h,0)+1)</f>
        <v>1</v>
      </c>
      <c r="W30" s="22" t="n">
        <v>0</v>
      </c>
    </row>
    <row r="31" customFormat="false" ht="15" hidden="false" customHeight="false" outlineLevel="0" collapsed="false">
      <c r="A31" s="18" t="n">
        <f aca="false">Grid!A31</f>
        <v>36.5</v>
      </c>
      <c r="B31" s="19" t="n">
        <v>-481.653176511472</v>
      </c>
      <c r="C31" s="14" t="n">
        <v>26</v>
      </c>
      <c r="D31" s="11" t="n">
        <f aca="false">IF(AND($C31&gt;=6,$C31&lt;=194),Declarations!$B$25*INDEX($B$5:$B$205,$C31+1-Declarations!$E$25)+Declarations!$B$26*INDEX($B$5:$B$205,$C31+1-Declarations!$E$26)+Declarations!$B$27*INDEX($B$5:$B$205,$C31+1-Declarations!$E$27)+Declarations!$B$28*INDEX($B$5:$B$205,$C31+1-Declarations!$E$28)+Declarations!$B$29*INDEX($B$5:$B$205,$C31+1-Declarations!$E$29),"")</f>
        <v>-481.753648924342</v>
      </c>
      <c r="E31" s="16" t="n">
        <f aca="false">IF(Grid!C31=1,-Cost_k*E$3-Short_p*MAX(0,Floor_c-$A31)+Beta_q*((1-(((Alpha_keep*$A31+E$3-Lo_c)/Step_c)-MAX(6,MIN(INT(((Alpha_keep*$A31+E$3-Lo_c)/Step_c)+0.00000001),193))))*INDEX($D$5:$D$205,MAX(6,MIN(INT(((Alpha_keep*$A31+E$3-Lo_c)/Step_c)+0.00000001),193))+1)+(((Alpha_keep*$A31+E$3-Lo_c)/Step_c)-MAX(6,MIN(INT(((Alpha_keep*$A31+E$3-Lo_c)/Step_c)+0.00000001),193)))*INDEX($D$5:$D$205,MAX(6,MIN(INT(((Alpha_keep*$A31+E$3-Lo_c)/Step_c)+0.00000001),193))+2)),"")</f>
        <v>-516.817889048528</v>
      </c>
      <c r="F31" s="16" t="n">
        <f aca="false">IF(Grid!D31=1,-Cost_k*F$3-Short_p*MAX(0,Floor_c-$A31)+Beta_q*((1-(((Alpha_keep*$A31+F$3-Lo_c)/Step_c)-MAX(6,MIN(INT(((Alpha_keep*$A31+F$3-Lo_c)/Step_c)+0.00000001),193))))*INDEX($D$5:$D$205,MAX(6,MIN(INT(((Alpha_keep*$A31+F$3-Lo_c)/Step_c)+0.00000001),193))+1)+(((Alpha_keep*$A31+F$3-Lo_c)/Step_c)-MAX(6,MIN(INT(((Alpha_keep*$A31+F$3-Lo_c)/Step_c)+0.00000001),193)))*INDEX($D$5:$D$205,MAX(6,MIN(INT(((Alpha_keep*$A31+F$3-Lo_c)/Step_c)+0.00000001),193))+2)),"")</f>
        <v>-513.178665413003</v>
      </c>
      <c r="G31" s="16" t="n">
        <f aca="false">IF(Grid!E31=1,-Cost_k*G$3-Short_p*MAX(0,Floor_c-$A31)+Beta_q*((1-(((Alpha_keep*$A31+G$3-Lo_c)/Step_c)-MAX(6,MIN(INT(((Alpha_keep*$A31+G$3-Lo_c)/Step_c)+0.00000001),193))))*INDEX($D$5:$D$205,MAX(6,MIN(INT(((Alpha_keep*$A31+G$3-Lo_c)/Step_c)+0.00000001),193))+1)+(((Alpha_keep*$A31+G$3-Lo_c)/Step_c)-MAX(6,MIN(INT(((Alpha_keep*$A31+G$3-Lo_c)/Step_c)+0.00000001),193)))*INDEX($D$5:$D$205,MAX(6,MIN(INT(((Alpha_keep*$A31+G$3-Lo_c)/Step_c)+0.00000001),193))+2)),"")</f>
        <v>-509.565847250824</v>
      </c>
      <c r="H31" s="16" t="n">
        <f aca="false">IF(Grid!F31=1,-Cost_k*H$3-Short_p*MAX(0,Floor_c-$A31)+Beta_q*((1-(((Alpha_keep*$A31+H$3-Lo_c)/Step_c)-MAX(6,MIN(INT(((Alpha_keep*$A31+H$3-Lo_c)/Step_c)+0.00000001),193))))*INDEX($D$5:$D$205,MAX(6,MIN(INT(((Alpha_keep*$A31+H$3-Lo_c)/Step_c)+0.00000001),193))+1)+(((Alpha_keep*$A31+H$3-Lo_c)/Step_c)-MAX(6,MIN(INT(((Alpha_keep*$A31+H$3-Lo_c)/Step_c)+0.00000001),193)))*INDEX($D$5:$D$205,MAX(6,MIN(INT(((Alpha_keep*$A31+H$3-Lo_c)/Step_c)+0.00000001),193))+2)),"")</f>
        <v>-505.979824073597</v>
      </c>
      <c r="I31" s="16" t="n">
        <f aca="false">IF(Grid!G31=1,-Cost_k*I$3-Short_p*MAX(0,Floor_c-$A31)+Beta_q*((1-(((Alpha_keep*$A31+I$3-Lo_c)/Step_c)-MAX(6,MIN(INT(((Alpha_keep*$A31+I$3-Lo_c)/Step_c)+0.00000001),193))))*INDEX($D$5:$D$205,MAX(6,MIN(INT(((Alpha_keep*$A31+I$3-Lo_c)/Step_c)+0.00000001),193))+1)+(((Alpha_keep*$A31+I$3-Lo_c)/Step_c)-MAX(6,MIN(INT(((Alpha_keep*$A31+I$3-Lo_c)/Step_c)+0.00000001),193)))*INDEX($D$5:$D$205,MAX(6,MIN(INT(((Alpha_keep*$A31+I$3-Lo_c)/Step_c)+0.00000001),193))+2)),"")</f>
        <v>-502.420861842525</v>
      </c>
      <c r="J31" s="16" t="n">
        <f aca="false">IF(Grid!H31=1,-Cost_k*J$3-Short_p*MAX(0,Floor_c-$A31)+Beta_q*((1-(((Alpha_keep*$A31+J$3-Lo_c)/Step_c)-MAX(6,MIN(INT(((Alpha_keep*$A31+J$3-Lo_c)/Step_c)+0.00000001),193))))*INDEX($D$5:$D$205,MAX(6,MIN(INT(((Alpha_keep*$A31+J$3-Lo_c)/Step_c)+0.00000001),193))+1)+(((Alpha_keep*$A31+J$3-Lo_c)/Step_c)-MAX(6,MIN(INT(((Alpha_keep*$A31+J$3-Lo_c)/Step_c)+0.00000001),193)))*INDEX($D$5:$D$205,MAX(6,MIN(INT(((Alpha_keep*$A31+J$3-Lo_c)/Step_c)+0.00000001),193))+2)),"")</f>
        <v>-498.88920802634</v>
      </c>
      <c r="K31" s="16" t="n">
        <f aca="false">IF(Grid!I31=1,-Cost_k*K$3-Short_p*MAX(0,Floor_c-$A31)+Beta_q*((1-(((Alpha_keep*$A31+K$3-Lo_c)/Step_c)-MAX(6,MIN(INT(((Alpha_keep*$A31+K$3-Lo_c)/Step_c)+0.00000001),193))))*INDEX($D$5:$D$205,MAX(6,MIN(INT(((Alpha_keep*$A31+K$3-Lo_c)/Step_c)+0.00000001),193))+1)+(((Alpha_keep*$A31+K$3-Lo_c)/Step_c)-MAX(6,MIN(INT(((Alpha_keep*$A31+K$3-Lo_c)/Step_c)+0.00000001),193)))*INDEX($D$5:$D$205,MAX(6,MIN(INT(((Alpha_keep*$A31+K$3-Lo_c)/Step_c)+0.00000001),193))+2)),"")</f>
        <v>-495.385298007098</v>
      </c>
      <c r="L31" s="16" t="n">
        <f aca="false">IF(Grid!J31=1,-Cost_k*L$3-Short_p*MAX(0,Floor_c-$A31)+Beta_q*((1-(((Alpha_keep*$A31+L$3-Lo_c)/Step_c)-MAX(6,MIN(INT(((Alpha_keep*$A31+L$3-Lo_c)/Step_c)+0.00000001),193))))*INDEX($D$5:$D$205,MAX(6,MIN(INT(((Alpha_keep*$A31+L$3-Lo_c)/Step_c)+0.00000001),193))+1)+(((Alpha_keep*$A31+L$3-Lo_c)/Step_c)-MAX(6,MIN(INT(((Alpha_keep*$A31+L$3-Lo_c)/Step_c)+0.00000001),193)))*INDEX($D$5:$D$205,MAX(6,MIN(INT(((Alpha_keep*$A31+L$3-Lo_c)/Step_c)+0.00000001),193))+2)),"")</f>
        <v>-491.909441620411</v>
      </c>
      <c r="M31" s="16" t="n">
        <f aca="false">IF(Grid!K31=1,-Cost_k*M$3-Short_p*MAX(0,Floor_c-$A31)+Beta_q*((1-(((Alpha_keep*$A31+M$3-Lo_c)/Step_c)-MAX(6,MIN(INT(((Alpha_keep*$A31+M$3-Lo_c)/Step_c)+0.00000001),193))))*INDEX($D$5:$D$205,MAX(6,MIN(INT(((Alpha_keep*$A31+M$3-Lo_c)/Step_c)+0.00000001),193))+1)+(((Alpha_keep*$A31+M$3-Lo_c)/Step_c)-MAX(6,MIN(INT(((Alpha_keep*$A31+M$3-Lo_c)/Step_c)+0.00000001),193)))*INDEX($D$5:$D$205,MAX(6,MIN(INT(((Alpha_keep*$A31+M$3-Lo_c)/Step_c)+0.00000001),193))+2)),"")</f>
        <v>-488.4618403423</v>
      </c>
      <c r="N31" s="16" t="n">
        <f aca="false">IF(Grid!L31=1,-Cost_k*N$3-Short_p*MAX(0,Floor_c-$A31)+Beta_q*((1-(((Alpha_keep*$A31+N$3-Lo_c)/Step_c)-MAX(6,MIN(INT(((Alpha_keep*$A31+N$3-Lo_c)/Step_c)+0.00000001),193))))*INDEX($D$5:$D$205,MAX(6,MIN(INT(((Alpha_keep*$A31+N$3-Lo_c)/Step_c)+0.00000001),193))+1)+(((Alpha_keep*$A31+N$3-Lo_c)/Step_c)-MAX(6,MIN(INT(((Alpha_keep*$A31+N$3-Lo_c)/Step_c)+0.00000001),193)))*INDEX($D$5:$D$205,MAX(6,MIN(INT(((Alpha_keep*$A31+N$3-Lo_c)/Step_c)+0.00000001),193))+2)),"")</f>
        <v>-485.042962974437</v>
      </c>
      <c r="O31" s="16" t="n">
        <f aca="false">IF(Grid!M31=1,-Cost_k*O$3-Short_p*MAX(0,Floor_c-$A31)+Beta_q*((1-(((Alpha_keep*$A31+O$3-Lo_c)/Step_c)-MAX(6,MIN(INT(((Alpha_keep*$A31+O$3-Lo_c)/Step_c)+0.00000001),193))))*INDEX($D$5:$D$205,MAX(6,MIN(INT(((Alpha_keep*$A31+O$3-Lo_c)/Step_c)+0.00000001),193))+1)+(((Alpha_keep*$A31+O$3-Lo_c)/Step_c)-MAX(6,MIN(INT(((Alpha_keep*$A31+O$3-Lo_c)/Step_c)+0.00000001),193)))*INDEX($D$5:$D$205,MAX(6,MIN(INT(((Alpha_keep*$A31+O$3-Lo_c)/Step_c)+0.00000001),193))+2)),"")</f>
        <v>-481.653176511472</v>
      </c>
      <c r="P31" s="11" t="n">
        <f aca="false">MAX(E31:O31)</f>
        <v>-481.653176511472</v>
      </c>
      <c r="Q31" s="12" t="n">
        <f aca="false">INDEX($E$3:$O$3,MATCH(P31,E31:O31,0))</f>
        <v>2.5</v>
      </c>
      <c r="R31" s="20" t="n">
        <v>2.5</v>
      </c>
      <c r="S31" s="14" t="n">
        <f aca="false">IF(ABS(Q31-R31)&lt;0.000000001,1,0)</f>
        <v>1</v>
      </c>
      <c r="T31" s="21" t="n">
        <f aca="false">ABS(P31-B31)</f>
        <v>0</v>
      </c>
      <c r="U31" s="16" t="n">
        <f aca="false">Alpha_keep*A31+Q31</f>
        <v>38.0875</v>
      </c>
      <c r="V31" s="14" t="n">
        <f aca="false">INDEX(GuardBlock,27,ROUND(Q31/Step_h,0)+1)</f>
        <v>1</v>
      </c>
      <c r="W31" s="22" t="n">
        <v>0</v>
      </c>
    </row>
    <row r="32" customFormat="false" ht="15" hidden="false" customHeight="false" outlineLevel="0" collapsed="false">
      <c r="A32" s="18" t="n">
        <f aca="false">Grid!A32</f>
        <v>36.75</v>
      </c>
      <c r="B32" s="19" t="n">
        <v>-477.001178391034</v>
      </c>
      <c r="C32" s="14" t="n">
        <v>27</v>
      </c>
      <c r="D32" s="11" t="n">
        <f aca="false">IF(AND($C32&gt;=6,$C32&lt;=194),Declarations!$B$25*INDEX($B$5:$B$205,$C32+1-Declarations!$E$25)+Declarations!$B$26*INDEX($B$5:$B$205,$C32+1-Declarations!$E$26)+Declarations!$B$27*INDEX($B$5:$B$205,$C32+1-Declarations!$E$27)+Declarations!$B$28*INDEX($B$5:$B$205,$C32+1-Declarations!$E$28)+Declarations!$B$29*INDEX($B$5:$B$205,$C32+1-Declarations!$E$29),"")</f>
        <v>-477.102830115641</v>
      </c>
      <c r="E32" s="16" t="n">
        <f aca="false">IF(Grid!C32=1,-Cost_k*E$3-Short_p*MAX(0,Floor_c-$A32)+Beta_q*((1-(((Alpha_keep*$A32+E$3-Lo_c)/Step_c)-MAX(6,MIN(INT(((Alpha_keep*$A32+E$3-Lo_c)/Step_c)+0.00000001),193))))*INDEX($D$5:$D$205,MAX(6,MIN(INT(((Alpha_keep*$A32+E$3-Lo_c)/Step_c)+0.00000001),193))+1)+(((Alpha_keep*$A32+E$3-Lo_c)/Step_c)-MAX(6,MIN(INT(((Alpha_keep*$A32+E$3-Lo_c)/Step_c)+0.00000001),193)))*INDEX($D$5:$D$205,MAX(6,MIN(INT(((Alpha_keep*$A32+E$3-Lo_c)/Step_c)+0.00000001),193))+2)),"")</f>
        <v>-511.8942193104</v>
      </c>
      <c r="F32" s="16" t="n">
        <f aca="false">IF(Grid!D32=1,-Cost_k*F$3-Short_p*MAX(0,Floor_c-$A32)+Beta_q*((1-(((Alpha_keep*$A32+F$3-Lo_c)/Step_c)-MAX(6,MIN(INT(((Alpha_keep*$A32+F$3-Lo_c)/Step_c)+0.00000001),193))))*INDEX($D$5:$D$205,MAX(6,MIN(INT(((Alpha_keep*$A32+F$3-Lo_c)/Step_c)+0.00000001),193))+1)+(((Alpha_keep*$A32+F$3-Lo_c)/Step_c)-MAX(6,MIN(INT(((Alpha_keep*$A32+F$3-Lo_c)/Step_c)+0.00000001),193)))*INDEX($D$5:$D$205,MAX(6,MIN(INT(((Alpha_keep*$A32+F$3-Lo_c)/Step_c)+0.00000001),193))+2)),"")</f>
        <v>-508.280734167242</v>
      </c>
      <c r="G32" s="16" t="n">
        <f aca="false">IF(Grid!E32=1,-Cost_k*G$3-Short_p*MAX(0,Floor_c-$A32)+Beta_q*((1-(((Alpha_keep*$A32+G$3-Lo_c)/Step_c)-MAX(6,MIN(INT(((Alpha_keep*$A32+G$3-Lo_c)/Step_c)+0.00000001),193))))*INDEX($D$5:$D$205,MAX(6,MIN(INT(((Alpha_keep*$A32+G$3-Lo_c)/Step_c)+0.00000001),193))+1)+(((Alpha_keep*$A32+G$3-Lo_c)/Step_c)-MAX(6,MIN(INT(((Alpha_keep*$A32+G$3-Lo_c)/Step_c)+0.00000001),193)))*INDEX($D$5:$D$205,MAX(6,MIN(INT(((Alpha_keep*$A32+G$3-Lo_c)/Step_c)+0.00000001),193))+2)),"")</f>
        <v>-504.694035741479</v>
      </c>
      <c r="H32" s="16" t="n">
        <f aca="false">IF(Grid!F32=1,-Cost_k*H$3-Short_p*MAX(0,Floor_c-$A32)+Beta_q*((1-(((Alpha_keep*$A32+H$3-Lo_c)/Step_c)-MAX(6,MIN(INT(((Alpha_keep*$A32+H$3-Lo_c)/Step_c)+0.00000001),193))))*INDEX($D$5:$D$205,MAX(6,MIN(INT(((Alpha_keep*$A32+H$3-Lo_c)/Step_c)+0.00000001),193))+1)+(((Alpha_keep*$A32+H$3-Lo_c)/Step_c)-MAX(6,MIN(INT(((Alpha_keep*$A32+H$3-Lo_c)/Step_c)+0.00000001),193)))*INDEX($D$5:$D$205,MAX(6,MIN(INT(((Alpha_keep*$A32+H$3-Lo_c)/Step_c)+0.00000001),193))+2)),"")</f>
        <v>-501.134394618677</v>
      </c>
      <c r="I32" s="16" t="n">
        <f aca="false">IF(Grid!G32=1,-Cost_k*I$3-Short_p*MAX(0,Floor_c-$A32)+Beta_q*((1-(((Alpha_keep*$A32+I$3-Lo_c)/Step_c)-MAX(6,MIN(INT(((Alpha_keep*$A32+I$3-Lo_c)/Step_c)+0.00000001),193))))*INDEX($D$5:$D$205,MAX(6,MIN(INT(((Alpha_keep*$A32+I$3-Lo_c)/Step_c)+0.00000001),193))+1)+(((Alpha_keep*$A32+I$3-Lo_c)/Step_c)-MAX(6,MIN(INT(((Alpha_keep*$A32+I$3-Lo_c)/Step_c)+0.00000001),193)))*INDEX($D$5:$D$205,MAX(6,MIN(INT(((Alpha_keep*$A32+I$3-Lo_c)/Step_c)+0.00000001),193))+2)),"")</f>
        <v>-497.602051000355</v>
      </c>
      <c r="J32" s="16" t="n">
        <f aca="false">IF(Grid!H32=1,-Cost_k*J$3-Short_p*MAX(0,Floor_c-$A32)+Beta_q*((1-(((Alpha_keep*$A32+J$3-Lo_c)/Step_c)-MAX(6,MIN(INT(((Alpha_keep*$A32+J$3-Lo_c)/Step_c)+0.00000001),193))))*INDEX($D$5:$D$205,MAX(6,MIN(INT(((Alpha_keep*$A32+J$3-Lo_c)/Step_c)+0.00000001),193))+1)+(((Alpha_keep*$A32+J$3-Lo_c)/Step_c)-MAX(6,MIN(INT(((Alpha_keep*$A32+J$3-Lo_c)/Step_c)+0.00000001),193)))*INDEX($D$5:$D$205,MAX(6,MIN(INT(((Alpha_keep*$A32+J$3-Lo_c)/Step_c)+0.00000001),193))+2)),"")</f>
        <v>-494.097440342443</v>
      </c>
      <c r="K32" s="16" t="n">
        <f aca="false">IF(Grid!I32=1,-Cost_k*K$3-Short_p*MAX(0,Floor_c-$A32)+Beta_q*((1-(((Alpha_keep*$A32+K$3-Lo_c)/Step_c)-MAX(6,MIN(INT(((Alpha_keep*$A32+K$3-Lo_c)/Step_c)+0.00000001),193))))*INDEX($D$5:$D$205,MAX(6,MIN(INT(((Alpha_keep*$A32+K$3-Lo_c)/Step_c)+0.00000001),193))+1)+(((Alpha_keep*$A32+K$3-Lo_c)/Step_c)-MAX(6,MIN(INT(((Alpha_keep*$A32+K$3-Lo_c)/Step_c)+0.00000001),193)))*INDEX($D$5:$D$205,MAX(6,MIN(INT(((Alpha_keep*$A32+K$3-Lo_c)/Step_c)+0.00000001),193))+2)),"")</f>
        <v>-490.620881310962</v>
      </c>
      <c r="L32" s="16" t="n">
        <f aca="false">IF(Grid!J32=1,-Cost_k*L$3-Short_p*MAX(0,Floor_c-$A32)+Beta_q*((1-(((Alpha_keep*$A32+L$3-Lo_c)/Step_c)-MAX(6,MIN(INT(((Alpha_keep*$A32+L$3-Lo_c)/Step_c)+0.00000001),193))))*INDEX($D$5:$D$205,MAX(6,MIN(INT(((Alpha_keep*$A32+L$3-Lo_c)/Step_c)+0.00000001),193))+1)+(((Alpha_keep*$A32+L$3-Lo_c)/Step_c)-MAX(6,MIN(INT(((Alpha_keep*$A32+L$3-Lo_c)/Step_c)+0.00000001),193)))*INDEX($D$5:$D$205,MAX(6,MIN(INT(((Alpha_keep*$A32+L$3-Lo_c)/Step_c)+0.00000001),193))+2)),"")</f>
        <v>-487.17256672257</v>
      </c>
      <c r="M32" s="16" t="n">
        <f aca="false">IF(Grid!K32=1,-Cost_k*M$3-Short_p*MAX(0,Floor_c-$A32)+Beta_q*((1-(((Alpha_keep*$A32+M$3-Lo_c)/Step_c)-MAX(6,MIN(INT(((Alpha_keep*$A32+M$3-Lo_c)/Step_c)+0.00000001),193))))*INDEX($D$5:$D$205,MAX(6,MIN(INT(((Alpha_keep*$A32+M$3-Lo_c)/Step_c)+0.00000001),193))+1)+(((Alpha_keep*$A32+M$3-Lo_c)/Step_c)-MAX(6,MIN(INT(((Alpha_keep*$A32+M$3-Lo_c)/Step_c)+0.00000001),193)))*INDEX($D$5:$D$205,MAX(6,MIN(INT(((Alpha_keep*$A32+M$3-Lo_c)/Step_c)+0.00000001),193))+2)),"")</f>
        <v>-483.752962365925</v>
      </c>
      <c r="N32" s="16" t="n">
        <f aca="false">IF(Grid!L32=1,-Cost_k*N$3-Short_p*MAX(0,Floor_c-$A32)+Beta_q*((1-(((Alpha_keep*$A32+N$3-Lo_c)/Step_c)-MAX(6,MIN(INT(((Alpha_keep*$A32+N$3-Lo_c)/Step_c)+0.00000001),193))))*INDEX($D$5:$D$205,MAX(6,MIN(INT(((Alpha_keep*$A32+N$3-Lo_c)/Step_c)+0.00000001),193))+1)+(((Alpha_keep*$A32+N$3-Lo_c)/Step_c)-MAX(6,MIN(INT(((Alpha_keep*$A32+N$3-Lo_c)/Step_c)+0.00000001),193)))*INDEX($D$5:$D$205,MAX(6,MIN(INT(((Alpha_keep*$A32+N$3-Lo_c)/Step_c)+0.00000001),193))+2)),"")</f>
        <v>-480.362448103207</v>
      </c>
      <c r="O32" s="16" t="n">
        <f aca="false">IF(Grid!M32=1,-Cost_k*O$3-Short_p*MAX(0,Floor_c-$A32)+Beta_q*((1-(((Alpha_keep*$A32+O$3-Lo_c)/Step_c)-MAX(6,MIN(INT(((Alpha_keep*$A32+O$3-Lo_c)/Step_c)+0.00000001),193))))*INDEX($D$5:$D$205,MAX(6,MIN(INT(((Alpha_keep*$A32+O$3-Lo_c)/Step_c)+0.00000001),193))+1)+(((Alpha_keep*$A32+O$3-Lo_c)/Step_c)-MAX(6,MIN(INT(((Alpha_keep*$A32+O$3-Lo_c)/Step_c)+0.00000001),193)))*INDEX($D$5:$D$205,MAX(6,MIN(INT(((Alpha_keep*$A32+O$3-Lo_c)/Step_c)+0.00000001),193))+2)),"")</f>
        <v>-477.001178391034</v>
      </c>
      <c r="P32" s="11" t="n">
        <f aca="false">MAX(E32:O32)</f>
        <v>-477.001178391034</v>
      </c>
      <c r="Q32" s="12" t="n">
        <f aca="false">INDEX($E$3:$O$3,MATCH(P32,E32:O32,0))</f>
        <v>2.5</v>
      </c>
      <c r="R32" s="20" t="n">
        <v>2.5</v>
      </c>
      <c r="S32" s="14" t="n">
        <f aca="false">IF(ABS(Q32-R32)&lt;0.000000001,1,0)</f>
        <v>1</v>
      </c>
      <c r="T32" s="21" t="n">
        <f aca="false">ABS(P32-B32)</f>
        <v>0</v>
      </c>
      <c r="U32" s="16" t="n">
        <f aca="false">Alpha_keep*A32+Q32</f>
        <v>38.33125</v>
      </c>
      <c r="V32" s="14" t="n">
        <f aca="false">INDEX(GuardBlock,28,ROUND(Q32/Step_h,0)+1)</f>
        <v>1</v>
      </c>
      <c r="W32" s="22" t="n">
        <v>0</v>
      </c>
    </row>
    <row r="33" customFormat="false" ht="15" hidden="false" customHeight="false" outlineLevel="0" collapsed="false">
      <c r="A33" s="18" t="n">
        <f aca="false">Grid!A33</f>
        <v>37</v>
      </c>
      <c r="B33" s="19" t="n">
        <v>-472.377429246853</v>
      </c>
      <c r="C33" s="14" t="n">
        <v>28</v>
      </c>
      <c r="D33" s="11" t="n">
        <f aca="false">IF(AND($C33&gt;=6,$C33&lt;=194),Declarations!$B$25*INDEX($B$5:$B$205,$C33+1-Declarations!$E$25)+Declarations!$B$26*INDEX($B$5:$B$205,$C33+1-Declarations!$E$26)+Declarations!$B$27*INDEX($B$5:$B$205,$C33+1-Declarations!$E$27)+Declarations!$B$28*INDEX($B$5:$B$205,$C33+1-Declarations!$E$28)+Declarations!$B$29*INDEX($B$5:$B$205,$C33+1-Declarations!$E$29),"")</f>
        <v>-472.480268739381</v>
      </c>
      <c r="E33" s="16" t="n">
        <f aca="false">IF(Grid!C33=1,-Cost_k*E$3-Short_p*MAX(0,Floor_c-$A33)+Beta_q*((1-(((Alpha_keep*$A33+E$3-Lo_c)/Step_c)-MAX(6,MIN(INT(((Alpha_keep*$A33+E$3-Lo_c)/Step_c)+0.00000001),193))))*INDEX($D$5:$D$205,MAX(6,MIN(INT(((Alpha_keep*$A33+E$3-Lo_c)/Step_c)+0.00000001),193))+1)+(((Alpha_keep*$A33+E$3-Lo_c)/Step_c)-MAX(6,MIN(INT(((Alpha_keep*$A33+E$3-Lo_c)/Step_c)+0.00000001),193)))*INDEX($D$5:$D$205,MAX(6,MIN(INT(((Alpha_keep*$A33+E$3-Lo_c)/Step_c)+0.00000001),193))+2)),"")</f>
        <v>-506.99562108366</v>
      </c>
      <c r="F33" s="16" t="n">
        <f aca="false">IF(Grid!D33=1,-Cost_k*F$3-Short_p*MAX(0,Floor_c-$A33)+Beta_q*((1-(((Alpha_keep*$A33+F$3-Lo_c)/Step_c)-MAX(6,MIN(INT(((Alpha_keep*$A33+F$3-Lo_c)/Step_c)+0.00000001),193))))*INDEX($D$5:$D$205,MAX(6,MIN(INT(((Alpha_keep*$A33+F$3-Lo_c)/Step_c)+0.00000001),193))+1)+(((Alpha_keep*$A33+F$3-Lo_c)/Step_c)-MAX(6,MIN(INT(((Alpha_keep*$A33+F$3-Lo_c)/Step_c)+0.00000001),193)))*INDEX($D$5:$D$205,MAX(6,MIN(INT(((Alpha_keep*$A33+F$3-Lo_c)/Step_c)+0.00000001),193))+2)),"")</f>
        <v>-503.408247409361</v>
      </c>
      <c r="G33" s="16" t="n">
        <f aca="false">IF(Grid!E33=1,-Cost_k*G$3-Short_p*MAX(0,Floor_c-$A33)+Beta_q*((1-(((Alpha_keep*$A33+G$3-Lo_c)/Step_c)-MAX(6,MIN(INT(((Alpha_keep*$A33+G$3-Lo_c)/Step_c)+0.00000001),193))))*INDEX($D$5:$D$205,MAX(6,MIN(INT(((Alpha_keep*$A33+G$3-Lo_c)/Step_c)+0.00000001),193))+1)+(((Alpha_keep*$A33+G$3-Lo_c)/Step_c)-MAX(6,MIN(INT(((Alpha_keep*$A33+G$3-Lo_c)/Step_c)+0.00000001),193)))*INDEX($D$5:$D$205,MAX(6,MIN(INT(((Alpha_keep*$A33+G$3-Lo_c)/Step_c)+0.00000001),193))+2)),"")</f>
        <v>-499.84792739483</v>
      </c>
      <c r="H33" s="16" t="n">
        <f aca="false">IF(Grid!F33=1,-Cost_k*H$3-Short_p*MAX(0,Floor_c-$A33)+Beta_q*((1-(((Alpha_keep*$A33+H$3-Lo_c)/Step_c)-MAX(6,MIN(INT(((Alpha_keep*$A33+H$3-Lo_c)/Step_c)+0.00000001),193))))*INDEX($D$5:$D$205,MAX(6,MIN(INT(((Alpha_keep*$A33+H$3-Lo_c)/Step_c)+0.00000001),193))+1)+(((Alpha_keep*$A33+H$3-Lo_c)/Step_c)-MAX(6,MIN(INT(((Alpha_keep*$A33+H$3-Lo_c)/Step_c)+0.00000001),193)))*INDEX($D$5:$D$205,MAX(6,MIN(INT(((Alpha_keep*$A33+H$3-Lo_c)/Step_c)+0.00000001),193))+2)),"")</f>
        <v>-496.314893974371</v>
      </c>
      <c r="I33" s="16" t="n">
        <f aca="false">IF(Grid!G33=1,-Cost_k*I$3-Short_p*MAX(0,Floor_c-$A33)+Beta_q*((1-(((Alpha_keep*$A33+I$3-Lo_c)/Step_c)-MAX(6,MIN(INT(((Alpha_keep*$A33+I$3-Lo_c)/Step_c)+0.00000001),193))))*INDEX($D$5:$D$205,MAX(6,MIN(INT(((Alpha_keep*$A33+I$3-Lo_c)/Step_c)+0.00000001),193))+1)+(((Alpha_keep*$A33+I$3-Lo_c)/Step_c)-MAX(6,MIN(INT(((Alpha_keep*$A33+I$3-Lo_c)/Step_c)+0.00000001),193)))*INDEX($D$5:$D$205,MAX(6,MIN(INT(((Alpha_keep*$A33+I$3-Lo_c)/Step_c)+0.00000001),193))+2)),"")</f>
        <v>-492.809582677789</v>
      </c>
      <c r="J33" s="16" t="n">
        <f aca="false">IF(Grid!H33=1,-Cost_k*J$3-Short_p*MAX(0,Floor_c-$A33)+Beta_q*((1-(((Alpha_keep*$A33+J$3-Lo_c)/Step_c)-MAX(6,MIN(INT(((Alpha_keep*$A33+J$3-Lo_c)/Step_c)+0.00000001),193))))*INDEX($D$5:$D$205,MAX(6,MIN(INT(((Alpha_keep*$A33+J$3-Lo_c)/Step_c)+0.00000001),193))+1)+(((Alpha_keep*$A33+J$3-Lo_c)/Step_c)-MAX(6,MIN(INT(((Alpha_keep*$A33+J$3-Lo_c)/Step_c)+0.00000001),193)))*INDEX($D$5:$D$205,MAX(6,MIN(INT(((Alpha_keep*$A33+J$3-Lo_c)/Step_c)+0.00000001),193))+2)),"")</f>
        <v>-489.332321001513</v>
      </c>
      <c r="K33" s="16" t="n">
        <f aca="false">IF(Grid!I33=1,-Cost_k*K$3-Short_p*MAX(0,Floor_c-$A33)+Beta_q*((1-(((Alpha_keep*$A33+K$3-Lo_c)/Step_c)-MAX(6,MIN(INT(((Alpha_keep*$A33+K$3-Lo_c)/Step_c)+0.00000001),193))))*INDEX($D$5:$D$205,MAX(6,MIN(INT(((Alpha_keep*$A33+K$3-Lo_c)/Step_c)+0.00000001),193))+1)+(((Alpha_keep*$A33+K$3-Lo_c)/Step_c)-MAX(6,MIN(INT(((Alpha_keep*$A33+K$3-Lo_c)/Step_c)+0.00000001),193)))*INDEX($D$5:$D$205,MAX(6,MIN(INT(((Alpha_keep*$A33+K$3-Lo_c)/Step_c)+0.00000001),193))+2)),"")</f>
        <v>-485.883293102841</v>
      </c>
      <c r="L33" s="16" t="n">
        <f aca="false">IF(Grid!J33=1,-Cost_k*L$3-Short_p*MAX(0,Floor_c-$A33)+Beta_q*((1-(((Alpha_keep*$A33+L$3-Lo_c)/Step_c)-MAX(6,MIN(INT(((Alpha_keep*$A33+L$3-Lo_c)/Step_c)+0.00000001),193))))*INDEX($D$5:$D$205,MAX(6,MIN(INT(((Alpha_keep*$A33+L$3-Lo_c)/Step_c)+0.00000001),193))+1)+(((Alpha_keep*$A33+L$3-Lo_c)/Step_c)-MAX(6,MIN(INT(((Alpha_keep*$A33+L$3-Lo_c)/Step_c)+0.00000001),193)))*INDEX($D$5:$D$205,MAX(6,MIN(INT(((Alpha_keep*$A33+L$3-Lo_c)/Step_c)+0.00000001),193))+2)),"")</f>
        <v>-482.462961757413</v>
      </c>
      <c r="M33" s="16" t="n">
        <f aca="false">IF(Grid!K33=1,-Cost_k*M$3-Short_p*MAX(0,Floor_c-$A33)+Beta_q*((1-(((Alpha_keep*$A33+M$3-Lo_c)/Step_c)-MAX(6,MIN(INT(((Alpha_keep*$A33+M$3-Lo_c)/Step_c)+0.00000001),193))))*INDEX($D$5:$D$205,MAX(6,MIN(INT(((Alpha_keep*$A33+M$3-Lo_c)/Step_c)+0.00000001),193))+1)+(((Alpha_keep*$A33+M$3-Lo_c)/Step_c)-MAX(6,MIN(INT(((Alpha_keep*$A33+M$3-Lo_c)/Step_c)+0.00000001),193)))*INDEX($D$5:$D$205,MAX(6,MIN(INT(((Alpha_keep*$A33+M$3-Lo_c)/Step_c)+0.00000001),193))+2)),"")</f>
        <v>-479.071719694941</v>
      </c>
      <c r="N33" s="16" t="n">
        <f aca="false">IF(Grid!L33=1,-Cost_k*N$3-Short_p*MAX(0,Floor_c-$A33)+Beta_q*((1-(((Alpha_keep*$A33+N$3-Lo_c)/Step_c)-MAX(6,MIN(INT(((Alpha_keep*$A33+N$3-Lo_c)/Step_c)+0.00000001),193))))*INDEX($D$5:$D$205,MAX(6,MIN(INT(((Alpha_keep*$A33+N$3-Lo_c)/Step_c)+0.00000001),193))+1)+(((Alpha_keep*$A33+N$3-Lo_c)/Step_c)-MAX(6,MIN(INT(((Alpha_keep*$A33+N$3-Lo_c)/Step_c)+0.00000001),193)))*INDEX($D$5:$D$205,MAX(6,MIN(INT(((Alpha_keep*$A33+N$3-Lo_c)/Step_c)+0.00000001),193))+2)),"")</f>
        <v>-475.709711986061</v>
      </c>
      <c r="O33" s="16" t="n">
        <f aca="false">IF(Grid!M33=1,-Cost_k*O$3-Short_p*MAX(0,Floor_c-$A33)+Beta_q*((1-(((Alpha_keep*$A33+O$3-Lo_c)/Step_c)-MAX(6,MIN(INT(((Alpha_keep*$A33+O$3-Lo_c)/Step_c)+0.00000001),193))))*INDEX($D$5:$D$205,MAX(6,MIN(INT(((Alpha_keep*$A33+O$3-Lo_c)/Step_c)+0.00000001),193))+1)+(((Alpha_keep*$A33+O$3-Lo_c)/Step_c)-MAX(6,MIN(INT(((Alpha_keep*$A33+O$3-Lo_c)/Step_c)+0.00000001),193)))*INDEX($D$5:$D$205,MAX(6,MIN(INT(((Alpha_keep*$A33+O$3-Lo_c)/Step_c)+0.00000001),193))+2)),"")</f>
        <v>-472.377429246853</v>
      </c>
      <c r="P33" s="11" t="n">
        <f aca="false">MAX(E33:O33)</f>
        <v>-472.377429246853</v>
      </c>
      <c r="Q33" s="12" t="n">
        <f aca="false">INDEX($E$3:$O$3,MATCH(P33,E33:O33,0))</f>
        <v>2.5</v>
      </c>
      <c r="R33" s="20" t="n">
        <v>2.5</v>
      </c>
      <c r="S33" s="14" t="n">
        <f aca="false">IF(ABS(Q33-R33)&lt;0.000000001,1,0)</f>
        <v>1</v>
      </c>
      <c r="T33" s="21" t="n">
        <f aca="false">ABS(P33-B33)</f>
        <v>0</v>
      </c>
      <c r="U33" s="16" t="n">
        <f aca="false">Alpha_keep*A33+Q33</f>
        <v>38.575</v>
      </c>
      <c r="V33" s="14" t="n">
        <f aca="false">INDEX(GuardBlock,29,ROUND(Q33/Step_h,0)+1)</f>
        <v>1</v>
      </c>
      <c r="W33" s="22" t="n">
        <v>0</v>
      </c>
    </row>
    <row r="34" customFormat="false" ht="15" hidden="false" customHeight="false" outlineLevel="0" collapsed="false">
      <c r="A34" s="18" t="n">
        <f aca="false">Grid!A34</f>
        <v>37.25</v>
      </c>
      <c r="B34" s="19" t="n">
        <v>-467.782365461227</v>
      </c>
      <c r="C34" s="14" t="n">
        <v>29</v>
      </c>
      <c r="D34" s="11" t="n">
        <f aca="false">IF(AND($C34&gt;=6,$C34&lt;=194),Declarations!$B$25*INDEX($B$5:$B$205,$C34+1-Declarations!$E$25)+Declarations!$B$26*INDEX($B$5:$B$205,$C34+1-Declarations!$E$26)+Declarations!$B$27*INDEX($B$5:$B$205,$C34+1-Declarations!$E$27)+Declarations!$B$28*INDEX($B$5:$B$205,$C34+1-Declarations!$E$28)+Declarations!$B$29*INDEX($B$5:$B$205,$C34+1-Declarations!$E$29),"")</f>
        <v>-467.886408709265</v>
      </c>
      <c r="E34" s="16" t="n">
        <f aca="false">IF(Grid!C34=1,-Cost_k*E$3-Short_p*MAX(0,Floor_c-$A34)+Beta_q*((1-(((Alpha_keep*$A34+E$3-Lo_c)/Step_c)-MAX(6,MIN(INT(((Alpha_keep*$A34+E$3-Lo_c)/Step_c)+0.00000001),193))))*INDEX($D$5:$D$205,MAX(6,MIN(INT(((Alpha_keep*$A34+E$3-Lo_c)/Step_c)+0.00000001),193))+1)+(((Alpha_keep*$A34+E$3-Lo_c)/Step_c)-MAX(6,MIN(INT(((Alpha_keep*$A34+E$3-Lo_c)/Step_c)+0.00000001),193)))*INDEX($D$5:$D$205,MAX(6,MIN(INT(((Alpha_keep*$A34+E$3-Lo_c)/Step_c)+0.00000001),193))+2)),"")</f>
        <v>-502.122459077243</v>
      </c>
      <c r="F34" s="16" t="n">
        <f aca="false">IF(Grid!D34=1,-Cost_k*F$3-Short_p*MAX(0,Floor_c-$A34)+Beta_q*((1-(((Alpha_keep*$A34+F$3-Lo_c)/Step_c)-MAX(6,MIN(INT(((Alpha_keep*$A34+F$3-Lo_c)/Step_c)+0.00000001),193))))*INDEX($D$5:$D$205,MAX(6,MIN(INT(((Alpha_keep*$A34+F$3-Lo_c)/Step_c)+0.00000001),193))+1)+(((Alpha_keep*$A34+F$3-Lo_c)/Step_c)-MAX(6,MIN(INT(((Alpha_keep*$A34+F$3-Lo_c)/Step_c)+0.00000001),193)))*INDEX($D$5:$D$205,MAX(6,MIN(INT(((Alpha_keep*$A34+F$3-Lo_c)/Step_c)+0.00000001),193))+2)),"")</f>
        <v>-498.561460170982</v>
      </c>
      <c r="G34" s="16" t="n">
        <f aca="false">IF(Grid!E34=1,-Cost_k*G$3-Short_p*MAX(0,Floor_c-$A34)+Beta_q*((1-(((Alpha_keep*$A34+G$3-Lo_c)/Step_c)-MAX(6,MIN(INT(((Alpha_keep*$A34+G$3-Lo_c)/Step_c)+0.00000001),193))))*INDEX($D$5:$D$205,MAX(6,MIN(INT(((Alpha_keep*$A34+G$3-Lo_c)/Step_c)+0.00000001),193))+1)+(((Alpha_keep*$A34+G$3-Lo_c)/Step_c)-MAX(6,MIN(INT(((Alpha_keep*$A34+G$3-Lo_c)/Step_c)+0.00000001),193)))*INDEX($D$5:$D$205,MAX(6,MIN(INT(((Alpha_keep*$A34+G$3-Lo_c)/Step_c)+0.00000001),193))+2)),"")</f>
        <v>-495.027736948387</v>
      </c>
      <c r="H34" s="16" t="n">
        <f aca="false">IF(Grid!F34=1,-Cost_k*H$3-Short_p*MAX(0,Floor_c-$A34)+Beta_q*((1-(((Alpha_keep*$A34+H$3-Lo_c)/Step_c)-MAX(6,MIN(INT(((Alpha_keep*$A34+H$3-Lo_c)/Step_c)+0.00000001),193))))*INDEX($D$5:$D$205,MAX(6,MIN(INT(((Alpha_keep*$A34+H$3-Lo_c)/Step_c)+0.00000001),193))+1)+(((Alpha_keep*$A34+H$3-Lo_c)/Step_c)-MAX(6,MIN(INT(((Alpha_keep*$A34+H$3-Lo_c)/Step_c)+0.00000001),193)))*INDEX($D$5:$D$205,MAX(6,MIN(INT(((Alpha_keep*$A34+H$3-Lo_c)/Step_c)+0.00000001),193))+2)),"")</f>
        <v>-491.521725013134</v>
      </c>
      <c r="I34" s="16" t="n">
        <f aca="false">IF(Grid!G34=1,-Cost_k*I$3-Short_p*MAX(0,Floor_c-$A34)+Beta_q*((1-(((Alpha_keep*$A34+I$3-Lo_c)/Step_c)-MAX(6,MIN(INT(((Alpha_keep*$A34+I$3-Lo_c)/Step_c)+0.00000001),193))))*INDEX($D$5:$D$205,MAX(6,MIN(INT(((Alpha_keep*$A34+I$3-Lo_c)/Step_c)+0.00000001),193))+1)+(((Alpha_keep*$A34+I$3-Lo_c)/Step_c)-MAX(6,MIN(INT(((Alpha_keep*$A34+I$3-Lo_c)/Step_c)+0.00000001),193)))*INDEX($D$5:$D$205,MAX(6,MIN(INT(((Alpha_keep*$A34+I$3-Lo_c)/Step_c)+0.00000001),193))+2)),"")</f>
        <v>-488.043760692064</v>
      </c>
      <c r="J34" s="16" t="n">
        <f aca="false">IF(Grid!H34=1,-Cost_k*J$3-Short_p*MAX(0,Floor_c-$A34)+Beta_q*((1-(((Alpha_keep*$A34+J$3-Lo_c)/Step_c)-MAX(6,MIN(INT(((Alpha_keep*$A34+J$3-Lo_c)/Step_c)+0.00000001),193))))*INDEX($D$5:$D$205,MAX(6,MIN(INT(((Alpha_keep*$A34+J$3-Lo_c)/Step_c)+0.00000001),193))+1)+(((Alpha_keep*$A34+J$3-Lo_c)/Step_c)-MAX(6,MIN(INT(((Alpha_keep*$A34+J$3-Lo_c)/Step_c)+0.00000001),193)))*INDEX($D$5:$D$205,MAX(6,MIN(INT(((Alpha_keep*$A34+J$3-Lo_c)/Step_c)+0.00000001),193))+2)),"")</f>
        <v>-484.594019483111</v>
      </c>
      <c r="K34" s="16" t="n">
        <f aca="false">IF(Grid!I34=1,-Cost_k*K$3-Short_p*MAX(0,Floor_c-$A34)+Beta_q*((1-(((Alpha_keep*$A34+K$3-Lo_c)/Step_c)-MAX(6,MIN(INT(((Alpha_keep*$A34+K$3-Lo_c)/Step_c)+0.00000001),193))))*INDEX($D$5:$D$205,MAX(6,MIN(INT(((Alpha_keep*$A34+K$3-Lo_c)/Step_c)+0.00000001),193))+1)+(((Alpha_keep*$A34+K$3-Lo_c)/Step_c)-MAX(6,MIN(INT(((Alpha_keep*$A34+K$3-Lo_c)/Step_c)+0.00000001),193)))*INDEX($D$5:$D$205,MAX(6,MIN(INT(((Alpha_keep*$A34+K$3-Lo_c)/Step_c)+0.00000001),193))+2)),"")</f>
        <v>-481.172961148901</v>
      </c>
      <c r="L34" s="16" t="n">
        <f aca="false">IF(Grid!J34=1,-Cost_k*L$3-Short_p*MAX(0,Floor_c-$A34)+Beta_q*((1-(((Alpha_keep*$A34+L$3-Lo_c)/Step_c)-MAX(6,MIN(INT(((Alpha_keep*$A34+L$3-Lo_c)/Step_c)+0.00000001),193))))*INDEX($D$5:$D$205,MAX(6,MIN(INT(((Alpha_keep*$A34+L$3-Lo_c)/Step_c)+0.00000001),193))+1)+(((Alpha_keep*$A34+L$3-Lo_c)/Step_c)-MAX(6,MIN(INT(((Alpha_keep*$A34+L$3-Lo_c)/Step_c)+0.00000001),193)))*INDEX($D$5:$D$205,MAX(6,MIN(INT(((Alpha_keep*$A34+L$3-Lo_c)/Step_c)+0.00000001),193))+2)),"")</f>
        <v>-477.780991286675</v>
      </c>
      <c r="M34" s="16" t="n">
        <f aca="false">IF(Grid!K34=1,-Cost_k*M$3-Short_p*MAX(0,Floor_c-$A34)+Beta_q*((1-(((Alpha_keep*$A34+M$3-Lo_c)/Step_c)-MAX(6,MIN(INT(((Alpha_keep*$A34+M$3-Lo_c)/Step_c)+0.00000001),193))))*INDEX($D$5:$D$205,MAX(6,MIN(INT(((Alpha_keep*$A34+M$3-Lo_c)/Step_c)+0.00000001),193))+1)+(((Alpha_keep*$A34+M$3-Lo_c)/Step_c)-MAX(6,MIN(INT(((Alpha_keep*$A34+M$3-Lo_c)/Step_c)+0.00000001),193)))*INDEX($D$5:$D$205,MAX(6,MIN(INT(((Alpha_keep*$A34+M$3-Lo_c)/Step_c)+0.00000001),193))+2)),"")</f>
        <v>-474.418245581087</v>
      </c>
      <c r="N34" s="16" t="n">
        <f aca="false">IF(Grid!L34=1,-Cost_k*N$3-Short_p*MAX(0,Floor_c-$A34)+Beta_q*((1-(((Alpha_keep*$A34+N$3-Lo_c)/Step_c)-MAX(6,MIN(INT(((Alpha_keep*$A34+N$3-Lo_c)/Step_c)+0.00000001),193))))*INDEX($D$5:$D$205,MAX(6,MIN(INT(((Alpha_keep*$A34+N$3-Lo_c)/Step_c)+0.00000001),193))+1)+(((Alpha_keep*$A34+N$3-Lo_c)/Step_c)-MAX(6,MIN(INT(((Alpha_keep*$A34+N$3-Lo_c)/Step_c)+0.00000001),193)))*INDEX($D$5:$D$205,MAX(6,MIN(INT(((Alpha_keep*$A34+N$3-Lo_c)/Step_c)+0.00000001),193))+2)),"")</f>
        <v>-471.085207753391</v>
      </c>
      <c r="O34" s="16" t="n">
        <f aca="false">IF(Grid!M34=1,-Cost_k*O$3-Short_p*MAX(0,Floor_c-$A34)+Beta_q*((1-(((Alpha_keep*$A34+O$3-Lo_c)/Step_c)-MAX(6,MIN(INT(((Alpha_keep*$A34+O$3-Lo_c)/Step_c)+0.00000001),193))))*INDEX($D$5:$D$205,MAX(6,MIN(INT(((Alpha_keep*$A34+O$3-Lo_c)/Step_c)+0.00000001),193))+1)+(((Alpha_keep*$A34+O$3-Lo_c)/Step_c)-MAX(6,MIN(INT(((Alpha_keep*$A34+O$3-Lo_c)/Step_c)+0.00000001),193)))*INDEX($D$5:$D$205,MAX(6,MIN(INT(((Alpha_keep*$A34+O$3-Lo_c)/Step_c)+0.00000001),193))+2)),"")</f>
        <v>-467.782365461227</v>
      </c>
      <c r="P34" s="11" t="n">
        <f aca="false">MAX(E34:O34)</f>
        <v>-467.782365461227</v>
      </c>
      <c r="Q34" s="12" t="n">
        <f aca="false">INDEX($E$3:$O$3,MATCH(P34,E34:O34,0))</f>
        <v>2.5</v>
      </c>
      <c r="R34" s="20" t="n">
        <v>2.5</v>
      </c>
      <c r="S34" s="14" t="n">
        <f aca="false">IF(ABS(Q34-R34)&lt;0.000000001,1,0)</f>
        <v>1</v>
      </c>
      <c r="T34" s="21" t="n">
        <f aca="false">ABS(P34-B34)</f>
        <v>0</v>
      </c>
      <c r="U34" s="16" t="n">
        <f aca="false">Alpha_keep*A34+Q34</f>
        <v>38.81875</v>
      </c>
      <c r="V34" s="14" t="n">
        <f aca="false">INDEX(GuardBlock,30,ROUND(Q34/Step_h,0)+1)</f>
        <v>1</v>
      </c>
      <c r="W34" s="22" t="n">
        <v>0</v>
      </c>
    </row>
    <row r="35" customFormat="false" ht="15" hidden="false" customHeight="false" outlineLevel="0" collapsed="false">
      <c r="A35" s="18" t="n">
        <f aca="false">Grid!A35</f>
        <v>37.5</v>
      </c>
      <c r="B35" s="19" t="n">
        <v>-463.216061626222</v>
      </c>
      <c r="C35" s="14" t="n">
        <v>30</v>
      </c>
      <c r="D35" s="11" t="n">
        <f aca="false">IF(AND($C35&gt;=6,$C35&lt;=194),Declarations!$B$25*INDEX($B$5:$B$205,$C35+1-Declarations!$E$25)+Declarations!$B$26*INDEX($B$5:$B$205,$C35+1-Declarations!$E$26)+Declarations!$B$27*INDEX($B$5:$B$205,$C35+1-Declarations!$E$27)+Declarations!$B$28*INDEX($B$5:$B$205,$C35+1-Declarations!$E$28)+Declarations!$B$29*INDEX($B$5:$B$205,$C35+1-Declarations!$E$29),"")</f>
        <v>-463.321332205244</v>
      </c>
      <c r="E35" s="16" t="n">
        <f aca="false">IF(Grid!C35=1,-Cost_k*E$3-Short_p*MAX(0,Floor_c-$A35)+Beta_q*((1-(((Alpha_keep*$A35+E$3-Lo_c)/Step_c)-MAX(6,MIN(INT(((Alpha_keep*$A35+E$3-Lo_c)/Step_c)+0.00000001),193))))*INDEX($D$5:$D$205,MAX(6,MIN(INT(((Alpha_keep*$A35+E$3-Lo_c)/Step_c)+0.00000001),193))+1)+(((Alpha_keep*$A35+E$3-Lo_c)/Step_c)-MAX(6,MIN(INT(((Alpha_keep*$A35+E$3-Lo_c)/Step_c)+0.00000001),193)))*INDEX($D$5:$D$205,MAX(6,MIN(INT(((Alpha_keep*$A35+E$3-Lo_c)/Step_c)+0.00000001),193))+2)),"")</f>
        <v>-497.274992947134</v>
      </c>
      <c r="F35" s="16" t="n">
        <f aca="false">IF(Grid!D35=1,-Cost_k*F$3-Short_p*MAX(0,Floor_c-$A35)+Beta_q*((1-(((Alpha_keep*$A35+F$3-Lo_c)/Step_c)-MAX(6,MIN(INT(((Alpha_keep*$A35+F$3-Lo_c)/Step_c)+0.00000001),193))))*INDEX($D$5:$D$205,MAX(6,MIN(INT(((Alpha_keep*$A35+F$3-Lo_c)/Step_c)+0.00000001),193))+1)+(((Alpha_keep*$A35+F$3-Lo_c)/Step_c)-MAX(6,MIN(INT(((Alpha_keep*$A35+F$3-Lo_c)/Step_c)+0.00000001),193)))*INDEX($D$5:$D$205,MAX(6,MIN(INT(((Alpha_keep*$A35+F$3-Lo_c)/Step_c)+0.00000001),193))+2)),"")</f>
        <v>-493.740579922402</v>
      </c>
      <c r="G35" s="16" t="n">
        <f aca="false">IF(Grid!E35=1,-Cost_k*G$3-Short_p*MAX(0,Floor_c-$A35)+Beta_q*((1-(((Alpha_keep*$A35+G$3-Lo_c)/Step_c)-MAX(6,MIN(INT(((Alpha_keep*$A35+G$3-Lo_c)/Step_c)+0.00000001),193))))*INDEX($D$5:$D$205,MAX(6,MIN(INT(((Alpha_keep*$A35+G$3-Lo_c)/Step_c)+0.00000001),193))+1)+(((Alpha_keep*$A35+G$3-Lo_c)/Step_c)-MAX(6,MIN(INT(((Alpha_keep*$A35+G$3-Lo_c)/Step_c)+0.00000001),193)))*INDEX($D$5:$D$205,MAX(6,MIN(INT(((Alpha_keep*$A35+G$3-Lo_c)/Step_c)+0.00000001),193))+2)),"")</f>
        <v>-490.233867348479</v>
      </c>
      <c r="H35" s="16" t="n">
        <f aca="false">IF(Grid!F35=1,-Cost_k*H$3-Short_p*MAX(0,Floor_c-$A35)+Beta_q*((1-(((Alpha_keep*$A35+H$3-Lo_c)/Step_c)-MAX(6,MIN(INT(((Alpha_keep*$A35+H$3-Lo_c)/Step_c)+0.00000001),193))))*INDEX($D$5:$D$205,MAX(6,MIN(INT(((Alpha_keep*$A35+H$3-Lo_c)/Step_c)+0.00000001),193))+1)+(((Alpha_keep*$A35+H$3-Lo_c)/Step_c)-MAX(6,MIN(INT(((Alpha_keep*$A35+H$3-Lo_c)/Step_c)+0.00000001),193)))*INDEX($D$5:$D$205,MAX(6,MIN(INT(((Alpha_keep*$A35+H$3-Lo_c)/Step_c)+0.00000001),193))+2)),"")</f>
        <v>-486.755200382615</v>
      </c>
      <c r="I35" s="16" t="n">
        <f aca="false">IF(Grid!G35=1,-Cost_k*I$3-Short_p*MAX(0,Floor_c-$A35)+Beta_q*((1-(((Alpha_keep*$A35+I$3-Lo_c)/Step_c)-MAX(6,MIN(INT(((Alpha_keep*$A35+I$3-Lo_c)/Step_c)+0.00000001),193))))*INDEX($D$5:$D$205,MAX(6,MIN(INT(((Alpha_keep*$A35+I$3-Lo_c)/Step_c)+0.00000001),193))+1)+(((Alpha_keep*$A35+I$3-Lo_c)/Step_c)-MAX(6,MIN(INT(((Alpha_keep*$A35+I$3-Lo_c)/Step_c)+0.00000001),193)))*INDEX($D$5:$D$205,MAX(6,MIN(INT(((Alpha_keep*$A35+I$3-Lo_c)/Step_c)+0.00000001),193))+2)),"")</f>
        <v>-483.304745863382</v>
      </c>
      <c r="J35" s="16" t="n">
        <f aca="false">IF(Grid!H35=1,-Cost_k*J$3-Short_p*MAX(0,Floor_c-$A35)+Beta_q*((1-(((Alpha_keep*$A35+J$3-Lo_c)/Step_c)-MAX(6,MIN(INT(((Alpha_keep*$A35+J$3-Lo_c)/Step_c)+0.00000001),193))))*INDEX($D$5:$D$205,MAX(6,MIN(INT(((Alpha_keep*$A35+J$3-Lo_c)/Step_c)+0.00000001),193))+1)+(((Alpha_keep*$A35+J$3-Lo_c)/Step_c)-MAX(6,MIN(INT(((Alpha_keep*$A35+J$3-Lo_c)/Step_c)+0.00000001),193)))*INDEX($D$5:$D$205,MAX(6,MIN(INT(((Alpha_keep*$A35+J$3-Lo_c)/Step_c)+0.00000001),193))+2)),"")</f>
        <v>-479.882960540389</v>
      </c>
      <c r="K35" s="16" t="n">
        <f aca="false">IF(Grid!I35=1,-Cost_k*K$3-Short_p*MAX(0,Floor_c-$A35)+Beta_q*((1-(((Alpha_keep*$A35+K$3-Lo_c)/Step_c)-MAX(6,MIN(INT(((Alpha_keep*$A35+K$3-Lo_c)/Step_c)+0.00000001),193))))*INDEX($D$5:$D$205,MAX(6,MIN(INT(((Alpha_keep*$A35+K$3-Lo_c)/Step_c)+0.00000001),193))+1)+(((Alpha_keep*$A35+K$3-Lo_c)/Step_c)-MAX(6,MIN(INT(((Alpha_keep*$A35+K$3-Lo_c)/Step_c)+0.00000001),193)))*INDEX($D$5:$D$205,MAX(6,MIN(INT(((Alpha_keep*$A35+K$3-Lo_c)/Step_c)+0.00000001),193))+2)),"")</f>
        <v>-476.49026287841</v>
      </c>
      <c r="L35" s="16" t="n">
        <f aca="false">IF(Grid!J35=1,-Cost_k*L$3-Short_p*MAX(0,Floor_c-$A35)+Beta_q*((1-(((Alpha_keep*$A35+L$3-Lo_c)/Step_c)-MAX(6,MIN(INT(((Alpha_keep*$A35+L$3-Lo_c)/Step_c)+0.00000001),193))))*INDEX($D$5:$D$205,MAX(6,MIN(INT(((Alpha_keep*$A35+L$3-Lo_c)/Step_c)+0.00000001),193))+1)+(((Alpha_keep*$A35+L$3-Lo_c)/Step_c)-MAX(6,MIN(INT(((Alpha_keep*$A35+L$3-Lo_c)/Step_c)+0.00000001),193)))*INDEX($D$5:$D$205,MAX(6,MIN(INT(((Alpha_keep*$A35+L$3-Lo_c)/Step_c)+0.00000001),193))+2)),"")</f>
        <v>-473.126779176114</v>
      </c>
      <c r="M35" s="16" t="n">
        <f aca="false">IF(Grid!K35=1,-Cost_k*M$3-Short_p*MAX(0,Floor_c-$A35)+Beta_q*((1-(((Alpha_keep*$A35+M$3-Lo_c)/Step_c)-MAX(6,MIN(INT(((Alpha_keep*$A35+M$3-Lo_c)/Step_c)+0.00000001),193))))*INDEX($D$5:$D$205,MAX(6,MIN(INT(((Alpha_keep*$A35+M$3-Lo_c)/Step_c)+0.00000001),193))+1)+(((Alpha_keep*$A35+M$3-Lo_c)/Step_c)-MAX(6,MIN(INT(((Alpha_keep*$A35+M$3-Lo_c)/Step_c)+0.00000001),193)))*INDEX($D$5:$D$205,MAX(6,MIN(INT(((Alpha_keep*$A35+M$3-Lo_c)/Step_c)+0.00000001),193))+2)),"")</f>
        <v>-469.79298625993</v>
      </c>
      <c r="N35" s="16" t="n">
        <f aca="false">IF(Grid!L35=1,-Cost_k*N$3-Short_p*MAX(0,Floor_c-$A35)+Beta_q*((1-(((Alpha_keep*$A35+N$3-Lo_c)/Step_c)-MAX(6,MIN(INT(((Alpha_keep*$A35+N$3-Lo_c)/Step_c)+0.00000001),193))))*INDEX($D$5:$D$205,MAX(6,MIN(INT(((Alpha_keep*$A35+N$3-Lo_c)/Step_c)+0.00000001),193))+1)+(((Alpha_keep*$A35+N$3-Lo_c)/Step_c)-MAX(6,MIN(INT(((Alpha_keep*$A35+N$3-Lo_c)/Step_c)+0.00000001),193)))*INDEX($D$5:$D$205,MAX(6,MIN(INT(((Alpha_keep*$A35+N$3-Lo_c)/Step_c)+0.00000001),193))+2)),"")</f>
        <v>-466.489389606913</v>
      </c>
      <c r="O35" s="16" t="n">
        <f aca="false">IF(Grid!M35=1,-Cost_k*O$3-Short_p*MAX(0,Floor_c-$A35)+Beta_q*((1-(((Alpha_keep*$A35+O$3-Lo_c)/Step_c)-MAX(6,MIN(INT(((Alpha_keep*$A35+O$3-Lo_c)/Step_c)+0.00000001),193))))*INDEX($D$5:$D$205,MAX(6,MIN(INT(((Alpha_keep*$A35+O$3-Lo_c)/Step_c)+0.00000001),193))+1)+(((Alpha_keep*$A35+O$3-Lo_c)/Step_c)-MAX(6,MIN(INT(((Alpha_keep*$A35+O$3-Lo_c)/Step_c)+0.00000001),193)))*INDEX($D$5:$D$205,MAX(6,MIN(INT(((Alpha_keep*$A35+O$3-Lo_c)/Step_c)+0.00000001),193))+2)),"")</f>
        <v>-463.216061626222</v>
      </c>
      <c r="P35" s="11" t="n">
        <f aca="false">MAX(E35:O35)</f>
        <v>-463.216061626222</v>
      </c>
      <c r="Q35" s="12" t="n">
        <f aca="false">INDEX($E$3:$O$3,MATCH(P35,E35:O35,0))</f>
        <v>2.5</v>
      </c>
      <c r="R35" s="20" t="n">
        <v>2.5</v>
      </c>
      <c r="S35" s="14" t="n">
        <f aca="false">IF(ABS(Q35-R35)&lt;0.000000001,1,0)</f>
        <v>1</v>
      </c>
      <c r="T35" s="21" t="n">
        <f aca="false">ABS(P35-B35)</f>
        <v>0</v>
      </c>
      <c r="U35" s="16" t="n">
        <f aca="false">Alpha_keep*A35+Q35</f>
        <v>39.0625</v>
      </c>
      <c r="V35" s="14" t="n">
        <f aca="false">INDEX(GuardBlock,31,ROUND(Q35/Step_h,0)+1)</f>
        <v>1</v>
      </c>
      <c r="W35" s="22" t="n">
        <v>0</v>
      </c>
    </row>
    <row r="36" customFormat="false" ht="15" hidden="false" customHeight="false" outlineLevel="0" collapsed="false">
      <c r="A36" s="18" t="n">
        <f aca="false">Grid!A36</f>
        <v>37.75</v>
      </c>
      <c r="B36" s="19" t="n">
        <v>-458.678954633705</v>
      </c>
      <c r="C36" s="14" t="n">
        <v>31</v>
      </c>
      <c r="D36" s="11" t="n">
        <f aca="false">IF(AND($C36&gt;=6,$C36&lt;=194),Declarations!$B$25*INDEX($B$5:$B$205,$C36+1-Declarations!$E$25)+Declarations!$B$26*INDEX($B$5:$B$205,$C36+1-Declarations!$E$26)+Declarations!$B$27*INDEX($B$5:$B$205,$C36+1-Declarations!$E$27)+Declarations!$B$28*INDEX($B$5:$B$205,$C36+1-Declarations!$E$28)+Declarations!$B$29*INDEX($B$5:$B$205,$C36+1-Declarations!$E$29),"")</f>
        <v>-458.785476134133</v>
      </c>
      <c r="E36" s="16" t="n">
        <f aca="false">IF(Grid!C36=1,-Cost_k*E$3-Short_p*MAX(0,Floor_c-$A36)+Beta_q*((1-(((Alpha_keep*$A36+E$3-Lo_c)/Step_c)-MAX(6,MIN(INT(((Alpha_keep*$A36+E$3-Lo_c)/Step_c)+0.00000001),193))))*INDEX($D$5:$D$205,MAX(6,MIN(INT(((Alpha_keep*$A36+E$3-Lo_c)/Step_c)+0.00000001),193))+1)+(((Alpha_keep*$A36+E$3-Lo_c)/Step_c)-MAX(6,MIN(INT(((Alpha_keep*$A36+E$3-Lo_c)/Step_c)+0.00000001),193)))*INDEX($D$5:$D$205,MAX(6,MIN(INT(((Alpha_keep*$A36+E$3-Lo_c)/Step_c)+0.00000001),193))+2)),"")</f>
        <v>-492.453422896418</v>
      </c>
      <c r="F36" s="16" t="n">
        <f aca="false">IF(Grid!D36=1,-Cost_k*F$3-Short_p*MAX(0,Floor_c-$A36)+Beta_q*((1-(((Alpha_keep*$A36+F$3-Lo_c)/Step_c)-MAX(6,MIN(INT(((Alpha_keep*$A36+F$3-Lo_c)/Step_c)+0.00000001),193))))*INDEX($D$5:$D$205,MAX(6,MIN(INT(((Alpha_keep*$A36+F$3-Lo_c)/Step_c)+0.00000001),193))+1)+(((Alpha_keep*$A36+F$3-Lo_c)/Step_c)-MAX(6,MIN(INT(((Alpha_keep*$A36+F$3-Lo_c)/Step_c)+0.00000001),193)))*INDEX($D$5:$D$205,MAX(6,MIN(INT(((Alpha_keep*$A36+F$3-Lo_c)/Step_c)+0.00000001),193))+2)),"")</f>
        <v>-488.946009683824</v>
      </c>
      <c r="G36" s="16" t="n">
        <f aca="false">IF(Grid!E36=1,-Cost_k*G$3-Short_p*MAX(0,Floor_c-$A36)+Beta_q*((1-(((Alpha_keep*$A36+G$3-Lo_c)/Step_c)-MAX(6,MIN(INT(((Alpha_keep*$A36+G$3-Lo_c)/Step_c)+0.00000001),193))))*INDEX($D$5:$D$205,MAX(6,MIN(INT(((Alpha_keep*$A36+G$3-Lo_c)/Step_c)+0.00000001),193))+1)+(((Alpha_keep*$A36+G$3-Lo_c)/Step_c)-MAX(6,MIN(INT(((Alpha_keep*$A36+G$3-Lo_c)/Step_c)+0.00000001),193)))*INDEX($D$5:$D$205,MAX(6,MIN(INT(((Alpha_keep*$A36+G$3-Lo_c)/Step_c)+0.00000001),193))+2)),"")</f>
        <v>-485.466640073165</v>
      </c>
      <c r="H36" s="16" t="n">
        <f aca="false">IF(Grid!F36=1,-Cost_k*H$3-Short_p*MAX(0,Floor_c-$A36)+Beta_q*((1-(((Alpha_keep*$A36+H$3-Lo_c)/Step_c)-MAX(6,MIN(INT(((Alpha_keep*$A36+H$3-Lo_c)/Step_c)+0.00000001),193))))*INDEX($D$5:$D$205,MAX(6,MIN(INT(((Alpha_keep*$A36+H$3-Lo_c)/Step_c)+0.00000001),193))+1)+(((Alpha_keep*$A36+H$3-Lo_c)/Step_c)-MAX(6,MIN(INT(((Alpha_keep*$A36+H$3-Lo_c)/Step_c)+0.00000001),193)))*INDEX($D$5:$D$205,MAX(6,MIN(INT(((Alpha_keep*$A36+H$3-Lo_c)/Step_c)+0.00000001),193))+2)),"")</f>
        <v>-482.015472243652</v>
      </c>
      <c r="I36" s="16" t="n">
        <f aca="false">IF(Grid!G36=1,-Cost_k*I$3-Short_p*MAX(0,Floor_c-$A36)+Beta_q*((1-(((Alpha_keep*$A36+I$3-Lo_c)/Step_c)-MAX(6,MIN(INT(((Alpha_keep*$A36+I$3-Lo_c)/Step_c)+0.00000001),193))))*INDEX($D$5:$D$205,MAX(6,MIN(INT(((Alpha_keep*$A36+I$3-Lo_c)/Step_c)+0.00000001),193))+1)+(((Alpha_keep*$A36+I$3-Lo_c)/Step_c)-MAX(6,MIN(INT(((Alpha_keep*$A36+I$3-Lo_c)/Step_c)+0.00000001),193)))*INDEX($D$5:$D$205,MAX(6,MIN(INT(((Alpha_keep*$A36+I$3-Lo_c)/Step_c)+0.00000001),193))+2)),"")</f>
        <v>-478.592959931876</v>
      </c>
      <c r="J36" s="16" t="n">
        <f aca="false">IF(Grid!H36=1,-Cost_k*J$3-Short_p*MAX(0,Floor_c-$A36)+Beta_q*((1-(((Alpha_keep*$A36+J$3-Lo_c)/Step_c)-MAX(6,MIN(INT(((Alpha_keep*$A36+J$3-Lo_c)/Step_c)+0.00000001),193))))*INDEX($D$5:$D$205,MAX(6,MIN(INT(((Alpha_keep*$A36+J$3-Lo_c)/Step_c)+0.00000001),193))+1)+(((Alpha_keep*$A36+J$3-Lo_c)/Step_c)-MAX(6,MIN(INT(((Alpha_keep*$A36+J$3-Lo_c)/Step_c)+0.00000001),193)))*INDEX($D$5:$D$205,MAX(6,MIN(INT(((Alpha_keep*$A36+J$3-Lo_c)/Step_c)+0.00000001),193))+2)),"")</f>
        <v>-475.199534470144</v>
      </c>
      <c r="K36" s="16" t="n">
        <f aca="false">IF(Grid!I36=1,-Cost_k*K$3-Short_p*MAX(0,Floor_c-$A36)+Beta_q*((1-(((Alpha_keep*$A36+K$3-Lo_c)/Step_c)-MAX(6,MIN(INT(((Alpha_keep*$A36+K$3-Lo_c)/Step_c)+0.00000001),193))))*INDEX($D$5:$D$205,MAX(6,MIN(INT(((Alpha_keep*$A36+K$3-Lo_c)/Step_c)+0.00000001),193))+1)+(((Alpha_keep*$A36+K$3-Lo_c)/Step_c)-MAX(6,MIN(INT(((Alpha_keep*$A36+K$3-Lo_c)/Step_c)+0.00000001),193)))*INDEX($D$5:$D$205,MAX(6,MIN(INT(((Alpha_keep*$A36+K$3-Lo_c)/Step_c)+0.00000001),193))+2)),"")</f>
        <v>-471.835312771141</v>
      </c>
      <c r="L36" s="16" t="n">
        <f aca="false">IF(Grid!J36=1,-Cost_k*L$3-Short_p*MAX(0,Floor_c-$A36)+Beta_q*((1-(((Alpha_keep*$A36+L$3-Lo_c)/Step_c)-MAX(6,MIN(INT(((Alpha_keep*$A36+L$3-Lo_c)/Step_c)+0.00000001),193))))*INDEX($D$5:$D$205,MAX(6,MIN(INT(((Alpha_keep*$A36+L$3-Lo_c)/Step_c)+0.00000001),193))+1)+(((Alpha_keep*$A36+L$3-Lo_c)/Step_c)-MAX(6,MIN(INT(((Alpha_keep*$A36+L$3-Lo_c)/Step_c)+0.00000001),193)))*INDEX($D$5:$D$205,MAX(6,MIN(INT(((Alpha_keep*$A36+L$3-Lo_c)/Step_c)+0.00000001),193))+2)),"")</f>
        <v>-468.500764766468</v>
      </c>
      <c r="M36" s="16" t="n">
        <f aca="false">IF(Grid!K36=1,-Cost_k*M$3-Short_p*MAX(0,Floor_c-$A36)+Beta_q*((1-(((Alpha_keep*$A36+M$3-Lo_c)/Step_c)-MAX(6,MIN(INT(((Alpha_keep*$A36+M$3-Lo_c)/Step_c)+0.00000001),193))))*INDEX($D$5:$D$205,MAX(6,MIN(INT(((Alpha_keep*$A36+M$3-Lo_c)/Step_c)+0.00000001),193))+1)+(((Alpha_keep*$A36+M$3-Lo_c)/Step_c)-MAX(6,MIN(INT(((Alpha_keep*$A36+M$3-Lo_c)/Step_c)+0.00000001),193)))*INDEX($D$5:$D$205,MAX(6,MIN(INT(((Alpha_keep*$A36+M$3-Lo_c)/Step_c)+0.00000001),193))+2)),"")</f>
        <v>-465.196413752599</v>
      </c>
      <c r="N36" s="16" t="n">
        <f aca="false">IF(Grid!L36=1,-Cost_k*N$3-Short_p*MAX(0,Floor_c-$A36)+Beta_q*((1-(((Alpha_keep*$A36+N$3-Lo_c)/Step_c)-MAX(6,MIN(INT(((Alpha_keep*$A36+N$3-Lo_c)/Step_c)+0.00000001),193))))*INDEX($D$5:$D$205,MAX(6,MIN(INT(((Alpha_keep*$A36+N$3-Lo_c)/Step_c)+0.00000001),193))+1)+(((Alpha_keep*$A36+N$3-Lo_c)/Step_c)-MAX(6,MIN(INT(((Alpha_keep*$A36+N$3-Lo_c)/Step_c)+0.00000001),193)))*INDEX($D$5:$D$205,MAX(6,MIN(INT(((Alpha_keep*$A36+N$3-Lo_c)/Step_c)+0.00000001),193))+2)),"")</f>
        <v>-461.922321987233</v>
      </c>
      <c r="O36" s="16" t="n">
        <f aca="false">IF(Grid!M36=1,-Cost_k*O$3-Short_p*MAX(0,Floor_c-$A36)+Beta_q*((1-(((Alpha_keep*$A36+O$3-Lo_c)/Step_c)-MAX(6,MIN(INT(((Alpha_keep*$A36+O$3-Lo_c)/Step_c)+0.00000001),193))))*INDEX($D$5:$D$205,MAX(6,MIN(INT(((Alpha_keep*$A36+O$3-Lo_c)/Step_c)+0.00000001),193))+1)+(((Alpha_keep*$A36+O$3-Lo_c)/Step_c)-MAX(6,MIN(INT(((Alpha_keep*$A36+O$3-Lo_c)/Step_c)+0.00000001),193)))*INDEX($D$5:$D$205,MAX(6,MIN(INT(((Alpha_keep*$A36+O$3-Lo_c)/Step_c)+0.00000001),193))+2)),"")</f>
        <v>-458.678954633705</v>
      </c>
      <c r="P36" s="11" t="n">
        <f aca="false">MAX(E36:O36)</f>
        <v>-458.678954633705</v>
      </c>
      <c r="Q36" s="12" t="n">
        <f aca="false">INDEX($E$3:$O$3,MATCH(P36,E36:O36,0))</f>
        <v>2.5</v>
      </c>
      <c r="R36" s="20" t="n">
        <v>2.5</v>
      </c>
      <c r="S36" s="14" t="n">
        <f aca="false">IF(ABS(Q36-R36)&lt;0.000000001,1,0)</f>
        <v>1</v>
      </c>
      <c r="T36" s="21" t="n">
        <f aca="false">ABS(P36-B36)</f>
        <v>0</v>
      </c>
      <c r="U36" s="16" t="n">
        <f aca="false">Alpha_keep*A36+Q36</f>
        <v>39.30625</v>
      </c>
      <c r="V36" s="14" t="n">
        <f aca="false">INDEX(GuardBlock,32,ROUND(Q36/Step_h,0)+1)</f>
        <v>1</v>
      </c>
      <c r="W36" s="22" t="n">
        <v>0</v>
      </c>
    </row>
    <row r="37" customFormat="false" ht="15" hidden="false" customHeight="false" outlineLevel="0" collapsed="false">
      <c r="A37" s="18" t="n">
        <f aca="false">Grid!A37</f>
        <v>38</v>
      </c>
      <c r="B37" s="19" t="n">
        <v>-454.171596146568</v>
      </c>
      <c r="C37" s="14" t="n">
        <v>32</v>
      </c>
      <c r="D37" s="11" t="n">
        <f aca="false">IF(AND($C37&gt;=6,$C37&lt;=194),Declarations!$B$25*INDEX($B$5:$B$205,$C37+1-Declarations!$E$25)+Declarations!$B$26*INDEX($B$5:$B$205,$C37+1-Declarations!$E$26)+Declarations!$B$27*INDEX($B$5:$B$205,$C37+1-Declarations!$E$27)+Declarations!$B$28*INDEX($B$5:$B$205,$C37+1-Declarations!$E$28)+Declarations!$B$29*INDEX($B$5:$B$205,$C37+1-Declarations!$E$29),"")</f>
        <v>-454.279400829585</v>
      </c>
      <c r="E37" s="16" t="n">
        <f aca="false">IF(Grid!C37=1,-Cost_k*E$3-Short_p*MAX(0,Floor_c-$A37)+Beta_q*((1-(((Alpha_keep*$A37+E$3-Lo_c)/Step_c)-MAX(6,MIN(INT(((Alpha_keep*$A37+E$3-Lo_c)/Step_c)+0.00000001),193))))*INDEX($D$5:$D$205,MAX(6,MIN(INT(((Alpha_keep*$A37+E$3-Lo_c)/Step_c)+0.00000001),193))+1)+(((Alpha_keep*$A37+E$3-Lo_c)/Step_c)-MAX(6,MIN(INT(((Alpha_keep*$A37+E$3-Lo_c)/Step_c)+0.00000001),193)))*INDEX($D$5:$D$205,MAX(6,MIN(INT(((Alpha_keep*$A37+E$3-Lo_c)/Step_c)+0.00000001),193))+2)),"")</f>
        <v>-487.658152019169</v>
      </c>
      <c r="F37" s="16" t="n">
        <f aca="false">IF(Grid!D37=1,-Cost_k*F$3-Short_p*MAX(0,Floor_c-$A37)+Beta_q*((1-(((Alpha_keep*$A37+F$3-Lo_c)/Step_c)-MAX(6,MIN(INT(((Alpha_keep*$A37+F$3-Lo_c)/Step_c)+0.00000001),193))))*INDEX($D$5:$D$205,MAX(6,MIN(INT(((Alpha_keep*$A37+F$3-Lo_c)/Step_c)+0.00000001),193))+1)+(((Alpha_keep*$A37+F$3-Lo_c)/Step_c)-MAX(6,MIN(INT(((Alpha_keep*$A37+F$3-Lo_c)/Step_c)+0.00000001),193)))*INDEX($D$5:$D$205,MAX(6,MIN(INT(((Alpha_keep*$A37+F$3-Lo_c)/Step_c)+0.00000001),193))+2)),"")</f>
        <v>-484.178079763716</v>
      </c>
      <c r="G37" s="16" t="n">
        <f aca="false">IF(Grid!E37=1,-Cost_k*G$3-Short_p*MAX(0,Floor_c-$A37)+Beta_q*((1-(((Alpha_keep*$A37+G$3-Lo_c)/Step_c)-MAX(6,MIN(INT(((Alpha_keep*$A37+G$3-Lo_c)/Step_c)+0.00000001),193))))*INDEX($D$5:$D$205,MAX(6,MIN(INT(((Alpha_keep*$A37+G$3-Lo_c)/Step_c)+0.00000001),193))+1)+(((Alpha_keep*$A37+G$3-Lo_c)/Step_c)-MAX(6,MIN(INT(((Alpha_keep*$A37+G$3-Lo_c)/Step_c)+0.00000001),193)))*INDEX($D$5:$D$205,MAX(6,MIN(INT(((Alpha_keep*$A37+G$3-Lo_c)/Step_c)+0.00000001),193))+2)),"")</f>
        <v>-480.726198623923</v>
      </c>
      <c r="H37" s="16" t="n">
        <f aca="false">IF(Grid!F37=1,-Cost_k*H$3-Short_p*MAX(0,Floor_c-$A37)+Beta_q*((1-(((Alpha_keep*$A37+H$3-Lo_c)/Step_c)-MAX(6,MIN(INT(((Alpha_keep*$A37+H$3-Lo_c)/Step_c)+0.00000001),193))))*INDEX($D$5:$D$205,MAX(6,MIN(INT(((Alpha_keep*$A37+H$3-Lo_c)/Step_c)+0.00000001),193))+1)+(((Alpha_keep*$A37+H$3-Lo_c)/Step_c)-MAX(6,MIN(INT(((Alpha_keep*$A37+H$3-Lo_c)/Step_c)+0.00000001),193)))*INDEX($D$5:$D$205,MAX(6,MIN(INT(((Alpha_keep*$A37+H$3-Lo_c)/Step_c)+0.00000001),193))+2)),"")</f>
        <v>-477.302959323364</v>
      </c>
      <c r="I37" s="16" t="n">
        <f aca="false">IF(Grid!G37=1,-Cost_k*I$3-Short_p*MAX(0,Floor_c-$A37)+Beta_q*((1-(((Alpha_keep*$A37+I$3-Lo_c)/Step_c)-MAX(6,MIN(INT(((Alpha_keep*$A37+I$3-Lo_c)/Step_c)+0.00000001),193))))*INDEX($D$5:$D$205,MAX(6,MIN(INT(((Alpha_keep*$A37+I$3-Lo_c)/Step_c)+0.00000001),193))+1)+(((Alpha_keep*$A37+I$3-Lo_c)/Step_c)-MAX(6,MIN(INT(((Alpha_keep*$A37+I$3-Lo_c)/Step_c)+0.00000001),193)))*INDEX($D$5:$D$205,MAX(6,MIN(INT(((Alpha_keep*$A37+I$3-Lo_c)/Step_c)+0.00000001),193))+2)),"")</f>
        <v>-473.908806061878</v>
      </c>
      <c r="J37" s="16" t="n">
        <f aca="false">IF(Grid!H37=1,-Cost_k*J$3-Short_p*MAX(0,Floor_c-$A37)+Beta_q*((1-(((Alpha_keep*$A37+J$3-Lo_c)/Step_c)-MAX(6,MIN(INT(((Alpha_keep*$A37+J$3-Lo_c)/Step_c)+0.00000001),193))))*INDEX($D$5:$D$205,MAX(6,MIN(INT(((Alpha_keep*$A37+J$3-Lo_c)/Step_c)+0.00000001),193))+1)+(((Alpha_keep*$A37+J$3-Lo_c)/Step_c)-MAX(6,MIN(INT(((Alpha_keep*$A37+J$3-Lo_c)/Step_c)+0.00000001),193)))*INDEX($D$5:$D$205,MAX(6,MIN(INT(((Alpha_keep*$A37+J$3-Lo_c)/Step_c)+0.00000001),193))+2)),"")</f>
        <v>-470.543846366167</v>
      </c>
      <c r="K37" s="16" t="n">
        <f aca="false">IF(Grid!I37=1,-Cost_k*K$3-Short_p*MAX(0,Floor_c-$A37)+Beta_q*((1-(((Alpha_keep*$A37+K$3-Lo_c)/Step_c)-MAX(6,MIN(INT(((Alpha_keep*$A37+K$3-Lo_c)/Step_c)+0.00000001),193))))*INDEX($D$5:$D$205,MAX(6,MIN(INT(((Alpha_keep*$A37+K$3-Lo_c)/Step_c)+0.00000001),193))+1)+(((Alpha_keep*$A37+K$3-Lo_c)/Step_c)-MAX(6,MIN(INT(((Alpha_keep*$A37+K$3-Lo_c)/Step_c)+0.00000001),193)))*INDEX($D$5:$D$205,MAX(6,MIN(INT(((Alpha_keep*$A37+K$3-Lo_c)/Step_c)+0.00000001),193))+2)),"")</f>
        <v>-467.208543273007</v>
      </c>
      <c r="L37" s="16" t="n">
        <f aca="false">IF(Grid!J37=1,-Cost_k*L$3-Short_p*MAX(0,Floor_c-$A37)+Beta_q*((1-(((Alpha_keep*$A37+L$3-Lo_c)/Step_c)-MAX(6,MIN(INT(((Alpha_keep*$A37+L$3-Lo_c)/Step_c)+0.00000001),193))))*INDEX($D$5:$D$205,MAX(6,MIN(INT(((Alpha_keep*$A37+L$3-Lo_c)/Step_c)+0.00000001),193))+1)+(((Alpha_keep*$A37+L$3-Lo_c)/Step_c)-MAX(6,MIN(INT(((Alpha_keep*$A37+L$3-Lo_c)/Step_c)+0.00000001),193)))*INDEX($D$5:$D$205,MAX(6,MIN(INT(((Alpha_keep*$A37+L$3-Lo_c)/Step_c)+0.00000001),193))+2)),"")</f>
        <v>-463.903437898286</v>
      </c>
      <c r="M37" s="16" t="n">
        <f aca="false">IF(Grid!K37=1,-Cost_k*M$3-Short_p*MAX(0,Floor_c-$A37)+Beta_q*((1-(((Alpha_keep*$A37+M$3-Lo_c)/Step_c)-MAX(6,MIN(INT(((Alpha_keep*$A37+M$3-Lo_c)/Step_c)+0.00000001),193))))*INDEX($D$5:$D$205,MAX(6,MIN(INT(((Alpha_keep*$A37+M$3-Lo_c)/Step_c)+0.00000001),193))+1)+(((Alpha_keep*$A37+M$3-Lo_c)/Step_c)-MAX(6,MIN(INT(((Alpha_keep*$A37+M$3-Lo_c)/Step_c)+0.00000001),193)))*INDEX($D$5:$D$205,MAX(6,MIN(INT(((Alpha_keep*$A37+M$3-Lo_c)/Step_c)+0.00000001),193))+2)),"")</f>
        <v>-460.628582348243</v>
      </c>
      <c r="N37" s="16" t="n">
        <f aca="false">IF(Grid!L37=1,-Cost_k*N$3-Short_p*MAX(0,Floor_c-$A37)+Beta_q*((1-(((Alpha_keep*$A37+N$3-Lo_c)/Step_c)-MAX(6,MIN(INT(((Alpha_keep*$A37+N$3-Lo_c)/Step_c)+0.00000001),193))))*INDEX($D$5:$D$205,MAX(6,MIN(INT(((Alpha_keep*$A37+N$3-Lo_c)/Step_c)+0.00000001),193))+1)+(((Alpha_keep*$A37+N$3-Lo_c)/Step_c)-MAX(6,MIN(INT(((Alpha_keep*$A37+N$3-Lo_c)/Step_c)+0.00000001),193)))*INDEX($D$5:$D$205,MAX(6,MIN(INT(((Alpha_keep*$A37+N$3-Lo_c)/Step_c)+0.00000001),193))+2)),"")</f>
        <v>-457.384431985061</v>
      </c>
      <c r="O37" s="16" t="n">
        <f aca="false">IF(Grid!M37=1,-Cost_k*O$3-Short_p*MAX(0,Floor_c-$A37)+Beta_q*((1-(((Alpha_keep*$A37+O$3-Lo_c)/Step_c)-MAX(6,MIN(INT(((Alpha_keep*$A37+O$3-Lo_c)/Step_c)+0.00000001),193))))*INDEX($D$5:$D$205,MAX(6,MIN(INT(((Alpha_keep*$A37+O$3-Lo_c)/Step_c)+0.00000001),193))+1)+(((Alpha_keep*$A37+O$3-Lo_c)/Step_c)-MAX(6,MIN(INT(((Alpha_keep*$A37+O$3-Lo_c)/Step_c)+0.00000001),193)))*INDEX($D$5:$D$205,MAX(6,MIN(INT(((Alpha_keep*$A37+O$3-Lo_c)/Step_c)+0.00000001),193))+2)),"")</f>
        <v>-454.171596146568</v>
      </c>
      <c r="P37" s="11" t="n">
        <f aca="false">MAX(E37:O37)</f>
        <v>-454.171596146568</v>
      </c>
      <c r="Q37" s="12" t="n">
        <f aca="false">INDEX($E$3:$O$3,MATCH(P37,E37:O37,0))</f>
        <v>2.5</v>
      </c>
      <c r="R37" s="20" t="n">
        <v>2.5</v>
      </c>
      <c r="S37" s="14" t="n">
        <f aca="false">IF(ABS(Q37-R37)&lt;0.000000001,1,0)</f>
        <v>1</v>
      </c>
      <c r="T37" s="21" t="n">
        <f aca="false">ABS(P37-B37)</f>
        <v>0</v>
      </c>
      <c r="U37" s="16" t="n">
        <f aca="false">Alpha_keep*A37+Q37</f>
        <v>39.55</v>
      </c>
      <c r="V37" s="14" t="n">
        <f aca="false">INDEX(GuardBlock,33,ROUND(Q37/Step_h,0)+1)</f>
        <v>1</v>
      </c>
      <c r="W37" s="22" t="n">
        <v>0</v>
      </c>
    </row>
    <row r="38" customFormat="false" ht="15" hidden="false" customHeight="false" outlineLevel="0" collapsed="false">
      <c r="A38" s="18" t="n">
        <f aca="false">Grid!A38</f>
        <v>38.25</v>
      </c>
      <c r="B38" s="19" t="n">
        <v>-449.694028414294</v>
      </c>
      <c r="C38" s="14" t="n">
        <v>33</v>
      </c>
      <c r="D38" s="11" t="n">
        <f aca="false">IF(AND($C38&gt;=6,$C38&lt;=194),Declarations!$B$25*INDEX($B$5:$B$205,$C38+1-Declarations!$E$25)+Declarations!$B$26*INDEX($B$5:$B$205,$C38+1-Declarations!$E$26)+Declarations!$B$27*INDEX($B$5:$B$205,$C38+1-Declarations!$E$27)+Declarations!$B$28*INDEX($B$5:$B$205,$C38+1-Declarations!$E$28)+Declarations!$B$29*INDEX($B$5:$B$205,$C38+1-Declarations!$E$29),"")</f>
        <v>-449.803139512659</v>
      </c>
      <c r="E38" s="16" t="n">
        <f aca="false">IF(Grid!C38=1,-Cost_k*E$3-Short_p*MAX(0,Floor_c-$A38)+Beta_q*((1-(((Alpha_keep*$A38+E$3-Lo_c)/Step_c)-MAX(6,MIN(INT(((Alpha_keep*$A38+E$3-Lo_c)/Step_c)+0.00000001),193))))*INDEX($D$5:$D$205,MAX(6,MIN(INT(((Alpha_keep*$A38+E$3-Lo_c)/Step_c)+0.00000001),193))+1)+(((Alpha_keep*$A38+E$3-Lo_c)/Step_c)-MAX(6,MIN(INT(((Alpha_keep*$A38+E$3-Lo_c)/Step_c)+0.00000001),193)))*INDEX($D$5:$D$205,MAX(6,MIN(INT(((Alpha_keep*$A38+E$3-Lo_c)/Step_c)+0.00000001),193))+2)),"")</f>
        <v>-482.889519454267</v>
      </c>
      <c r="F38" s="16" t="n">
        <f aca="false">IF(Grid!D38=1,-Cost_k*F$3-Short_p*MAX(0,Floor_c-$A38)+Beta_q*((1-(((Alpha_keep*$A38+F$3-Lo_c)/Step_c)-MAX(6,MIN(INT(((Alpha_keep*$A38+F$3-Lo_c)/Step_c)+0.00000001),193))))*INDEX($D$5:$D$205,MAX(6,MIN(INT(((Alpha_keep*$A38+F$3-Lo_c)/Step_c)+0.00000001),193))+1)+(((Alpha_keep*$A38+F$3-Lo_c)/Step_c)-MAX(6,MIN(INT(((Alpha_keep*$A38+F$3-Lo_c)/Step_c)+0.00000001),193)))*INDEX($D$5:$D$205,MAX(6,MIN(INT(((Alpha_keep*$A38+F$3-Lo_c)/Step_c)+0.00000001),193))+2)),"")</f>
        <v>-479.436925004193</v>
      </c>
      <c r="G38" s="16" t="n">
        <f aca="false">IF(Grid!E38=1,-Cost_k*G$3-Short_p*MAX(0,Floor_c-$A38)+Beta_q*((1-(((Alpha_keep*$A38+G$3-Lo_c)/Step_c)-MAX(6,MIN(INT(((Alpha_keep*$A38+G$3-Lo_c)/Step_c)+0.00000001),193))))*INDEX($D$5:$D$205,MAX(6,MIN(INT(((Alpha_keep*$A38+G$3-Lo_c)/Step_c)+0.00000001),193))+1)+(((Alpha_keep*$A38+G$3-Lo_c)/Step_c)-MAX(6,MIN(INT(((Alpha_keep*$A38+G$3-Lo_c)/Step_c)+0.00000001),193)))*INDEX($D$5:$D$205,MAX(6,MIN(INT(((Alpha_keep*$A38+G$3-Lo_c)/Step_c)+0.00000001),193))+2)),"")</f>
        <v>-476.012958714852</v>
      </c>
      <c r="H38" s="16" t="n">
        <f aca="false">IF(Grid!F38=1,-Cost_k*H$3-Short_p*MAX(0,Floor_c-$A38)+Beta_q*((1-(((Alpha_keep*$A38+H$3-Lo_c)/Step_c)-MAX(6,MIN(INT(((Alpha_keep*$A38+H$3-Lo_c)/Step_c)+0.00000001),193))))*INDEX($D$5:$D$205,MAX(6,MIN(INT(((Alpha_keep*$A38+H$3-Lo_c)/Step_c)+0.00000001),193))+1)+(((Alpha_keep*$A38+H$3-Lo_c)/Step_c)-MAX(6,MIN(INT(((Alpha_keep*$A38+H$3-Lo_c)/Step_c)+0.00000001),193)))*INDEX($D$5:$D$205,MAX(6,MIN(INT(((Alpha_keep*$A38+H$3-Lo_c)/Step_c)+0.00000001),193))+2)),"")</f>
        <v>-472.618077653613</v>
      </c>
      <c r="I38" s="16" t="n">
        <f aca="false">IF(Grid!G38=1,-Cost_k*I$3-Short_p*MAX(0,Floor_c-$A38)+Beta_q*((1-(((Alpha_keep*$A38+I$3-Lo_c)/Step_c)-MAX(6,MIN(INT(((Alpha_keep*$A38+I$3-Lo_c)/Step_c)+0.00000001),193))))*INDEX($D$5:$D$205,MAX(6,MIN(INT(((Alpha_keep*$A38+I$3-Lo_c)/Step_c)+0.00000001),193))+1)+(((Alpha_keep*$A38+I$3-Lo_c)/Step_c)-MAX(6,MIN(INT(((Alpha_keep*$A38+I$3-Lo_c)/Step_c)+0.00000001),193)))*INDEX($D$5:$D$205,MAX(6,MIN(INT(((Alpha_keep*$A38+I$3-Lo_c)/Step_c)+0.00000001),193))+2)),"")</f>
        <v>-469.252379961194</v>
      </c>
      <c r="J38" s="16" t="n">
        <f aca="false">IF(Grid!H38=1,-Cost_k*J$3-Short_p*MAX(0,Floor_c-$A38)+Beta_q*((1-(((Alpha_keep*$A38+J$3-Lo_c)/Step_c)-MAX(6,MIN(INT(((Alpha_keep*$A38+J$3-Lo_c)/Step_c)+0.00000001),193))))*INDEX($D$5:$D$205,MAX(6,MIN(INT(((Alpha_keep*$A38+J$3-Lo_c)/Step_c)+0.00000001),193))+1)+(((Alpha_keep*$A38+J$3-Lo_c)/Step_c)-MAX(6,MIN(INT(((Alpha_keep*$A38+J$3-Lo_c)/Step_c)+0.00000001),193)))*INDEX($D$5:$D$205,MAX(6,MIN(INT(((Alpha_keep*$A38+J$3-Lo_c)/Step_c)+0.00000001),193))+2)),"")</f>
        <v>-465.916321779545</v>
      </c>
      <c r="K38" s="16" t="n">
        <f aca="false">IF(Grid!I38=1,-Cost_k*K$3-Short_p*MAX(0,Floor_c-$A38)+Beta_q*((1-(((Alpha_keep*$A38+K$3-Lo_c)/Step_c)-MAX(6,MIN(INT(((Alpha_keep*$A38+K$3-Lo_c)/Step_c)+0.00000001),193))))*INDEX($D$5:$D$205,MAX(6,MIN(INT(((Alpha_keep*$A38+K$3-Lo_c)/Step_c)+0.00000001),193))+1)+(((Alpha_keep*$A38+K$3-Lo_c)/Step_c)-MAX(6,MIN(INT(((Alpha_keep*$A38+K$3-Lo_c)/Step_c)+0.00000001),193)))*INDEX($D$5:$D$205,MAX(6,MIN(INT(((Alpha_keep*$A38+K$3-Lo_c)/Step_c)+0.00000001),193))+2)),"")</f>
        <v>-462.610462043972</v>
      </c>
      <c r="L38" s="16" t="n">
        <f aca="false">IF(Grid!J38=1,-Cost_k*L$3-Short_p*MAX(0,Floor_c-$A38)+Beta_q*((1-(((Alpha_keep*$A38+L$3-Lo_c)/Step_c)-MAX(6,MIN(INT(((Alpha_keep*$A38+L$3-Lo_c)/Step_c)+0.00000001),193))))*INDEX($D$5:$D$205,MAX(6,MIN(INT(((Alpha_keep*$A38+L$3-Lo_c)/Step_c)+0.00000001),193))+1)+(((Alpha_keep*$A38+L$3-Lo_c)/Step_c)-MAX(6,MIN(INT(((Alpha_keep*$A38+L$3-Lo_c)/Step_c)+0.00000001),193)))*INDEX($D$5:$D$205,MAX(6,MIN(INT(((Alpha_keep*$A38+L$3-Lo_c)/Step_c)+0.00000001),193))+2)),"")</f>
        <v>-459.334842709254</v>
      </c>
      <c r="M38" s="16" t="n">
        <f aca="false">IF(Grid!K38=1,-Cost_k*M$3-Short_p*MAX(0,Floor_c-$A38)+Beta_q*((1-(((Alpha_keep*$A38+M$3-Lo_c)/Step_c)-MAX(6,MIN(INT(((Alpha_keep*$A38+M$3-Lo_c)/Step_c)+0.00000001),193))))*INDEX($D$5:$D$205,MAX(6,MIN(INT(((Alpha_keep*$A38+M$3-Lo_c)/Step_c)+0.00000001),193))+1)+(((Alpha_keep*$A38+M$3-Lo_c)/Step_c)-MAX(6,MIN(INT(((Alpha_keep*$A38+M$3-Lo_c)/Step_c)+0.00000001),193)))*INDEX($D$5:$D$205,MAX(6,MIN(INT(((Alpha_keep*$A38+M$3-Lo_c)/Step_c)+0.00000001),193))+2)),"")</f>
        <v>-456.089909336417</v>
      </c>
      <c r="N38" s="16" t="n">
        <f aca="false">IF(Grid!L38=1,-Cost_k*N$3-Short_p*MAX(0,Floor_c-$A38)+Beta_q*((1-(((Alpha_keep*$A38+N$3-Lo_c)/Step_c)-MAX(6,MIN(INT(((Alpha_keep*$A38+N$3-Lo_c)/Step_c)+0.00000001),193))))*INDEX($D$5:$D$205,MAX(6,MIN(INT(((Alpha_keep*$A38+N$3-Lo_c)/Step_c)+0.00000001),193))+1)+(((Alpha_keep*$A38+N$3-Lo_c)/Step_c)-MAX(6,MIN(INT(((Alpha_keep*$A38+N$3-Lo_c)/Step_c)+0.00000001),193)))*INDEX($D$5:$D$205,MAX(6,MIN(INT(((Alpha_keep*$A38+N$3-Lo_c)/Step_c)+0.00000001),193))+2)),"")</f>
        <v>-452.876291220957</v>
      </c>
      <c r="O38" s="16" t="n">
        <f aca="false">IF(Grid!M38=1,-Cost_k*O$3-Short_p*MAX(0,Floor_c-$A38)+Beta_q*((1-(((Alpha_keep*$A38+O$3-Lo_c)/Step_c)-MAX(6,MIN(INT(((Alpha_keep*$A38+O$3-Lo_c)/Step_c)+0.00000001),193))))*INDEX($D$5:$D$205,MAX(6,MIN(INT(((Alpha_keep*$A38+O$3-Lo_c)/Step_c)+0.00000001),193))+1)+(((Alpha_keep*$A38+O$3-Lo_c)/Step_c)-MAX(6,MIN(INT(((Alpha_keep*$A38+O$3-Lo_c)/Step_c)+0.00000001),193)))*INDEX($D$5:$D$205,MAX(6,MIN(INT(((Alpha_keep*$A38+O$3-Lo_c)/Step_c)+0.00000001),193))+2)),"")</f>
        <v>-449.694028414294</v>
      </c>
      <c r="P38" s="11" t="n">
        <f aca="false">MAX(E38:O38)</f>
        <v>-449.694028414294</v>
      </c>
      <c r="Q38" s="12" t="n">
        <f aca="false">INDEX($E$3:$O$3,MATCH(P38,E38:O38,0))</f>
        <v>2.5</v>
      </c>
      <c r="R38" s="20" t="n">
        <v>2.5</v>
      </c>
      <c r="S38" s="14" t="n">
        <f aca="false">IF(ABS(Q38-R38)&lt;0.000000001,1,0)</f>
        <v>1</v>
      </c>
      <c r="T38" s="21" t="n">
        <f aca="false">ABS(P38-B38)</f>
        <v>0</v>
      </c>
      <c r="U38" s="16" t="n">
        <f aca="false">Alpha_keep*A38+Q38</f>
        <v>39.79375</v>
      </c>
      <c r="V38" s="14" t="n">
        <f aca="false">INDEX(GuardBlock,34,ROUND(Q38/Step_h,0)+1)</f>
        <v>1</v>
      </c>
      <c r="W38" s="22" t="n">
        <v>0</v>
      </c>
    </row>
    <row r="39" customFormat="false" ht="15" hidden="false" customHeight="false" outlineLevel="0" collapsed="false">
      <c r="A39" s="18" t="n">
        <f aca="false">Grid!A39</f>
        <v>38.5</v>
      </c>
      <c r="B39" s="19" t="n">
        <v>-445.246680786752</v>
      </c>
      <c r="C39" s="14" t="n">
        <v>34</v>
      </c>
      <c r="D39" s="11" t="n">
        <f aca="false">IF(AND($C39&gt;=6,$C39&lt;=194),Declarations!$B$25*INDEX($B$5:$B$205,$C39+1-Declarations!$E$25)+Declarations!$B$26*INDEX($B$5:$B$205,$C39+1-Declarations!$E$26)+Declarations!$B$27*INDEX($B$5:$B$205,$C39+1-Declarations!$E$27)+Declarations!$B$28*INDEX($B$5:$B$205,$C39+1-Declarations!$E$28)+Declarations!$B$29*INDEX($B$5:$B$205,$C39+1-Declarations!$E$29),"")</f>
        <v>-445.357109896966</v>
      </c>
      <c r="E39" s="16" t="n">
        <f aca="false">IF(Grid!C39=1,-Cost_k*E$3-Short_p*MAX(0,Floor_c-$A39)+Beta_q*((1-(((Alpha_keep*$A39+E$3-Lo_c)/Step_c)-MAX(6,MIN(INT(((Alpha_keep*$A39+E$3-Lo_c)/Step_c)+0.00000001),193))))*INDEX($D$5:$D$205,MAX(6,MIN(INT(((Alpha_keep*$A39+E$3-Lo_c)/Step_c)+0.00000001),193))+1)+(((Alpha_keep*$A39+E$3-Lo_c)/Step_c)-MAX(6,MIN(INT(((Alpha_keep*$A39+E$3-Lo_c)/Step_c)+0.00000001),193)))*INDEX($D$5:$D$205,MAX(6,MIN(INT(((Alpha_keep*$A39+E$3-Lo_c)/Step_c)+0.00000001),193))+2)),"")</f>
        <v>-478.147651384464</v>
      </c>
      <c r="F39" s="16" t="n">
        <f aca="false">IF(Grid!D39=1,-Cost_k*F$3-Short_p*MAX(0,Floor_c-$A39)+Beta_q*((1-(((Alpha_keep*$A39+F$3-Lo_c)/Step_c)-MAX(6,MIN(INT(((Alpha_keep*$A39+F$3-Lo_c)/Step_c)+0.00000001),193))))*INDEX($D$5:$D$205,MAX(6,MIN(INT(((Alpha_keep*$A39+F$3-Lo_c)/Step_c)+0.00000001),193))+1)+(((Alpha_keep*$A39+F$3-Lo_c)/Step_c)-MAX(6,MIN(INT(((Alpha_keep*$A39+F$3-Lo_c)/Step_c)+0.00000001),193)))*INDEX($D$5:$D$205,MAX(6,MIN(INT(((Alpha_keep*$A39+F$3-Lo_c)/Step_c)+0.00000001),193))+2)),"")</f>
        <v>-474.72295810634</v>
      </c>
      <c r="G39" s="16" t="n">
        <f aca="false">IF(Grid!E39=1,-Cost_k*G$3-Short_p*MAX(0,Floor_c-$A39)+Beta_q*((1-(((Alpha_keep*$A39+G$3-Lo_c)/Step_c)-MAX(6,MIN(INT(((Alpha_keep*$A39+G$3-Lo_c)/Step_c)+0.00000001),193))))*INDEX($D$5:$D$205,MAX(6,MIN(INT(((Alpha_keep*$A39+G$3-Lo_c)/Step_c)+0.00000001),193))+1)+(((Alpha_keep*$A39+G$3-Lo_c)/Step_c)-MAX(6,MIN(INT(((Alpha_keep*$A39+G$3-Lo_c)/Step_c)+0.00000001),193)))*INDEX($D$5:$D$205,MAX(6,MIN(INT(((Alpha_keep*$A39+G$3-Lo_c)/Step_c)+0.00000001),193))+2)),"")</f>
        <v>-471.327349245347</v>
      </c>
      <c r="H39" s="16" t="n">
        <f aca="false">IF(Grid!F39=1,-Cost_k*H$3-Short_p*MAX(0,Floor_c-$A39)+Beta_q*((1-(((Alpha_keep*$A39+H$3-Lo_c)/Step_c)-MAX(6,MIN(INT(((Alpha_keep*$A39+H$3-Lo_c)/Step_c)+0.00000001),193))))*INDEX($D$5:$D$205,MAX(6,MIN(INT(((Alpha_keep*$A39+H$3-Lo_c)/Step_c)+0.00000001),193))+1)+(((Alpha_keep*$A39+H$3-Lo_c)/Step_c)-MAX(6,MIN(INT(((Alpha_keep*$A39+H$3-Lo_c)/Step_c)+0.00000001),193)))*INDEX($D$5:$D$205,MAX(6,MIN(INT(((Alpha_keep*$A39+H$3-Lo_c)/Step_c)+0.00000001),193))+2)),"")</f>
        <v>-467.96091355622</v>
      </c>
      <c r="I39" s="16" t="n">
        <f aca="false">IF(Grid!G39=1,-Cost_k*I$3-Short_p*MAX(0,Floor_c-$A39)+Beta_q*((1-(((Alpha_keep*$A39+I$3-Lo_c)/Step_c)-MAX(6,MIN(INT(((Alpha_keep*$A39+I$3-Lo_c)/Step_c)+0.00000001),193))))*INDEX($D$5:$D$205,MAX(6,MIN(INT(((Alpha_keep*$A39+I$3-Lo_c)/Step_c)+0.00000001),193))+1)+(((Alpha_keep*$A39+I$3-Lo_c)/Step_c)-MAX(6,MIN(INT(((Alpha_keep*$A39+I$3-Lo_c)/Step_c)+0.00000001),193)))*INDEX($D$5:$D$205,MAX(6,MIN(INT(((Alpha_keep*$A39+I$3-Lo_c)/Step_c)+0.00000001),193))+2)),"")</f>
        <v>-464.624100286083</v>
      </c>
      <c r="J39" s="16" t="n">
        <f aca="false">IF(Grid!H39=1,-Cost_k*J$3-Short_p*MAX(0,Floor_c-$A39)+Beta_q*((1-(((Alpha_keep*$A39+J$3-Lo_c)/Step_c)-MAX(6,MIN(INT(((Alpha_keep*$A39+J$3-Lo_c)/Step_c)+0.00000001),193))))*INDEX($D$5:$D$205,MAX(6,MIN(INT(((Alpha_keep*$A39+J$3-Lo_c)/Step_c)+0.00000001),193))+1)+(((Alpha_keep*$A39+J$3-Lo_c)/Step_c)-MAX(6,MIN(INT(((Alpha_keep*$A39+J$3-Lo_c)/Step_c)+0.00000001),193)))*INDEX($D$5:$D$205,MAX(6,MIN(INT(((Alpha_keep*$A39+J$3-Lo_c)/Step_c)+0.00000001),193))+2)),"")</f>
        <v>-461.317486189658</v>
      </c>
      <c r="K39" s="16" t="n">
        <f aca="false">IF(Grid!I39=1,-Cost_k*K$3-Short_p*MAX(0,Floor_c-$A39)+Beta_q*((1-(((Alpha_keep*$A39+K$3-Lo_c)/Step_c)-MAX(6,MIN(INT(((Alpha_keep*$A39+K$3-Lo_c)/Step_c)+0.00000001),193))))*INDEX($D$5:$D$205,MAX(6,MIN(INT(((Alpha_keep*$A39+K$3-Lo_c)/Step_c)+0.00000001),193))+1)+(((Alpha_keep*$A39+K$3-Lo_c)/Step_c)-MAX(6,MIN(INT(((Alpha_keep*$A39+K$3-Lo_c)/Step_c)+0.00000001),193)))*INDEX($D$5:$D$205,MAX(6,MIN(INT(((Alpha_keep*$A39+K$3-Lo_c)/Step_c)+0.00000001),193))+2)),"")</f>
        <v>-458.041103070264</v>
      </c>
      <c r="L39" s="16" t="n">
        <f aca="false">IF(Grid!J39=1,-Cost_k*L$3-Short_p*MAX(0,Floor_c-$A39)+Beta_q*((1-(((Alpha_keep*$A39+L$3-Lo_c)/Step_c)-MAX(6,MIN(INT(((Alpha_keep*$A39+L$3-Lo_c)/Step_c)+0.00000001),193))))*INDEX($D$5:$D$205,MAX(6,MIN(INT(((Alpha_keep*$A39+L$3-Lo_c)/Step_c)+0.00000001),193))+1)+(((Alpha_keep*$A39+L$3-Lo_c)/Step_c)-MAX(6,MIN(INT(((Alpha_keep*$A39+L$3-Lo_c)/Step_c)+0.00000001),193)))*INDEX($D$5:$D$205,MAX(6,MIN(INT(((Alpha_keep*$A39+L$3-Lo_c)/Step_c)+0.00000001),193))+2)),"")</f>
        <v>-454.795386687773</v>
      </c>
      <c r="M39" s="16" t="n">
        <f aca="false">IF(Grid!K39=1,-Cost_k*M$3-Short_p*MAX(0,Floor_c-$A39)+Beta_q*((1-(((Alpha_keep*$A39+M$3-Lo_c)/Step_c)-MAX(6,MIN(INT(((Alpha_keep*$A39+M$3-Lo_c)/Step_c)+0.00000001),193))))*INDEX($D$5:$D$205,MAX(6,MIN(INT(((Alpha_keep*$A39+M$3-Lo_c)/Step_c)+0.00000001),193))+1)+(((Alpha_keep*$A39+M$3-Lo_c)/Step_c)-MAX(6,MIN(INT(((Alpha_keep*$A39+M$3-Lo_c)/Step_c)+0.00000001),193)))*INDEX($D$5:$D$205,MAX(6,MIN(INT(((Alpha_keep*$A39+M$3-Lo_c)/Step_c)+0.00000001),193))+2)),"")</f>
        <v>-451.580986295345</v>
      </c>
      <c r="N39" s="16" t="n">
        <f aca="false">IF(Grid!L39=1,-Cost_k*N$3-Short_p*MAX(0,Floor_c-$A39)+Beta_q*((1-(((Alpha_keep*$A39+N$3-Lo_c)/Step_c)-MAX(6,MIN(INT(((Alpha_keep*$A39+N$3-Lo_c)/Step_c)+0.00000001),193))))*INDEX($D$5:$D$205,MAX(6,MIN(INT(((Alpha_keep*$A39+N$3-Lo_c)/Step_c)+0.00000001),193))+1)+(((Alpha_keep*$A39+N$3-Lo_c)/Step_c)-MAX(6,MIN(INT(((Alpha_keep*$A39+N$3-Lo_c)/Step_c)+0.00000001),193)))*INDEX($D$5:$D$205,MAX(6,MIN(INT(((Alpha_keep*$A39+N$3-Lo_c)/Step_c)+0.00000001),193))+2)),"")</f>
        <v>-448.397932035988</v>
      </c>
      <c r="O39" s="16" t="n">
        <f aca="false">IF(Grid!M39=1,-Cost_k*O$3-Short_p*MAX(0,Floor_c-$A39)+Beta_q*((1-(((Alpha_keep*$A39+O$3-Lo_c)/Step_c)-MAX(6,MIN(INT(((Alpha_keep*$A39+O$3-Lo_c)/Step_c)+0.00000001),193))))*INDEX($D$5:$D$205,MAX(6,MIN(INT(((Alpha_keep*$A39+O$3-Lo_c)/Step_c)+0.00000001),193))+1)+(((Alpha_keep*$A39+O$3-Lo_c)/Step_c)-MAX(6,MIN(INT(((Alpha_keep*$A39+O$3-Lo_c)/Step_c)+0.00000001),193)))*INDEX($D$5:$D$205,MAX(6,MIN(INT(((Alpha_keep*$A39+O$3-Lo_c)/Step_c)+0.00000001),193))+2)),"")</f>
        <v>-445.246680786752</v>
      </c>
      <c r="P39" s="11" t="n">
        <f aca="false">MAX(E39:O39)</f>
        <v>-445.246680786752</v>
      </c>
      <c r="Q39" s="12" t="n">
        <f aca="false">INDEX($E$3:$O$3,MATCH(P39,E39:O39,0))</f>
        <v>2.5</v>
      </c>
      <c r="R39" s="20" t="n">
        <v>2.5</v>
      </c>
      <c r="S39" s="14" t="n">
        <f aca="false">IF(ABS(Q39-R39)&lt;0.000000001,1,0)</f>
        <v>1</v>
      </c>
      <c r="T39" s="21" t="n">
        <f aca="false">ABS(P39-B39)</f>
        <v>0</v>
      </c>
      <c r="U39" s="16" t="n">
        <f aca="false">Alpha_keep*A39+Q39</f>
        <v>40.0375</v>
      </c>
      <c r="V39" s="14" t="n">
        <f aca="false">INDEX(GuardBlock,35,ROUND(Q39/Step_h,0)+1)</f>
        <v>1</v>
      </c>
      <c r="W39" s="22" t="n">
        <v>0</v>
      </c>
    </row>
    <row r="40" customFormat="false" ht="15" hidden="false" customHeight="false" outlineLevel="0" collapsed="false">
      <c r="A40" s="18" t="n">
        <f aca="false">Grid!A40</f>
        <v>38.75</v>
      </c>
      <c r="B40" s="19" t="n">
        <v>-440.830306392114</v>
      </c>
      <c r="C40" s="14" t="n">
        <v>35</v>
      </c>
      <c r="D40" s="11" t="n">
        <f aca="false">IF(AND($C40&gt;=6,$C40&lt;=194),Declarations!$B$25*INDEX($B$5:$B$205,$C40+1-Declarations!$E$25)+Declarations!$B$26*INDEX($B$5:$B$205,$C40+1-Declarations!$E$26)+Declarations!$B$27*INDEX($B$5:$B$205,$C40+1-Declarations!$E$27)+Declarations!$B$28*INDEX($B$5:$B$205,$C40+1-Declarations!$E$28)+Declarations!$B$29*INDEX($B$5:$B$205,$C40+1-Declarations!$E$29),"")</f>
        <v>-440.942012139561</v>
      </c>
      <c r="E40" s="16" t="n">
        <f aca="false">IF(Grid!C40=1,-Cost_k*E$3-Short_p*MAX(0,Floor_c-$A40)+Beta_q*((1-(((Alpha_keep*$A40+E$3-Lo_c)/Step_c)-MAX(6,MIN(INT(((Alpha_keep*$A40+E$3-Lo_c)/Step_c)+0.00000001),193))))*INDEX($D$5:$D$205,MAX(6,MIN(INT(((Alpha_keep*$A40+E$3-Lo_c)/Step_c)+0.00000001),193))+1)+(((Alpha_keep*$A40+E$3-Lo_c)/Step_c)-MAX(6,MIN(INT(((Alpha_keep*$A40+E$3-Lo_c)/Step_c)+0.00000001),193)))*INDEX($D$5:$D$205,MAX(6,MIN(INT(((Alpha_keep*$A40+E$3-Lo_c)/Step_c)+0.00000001),193))+2)),"")</f>
        <v>-473.432957497828</v>
      </c>
      <c r="F40" s="16" t="n">
        <f aca="false">IF(Grid!D40=1,-Cost_k*F$3-Short_p*MAX(0,Floor_c-$A40)+Beta_q*((1-(((Alpha_keep*$A40+F$3-Lo_c)/Step_c)-MAX(6,MIN(INT(((Alpha_keep*$A40+F$3-Lo_c)/Step_c)+0.00000001),193))))*INDEX($D$5:$D$205,MAX(6,MIN(INT(((Alpha_keep*$A40+F$3-Lo_c)/Step_c)+0.00000001),193))+1)+(((Alpha_keep*$A40+F$3-Lo_c)/Step_c)-MAX(6,MIN(INT(((Alpha_keep*$A40+F$3-Lo_c)/Step_c)+0.00000001),193)))*INDEX($D$5:$D$205,MAX(6,MIN(INT(((Alpha_keep*$A40+F$3-Lo_c)/Step_c)+0.00000001),193))+2)),"")</f>
        <v>-470.036620837081</v>
      </c>
      <c r="G40" s="16" t="n">
        <f aca="false">IF(Grid!E40=1,-Cost_k*G$3-Short_p*MAX(0,Floor_c-$A40)+Beta_q*((1-(((Alpha_keep*$A40+G$3-Lo_c)/Step_c)-MAX(6,MIN(INT(((Alpha_keep*$A40+G$3-Lo_c)/Step_c)+0.00000001),193))))*INDEX($D$5:$D$205,MAX(6,MIN(INT(((Alpha_keep*$A40+G$3-Lo_c)/Step_c)+0.00000001),193))+1)+(((Alpha_keep*$A40+G$3-Lo_c)/Step_c)-MAX(6,MIN(INT(((Alpha_keep*$A40+G$3-Lo_c)/Step_c)+0.00000001),193)))*INDEX($D$5:$D$205,MAX(6,MIN(INT(((Alpha_keep*$A40+G$3-Lo_c)/Step_c)+0.00000001),193))+2)),"")</f>
        <v>-466.669447151247</v>
      </c>
      <c r="H40" s="16" t="n">
        <f aca="false">IF(Grid!F40=1,-Cost_k*H$3-Short_p*MAX(0,Floor_c-$A40)+Beta_q*((1-(((Alpha_keep*$A40+H$3-Lo_c)/Step_c)-MAX(6,MIN(INT(((Alpha_keep*$A40+H$3-Lo_c)/Step_c)+0.00000001),193))))*INDEX($D$5:$D$205,MAX(6,MIN(INT(((Alpha_keep*$A40+H$3-Lo_c)/Step_c)+0.00000001),193))+1)+(((Alpha_keep*$A40+H$3-Lo_c)/Step_c)-MAX(6,MIN(INT(((Alpha_keep*$A40+H$3-Lo_c)/Step_c)+0.00000001),193)))*INDEX($D$5:$D$205,MAX(6,MIN(INT(((Alpha_keep*$A40+H$3-Lo_c)/Step_c)+0.00000001),193))+2)),"")</f>
        <v>-463.331878792622</v>
      </c>
      <c r="I40" s="16" t="n">
        <f aca="false">IF(Grid!G40=1,-Cost_k*I$3-Short_p*MAX(0,Floor_c-$A40)+Beta_q*((1-(((Alpha_keep*$A40+I$3-Lo_c)/Step_c)-MAX(6,MIN(INT(((Alpha_keep*$A40+I$3-Lo_c)/Step_c)+0.00000001),193))))*INDEX($D$5:$D$205,MAX(6,MIN(INT(((Alpha_keep*$A40+I$3-Lo_c)/Step_c)+0.00000001),193))+1)+(((Alpha_keep*$A40+I$3-Lo_c)/Step_c)-MAX(6,MIN(INT(((Alpha_keep*$A40+I$3-Lo_c)/Step_c)+0.00000001),193)))*INDEX($D$5:$D$205,MAX(6,MIN(INT(((Alpha_keep*$A40+I$3-Lo_c)/Step_c)+0.00000001),193))+2)),"")</f>
        <v>-460.024510335344</v>
      </c>
      <c r="J40" s="16" t="n">
        <f aca="false">IF(Grid!H40=1,-Cost_k*J$3-Short_p*MAX(0,Floor_c-$A40)+Beta_q*((1-(((Alpha_keep*$A40+J$3-Lo_c)/Step_c)-MAX(6,MIN(INT(((Alpha_keep*$A40+J$3-Lo_c)/Step_c)+0.00000001),193))))*INDEX($D$5:$D$205,MAX(6,MIN(INT(((Alpha_keep*$A40+J$3-Lo_c)/Step_c)+0.00000001),193))+1)+(((Alpha_keep*$A40+J$3-Lo_c)/Step_c)-MAX(6,MIN(INT(((Alpha_keep*$A40+J$3-Lo_c)/Step_c)+0.00000001),193)))*INDEX($D$5:$D$205,MAX(6,MIN(INT(((Alpha_keep*$A40+J$3-Lo_c)/Step_c)+0.00000001),193))+2)),"")</f>
        <v>-456.747363431275</v>
      </c>
      <c r="K40" s="16" t="n">
        <f aca="false">IF(Grid!I40=1,-Cost_k*K$3-Short_p*MAX(0,Floor_c-$A40)+Beta_q*((1-(((Alpha_keep*$A40+K$3-Lo_c)/Step_c)-MAX(6,MIN(INT(((Alpha_keep*$A40+K$3-Lo_c)/Step_c)+0.00000001),193))))*INDEX($D$5:$D$205,MAX(6,MIN(INT(((Alpha_keep*$A40+K$3-Lo_c)/Step_c)+0.00000001),193))+1)+(((Alpha_keep*$A40+K$3-Lo_c)/Step_c)-MAX(6,MIN(INT(((Alpha_keep*$A40+K$3-Lo_c)/Step_c)+0.00000001),193)))*INDEX($D$5:$D$205,MAX(6,MIN(INT(((Alpha_keep*$A40+K$3-Lo_c)/Step_c)+0.00000001),193))+2)),"")</f>
        <v>-453.500864039129</v>
      </c>
      <c r="L40" s="16" t="n">
        <f aca="false">IF(Grid!J40=1,-Cost_k*L$3-Short_p*MAX(0,Floor_c-$A40)+Beta_q*((1-(((Alpha_keep*$A40+L$3-Lo_c)/Step_c)-MAX(6,MIN(INT(((Alpha_keep*$A40+L$3-Lo_c)/Step_c)+0.00000001),193))))*INDEX($D$5:$D$205,MAX(6,MIN(INT(((Alpha_keep*$A40+L$3-Lo_c)/Step_c)+0.00000001),193))+1)+(((Alpha_keep*$A40+L$3-Lo_c)/Step_c)-MAX(6,MIN(INT(((Alpha_keep*$A40+L$3-Lo_c)/Step_c)+0.00000001),193)))*INDEX($D$5:$D$205,MAX(6,MIN(INT(((Alpha_keep*$A40+L$3-Lo_c)/Step_c)+0.00000001),193))+2)),"")</f>
        <v>-450.285681369733</v>
      </c>
      <c r="M40" s="16" t="n">
        <f aca="false">IF(Grid!K40=1,-Cost_k*M$3-Short_p*MAX(0,Floor_c-$A40)+Beta_q*((1-(((Alpha_keep*$A40+M$3-Lo_c)/Step_c)-MAX(6,MIN(INT(((Alpha_keep*$A40+M$3-Lo_c)/Step_c)+0.00000001),193))))*INDEX($D$5:$D$205,MAX(6,MIN(INT(((Alpha_keep*$A40+M$3-Lo_c)/Step_c)+0.00000001),193))+1)+(((Alpha_keep*$A40+M$3-Lo_c)/Step_c)-MAX(6,MIN(INT(((Alpha_keep*$A40+M$3-Lo_c)/Step_c)+0.00000001),193)))*INDEX($D$5:$D$205,MAX(6,MIN(INT(((Alpha_keep*$A40+M$3-Lo_c)/Step_c)+0.00000001),193))+2)),"")</f>
        <v>-447.101835657682</v>
      </c>
      <c r="N40" s="16" t="n">
        <f aca="false">IF(Grid!L40=1,-Cost_k*N$3-Short_p*MAX(0,Floor_c-$A40)+Beta_q*((1-(((Alpha_keep*$A40+N$3-Lo_c)/Step_c)-MAX(6,MIN(INT(((Alpha_keep*$A40+N$3-Lo_c)/Step_c)+0.00000001),193))))*INDEX($D$5:$D$205,MAX(6,MIN(INT(((Alpha_keep*$A40+N$3-Lo_c)/Step_c)+0.00000001),193))+1)+(((Alpha_keep*$A40+N$3-Lo_c)/Step_c)-MAX(6,MIN(INT(((Alpha_keep*$A40+N$3-Lo_c)/Step_c)+0.00000001),193)))*INDEX($D$5:$D$205,MAX(6,MIN(INT(((Alpha_keep*$A40+N$3-Lo_c)/Step_c)+0.00000001),193))+2)),"")</f>
        <v>-443.94976880536</v>
      </c>
      <c r="O40" s="16" t="n">
        <f aca="false">IF(Grid!M40=1,-Cost_k*O$3-Short_p*MAX(0,Floor_c-$A40)+Beta_q*((1-(((Alpha_keep*$A40+O$3-Lo_c)/Step_c)-MAX(6,MIN(INT(((Alpha_keep*$A40+O$3-Lo_c)/Step_c)+0.00000001),193))))*INDEX($D$5:$D$205,MAX(6,MIN(INT(((Alpha_keep*$A40+O$3-Lo_c)/Step_c)+0.00000001),193))+1)+(((Alpha_keep*$A40+O$3-Lo_c)/Step_c)-MAX(6,MIN(INT(((Alpha_keep*$A40+O$3-Lo_c)/Step_c)+0.00000001),193)))*INDEX($D$5:$D$205,MAX(6,MIN(INT(((Alpha_keep*$A40+O$3-Lo_c)/Step_c)+0.00000001),193))+2)),"")</f>
        <v>-440.830306392114</v>
      </c>
      <c r="P40" s="11" t="n">
        <f aca="false">MAX(E40:O40)</f>
        <v>-440.830306392114</v>
      </c>
      <c r="Q40" s="12" t="n">
        <f aca="false">INDEX($E$3:$O$3,MATCH(P40,E40:O40,0))</f>
        <v>2.5</v>
      </c>
      <c r="R40" s="20" t="n">
        <v>2.5</v>
      </c>
      <c r="S40" s="14" t="n">
        <f aca="false">IF(ABS(Q40-R40)&lt;0.000000001,1,0)</f>
        <v>1</v>
      </c>
      <c r="T40" s="21" t="n">
        <f aca="false">ABS(P40-B40)</f>
        <v>0</v>
      </c>
      <c r="U40" s="16" t="n">
        <f aca="false">Alpha_keep*A40+Q40</f>
        <v>40.28125</v>
      </c>
      <c r="V40" s="14" t="n">
        <f aca="false">INDEX(GuardBlock,36,ROUND(Q40/Step_h,0)+1)</f>
        <v>1</v>
      </c>
      <c r="W40" s="22" t="n">
        <v>0</v>
      </c>
    </row>
    <row r="41" customFormat="false" ht="15" hidden="false" customHeight="false" outlineLevel="0" collapsed="false">
      <c r="A41" s="18" t="n">
        <f aca="false">Grid!A41</f>
        <v>39</v>
      </c>
      <c r="B41" s="19" t="n">
        <v>-436.444813039576</v>
      </c>
      <c r="C41" s="14" t="n">
        <v>36</v>
      </c>
      <c r="D41" s="11" t="n">
        <f aca="false">IF(AND($C41&gt;=6,$C41&lt;=194),Declarations!$B$25*INDEX($B$5:$B$205,$C41+1-Declarations!$E$25)+Declarations!$B$26*INDEX($B$5:$B$205,$C41+1-Declarations!$E$26)+Declarations!$B$27*INDEX($B$5:$B$205,$C41+1-Declarations!$E$27)+Declarations!$B$28*INDEX($B$5:$B$205,$C41+1-Declarations!$E$28)+Declarations!$B$29*INDEX($B$5:$B$205,$C41+1-Declarations!$E$29),"")</f>
        <v>-436.557816433168</v>
      </c>
      <c r="E41" s="16" t="n">
        <f aca="false">IF(Grid!C41=1,-Cost_k*E$3-Short_p*MAX(0,Floor_c-$A41)+Beta_q*((1-(((Alpha_keep*$A41+E$3-Lo_c)/Step_c)-MAX(6,MIN(INT(((Alpha_keep*$A41+E$3-Lo_c)/Step_c)+0.00000001),193))))*INDEX($D$5:$D$205,MAX(6,MIN(INT(((Alpha_keep*$A41+E$3-Lo_c)/Step_c)+0.00000001),193))+1)+(((Alpha_keep*$A41+E$3-Lo_c)/Step_c)-MAX(6,MIN(INT(((Alpha_keep*$A41+E$3-Lo_c)/Step_c)+0.00000001),193)))*INDEX($D$5:$D$205,MAX(6,MIN(INT(((Alpha_keep*$A41+E$3-Lo_c)/Step_c)+0.00000001),193))+2)),"")</f>
        <v>-468.745892428815</v>
      </c>
      <c r="F41" s="16" t="n">
        <f aca="false">IF(Grid!D41=1,-Cost_k*F$3-Short_p*MAX(0,Floor_c-$A41)+Beta_q*((1-(((Alpha_keep*$A41+F$3-Lo_c)/Step_c)-MAX(6,MIN(INT(((Alpha_keep*$A41+F$3-Lo_c)/Step_c)+0.00000001),193))))*INDEX($D$5:$D$205,MAX(6,MIN(INT(((Alpha_keep*$A41+F$3-Lo_c)/Step_c)+0.00000001),193))+1)+(((Alpha_keep*$A41+F$3-Lo_c)/Step_c)-MAX(6,MIN(INT(((Alpha_keep*$A41+F$3-Lo_c)/Step_c)+0.00000001),193)))*INDEX($D$5:$D$205,MAX(6,MIN(INT(((Alpha_keep*$A41+F$3-Lo_c)/Step_c)+0.00000001),193))+2)),"")</f>
        <v>-465.377980746274</v>
      </c>
      <c r="G41" s="16" t="n">
        <f aca="false">IF(Grid!E41=1,-Cost_k*G$3-Short_p*MAX(0,Floor_c-$A41)+Beta_q*((1-(((Alpha_keep*$A41+G$3-Lo_c)/Step_c)-MAX(6,MIN(INT(((Alpha_keep*$A41+G$3-Lo_c)/Step_c)+0.00000001),193))))*INDEX($D$5:$D$205,MAX(6,MIN(INT(((Alpha_keep*$A41+G$3-Lo_c)/Step_c)+0.00000001),193))+1)+(((Alpha_keep*$A41+G$3-Lo_c)/Step_c)-MAX(6,MIN(INT(((Alpha_keep*$A41+G$3-Lo_c)/Step_c)+0.00000001),193)))*INDEX($D$5:$D$205,MAX(6,MIN(INT(((Alpha_keep*$A41+G$3-Lo_c)/Step_c)+0.00000001),193))+2)),"")</f>
        <v>-462.039657299161</v>
      </c>
      <c r="H41" s="16" t="n">
        <f aca="false">IF(Grid!F41=1,-Cost_k*H$3-Short_p*MAX(0,Floor_c-$A41)+Beta_q*((1-(((Alpha_keep*$A41+H$3-Lo_c)/Step_c)-MAX(6,MIN(INT(((Alpha_keep*$A41+H$3-Lo_c)/Step_c)+0.00000001),193))))*INDEX($D$5:$D$205,MAX(6,MIN(INT(((Alpha_keep*$A41+H$3-Lo_c)/Step_c)+0.00000001),193))+1)+(((Alpha_keep*$A41+H$3-Lo_c)/Step_c)-MAX(6,MIN(INT(((Alpha_keep*$A41+H$3-Lo_c)/Step_c)+0.00000001),193)))*INDEX($D$5:$D$205,MAX(6,MIN(INT(((Alpha_keep*$A41+H$3-Lo_c)/Step_c)+0.00000001),193))+2)),"")</f>
        <v>-458.73153448103</v>
      </c>
      <c r="I41" s="16" t="n">
        <f aca="false">IF(Grid!G41=1,-Cost_k*I$3-Short_p*MAX(0,Floor_c-$A41)+Beta_q*((1-(((Alpha_keep*$A41+I$3-Lo_c)/Step_c)-MAX(6,MIN(INT(((Alpha_keep*$A41+I$3-Lo_c)/Step_c)+0.00000001),193))))*INDEX($D$5:$D$205,MAX(6,MIN(INT(((Alpha_keep*$A41+I$3-Lo_c)/Step_c)+0.00000001),193))+1)+(((Alpha_keep*$A41+I$3-Lo_c)/Step_c)-MAX(6,MIN(INT(((Alpha_keep*$A41+I$3-Lo_c)/Step_c)+0.00000001),193)))*INDEX($D$5:$D$205,MAX(6,MIN(INT(((Alpha_keep*$A41+I$3-Lo_c)/Step_c)+0.00000001),193))+2)),"")</f>
        <v>-455.453623792285</v>
      </c>
      <c r="J41" s="16" t="n">
        <f aca="false">IF(Grid!H41=1,-Cost_k*J$3-Short_p*MAX(0,Floor_c-$A41)+Beta_q*((1-(((Alpha_keep*$A41+J$3-Lo_c)/Step_c)-MAX(6,MIN(INT(((Alpha_keep*$A41+J$3-Lo_c)/Step_c)+0.00000001),193))))*INDEX($D$5:$D$205,MAX(6,MIN(INT(((Alpha_keep*$A41+J$3-Lo_c)/Step_c)+0.00000001),193))+1)+(((Alpha_keep*$A41+J$3-Lo_c)/Step_c)-MAX(6,MIN(INT(((Alpha_keep*$A41+J$3-Lo_c)/Step_c)+0.00000001),193)))*INDEX($D$5:$D$205,MAX(6,MIN(INT(((Alpha_keep*$A41+J$3-Lo_c)/Step_c)+0.00000001),193))+2)),"")</f>
        <v>-452.206341390485</v>
      </c>
      <c r="K41" s="16" t="n">
        <f aca="false">IF(Grid!I41=1,-Cost_k*K$3-Short_p*MAX(0,Floor_c-$A41)+Beta_q*((1-(((Alpha_keep*$A41+K$3-Lo_c)/Step_c)-MAX(6,MIN(INT(((Alpha_keep*$A41+K$3-Lo_c)/Step_c)+0.00000001),193))))*INDEX($D$5:$D$205,MAX(6,MIN(INT(((Alpha_keep*$A41+K$3-Lo_c)/Step_c)+0.00000001),193))+1)+(((Alpha_keep*$A41+K$3-Lo_c)/Step_c)-MAX(6,MIN(INT(((Alpha_keep*$A41+K$3-Lo_c)/Step_c)+0.00000001),193)))*INDEX($D$5:$D$205,MAX(6,MIN(INT(((Alpha_keep*$A41+K$3-Lo_c)/Step_c)+0.00000001),193))+2)),"")</f>
        <v>-448.990376444121</v>
      </c>
      <c r="L41" s="16" t="n">
        <f aca="false">IF(Grid!J41=1,-Cost_k*L$3-Short_p*MAX(0,Floor_c-$A41)+Beta_q*((1-(((Alpha_keep*$A41+L$3-Lo_c)/Step_c)-MAX(6,MIN(INT(((Alpha_keep*$A41+L$3-Lo_c)/Step_c)+0.00000001),193))))*INDEX($D$5:$D$205,MAX(6,MIN(INT(((Alpha_keep*$A41+L$3-Lo_c)/Step_c)+0.00000001),193))+1)+(((Alpha_keep*$A41+L$3-Lo_c)/Step_c)-MAX(6,MIN(INT(((Alpha_keep*$A41+L$3-Lo_c)/Step_c)+0.00000001),193)))*INDEX($D$5:$D$205,MAX(6,MIN(INT(((Alpha_keep*$A41+L$3-Lo_c)/Step_c)+0.00000001),193))+2)),"")</f>
        <v>-445.805739279375</v>
      </c>
      <c r="M41" s="16" t="n">
        <f aca="false">IF(Grid!K41=1,-Cost_k*M$3-Short_p*MAX(0,Floor_c-$A41)+Beta_q*((1-(((Alpha_keep*$A41+M$3-Lo_c)/Step_c)-MAX(6,MIN(INT(((Alpha_keep*$A41+M$3-Lo_c)/Step_c)+0.00000001),193))))*INDEX($D$5:$D$205,MAX(6,MIN(INT(((Alpha_keep*$A41+M$3-Lo_c)/Step_c)+0.00000001),193))+1)+(((Alpha_keep*$A41+M$3-Lo_c)/Step_c)-MAX(6,MIN(INT(((Alpha_keep*$A41+M$3-Lo_c)/Step_c)+0.00000001),193)))*INDEX($D$5:$D$205,MAX(6,MIN(INT(((Alpha_keep*$A41+M$3-Lo_c)/Step_c)+0.00000001),193))+2)),"")</f>
        <v>-442.652856823969</v>
      </c>
      <c r="N41" s="16" t="n">
        <f aca="false">IF(Grid!L41=1,-Cost_k*N$3-Short_p*MAX(0,Floor_c-$A41)+Beta_q*((1-(((Alpha_keep*$A41+N$3-Lo_c)/Step_c)-MAX(6,MIN(INT(((Alpha_keep*$A41+N$3-Lo_c)/Step_c)+0.00000001),193))))*INDEX($D$5:$D$205,MAX(6,MIN(INT(((Alpha_keep*$A41+N$3-Lo_c)/Step_c)+0.00000001),193))+1)+(((Alpha_keep*$A41+N$3-Lo_c)/Step_c)-MAX(6,MIN(INT(((Alpha_keep*$A41+N$3-Lo_c)/Step_c)+0.00000001),193)))*INDEX($D$5:$D$205,MAX(6,MIN(INT(((Alpha_keep*$A41+N$3-Lo_c)/Step_c)+0.00000001),193))+2)),"")</f>
        <v>-439.532582744503</v>
      </c>
      <c r="O41" s="16" t="n">
        <f aca="false">IF(Grid!M41=1,-Cost_k*O$3-Short_p*MAX(0,Floor_c-$A41)+Beta_q*((1-(((Alpha_keep*$A41+O$3-Lo_c)/Step_c)-MAX(6,MIN(INT(((Alpha_keep*$A41+O$3-Lo_c)/Step_c)+0.00000001),193))))*INDEX($D$5:$D$205,MAX(6,MIN(INT(((Alpha_keep*$A41+O$3-Lo_c)/Step_c)+0.00000001),193))+1)+(((Alpha_keep*$A41+O$3-Lo_c)/Step_c)-MAX(6,MIN(INT(((Alpha_keep*$A41+O$3-Lo_c)/Step_c)+0.00000001),193)))*INDEX($D$5:$D$205,MAX(6,MIN(INT(((Alpha_keep*$A41+O$3-Lo_c)/Step_c)+0.00000001),193))+2)),"")</f>
        <v>-436.444813039576</v>
      </c>
      <c r="P41" s="11" t="n">
        <f aca="false">MAX(E41:O41)</f>
        <v>-436.444813039576</v>
      </c>
      <c r="Q41" s="12" t="n">
        <f aca="false">INDEX($E$3:$O$3,MATCH(P41,E41:O41,0))</f>
        <v>2.5</v>
      </c>
      <c r="R41" s="20" t="n">
        <v>2.5</v>
      </c>
      <c r="S41" s="14" t="n">
        <f aca="false">IF(ABS(Q41-R41)&lt;0.000000001,1,0)</f>
        <v>1</v>
      </c>
      <c r="T41" s="21" t="n">
        <f aca="false">ABS(P41-B41)</f>
        <v>0</v>
      </c>
      <c r="U41" s="16" t="n">
        <f aca="false">Alpha_keep*A41+Q41</f>
        <v>40.525</v>
      </c>
      <c r="V41" s="14" t="n">
        <f aca="false">INDEX(GuardBlock,37,ROUND(Q41/Step_h,0)+1)</f>
        <v>1</v>
      </c>
      <c r="W41" s="22" t="n">
        <v>0</v>
      </c>
    </row>
    <row r="42" customFormat="false" ht="15" hidden="false" customHeight="false" outlineLevel="0" collapsed="false">
      <c r="A42" s="18" t="n">
        <f aca="false">Grid!A42</f>
        <v>39.25</v>
      </c>
      <c r="B42" s="19" t="n">
        <v>-432.090572628235</v>
      </c>
      <c r="C42" s="14" t="n">
        <v>37</v>
      </c>
      <c r="D42" s="11" t="n">
        <f aca="false">IF(AND($C42&gt;=6,$C42&lt;=194),Declarations!$B$25*INDEX($B$5:$B$205,$C42+1-Declarations!$E$25)+Declarations!$B$26*INDEX($B$5:$B$205,$C42+1-Declarations!$E$26)+Declarations!$B$27*INDEX($B$5:$B$205,$C42+1-Declarations!$E$27)+Declarations!$B$28*INDEX($B$5:$B$205,$C42+1-Declarations!$E$28)+Declarations!$B$29*INDEX($B$5:$B$205,$C42+1-Declarations!$E$29),"")</f>
        <v>-432.204908820453</v>
      </c>
      <c r="E42" s="16" t="n">
        <f aca="false">IF(Grid!C42=1,-Cost_k*E$3-Short_p*MAX(0,Floor_c-$A42)+Beta_q*((1-(((Alpha_keep*$A42+E$3-Lo_c)/Step_c)-MAX(6,MIN(INT(((Alpha_keep*$A42+E$3-Lo_c)/Step_c)+0.00000001),193))))*INDEX($D$5:$D$205,MAX(6,MIN(INT(((Alpha_keep*$A42+E$3-Lo_c)/Step_c)+0.00000001),193))+1)+(((Alpha_keep*$A42+E$3-Lo_c)/Step_c)-MAX(6,MIN(INT(((Alpha_keep*$A42+E$3-Lo_c)/Step_c)+0.00000001),193)))*INDEX($D$5:$D$205,MAX(6,MIN(INT(((Alpha_keep*$A42+E$3-Lo_c)/Step_c)+0.00000001),193))+2)),"")</f>
        <v>-464.0865143413</v>
      </c>
      <c r="F42" s="16" t="n">
        <f aca="false">IF(Grid!D42=1,-Cost_k*F$3-Short_p*MAX(0,Floor_c-$A42)+Beta_q*((1-(((Alpha_keep*$A42+F$3-Lo_c)/Step_c)-MAX(6,MIN(INT(((Alpha_keep*$A42+F$3-Lo_c)/Step_c)+0.00000001),193))))*INDEX($D$5:$D$205,MAX(6,MIN(INT(((Alpha_keep*$A42+F$3-Lo_c)/Step_c)+0.00000001),193))+1)+(((Alpha_keep*$A42+F$3-Lo_c)/Step_c)-MAX(6,MIN(INT(((Alpha_keep*$A42+F$3-Lo_c)/Step_c)+0.00000001),193)))*INDEX($D$5:$D$205,MAX(6,MIN(INT(((Alpha_keep*$A42+F$3-Lo_c)/Step_c)+0.00000001),193))+2)),"")</f>
        <v>-460.747435805699</v>
      </c>
      <c r="G42" s="16" t="n">
        <f aca="false">IF(Grid!E42=1,-Cost_k*G$3-Short_p*MAX(0,Floor_c-$A42)+Beta_q*((1-(((Alpha_keep*$A42+G$3-Lo_c)/Step_c)-MAX(6,MIN(INT(((Alpha_keep*$A42+G$3-Lo_c)/Step_c)+0.00000001),193))))*INDEX($D$5:$D$205,MAX(6,MIN(INT(((Alpha_keep*$A42+G$3-Lo_c)/Step_c)+0.00000001),193))+1)+(((Alpha_keep*$A42+G$3-Lo_c)/Step_c)-MAX(6,MIN(INT(((Alpha_keep*$A42+G$3-Lo_c)/Step_c)+0.00000001),193)))*INDEX($D$5:$D$205,MAX(6,MIN(INT(((Alpha_keep*$A42+G$3-Lo_c)/Step_c)+0.00000001),193))+2)),"")</f>
        <v>-457.438558626717</v>
      </c>
      <c r="H42" s="16" t="n">
        <f aca="false">IF(Grid!F42=1,-Cost_k*H$3-Short_p*MAX(0,Floor_c-$A42)+Beta_q*((1-(((Alpha_keep*$A42+H$3-Lo_c)/Step_c)-MAX(6,MIN(INT(((Alpha_keep*$A42+H$3-Lo_c)/Step_c)+0.00000001),193))))*INDEX($D$5:$D$205,MAX(6,MIN(INT(((Alpha_keep*$A42+H$3-Lo_c)/Step_c)+0.00000001),193))+1)+(((Alpha_keep*$A42+H$3-Lo_c)/Step_c)-MAX(6,MIN(INT(((Alpha_keep*$A42+H$3-Lo_c)/Step_c)+0.00000001),193)))*INDEX($D$5:$D$205,MAX(6,MIN(INT(((Alpha_keep*$A42+H$3-Lo_c)/Step_c)+0.00000001),193))+2)),"")</f>
        <v>-454.159884153296</v>
      </c>
      <c r="I42" s="16" t="n">
        <f aca="false">IF(Grid!G42=1,-Cost_k*I$3-Short_p*MAX(0,Floor_c-$A42)+Beta_q*((1-(((Alpha_keep*$A42+I$3-Lo_c)/Step_c)-MAX(6,MIN(INT(((Alpha_keep*$A42+I$3-Lo_c)/Step_c)+0.00000001),193))))*INDEX($D$5:$D$205,MAX(6,MIN(INT(((Alpha_keep*$A42+I$3-Lo_c)/Step_c)+0.00000001),193))+1)+(((Alpha_keep*$A42+I$3-Lo_c)/Step_c)-MAX(6,MIN(INT(((Alpha_keep*$A42+I$3-Lo_c)/Step_c)+0.00000001),193)))*INDEX($D$5:$D$205,MAX(6,MIN(INT(((Alpha_keep*$A42+I$3-Lo_c)/Step_c)+0.00000001),193))+2)),"")</f>
        <v>-450.91181874184</v>
      </c>
      <c r="J42" s="16" t="n">
        <f aca="false">IF(Grid!H42=1,-Cost_k*J$3-Short_p*MAX(0,Floor_c-$A42)+Beta_q*((1-(((Alpha_keep*$A42+J$3-Lo_c)/Step_c)-MAX(6,MIN(INT(((Alpha_keep*$A42+J$3-Lo_c)/Step_c)+0.00000001),193))))*INDEX($D$5:$D$205,MAX(6,MIN(INT(((Alpha_keep*$A42+J$3-Lo_c)/Step_c)+0.00000001),193))+1)+(((Alpha_keep*$A42+J$3-Lo_c)/Step_c)-MAX(6,MIN(INT(((Alpha_keep*$A42+J$3-Lo_c)/Step_c)+0.00000001),193)))*INDEX($D$5:$D$205,MAX(6,MIN(INT(((Alpha_keep*$A42+J$3-Lo_c)/Step_c)+0.00000001),193))+2)),"")</f>
        <v>-447.695071518509</v>
      </c>
      <c r="K42" s="16" t="n">
        <f aca="false">IF(Grid!I42=1,-Cost_k*K$3-Short_p*MAX(0,Floor_c-$A42)+Beta_q*((1-(((Alpha_keep*$A42+K$3-Lo_c)/Step_c)-MAX(6,MIN(INT(((Alpha_keep*$A42+K$3-Lo_c)/Step_c)+0.00000001),193))))*INDEX($D$5:$D$205,MAX(6,MIN(INT(((Alpha_keep*$A42+K$3-Lo_c)/Step_c)+0.00000001),193))+1)+(((Alpha_keep*$A42+K$3-Lo_c)/Step_c)-MAX(6,MIN(INT(((Alpha_keep*$A42+K$3-Lo_c)/Step_c)+0.00000001),193)))*INDEX($D$5:$D$205,MAX(6,MIN(INT(((Alpha_keep*$A42+K$3-Lo_c)/Step_c)+0.00000001),193))+2)),"")</f>
        <v>-444.509642901069</v>
      </c>
      <c r="L42" s="16" t="n">
        <f aca="false">IF(Grid!J42=1,-Cost_k*L$3-Short_p*MAX(0,Floor_c-$A42)+Beta_q*((1-(((Alpha_keep*$A42+L$3-Lo_c)/Step_c)-MAX(6,MIN(INT(((Alpha_keep*$A42+L$3-Lo_c)/Step_c)+0.00000001),193))))*INDEX($D$5:$D$205,MAX(6,MIN(INT(((Alpha_keep*$A42+L$3-Lo_c)/Step_c)+0.00000001),193))+1)+(((Alpha_keep*$A42+L$3-Lo_c)/Step_c)-MAX(6,MIN(INT(((Alpha_keep*$A42+L$3-Lo_c)/Step_c)+0.00000001),193)))*INDEX($D$5:$D$205,MAX(6,MIN(INT(((Alpha_keep*$A42+L$3-Lo_c)/Step_c)+0.00000001),193))+2)),"")</f>
        <v>-441.355944842578</v>
      </c>
      <c r="M42" s="16" t="n">
        <f aca="false">IF(Grid!K42=1,-Cost_k*M$3-Short_p*MAX(0,Floor_c-$A42)+Beta_q*((1-(((Alpha_keep*$A42+M$3-Lo_c)/Step_c)-MAX(6,MIN(INT(((Alpha_keep*$A42+M$3-Lo_c)/Step_c)+0.00000001),193))))*INDEX($D$5:$D$205,MAX(6,MIN(INT(((Alpha_keep*$A42+M$3-Lo_c)/Step_c)+0.00000001),193))+1)+(((Alpha_keep*$A42+M$3-Lo_c)/Step_c)-MAX(6,MIN(INT(((Alpha_keep*$A42+M$3-Lo_c)/Step_c)+0.00000001),193)))*INDEX($D$5:$D$205,MAX(6,MIN(INT(((Alpha_keep*$A42+M$3-Lo_c)/Step_c)+0.00000001),193))+2)),"")</f>
        <v>-438.234859096892</v>
      </c>
      <c r="N42" s="16" t="n">
        <f aca="false">IF(Grid!L42=1,-Cost_k*N$3-Short_p*MAX(0,Floor_c-$A42)+Beta_q*((1-(((Alpha_keep*$A42+N$3-Lo_c)/Step_c)-MAX(6,MIN(INT(((Alpha_keep*$A42+N$3-Lo_c)/Step_c)+0.00000001),193))))*INDEX($D$5:$D$205,MAX(6,MIN(INT(((Alpha_keep*$A42+N$3-Lo_c)/Step_c)+0.00000001),193))+1)+(((Alpha_keep*$A42+N$3-Lo_c)/Step_c)-MAX(6,MIN(INT(((Alpha_keep*$A42+N$3-Lo_c)/Step_c)+0.00000001),193)))*INDEX($D$5:$D$205,MAX(6,MIN(INT(((Alpha_keep*$A42+N$3-Lo_c)/Step_c)+0.00000001),193))+2)),"")</f>
        <v>-435.146268294309</v>
      </c>
      <c r="O42" s="16" t="n">
        <f aca="false">IF(Grid!M42=1,-Cost_k*O$3-Short_p*MAX(0,Floor_c-$A42)+Beta_q*((1-(((Alpha_keep*$A42+O$3-Lo_c)/Step_c)-MAX(6,MIN(INT(((Alpha_keep*$A42+O$3-Lo_c)/Step_c)+0.00000001),193))))*INDEX($D$5:$D$205,MAX(6,MIN(INT(((Alpha_keep*$A42+O$3-Lo_c)/Step_c)+0.00000001),193))+1)+(((Alpha_keep*$A42+O$3-Lo_c)/Step_c)-MAX(6,MIN(INT(((Alpha_keep*$A42+O$3-Lo_c)/Step_c)+0.00000001),193)))*INDEX($D$5:$D$205,MAX(6,MIN(INT(((Alpha_keep*$A42+O$3-Lo_c)/Step_c)+0.00000001),193))+2)),"")</f>
        <v>-432.090572628235</v>
      </c>
      <c r="P42" s="11" t="n">
        <f aca="false">MAX(E42:O42)</f>
        <v>-432.090572628235</v>
      </c>
      <c r="Q42" s="12" t="n">
        <f aca="false">INDEX($E$3:$O$3,MATCH(P42,E42:O42,0))</f>
        <v>2.5</v>
      </c>
      <c r="R42" s="20" t="n">
        <v>2.5</v>
      </c>
      <c r="S42" s="14" t="n">
        <f aca="false">IF(ABS(Q42-R42)&lt;0.000000001,1,0)</f>
        <v>1</v>
      </c>
      <c r="T42" s="21" t="n">
        <f aca="false">ABS(P42-B42)</f>
        <v>0</v>
      </c>
      <c r="U42" s="16" t="n">
        <f aca="false">Alpha_keep*A42+Q42</f>
        <v>40.76875</v>
      </c>
      <c r="V42" s="14" t="n">
        <f aca="false">INDEX(GuardBlock,38,ROUND(Q42/Step_h,0)+1)</f>
        <v>1</v>
      </c>
      <c r="W42" s="22" t="n">
        <v>0</v>
      </c>
    </row>
    <row r="43" customFormat="false" ht="15" hidden="false" customHeight="false" outlineLevel="0" collapsed="false">
      <c r="A43" s="18" t="n">
        <f aca="false">Grid!A43</f>
        <v>39.5</v>
      </c>
      <c r="B43" s="19" t="n">
        <v>-427.768191201186</v>
      </c>
      <c r="C43" s="14" t="n">
        <v>38</v>
      </c>
      <c r="D43" s="11" t="n">
        <f aca="false">IF(AND($C43&gt;=6,$C43&lt;=194),Declarations!$B$25*INDEX($B$5:$B$205,$C43+1-Declarations!$E$25)+Declarations!$B$26*INDEX($B$5:$B$205,$C43+1-Declarations!$E$26)+Declarations!$B$27*INDEX($B$5:$B$205,$C43+1-Declarations!$E$27)+Declarations!$B$28*INDEX($B$5:$B$205,$C43+1-Declarations!$E$28)+Declarations!$B$29*INDEX($B$5:$B$205,$C43+1-Declarations!$E$29),"")</f>
        <v>-427.884076843976</v>
      </c>
      <c r="E43" s="16" t="n">
        <f aca="false">IF(Grid!C43=1,-Cost_k*E$3-Short_p*MAX(0,Floor_c-$A43)+Beta_q*((1-(((Alpha_keep*$A43+E$3-Lo_c)/Step_c)-MAX(6,MIN(INT(((Alpha_keep*$A43+E$3-Lo_c)/Step_c)+0.00000001),193))))*INDEX($D$5:$D$205,MAX(6,MIN(INT(((Alpha_keep*$A43+E$3-Lo_c)/Step_c)+0.00000001),193))+1)+(((Alpha_keep*$A43+E$3-Lo_c)/Step_c)-MAX(6,MIN(INT(((Alpha_keep*$A43+E$3-Lo_c)/Step_c)+0.00000001),193)))*INDEX($D$5:$D$205,MAX(6,MIN(INT(((Alpha_keep*$A43+E$3-Lo_c)/Step_c)+0.00000001),193))+2)),"")</f>
        <v>-459.455214312237</v>
      </c>
      <c r="F43" s="16" t="n">
        <f aca="false">IF(Grid!D43=1,-Cost_k*F$3-Short_p*MAX(0,Floor_c-$A43)+Beta_q*((1-(((Alpha_keep*$A43+F$3-Lo_c)/Step_c)-MAX(6,MIN(INT(((Alpha_keep*$A43+F$3-Lo_c)/Step_c)+0.00000001),193))))*INDEX($D$5:$D$205,MAX(6,MIN(INT(((Alpha_keep*$A43+F$3-Lo_c)/Step_c)+0.00000001),193))+1)+(((Alpha_keep*$A43+F$3-Lo_c)/Step_c)-MAX(6,MIN(INT(((Alpha_keep*$A43+F$3-Lo_c)/Step_c)+0.00000001),193)))*INDEX($D$5:$D$205,MAX(6,MIN(INT(((Alpha_keep*$A43+F$3-Lo_c)/Step_c)+0.00000001),193))+2)),"")</f>
        <v>-456.145582772403</v>
      </c>
      <c r="G43" s="16" t="n">
        <f aca="false">IF(Grid!E43=1,-Cost_k*G$3-Short_p*MAX(0,Floor_c-$A43)+Beta_q*((1-(((Alpha_keep*$A43+G$3-Lo_c)/Step_c)-MAX(6,MIN(INT(((Alpha_keep*$A43+G$3-Lo_c)/Step_c)+0.00000001),193))))*INDEX($D$5:$D$205,MAX(6,MIN(INT(((Alpha_keep*$A43+G$3-Lo_c)/Step_c)+0.00000001),193))+1)+(((Alpha_keep*$A43+G$3-Lo_c)/Step_c)-MAX(6,MIN(INT(((Alpha_keep*$A43+G$3-Lo_c)/Step_c)+0.00000001),193)))*INDEX($D$5:$D$205,MAX(6,MIN(INT(((Alpha_keep*$A43+G$3-Lo_c)/Step_c)+0.00000001),193))+2)),"")</f>
        <v>-452.866144514306</v>
      </c>
      <c r="H43" s="16" t="n">
        <f aca="false">IF(Grid!F43=1,-Cost_k*H$3-Short_p*MAX(0,Floor_c-$A43)+Beta_q*((1-(((Alpha_keep*$A43+H$3-Lo_c)/Step_c)-MAX(6,MIN(INT(((Alpha_keep*$A43+H$3-Lo_c)/Step_c)+0.00000001),193))))*INDEX($D$5:$D$205,MAX(6,MIN(INT(((Alpha_keep*$A43+H$3-Lo_c)/Step_c)+0.00000001),193))+1)+(((Alpha_keep*$A43+H$3-Lo_c)/Step_c)-MAX(6,MIN(INT(((Alpha_keep*$A43+H$3-Lo_c)/Step_c)+0.00000001),193)))*INDEX($D$5:$D$205,MAX(6,MIN(INT(((Alpha_keep*$A43+H$3-Lo_c)/Step_c)+0.00000001),193))+2)),"")</f>
        <v>-449.617296093196</v>
      </c>
      <c r="I43" s="16" t="n">
        <f aca="false">IF(Grid!G43=1,-Cost_k*I$3-Short_p*MAX(0,Floor_c-$A43)+Beta_q*((1-(((Alpha_keep*$A43+I$3-Lo_c)/Step_c)-MAX(6,MIN(INT(((Alpha_keep*$A43+I$3-Lo_c)/Step_c)+0.00000001),193))))*INDEX($D$5:$D$205,MAX(6,MIN(INT(((Alpha_keep*$A43+I$3-Lo_c)/Step_c)+0.00000001),193))+1)+(((Alpha_keep*$A43+I$3-Lo_c)/Step_c)-MAX(6,MIN(INT(((Alpha_keep*$A43+I$3-Lo_c)/Step_c)+0.00000001),193)))*INDEX($D$5:$D$205,MAX(6,MIN(INT(((Alpha_keep*$A43+I$3-Lo_c)/Step_c)+0.00000001),193))+2)),"")</f>
        <v>-446.399766592897</v>
      </c>
      <c r="J43" s="16" t="n">
        <f aca="false">IF(Grid!H43=1,-Cost_k*J$3-Short_p*MAX(0,Floor_c-$A43)+Beta_q*((1-(((Alpha_keep*$A43+J$3-Lo_c)/Step_c)-MAX(6,MIN(INT(((Alpha_keep*$A43+J$3-Lo_c)/Step_c)+0.00000001),193))))*INDEX($D$5:$D$205,MAX(6,MIN(INT(((Alpha_keep*$A43+J$3-Lo_c)/Step_c)+0.00000001),193))+1)+(((Alpha_keep*$A43+J$3-Lo_c)/Step_c)-MAX(6,MIN(INT(((Alpha_keep*$A43+J$3-Lo_c)/Step_c)+0.00000001),193)))*INDEX($D$5:$D$205,MAX(6,MIN(INT(((Alpha_keep*$A43+J$3-Lo_c)/Step_c)+0.00000001),193))+2)),"")</f>
        <v>-443.213546522763</v>
      </c>
      <c r="K43" s="16" t="n">
        <f aca="false">IF(Grid!I43=1,-Cost_k*K$3-Short_p*MAX(0,Floor_c-$A43)+Beta_q*((1-(((Alpha_keep*$A43+K$3-Lo_c)/Step_c)-MAX(6,MIN(INT(((Alpha_keep*$A43+K$3-Lo_c)/Step_c)+0.00000001),193))))*INDEX($D$5:$D$205,MAX(6,MIN(INT(((Alpha_keep*$A43+K$3-Lo_c)/Step_c)+0.00000001),193))+1)+(((Alpha_keep*$A43+K$3-Lo_c)/Step_c)-MAX(6,MIN(INT(((Alpha_keep*$A43+K$3-Lo_c)/Step_c)+0.00000001),193)))*INDEX($D$5:$D$205,MAX(6,MIN(INT(((Alpha_keep*$A43+K$3-Lo_c)/Step_c)+0.00000001),193))+2)),"")</f>
        <v>-440.059032861186</v>
      </c>
      <c r="L43" s="16" t="n">
        <f aca="false">IF(Grid!J43=1,-Cost_k*L$3-Short_p*MAX(0,Floor_c-$A43)+Beta_q*((1-(((Alpha_keep*$A43+L$3-Lo_c)/Step_c)-MAX(6,MIN(INT(((Alpha_keep*$A43+L$3-Lo_c)/Step_c)+0.00000001),193))))*INDEX($D$5:$D$205,MAX(6,MIN(INT(((Alpha_keep*$A43+L$3-Lo_c)/Step_c)+0.00000001),193))+1)+(((Alpha_keep*$A43+L$3-Lo_c)/Step_c)-MAX(6,MIN(INT(((Alpha_keep*$A43+L$3-Lo_c)/Step_c)+0.00000001),193)))*INDEX($D$5:$D$205,MAX(6,MIN(INT(((Alpha_keep*$A43+L$3-Lo_c)/Step_c)+0.00000001),193))+2)),"")</f>
        <v>-436.937135449281</v>
      </c>
      <c r="M43" s="16" t="n">
        <f aca="false">IF(Grid!K43=1,-Cost_k*M$3-Short_p*MAX(0,Floor_c-$A43)+Beta_q*((1-(((Alpha_keep*$A43+M$3-Lo_c)/Step_c)-MAX(6,MIN(INT(((Alpha_keep*$A43+M$3-Lo_c)/Step_c)+0.00000001),193))))*INDEX($D$5:$D$205,MAX(6,MIN(INT(((Alpha_keep*$A43+M$3-Lo_c)/Step_c)+0.00000001),193))+1)+(((Alpha_keep*$A43+M$3-Lo_c)/Step_c)-MAX(6,MIN(INT(((Alpha_keep*$A43+M$3-Lo_c)/Step_c)+0.00000001),193)))*INDEX($D$5:$D$205,MAX(6,MIN(INT(((Alpha_keep*$A43+M$3-Lo_c)/Step_c)+0.00000001),193))+2)),"")</f>
        <v>-433.847723549042</v>
      </c>
      <c r="N43" s="16" t="n">
        <f aca="false">IF(Grid!L43=1,-Cost_k*N$3-Short_p*MAX(0,Floor_c-$A43)+Beta_q*((1-(((Alpha_keep*$A43+N$3-Lo_c)/Step_c)-MAX(6,MIN(INT(((Alpha_keep*$A43+N$3-Lo_c)/Step_c)+0.00000001),193))))*INDEX($D$5:$D$205,MAX(6,MIN(INT(((Alpha_keep*$A43+N$3-Lo_c)/Step_c)+0.00000001),193))+1)+(((Alpha_keep*$A43+N$3-Lo_c)/Step_c)-MAX(6,MIN(INT(((Alpha_keep*$A43+N$3-Lo_c)/Step_c)+0.00000001),193)))*INDEX($D$5:$D$205,MAX(6,MIN(INT(((Alpha_keep*$A43+N$3-Lo_c)/Step_c)+0.00000001),193))+2)),"")</f>
        <v>-430.791189708552</v>
      </c>
      <c r="O43" s="16" t="n">
        <f aca="false">IF(Grid!M43=1,-Cost_k*O$3-Short_p*MAX(0,Floor_c-$A43)+Beta_q*((1-(((Alpha_keep*$A43+O$3-Lo_c)/Step_c)-MAX(6,MIN(INT(((Alpha_keep*$A43+O$3-Lo_c)/Step_c)+0.00000001),193))))*INDEX($D$5:$D$205,MAX(6,MIN(INT(((Alpha_keep*$A43+O$3-Lo_c)/Step_c)+0.00000001),193))+1)+(((Alpha_keep*$A43+O$3-Lo_c)/Step_c)-MAX(6,MIN(INT(((Alpha_keep*$A43+O$3-Lo_c)/Step_c)+0.00000001),193)))*INDEX($D$5:$D$205,MAX(6,MIN(INT(((Alpha_keep*$A43+O$3-Lo_c)/Step_c)+0.00000001),193))+2)),"")</f>
        <v>-427.768191201186</v>
      </c>
      <c r="P43" s="11" t="n">
        <f aca="false">MAX(E43:O43)</f>
        <v>-427.768191201186</v>
      </c>
      <c r="Q43" s="12" t="n">
        <f aca="false">INDEX($E$3:$O$3,MATCH(P43,E43:O43,0))</f>
        <v>2.5</v>
      </c>
      <c r="R43" s="20" t="n">
        <v>2.5</v>
      </c>
      <c r="S43" s="14" t="n">
        <f aca="false">IF(ABS(Q43-R43)&lt;0.000000001,1,0)</f>
        <v>1</v>
      </c>
      <c r="T43" s="21" t="n">
        <f aca="false">ABS(P43-B43)</f>
        <v>0</v>
      </c>
      <c r="U43" s="16" t="n">
        <f aca="false">Alpha_keep*A43+Q43</f>
        <v>41.0125</v>
      </c>
      <c r="V43" s="14" t="n">
        <f aca="false">INDEX(GuardBlock,39,ROUND(Q43/Step_h,0)+1)</f>
        <v>1</v>
      </c>
      <c r="W43" s="22" t="n">
        <v>0</v>
      </c>
    </row>
    <row r="44" customFormat="false" ht="15" hidden="false" customHeight="false" outlineLevel="0" collapsed="false">
      <c r="A44" s="18" t="n">
        <f aca="false">Grid!A44</f>
        <v>39.75</v>
      </c>
      <c r="B44" s="19" t="n">
        <v>-423.47782905602</v>
      </c>
      <c r="C44" s="14" t="n">
        <v>39</v>
      </c>
      <c r="D44" s="11" t="n">
        <f aca="false">IF(AND($C44&gt;=6,$C44&lt;=194),Declarations!$B$25*INDEX($B$5:$B$205,$C44+1-Declarations!$E$25)+Declarations!$B$26*INDEX($B$5:$B$205,$C44+1-Declarations!$E$26)+Declarations!$B$27*INDEX($B$5:$B$205,$C44+1-Declarations!$E$27)+Declarations!$B$28*INDEX($B$5:$B$205,$C44+1-Declarations!$E$28)+Declarations!$B$29*INDEX($B$5:$B$205,$C44+1-Declarations!$E$29),"")</f>
        <v>-423.595290489554</v>
      </c>
      <c r="E44" s="16" t="n">
        <f aca="false">IF(Grid!C44=1,-Cost_k*E$3-Short_p*MAX(0,Floor_c-$A44)+Beta_q*((1-(((Alpha_keep*$A44+E$3-Lo_c)/Step_c)-MAX(6,MIN(INT(((Alpha_keep*$A44+E$3-Lo_c)/Step_c)+0.00000001),193))))*INDEX($D$5:$D$205,MAX(6,MIN(INT(((Alpha_keep*$A44+E$3-Lo_c)/Step_c)+0.00000001),193))+1)+(((Alpha_keep*$A44+E$3-Lo_c)/Step_c)-MAX(6,MIN(INT(((Alpha_keep*$A44+E$3-Lo_c)/Step_c)+0.00000001),193)))*INDEX($D$5:$D$205,MAX(6,MIN(INT(((Alpha_keep*$A44+E$3-Lo_c)/Step_c)+0.00000001),193))+2)),"")</f>
        <v>-454.852606918089</v>
      </c>
      <c r="F44" s="16" t="n">
        <f aca="false">IF(Grid!D44=1,-Cost_k*F$3-Short_p*MAX(0,Floor_c-$A44)+Beta_q*((1-(((Alpha_keep*$A44+F$3-Lo_c)/Step_c)-MAX(6,MIN(INT(((Alpha_keep*$A44+F$3-Lo_c)/Step_c)+0.00000001),193))))*INDEX($D$5:$D$205,MAX(6,MIN(INT(((Alpha_keep*$A44+F$3-Lo_c)/Step_c)+0.00000001),193))+1)+(((Alpha_keep*$A44+F$3-Lo_c)/Step_c)-MAX(6,MIN(INT(((Alpha_keep*$A44+F$3-Lo_c)/Step_c)+0.00000001),193)))*INDEX($D$5:$D$205,MAX(6,MIN(INT(((Alpha_keep*$A44+F$3-Lo_c)/Step_c)+0.00000001),193))+2)),"")</f>
        <v>-451.572404875317</v>
      </c>
      <c r="G44" s="16" t="n">
        <f aca="false">IF(Grid!E44=1,-Cost_k*G$3-Short_p*MAX(0,Floor_c-$A44)+Beta_q*((1-(((Alpha_keep*$A44+G$3-Lo_c)/Step_c)-MAX(6,MIN(INT(((Alpha_keep*$A44+G$3-Lo_c)/Step_c)+0.00000001),193))))*INDEX($D$5:$D$205,MAX(6,MIN(INT(((Alpha_keep*$A44+G$3-Lo_c)/Step_c)+0.00000001),193))+1)+(((Alpha_keep*$A44+G$3-Lo_c)/Step_c)-MAX(6,MIN(INT(((Alpha_keep*$A44+G$3-Lo_c)/Step_c)+0.00000001),193)))*INDEX($D$5:$D$205,MAX(6,MIN(INT(((Alpha_keep*$A44+G$3-Lo_c)/Step_c)+0.00000001),193))+2)),"")</f>
        <v>-448.322773444552</v>
      </c>
      <c r="H44" s="16" t="n">
        <f aca="false">IF(Grid!F44=1,-Cost_k*H$3-Short_p*MAX(0,Floor_c-$A44)+Beta_q*((1-(((Alpha_keep*$A44+H$3-Lo_c)/Step_c)-MAX(6,MIN(INT(((Alpha_keep*$A44+H$3-Lo_c)/Step_c)+0.00000001),193))))*INDEX($D$5:$D$205,MAX(6,MIN(INT(((Alpha_keep*$A44+H$3-Lo_c)/Step_c)+0.00000001),193))+1)+(((Alpha_keep*$A44+H$3-Lo_c)/Step_c)-MAX(6,MIN(INT(((Alpha_keep*$A44+H$3-Lo_c)/Step_c)+0.00000001),193)))*INDEX($D$5:$D$205,MAX(6,MIN(INT(((Alpha_keep*$A44+H$3-Lo_c)/Step_c)+0.00000001),193))+2)),"")</f>
        <v>-445.104461667285</v>
      </c>
      <c r="I44" s="16" t="n">
        <f aca="false">IF(Grid!G44=1,-Cost_k*I$3-Short_p*MAX(0,Floor_c-$A44)+Beta_q*((1-(((Alpha_keep*$A44+I$3-Lo_c)/Step_c)-MAX(6,MIN(INT(((Alpha_keep*$A44+I$3-Lo_c)/Step_c)+0.00000001),193))))*INDEX($D$5:$D$205,MAX(6,MIN(INT(((Alpha_keep*$A44+I$3-Lo_c)/Step_c)+0.00000001),193))+1)+(((Alpha_keep*$A44+I$3-Lo_c)/Step_c)-MAX(6,MIN(INT(((Alpha_keep*$A44+I$3-Lo_c)/Step_c)+0.00000001),193)))*INDEX($D$5:$D$205,MAX(6,MIN(INT(((Alpha_keep*$A44+I$3-Lo_c)/Step_c)+0.00000001),193))+2)),"")</f>
        <v>-441.917450144456</v>
      </c>
      <c r="J44" s="16" t="n">
        <f aca="false">IF(Grid!H44=1,-Cost_k*J$3-Short_p*MAX(0,Floor_c-$A44)+Beta_q*((1-(((Alpha_keep*$A44+J$3-Lo_c)/Step_c)-MAX(6,MIN(INT(((Alpha_keep*$A44+J$3-Lo_c)/Step_c)+0.00000001),193))))*INDEX($D$5:$D$205,MAX(6,MIN(INT(((Alpha_keep*$A44+J$3-Lo_c)/Step_c)+0.00000001),193))+1)+(((Alpha_keep*$A44+J$3-Lo_c)/Step_c)-MAX(6,MIN(INT(((Alpha_keep*$A44+J$3-Lo_c)/Step_c)+0.00000001),193)))*INDEX($D$5:$D$205,MAX(6,MIN(INT(((Alpha_keep*$A44+J$3-Lo_c)/Step_c)+0.00000001),193))+2)),"")</f>
        <v>-438.762120879795</v>
      </c>
      <c r="K44" s="16" t="n">
        <f aca="false">IF(Grid!I44=1,-Cost_k*K$3-Short_p*MAX(0,Floor_c-$A44)+Beta_q*((1-(((Alpha_keep*$A44+K$3-Lo_c)/Step_c)-MAX(6,MIN(INT(((Alpha_keep*$A44+K$3-Lo_c)/Step_c)+0.00000001),193))))*INDEX($D$5:$D$205,MAX(6,MIN(INT(((Alpha_keep*$A44+K$3-Lo_c)/Step_c)+0.00000001),193))+1)+(((Alpha_keep*$A44+K$3-Lo_c)/Step_c)-MAX(6,MIN(INT(((Alpha_keep*$A44+K$3-Lo_c)/Step_c)+0.00000001),193)))*INDEX($D$5:$D$205,MAX(6,MIN(INT(((Alpha_keep*$A44+K$3-Lo_c)/Step_c)+0.00000001),193))+2)),"")</f>
        <v>-435.639411801669</v>
      </c>
      <c r="L44" s="16" t="n">
        <f aca="false">IF(Grid!J44=1,-Cost_k*L$3-Short_p*MAX(0,Floor_c-$A44)+Beta_q*((1-(((Alpha_keep*$A44+L$3-Lo_c)/Step_c)-MAX(6,MIN(INT(((Alpha_keep*$A44+L$3-Lo_c)/Step_c)+0.00000001),193))))*INDEX($D$5:$D$205,MAX(6,MIN(INT(((Alpha_keep*$A44+L$3-Lo_c)/Step_c)+0.00000001),193))+1)+(((Alpha_keep*$A44+L$3-Lo_c)/Step_c)-MAX(6,MIN(INT(((Alpha_keep*$A44+L$3-Lo_c)/Step_c)+0.00000001),193)))*INDEX($D$5:$D$205,MAX(6,MIN(INT(((Alpha_keep*$A44+L$3-Lo_c)/Step_c)+0.00000001),193))+2)),"")</f>
        <v>-432.549178803775</v>
      </c>
      <c r="M44" s="16" t="n">
        <f aca="false">IF(Grid!K44=1,-Cost_k*M$3-Short_p*MAX(0,Floor_c-$A44)+Beta_q*((1-(((Alpha_keep*$A44+M$3-Lo_c)/Step_c)-MAX(6,MIN(INT(((Alpha_keep*$A44+M$3-Lo_c)/Step_c)+0.00000001),193))))*INDEX($D$5:$D$205,MAX(6,MIN(INT(((Alpha_keep*$A44+M$3-Lo_c)/Step_c)+0.00000001),193))+1)+(((Alpha_keep*$A44+M$3-Lo_c)/Step_c)-MAX(6,MIN(INT(((Alpha_keep*$A44+M$3-Lo_c)/Step_c)+0.00000001),193)))*INDEX($D$5:$D$205,MAX(6,MIN(INT(((Alpha_keep*$A44+M$3-Lo_c)/Step_c)+0.00000001),193))+2)),"")</f>
        <v>-429.491806788869</v>
      </c>
      <c r="N44" s="16" t="n">
        <f aca="false">IF(Grid!L44=1,-Cost_k*N$3-Short_p*MAX(0,Floor_c-$A44)+Beta_q*((1-(((Alpha_keep*$A44+N$3-Lo_c)/Step_c)-MAX(6,MIN(INT(((Alpha_keep*$A44+N$3-Lo_c)/Step_c)+0.00000001),193))))*INDEX($D$5:$D$205,MAX(6,MIN(INT(((Alpha_keep*$A44+N$3-Lo_c)/Step_c)+0.00000001),193))+1)+(((Alpha_keep*$A44+N$3-Lo_c)/Step_c)-MAX(6,MIN(INT(((Alpha_keep*$A44+N$3-Lo_c)/Step_c)+0.00000001),193)))*INDEX($D$5:$D$205,MAX(6,MIN(INT(((Alpha_keep*$A44+N$3-Lo_c)/Step_c)+0.00000001),193))+2)),"")</f>
        <v>-426.46796592884</v>
      </c>
      <c r="O44" s="16" t="n">
        <f aca="false">IF(Grid!M44=1,-Cost_k*O$3-Short_p*MAX(0,Floor_c-$A44)+Beta_q*((1-(((Alpha_keep*$A44+O$3-Lo_c)/Step_c)-MAX(6,MIN(INT(((Alpha_keep*$A44+O$3-Lo_c)/Step_c)+0.00000001),193))))*INDEX($D$5:$D$205,MAX(6,MIN(INT(((Alpha_keep*$A44+O$3-Lo_c)/Step_c)+0.00000001),193))+1)+(((Alpha_keep*$A44+O$3-Lo_c)/Step_c)-MAX(6,MIN(INT(((Alpha_keep*$A44+O$3-Lo_c)/Step_c)+0.00000001),193)))*INDEX($D$5:$D$205,MAX(6,MIN(INT(((Alpha_keep*$A44+O$3-Lo_c)/Step_c)+0.00000001),193))+2)),"")</f>
        <v>-423.47782905602</v>
      </c>
      <c r="P44" s="11" t="n">
        <f aca="false">MAX(E44:O44)</f>
        <v>-423.47782905602</v>
      </c>
      <c r="Q44" s="12" t="n">
        <f aca="false">INDEX($E$3:$O$3,MATCH(P44,E44:O44,0))</f>
        <v>2.5</v>
      </c>
      <c r="R44" s="20" t="n">
        <v>2.5</v>
      </c>
      <c r="S44" s="14" t="n">
        <f aca="false">IF(ABS(Q44-R44)&lt;0.000000001,1,0)</f>
        <v>1</v>
      </c>
      <c r="T44" s="21" t="n">
        <f aca="false">ABS(P44-B44)</f>
        <v>0</v>
      </c>
      <c r="U44" s="16" t="n">
        <f aca="false">Alpha_keep*A44+Q44</f>
        <v>41.25625</v>
      </c>
      <c r="V44" s="14" t="n">
        <f aca="false">INDEX(GuardBlock,40,ROUND(Q44/Step_h,0)+1)</f>
        <v>1</v>
      </c>
      <c r="W44" s="22" t="n">
        <v>0</v>
      </c>
    </row>
    <row r="45" customFormat="false" ht="15" hidden="false" customHeight="false" outlineLevel="0" collapsed="false">
      <c r="A45" s="18" t="n">
        <f aca="false">Grid!A45</f>
        <v>40</v>
      </c>
      <c r="B45" s="19" t="n">
        <v>-419.219851777187</v>
      </c>
      <c r="C45" s="14" t="n">
        <v>40</v>
      </c>
      <c r="D45" s="11" t="n">
        <f aca="false">IF(AND($C45&gt;=6,$C45&lt;=194),Declarations!$B$25*INDEX($B$5:$B$205,$C45+1-Declarations!$E$25)+Declarations!$B$26*INDEX($B$5:$B$205,$C45+1-Declarations!$E$26)+Declarations!$B$27*INDEX($B$5:$B$205,$C45+1-Declarations!$E$27)+Declarations!$B$28*INDEX($B$5:$B$205,$C45+1-Declarations!$E$28)+Declarations!$B$29*INDEX($B$5:$B$205,$C45+1-Declarations!$E$29),"")</f>
        <v>-419.338925636677</v>
      </c>
      <c r="E45" s="16" t="n">
        <f aca="false">IF(Grid!C45=1,-Cost_k*E$3-Short_p*MAX(0,Floor_c-$A45)+Beta_q*((1-(((Alpha_keep*$A45+E$3-Lo_c)/Step_c)-MAX(6,MIN(INT(((Alpha_keep*$A45+E$3-Lo_c)/Step_c)+0.00000001),193))))*INDEX($D$5:$D$205,MAX(6,MIN(INT(((Alpha_keep*$A45+E$3-Lo_c)/Step_c)+0.00000001),193))+1)+(((Alpha_keep*$A45+E$3-Lo_c)/Step_c)-MAX(6,MIN(INT(((Alpha_keep*$A45+E$3-Lo_c)/Step_c)+0.00000001),193)))*INDEX($D$5:$D$205,MAX(6,MIN(INT(((Alpha_keep*$A45+E$3-Lo_c)/Step_c)+0.00000001),193))+2)),"")</f>
        <v>-450.278665236327</v>
      </c>
      <c r="F45" s="16" t="n">
        <f aca="false">IF(Grid!D45=1,-Cost_k*F$3-Short_p*MAX(0,Floor_c-$A45)+Beta_q*((1-(((Alpha_keep*$A45+F$3-Lo_c)/Step_c)-MAX(6,MIN(INT(((Alpha_keep*$A45+F$3-Lo_c)/Step_c)+0.00000001),193))))*INDEX($D$5:$D$205,MAX(6,MIN(INT(((Alpha_keep*$A45+F$3-Lo_c)/Step_c)+0.00000001),193))+1)+(((Alpha_keep*$A45+F$3-Lo_c)/Step_c)-MAX(6,MIN(INT(((Alpha_keep*$A45+F$3-Lo_c)/Step_c)+0.00000001),193)))*INDEX($D$5:$D$205,MAX(6,MIN(INT(((Alpha_keep*$A45+F$3-Lo_c)/Step_c)+0.00000001),193))+2)),"")</f>
        <v>-447.028250795908</v>
      </c>
      <c r="G45" s="16" t="n">
        <f aca="false">IF(Grid!E45=1,-Cost_k*G$3-Short_p*MAX(0,Floor_c-$A45)+Beta_q*((1-(((Alpha_keep*$A45+G$3-Lo_c)/Step_c)-MAX(6,MIN(INT(((Alpha_keep*$A45+G$3-Lo_c)/Step_c)+0.00000001),193))))*INDEX($D$5:$D$205,MAX(6,MIN(INT(((Alpha_keep*$A45+G$3-Lo_c)/Step_c)+0.00000001),193))+1)+(((Alpha_keep*$A45+G$3-Lo_c)/Step_c)-MAX(6,MIN(INT(((Alpha_keep*$A45+G$3-Lo_c)/Step_c)+0.00000001),193)))*INDEX($D$5:$D$205,MAX(6,MIN(INT(((Alpha_keep*$A45+G$3-Lo_c)/Step_c)+0.00000001),193))+2)),"")</f>
        <v>-443.809156741673</v>
      </c>
      <c r="H45" s="16" t="n">
        <f aca="false">IF(Grid!F45=1,-Cost_k*H$3-Short_p*MAX(0,Floor_c-$A45)+Beta_q*((1-(((Alpha_keep*$A45+H$3-Lo_c)/Step_c)-MAX(6,MIN(INT(((Alpha_keep*$A45+H$3-Lo_c)/Step_c)+0.00000001),193))))*INDEX($D$5:$D$205,MAX(6,MIN(INT(((Alpha_keep*$A45+H$3-Lo_c)/Step_c)+0.00000001),193))+1)+(((Alpha_keep*$A45+H$3-Lo_c)/Step_c)-MAX(6,MIN(INT(((Alpha_keep*$A45+H$3-Lo_c)/Step_c)+0.00000001),193)))*INDEX($D$5:$D$205,MAX(6,MIN(INT(((Alpha_keep*$A45+H$3-Lo_c)/Step_c)+0.00000001),193))+2)),"")</f>
        <v>-440.62135376615</v>
      </c>
      <c r="I45" s="16" t="n">
        <f aca="false">IF(Grid!G45=1,-Cost_k*I$3-Short_p*MAX(0,Floor_c-$A45)+Beta_q*((1-(((Alpha_keep*$A45+I$3-Lo_c)/Step_c)-MAX(6,MIN(INT(((Alpha_keep*$A45+I$3-Lo_c)/Step_c)+0.00000001),193))))*INDEX($D$5:$D$205,MAX(6,MIN(INT(((Alpha_keep*$A45+I$3-Lo_c)/Step_c)+0.00000001),193))+1)+(((Alpha_keep*$A45+I$3-Lo_c)/Step_c)-MAX(6,MIN(INT(((Alpha_keep*$A45+I$3-Lo_c)/Step_c)+0.00000001),193)))*INDEX($D$5:$D$205,MAX(6,MIN(INT(((Alpha_keep*$A45+I$3-Lo_c)/Step_c)+0.00000001),193))+2)),"")</f>
        <v>-437.465208898404</v>
      </c>
      <c r="J45" s="16" t="n">
        <f aca="false">IF(Grid!H45=1,-Cost_k*J$3-Short_p*MAX(0,Floor_c-$A45)+Beta_q*((1-(((Alpha_keep*$A45+J$3-Lo_c)/Step_c)-MAX(6,MIN(INT(((Alpha_keep*$A45+J$3-Lo_c)/Step_c)+0.00000001),193))))*INDEX($D$5:$D$205,MAX(6,MIN(INT(((Alpha_keep*$A45+J$3-Lo_c)/Step_c)+0.00000001),193))+1)+(((Alpha_keep*$A45+J$3-Lo_c)/Step_c)-MAX(6,MIN(INT(((Alpha_keep*$A45+J$3-Lo_c)/Step_c)+0.00000001),193)))*INDEX($D$5:$D$205,MAX(6,MIN(INT(((Alpha_keep*$A45+J$3-Lo_c)/Step_c)+0.00000001),193))+2)),"")</f>
        <v>-434.341688154058</v>
      </c>
      <c r="K45" s="16" t="n">
        <f aca="false">IF(Grid!I45=1,-Cost_k*K$3-Short_p*MAX(0,Floor_c-$A45)+Beta_q*((1-(((Alpha_keep*$A45+K$3-Lo_c)/Step_c)-MAX(6,MIN(INT(((Alpha_keep*$A45+K$3-Lo_c)/Step_c)+0.00000001),193))))*INDEX($D$5:$D$205,MAX(6,MIN(INT(((Alpha_keep*$A45+K$3-Lo_c)/Step_c)+0.00000001),193))+1)+(((Alpha_keep*$A45+K$3-Lo_c)/Step_c)-MAX(6,MIN(INT(((Alpha_keep*$A45+K$3-Lo_c)/Step_c)+0.00000001),193)))*INDEX($D$5:$D$205,MAX(6,MIN(INT(((Alpha_keep*$A45+K$3-Lo_c)/Step_c)+0.00000001),193))+2)),"")</f>
        <v>-431.250634058508</v>
      </c>
      <c r="L45" s="16" t="n">
        <f aca="false">IF(Grid!J45=1,-Cost_k*L$3-Short_p*MAX(0,Floor_c-$A45)+Beta_q*((1-(((Alpha_keep*$A45+L$3-Lo_c)/Step_c)-MAX(6,MIN(INT(((Alpha_keep*$A45+L$3-Lo_c)/Step_c)+0.00000001),193))))*INDEX($D$5:$D$205,MAX(6,MIN(INT(((Alpha_keep*$A45+L$3-Lo_c)/Step_c)+0.00000001),193))+1)+(((Alpha_keep*$A45+L$3-Lo_c)/Step_c)-MAX(6,MIN(INT(((Alpha_keep*$A45+L$3-Lo_c)/Step_c)+0.00000001),193)))*INDEX($D$5:$D$205,MAX(6,MIN(INT(((Alpha_keep*$A45+L$3-Lo_c)/Step_c)+0.00000001),193))+2)),"")</f>
        <v>-428.192423869187</v>
      </c>
      <c r="M45" s="16" t="n">
        <f aca="false">IF(Grid!K45=1,-Cost_k*M$3-Short_p*MAX(0,Floor_c-$A45)+Beta_q*((1-(((Alpha_keep*$A45+M$3-Lo_c)/Step_c)-MAX(6,MIN(INT(((Alpha_keep*$A45+M$3-Lo_c)/Step_c)+0.00000001),193))))*INDEX($D$5:$D$205,MAX(6,MIN(INT(((Alpha_keep*$A45+M$3-Lo_c)/Step_c)+0.00000001),193))+1)+(((Alpha_keep*$A45+M$3-Lo_c)/Step_c)-MAX(6,MIN(INT(((Alpha_keep*$A45+M$3-Lo_c)/Step_c)+0.00000001),193)))*INDEX($D$5:$D$205,MAX(6,MIN(INT(((Alpha_keep*$A45+M$3-Lo_c)/Step_c)+0.00000001),193))+2)),"")</f>
        <v>-425.167740656493</v>
      </c>
      <c r="N45" s="16" t="n">
        <f aca="false">IF(Grid!L45=1,-Cost_k*N$3-Short_p*MAX(0,Floor_c-$A45)+Beta_q*((1-(((Alpha_keep*$A45+N$3-Lo_c)/Step_c)-MAX(6,MIN(INT(((Alpha_keep*$A45+N$3-Lo_c)/Step_c)+0.00000001),193))))*INDEX($D$5:$D$205,MAX(6,MIN(INT(((Alpha_keep*$A45+N$3-Lo_c)/Step_c)+0.00000001),193))+1)+(((Alpha_keep*$A45+N$3-Lo_c)/Step_c)-MAX(6,MIN(INT(((Alpha_keep*$A45+N$3-Lo_c)/Step_c)+0.00000001),193)))*INDEX($D$5:$D$205,MAX(6,MIN(INT(((Alpha_keep*$A45+N$3-Lo_c)/Step_c)+0.00000001),193))+2)),"")</f>
        <v>-422.17675155035</v>
      </c>
      <c r="O45" s="16" t="n">
        <f aca="false">IF(Grid!M45=1,-Cost_k*O$3-Short_p*MAX(0,Floor_c-$A45)+Beta_q*((1-(((Alpha_keep*$A45+O$3-Lo_c)/Step_c)-MAX(6,MIN(INT(((Alpha_keep*$A45+O$3-Lo_c)/Step_c)+0.00000001),193))))*INDEX($D$5:$D$205,MAX(6,MIN(INT(((Alpha_keep*$A45+O$3-Lo_c)/Step_c)+0.00000001),193))+1)+(((Alpha_keep*$A45+O$3-Lo_c)/Step_c)-MAX(6,MIN(INT(((Alpha_keep*$A45+O$3-Lo_c)/Step_c)+0.00000001),193)))*INDEX($D$5:$D$205,MAX(6,MIN(INT(((Alpha_keep*$A45+O$3-Lo_c)/Step_c)+0.00000001),193))+2)),"")</f>
        <v>-419.219851777187</v>
      </c>
      <c r="P45" s="11" t="n">
        <f aca="false">MAX(E45:O45)</f>
        <v>-419.219851777187</v>
      </c>
      <c r="Q45" s="12" t="n">
        <f aca="false">INDEX($E$3:$O$3,MATCH(P45,E45:O45,0))</f>
        <v>2.5</v>
      </c>
      <c r="R45" s="20" t="n">
        <v>2.5</v>
      </c>
      <c r="S45" s="14" t="n">
        <f aca="false">IF(ABS(Q45-R45)&lt;0.000000001,1,0)</f>
        <v>1</v>
      </c>
      <c r="T45" s="21" t="n">
        <f aca="false">ABS(P45-B45)</f>
        <v>0</v>
      </c>
      <c r="U45" s="16" t="n">
        <f aca="false">Alpha_keep*A45+Q45</f>
        <v>41.5</v>
      </c>
      <c r="V45" s="14" t="n">
        <f aca="false">INDEX(GuardBlock,41,ROUND(Q45/Step_h,0)+1)</f>
        <v>1</v>
      </c>
      <c r="W45" s="22" t="n">
        <v>0</v>
      </c>
    </row>
    <row r="46" customFormat="false" ht="15" hidden="false" customHeight="false" outlineLevel="0" collapsed="false">
      <c r="A46" s="18" t="n">
        <f aca="false">Grid!A46</f>
        <v>40.25</v>
      </c>
      <c r="B46" s="19" t="n">
        <v>-414.995664017822</v>
      </c>
      <c r="C46" s="14" t="n">
        <v>41</v>
      </c>
      <c r="D46" s="11" t="n">
        <f aca="false">IF(AND($C46&gt;=6,$C46&lt;=194),Declarations!$B$25*INDEX($B$5:$B$205,$C46+1-Declarations!$E$25)+Declarations!$B$26*INDEX($B$5:$B$205,$C46+1-Declarations!$E$26)+Declarations!$B$27*INDEX($B$5:$B$205,$C46+1-Declarations!$E$27)+Declarations!$B$28*INDEX($B$5:$B$205,$C46+1-Declarations!$E$28)+Declarations!$B$29*INDEX($B$5:$B$205,$C46+1-Declarations!$E$29),"")</f>
        <v>-415.115971595169</v>
      </c>
      <c r="E46" s="16" t="n">
        <f aca="false">IF(Grid!C46=1,-Cost_k*E$3-Short_p*MAX(0,Floor_c-$A46)+Beta_q*((1-(((Alpha_keep*$A46+E$3-Lo_c)/Step_c)-MAX(6,MIN(INT(((Alpha_keep*$A46+E$3-Lo_c)/Step_c)+0.00000001),193))))*INDEX($D$5:$D$205,MAX(6,MIN(INT(((Alpha_keep*$A46+E$3-Lo_c)/Step_c)+0.00000001),193))+1)+(((Alpha_keep*$A46+E$3-Lo_c)/Step_c)-MAX(6,MIN(INT(((Alpha_keep*$A46+E$3-Lo_c)/Step_c)+0.00000001),193)))*INDEX($D$5:$D$205,MAX(6,MIN(INT(((Alpha_keep*$A46+E$3-Lo_c)/Step_c)+0.00000001),193))+2)),"")</f>
        <v>-445.734511156919</v>
      </c>
      <c r="F46" s="16" t="n">
        <f aca="false">IF(Grid!D46=1,-Cost_k*F$3-Short_p*MAX(0,Floor_c-$A46)+Beta_q*((1-(((Alpha_keep*$A46+F$3-Lo_c)/Step_c)-MAX(6,MIN(INT(((Alpha_keep*$A46+F$3-Lo_c)/Step_c)+0.00000001),193))))*INDEX($D$5:$D$205,MAX(6,MIN(INT(((Alpha_keep*$A46+F$3-Lo_c)/Step_c)+0.00000001),193))+1)+(((Alpha_keep*$A46+F$3-Lo_c)/Step_c)-MAX(6,MIN(INT(((Alpha_keep*$A46+F$3-Lo_c)/Step_c)+0.00000001),193)))*INDEX($D$5:$D$205,MAX(6,MIN(INT(((Alpha_keep*$A46+F$3-Lo_c)/Step_c)+0.00000001),193))+2)),"")</f>
        <v>-442.514634093029</v>
      </c>
      <c r="G46" s="16" t="n">
        <f aca="false">IF(Grid!E46=1,-Cost_k*G$3-Short_p*MAX(0,Floor_c-$A46)+Beta_q*((1-(((Alpha_keep*$A46+G$3-Lo_c)/Step_c)-MAX(6,MIN(INT(((Alpha_keep*$A46+G$3-Lo_c)/Step_c)+0.00000001),193))))*INDEX($D$5:$D$205,MAX(6,MIN(INT(((Alpha_keep*$A46+G$3-Lo_c)/Step_c)+0.00000001),193))+1)+(((Alpha_keep*$A46+G$3-Lo_c)/Step_c)-MAX(6,MIN(INT(((Alpha_keep*$A46+G$3-Lo_c)/Step_c)+0.00000001),193)))*INDEX($D$5:$D$205,MAX(6,MIN(INT(((Alpha_keep*$A46+G$3-Lo_c)/Step_c)+0.00000001),193))+2)),"")</f>
        <v>-439.326048840538</v>
      </c>
      <c r="H46" s="16" t="n">
        <f aca="false">IF(Grid!F46=1,-Cost_k*H$3-Short_p*MAX(0,Floor_c-$A46)+Beta_q*((1-(((Alpha_keep*$A46+H$3-Lo_c)/Step_c)-MAX(6,MIN(INT(((Alpha_keep*$A46+H$3-Lo_c)/Step_c)+0.00000001),193))))*INDEX($D$5:$D$205,MAX(6,MIN(INT(((Alpha_keep*$A46+H$3-Lo_c)/Step_c)+0.00000001),193))+1)+(((Alpha_keep*$A46+H$3-Lo_c)/Step_c)-MAX(6,MIN(INT(((Alpha_keep*$A46+H$3-Lo_c)/Step_c)+0.00000001),193)))*INDEX($D$5:$D$205,MAX(6,MIN(INT(((Alpha_keep*$A46+H$3-Lo_c)/Step_c)+0.00000001),193))+2)),"")</f>
        <v>-436.169112520097</v>
      </c>
      <c r="I46" s="16" t="n">
        <f aca="false">IF(Grid!G46=1,-Cost_k*I$3-Short_p*MAX(0,Floor_c-$A46)+Beta_q*((1-(((Alpha_keep*$A46+I$3-Lo_c)/Step_c)-MAX(6,MIN(INT(((Alpha_keep*$A46+I$3-Lo_c)/Step_c)+0.00000001),193))))*INDEX($D$5:$D$205,MAX(6,MIN(INT(((Alpha_keep*$A46+I$3-Lo_c)/Step_c)+0.00000001),193))+1)+(((Alpha_keep*$A46+I$3-Lo_c)/Step_c)-MAX(6,MIN(INT(((Alpha_keep*$A46+I$3-Lo_c)/Step_c)+0.00000001),193)))*INDEX($D$5:$D$205,MAX(6,MIN(INT(((Alpha_keep*$A46+I$3-Lo_c)/Step_c)+0.00000001),193))+2)),"")</f>
        <v>-433.044776172667</v>
      </c>
      <c r="J46" s="16" t="n">
        <f aca="false">IF(Grid!H46=1,-Cost_k*J$3-Short_p*MAX(0,Floor_c-$A46)+Beta_q*((1-(((Alpha_keep*$A46+J$3-Lo_c)/Step_c)-MAX(6,MIN(INT(((Alpha_keep*$A46+J$3-Lo_c)/Step_c)+0.00000001),193))))*INDEX($D$5:$D$205,MAX(6,MIN(INT(((Alpha_keep*$A46+J$3-Lo_c)/Step_c)+0.00000001),193))+1)+(((Alpha_keep*$A46+J$3-Lo_c)/Step_c)-MAX(6,MIN(INT(((Alpha_keep*$A46+J$3-Lo_c)/Step_c)+0.00000001),193)))*INDEX($D$5:$D$205,MAX(6,MIN(INT(((Alpha_keep*$A46+J$3-Lo_c)/Step_c)+0.00000001),193))+2)),"")</f>
        <v>-429.952910410897</v>
      </c>
      <c r="K46" s="16" t="n">
        <f aca="false">IF(Grid!I46=1,-Cost_k*K$3-Short_p*MAX(0,Floor_c-$A46)+Beta_q*((1-(((Alpha_keep*$A46+K$3-Lo_c)/Step_c)-MAX(6,MIN(INT(((Alpha_keep*$A46+K$3-Lo_c)/Step_c)+0.00000001),193))))*INDEX($D$5:$D$205,MAX(6,MIN(INT(((Alpha_keep*$A46+K$3-Lo_c)/Step_c)+0.00000001),193))+1)+(((Alpha_keep*$A46+K$3-Lo_c)/Step_c)-MAX(6,MIN(INT(((Alpha_keep*$A46+K$3-Lo_c)/Step_c)+0.00000001),193)))*INDEX($D$5:$D$205,MAX(6,MIN(INT(((Alpha_keep*$A46+K$3-Lo_c)/Step_c)+0.00000001),193))+2)),"")</f>
        <v>-426.89387912392</v>
      </c>
      <c r="L46" s="16" t="n">
        <f aca="false">IF(Grid!J46=1,-Cost_k*L$3-Short_p*MAX(0,Floor_c-$A46)+Beta_q*((1-(((Alpha_keep*$A46+L$3-Lo_c)/Step_c)-MAX(6,MIN(INT(((Alpha_keep*$A46+L$3-Lo_c)/Step_c)+0.00000001),193))))*INDEX($D$5:$D$205,MAX(6,MIN(INT(((Alpha_keep*$A46+L$3-Lo_c)/Step_c)+0.00000001),193))+1)+(((Alpha_keep*$A46+L$3-Lo_c)/Step_c)-MAX(6,MIN(INT(((Alpha_keep*$A46+L$3-Lo_c)/Step_c)+0.00000001),193)))*INDEX($D$5:$D$205,MAX(6,MIN(INT(((Alpha_keep*$A46+L$3-Lo_c)/Step_c)+0.00000001),193))+2)),"")</f>
        <v>-423.868357736811</v>
      </c>
      <c r="M46" s="16" t="n">
        <f aca="false">IF(Grid!K46=1,-Cost_k*M$3-Short_p*MAX(0,Floor_c-$A46)+Beta_q*((1-(((Alpha_keep*$A46+M$3-Lo_c)/Step_c)-MAX(6,MIN(INT(((Alpha_keep*$A46+M$3-Lo_c)/Step_c)+0.00000001),193))))*INDEX($D$5:$D$205,MAX(6,MIN(INT(((Alpha_keep*$A46+M$3-Lo_c)/Step_c)+0.00000001),193))+1)+(((Alpha_keep*$A46+M$3-Lo_c)/Step_c)-MAX(6,MIN(INT(((Alpha_keep*$A46+M$3-Lo_c)/Step_c)+0.00000001),193)))*INDEX($D$5:$D$205,MAX(6,MIN(INT(((Alpha_keep*$A46+M$3-Lo_c)/Step_c)+0.00000001),193))+2)),"")</f>
        <v>-420.876526278003</v>
      </c>
      <c r="N46" s="16" t="n">
        <f aca="false">IF(Grid!L46=1,-Cost_k*N$3-Short_p*MAX(0,Floor_c-$A46)+Beta_q*((1-(((Alpha_keep*$A46+N$3-Lo_c)/Step_c)-MAX(6,MIN(INT(((Alpha_keep*$A46+N$3-Lo_c)/Step_c)+0.00000001),193))))*INDEX($D$5:$D$205,MAX(6,MIN(INT(((Alpha_keep*$A46+N$3-Lo_c)/Step_c)+0.00000001),193))+1)+(((Alpha_keep*$A46+N$3-Lo_c)/Step_c)-MAX(6,MIN(INT(((Alpha_keep*$A46+N$3-Lo_c)/Step_c)+0.00000001),193)))*INDEX($D$5:$D$205,MAX(6,MIN(INT(((Alpha_keep*$A46+N$3-Lo_c)/Step_c)+0.00000001),193))+2)),"")</f>
        <v>-417.918774271516</v>
      </c>
      <c r="O46" s="16" t="n">
        <f aca="false">IF(Grid!M46=1,-Cost_k*O$3-Short_p*MAX(0,Floor_c-$A46)+Beta_q*((1-(((Alpha_keep*$A46+O$3-Lo_c)/Step_c)-MAX(6,MIN(INT(((Alpha_keep*$A46+O$3-Lo_c)/Step_c)+0.00000001),193))))*INDEX($D$5:$D$205,MAX(6,MIN(INT(((Alpha_keep*$A46+O$3-Lo_c)/Step_c)+0.00000001),193))+1)+(((Alpha_keep*$A46+O$3-Lo_c)/Step_c)-MAX(6,MIN(INT(((Alpha_keep*$A46+O$3-Lo_c)/Step_c)+0.00000001),193)))*INDEX($D$5:$D$205,MAX(6,MIN(INT(((Alpha_keep*$A46+O$3-Lo_c)/Step_c)+0.00000001),193))+2)),"")</f>
        <v>-414.995664017822</v>
      </c>
      <c r="P46" s="11" t="n">
        <f aca="false">MAX(E46:O46)</f>
        <v>-414.995664017822</v>
      </c>
      <c r="Q46" s="12" t="n">
        <f aca="false">INDEX($E$3:$O$3,MATCH(P46,E46:O46,0))</f>
        <v>2.5</v>
      </c>
      <c r="R46" s="20" t="n">
        <v>2.5</v>
      </c>
      <c r="S46" s="14" t="n">
        <f aca="false">IF(ABS(Q46-R46)&lt;0.000000001,1,0)</f>
        <v>1</v>
      </c>
      <c r="T46" s="21" t="n">
        <f aca="false">ABS(P46-B46)</f>
        <v>0</v>
      </c>
      <c r="U46" s="16" t="n">
        <f aca="false">Alpha_keep*A46+Q46</f>
        <v>41.74375</v>
      </c>
      <c r="V46" s="14" t="n">
        <f aca="false">INDEX(GuardBlock,42,ROUND(Q46/Step_h,0)+1)</f>
        <v>1</v>
      </c>
      <c r="W46" s="22" t="n">
        <v>0</v>
      </c>
    </row>
    <row r="47" customFormat="false" ht="15" hidden="false" customHeight="false" outlineLevel="0" collapsed="false">
      <c r="A47" s="18" t="n">
        <f aca="false">Grid!A47</f>
        <v>40.5</v>
      </c>
      <c r="B47" s="19" t="n">
        <v>-410.804706760123</v>
      </c>
      <c r="C47" s="14" t="n">
        <v>42</v>
      </c>
      <c r="D47" s="11" t="n">
        <f aca="false">IF(AND($C47&gt;=6,$C47&lt;=194),Declarations!$B$25*INDEX($B$5:$B$205,$C47+1-Declarations!$E$25)+Declarations!$B$26*INDEX($B$5:$B$205,$C47+1-Declarations!$E$26)+Declarations!$B$27*INDEX($B$5:$B$205,$C47+1-Declarations!$E$27)+Declarations!$B$28*INDEX($B$5:$B$205,$C47+1-Declarations!$E$28)+Declarations!$B$29*INDEX($B$5:$B$205,$C47+1-Declarations!$E$29),"")</f>
        <v>-410.926267093131</v>
      </c>
      <c r="E47" s="16" t="n">
        <f aca="false">IF(Grid!C47=1,-Cost_k*E$3-Short_p*MAX(0,Floor_c-$A47)+Beta_q*((1-(((Alpha_keep*$A47+E$3-Lo_c)/Step_c)-MAX(6,MIN(INT(((Alpha_keep*$A47+E$3-Lo_c)/Step_c)+0.00000001),193))))*INDEX($D$5:$D$205,MAX(6,MIN(INT(((Alpha_keep*$A47+E$3-Lo_c)/Step_c)+0.00000001),193))+1)+(((Alpha_keep*$A47+E$3-Lo_c)/Step_c)-MAX(6,MIN(INT(((Alpha_keep*$A47+E$3-Lo_c)/Step_c)+0.00000001),193)))*INDEX($D$5:$D$205,MAX(6,MIN(INT(((Alpha_keep*$A47+E$3-Lo_c)/Step_c)+0.00000001),193))+2)),"")</f>
        <v>-441.220111444385</v>
      </c>
      <c r="F47" s="16" t="n">
        <f aca="false">IF(Grid!D47=1,-Cost_k*F$3-Short_p*MAX(0,Floor_c-$A47)+Beta_q*((1-(((Alpha_keep*$A47+F$3-Lo_c)/Step_c)-MAX(6,MIN(INT(((Alpha_keep*$A47+F$3-Lo_c)/Step_c)+0.00000001),193))))*INDEX($D$5:$D$205,MAX(6,MIN(INT(((Alpha_keep*$A47+F$3-Lo_c)/Step_c)+0.00000001),193))+1)+(((Alpha_keep*$A47+F$3-Lo_c)/Step_c)-MAX(6,MIN(INT(((Alpha_keep*$A47+F$3-Lo_c)/Step_c)+0.00000001),193)))*INDEX($D$5:$D$205,MAX(6,MIN(INT(((Alpha_keep*$A47+F$3-Lo_c)/Step_c)+0.00000001),193))+2)),"")</f>
        <v>-438.030743914926</v>
      </c>
      <c r="G47" s="16" t="n">
        <f aca="false">IF(Grid!E47=1,-Cost_k*G$3-Short_p*MAX(0,Floor_c-$A47)+Beta_q*((1-(((Alpha_keep*$A47+G$3-Lo_c)/Step_c)-MAX(6,MIN(INT(((Alpha_keep*$A47+G$3-Lo_c)/Step_c)+0.00000001),193))))*INDEX($D$5:$D$205,MAX(6,MIN(INT(((Alpha_keep*$A47+G$3-Lo_c)/Step_c)+0.00000001),193))+1)+(((Alpha_keep*$A47+G$3-Lo_c)/Step_c)-MAX(6,MIN(INT(((Alpha_keep*$A47+G$3-Lo_c)/Step_c)+0.00000001),193)))*INDEX($D$5:$D$205,MAX(6,MIN(INT(((Alpha_keep*$A47+G$3-Lo_c)/Step_c)+0.00000001),193))+2)),"")</f>
        <v>-434.873016141791</v>
      </c>
      <c r="H47" s="16" t="n">
        <f aca="false">IF(Grid!F47=1,-Cost_k*H$3-Short_p*MAX(0,Floor_c-$A47)+Beta_q*((1-(((Alpha_keep*$A47+H$3-Lo_c)/Step_c)-MAX(6,MIN(INT(((Alpha_keep*$A47+H$3-Lo_c)/Step_c)+0.00000001),193))))*INDEX($D$5:$D$205,MAX(6,MIN(INT(((Alpha_keep*$A47+H$3-Lo_c)/Step_c)+0.00000001),193))+1)+(((Alpha_keep*$A47+H$3-Lo_c)/Step_c)-MAX(6,MIN(INT(((Alpha_keep*$A47+H$3-Lo_c)/Step_c)+0.00000001),193)))*INDEX($D$5:$D$205,MAX(6,MIN(INT(((Alpha_keep*$A47+H$3-Lo_c)/Step_c)+0.00000001),193))+2)),"")</f>
        <v>-431.747864191275</v>
      </c>
      <c r="I47" s="16" t="n">
        <f aca="false">IF(Grid!G47=1,-Cost_k*I$3-Short_p*MAX(0,Floor_c-$A47)+Beta_q*((1-(((Alpha_keep*$A47+I$3-Lo_c)/Step_c)-MAX(6,MIN(INT(((Alpha_keep*$A47+I$3-Lo_c)/Step_c)+0.00000001),193))))*INDEX($D$5:$D$205,MAX(6,MIN(INT(((Alpha_keep*$A47+I$3-Lo_c)/Step_c)+0.00000001),193))+1)+(((Alpha_keep*$A47+I$3-Lo_c)/Step_c)-MAX(6,MIN(INT(((Alpha_keep*$A47+I$3-Lo_c)/Step_c)+0.00000001),193)))*INDEX($D$5:$D$205,MAX(6,MIN(INT(((Alpha_keep*$A47+I$3-Lo_c)/Step_c)+0.00000001),193))+2)),"")</f>
        <v>-428.655186763285</v>
      </c>
      <c r="J47" s="16" t="n">
        <f aca="false">IF(Grid!H47=1,-Cost_k*J$3-Short_p*MAX(0,Floor_c-$A47)+Beta_q*((1-(((Alpha_keep*$A47+J$3-Lo_c)/Step_c)-MAX(6,MIN(INT(((Alpha_keep*$A47+J$3-Lo_c)/Step_c)+0.00000001),193))))*INDEX($D$5:$D$205,MAX(6,MIN(INT(((Alpha_keep*$A47+J$3-Lo_c)/Step_c)+0.00000001),193))+1)+(((Alpha_keep*$A47+J$3-Lo_c)/Step_c)-MAX(6,MIN(INT(((Alpha_keep*$A47+J$3-Lo_c)/Step_c)+0.00000001),193)))*INDEX($D$5:$D$205,MAX(6,MIN(INT(((Alpha_keep*$A47+J$3-Lo_c)/Step_c)+0.00000001),193))+2)),"")</f>
        <v>-425.595334378653</v>
      </c>
      <c r="K47" s="16" t="n">
        <f aca="false">IF(Grid!I47=1,-Cost_k*K$3-Short_p*MAX(0,Floor_c-$A47)+Beta_q*((1-(((Alpha_keep*$A47+K$3-Lo_c)/Step_c)-MAX(6,MIN(INT(((Alpha_keep*$A47+K$3-Lo_c)/Step_c)+0.00000001),193))))*INDEX($D$5:$D$205,MAX(6,MIN(INT(((Alpha_keep*$A47+K$3-Lo_c)/Step_c)+0.00000001),193))+1)+(((Alpha_keep*$A47+K$3-Lo_c)/Step_c)-MAX(6,MIN(INT(((Alpha_keep*$A47+K$3-Lo_c)/Step_c)+0.00000001),193)))*INDEX($D$5:$D$205,MAX(6,MIN(INT(((Alpha_keep*$A47+K$3-Lo_c)/Step_c)+0.00000001),193))+2)),"")</f>
        <v>-422.568974817128</v>
      </c>
      <c r="L47" s="16" t="n">
        <f aca="false">IF(Grid!J47=1,-Cost_k*L$3-Short_p*MAX(0,Floor_c-$A47)+Beta_q*((1-(((Alpha_keep*$A47+L$3-Lo_c)/Step_c)-MAX(6,MIN(INT(((Alpha_keep*$A47+L$3-Lo_c)/Step_c)+0.00000001),193))))*INDEX($D$5:$D$205,MAX(6,MIN(INT(((Alpha_keep*$A47+L$3-Lo_c)/Step_c)+0.00000001),193))+1)+(((Alpha_keep*$A47+L$3-Lo_c)/Step_c)-MAX(6,MIN(INT(((Alpha_keep*$A47+L$3-Lo_c)/Step_c)+0.00000001),193)))*INDEX($D$5:$D$205,MAX(6,MIN(INT(((Alpha_keep*$A47+L$3-Lo_c)/Step_c)+0.00000001),193))+2)),"")</f>
        <v>-419.576301005657</v>
      </c>
      <c r="M47" s="16" t="n">
        <f aca="false">IF(Grid!K47=1,-Cost_k*M$3-Short_p*MAX(0,Floor_c-$A47)+Beta_q*((1-(((Alpha_keep*$A47+M$3-Lo_c)/Step_c)-MAX(6,MIN(INT(((Alpha_keep*$A47+M$3-Lo_c)/Step_c)+0.00000001),193))))*INDEX($D$5:$D$205,MAX(6,MIN(INT(((Alpha_keep*$A47+M$3-Lo_c)/Step_c)+0.00000001),193))+1)+(((Alpha_keep*$A47+M$3-Lo_c)/Step_c)-MAX(6,MIN(INT(((Alpha_keep*$A47+M$3-Lo_c)/Step_c)+0.00000001),193)))*INDEX($D$5:$D$205,MAX(6,MIN(INT(((Alpha_keep*$A47+M$3-Lo_c)/Step_c)+0.00000001),193))+2)),"")</f>
        <v>-416.617696765845</v>
      </c>
      <c r="N47" s="16" t="n">
        <f aca="false">IF(Grid!L47=1,-Cost_k*N$3-Short_p*MAX(0,Floor_c-$A47)+Beta_q*((1-(((Alpha_keep*$A47+N$3-Lo_c)/Step_c)-MAX(6,MIN(INT(((Alpha_keep*$A47+N$3-Lo_c)/Step_c)+0.00000001),193))))*INDEX($D$5:$D$205,MAX(6,MIN(INT(((Alpha_keep*$A47+N$3-Lo_c)/Step_c)+0.00000001),193))+1)+(((Alpha_keep*$A47+N$3-Lo_c)/Step_c)-MAX(6,MIN(INT(((Alpha_keep*$A47+N$3-Lo_c)/Step_c)+0.00000001),193)))*INDEX($D$5:$D$205,MAX(6,MIN(INT(((Alpha_keep*$A47+N$3-Lo_c)/Step_c)+0.00000001),193))+2)),"")</f>
        <v>-413.693720114216</v>
      </c>
      <c r="O47" s="16" t="n">
        <f aca="false">IF(Grid!M47=1,-Cost_k*O$3-Short_p*MAX(0,Floor_c-$A47)+Beta_q*((1-(((Alpha_keep*$A47+O$3-Lo_c)/Step_c)-MAX(6,MIN(INT(((Alpha_keep*$A47+O$3-Lo_c)/Step_c)+0.00000001),193))))*INDEX($D$5:$D$205,MAX(6,MIN(INT(((Alpha_keep*$A47+O$3-Lo_c)/Step_c)+0.00000001),193))+1)+(((Alpha_keep*$A47+O$3-Lo_c)/Step_c)-MAX(6,MIN(INT(((Alpha_keep*$A47+O$3-Lo_c)/Step_c)+0.00000001),193)))*INDEX($D$5:$D$205,MAX(6,MIN(INT(((Alpha_keep*$A47+O$3-Lo_c)/Step_c)+0.00000001),193))+2)),"")</f>
        <v>-410.804706760123</v>
      </c>
      <c r="P47" s="11" t="n">
        <f aca="false">MAX(E47:O47)</f>
        <v>-410.804706760123</v>
      </c>
      <c r="Q47" s="12" t="n">
        <f aca="false">INDEX($E$3:$O$3,MATCH(P47,E47:O47,0))</f>
        <v>2.5</v>
      </c>
      <c r="R47" s="20" t="n">
        <v>2.5</v>
      </c>
      <c r="S47" s="14" t="n">
        <f aca="false">IF(ABS(Q47-R47)&lt;0.000000001,1,0)</f>
        <v>1</v>
      </c>
      <c r="T47" s="21" t="n">
        <f aca="false">ABS(P47-B47)</f>
        <v>0</v>
      </c>
      <c r="U47" s="16" t="n">
        <f aca="false">Alpha_keep*A47+Q47</f>
        <v>41.9875</v>
      </c>
      <c r="V47" s="14" t="n">
        <f aca="false">INDEX(GuardBlock,43,ROUND(Q47/Step_h,0)+1)</f>
        <v>1</v>
      </c>
      <c r="W47" s="22" t="n">
        <v>0</v>
      </c>
    </row>
    <row r="48" customFormat="false" ht="15" hidden="false" customHeight="false" outlineLevel="0" collapsed="false">
      <c r="A48" s="18" t="n">
        <f aca="false">Grid!A48</f>
        <v>40.75</v>
      </c>
      <c r="B48" s="19" t="n">
        <v>-406.647365237246</v>
      </c>
      <c r="C48" s="14" t="n">
        <v>43</v>
      </c>
      <c r="D48" s="11" t="n">
        <f aca="false">IF(AND($C48&gt;=6,$C48&lt;=194),Declarations!$B$25*INDEX($B$5:$B$205,$C48+1-Declarations!$E$25)+Declarations!$B$26*INDEX($B$5:$B$205,$C48+1-Declarations!$E$26)+Declarations!$B$27*INDEX($B$5:$B$205,$C48+1-Declarations!$E$27)+Declarations!$B$28*INDEX($B$5:$B$205,$C48+1-Declarations!$E$28)+Declarations!$B$29*INDEX($B$5:$B$205,$C48+1-Declarations!$E$29),"")</f>
        <v>-406.770198485066</v>
      </c>
      <c r="E48" s="16" t="n">
        <f aca="false">IF(Grid!C48=1,-Cost_k*E$3-Short_p*MAX(0,Floor_c-$A48)+Beta_q*((1-(((Alpha_keep*$A48+E$3-Lo_c)/Step_c)-MAX(6,MIN(INT(((Alpha_keep*$A48+E$3-Lo_c)/Step_c)+0.00000001),193))))*INDEX($D$5:$D$205,MAX(6,MIN(INT(((Alpha_keep*$A48+E$3-Lo_c)/Step_c)+0.00000001),193))+1)+(((Alpha_keep*$A48+E$3-Lo_c)/Step_c)-MAX(6,MIN(INT(((Alpha_keep*$A48+E$3-Lo_c)/Step_c)+0.00000001),193)))*INDEX($D$5:$D$205,MAX(6,MIN(INT(((Alpha_keep*$A48+E$3-Lo_c)/Step_c)+0.00000001),193))+2)),"")</f>
        <v>-436.735438989314</v>
      </c>
      <c r="F48" s="16" t="n">
        <f aca="false">IF(Grid!D48=1,-Cost_k*F$3-Short_p*MAX(0,Floor_c-$A48)+Beta_q*((1-(((Alpha_keep*$A48+F$3-Lo_c)/Step_c)-MAX(6,MIN(INT(((Alpha_keep*$A48+F$3-Lo_c)/Step_c)+0.00000001),193))))*INDEX($D$5:$D$205,MAX(6,MIN(INT(((Alpha_keep*$A48+F$3-Lo_c)/Step_c)+0.00000001),193))+1)+(((Alpha_keep*$A48+F$3-Lo_c)/Step_c)-MAX(6,MIN(INT(((Alpha_keep*$A48+F$3-Lo_c)/Step_c)+0.00000001),193)))*INDEX($D$5:$D$205,MAX(6,MIN(INT(((Alpha_keep*$A48+F$3-Lo_c)/Step_c)+0.00000001),193))+2)),"")</f>
        <v>-433.576919763485</v>
      </c>
      <c r="G48" s="16" t="n">
        <f aca="false">IF(Grid!E48=1,-Cost_k*G$3-Short_p*MAX(0,Floor_c-$A48)+Beta_q*((1-(((Alpha_keep*$A48+G$3-Lo_c)/Step_c)-MAX(6,MIN(INT(((Alpha_keep*$A48+G$3-Lo_c)/Step_c)+0.00000001),193))))*INDEX($D$5:$D$205,MAX(6,MIN(INT(((Alpha_keep*$A48+G$3-Lo_c)/Step_c)+0.00000001),193))+1)+(((Alpha_keep*$A48+G$3-Lo_c)/Step_c)-MAX(6,MIN(INT(((Alpha_keep*$A48+G$3-Lo_c)/Step_c)+0.00000001),193)))*INDEX($D$5:$D$205,MAX(6,MIN(INT(((Alpha_keep*$A48+G$3-Lo_c)/Step_c)+0.00000001),193))+2)),"")</f>
        <v>-430.450952209884</v>
      </c>
      <c r="H48" s="16" t="n">
        <f aca="false">IF(Grid!F48=1,-Cost_k*H$3-Short_p*MAX(0,Floor_c-$A48)+Beta_q*((1-(((Alpha_keep*$A48+H$3-Lo_c)/Step_c)-MAX(6,MIN(INT(((Alpha_keep*$A48+H$3-Lo_c)/Step_c)+0.00000001),193))))*INDEX($D$5:$D$205,MAX(6,MIN(INT(((Alpha_keep*$A48+H$3-Lo_c)/Step_c)+0.00000001),193))+1)+(((Alpha_keep*$A48+H$3-Lo_c)/Step_c)-MAX(6,MIN(INT(((Alpha_keep*$A48+H$3-Lo_c)/Step_c)+0.00000001),193)))*INDEX($D$5:$D$205,MAX(6,MIN(INT(((Alpha_keep*$A48+H$3-Lo_c)/Step_c)+0.00000001),193))+2)),"")</f>
        <v>-427.357463115674</v>
      </c>
      <c r="I48" s="16" t="n">
        <f aca="false">IF(Grid!G48=1,-Cost_k*I$3-Short_p*MAX(0,Floor_c-$A48)+Beta_q*((1-(((Alpha_keep*$A48+I$3-Lo_c)/Step_c)-MAX(6,MIN(INT(((Alpha_keep*$A48+I$3-Lo_c)/Step_c)+0.00000001),193))))*INDEX($D$5:$D$205,MAX(6,MIN(INT(((Alpha_keep*$A48+I$3-Lo_c)/Step_c)+0.00000001),193))+1)+(((Alpha_keep*$A48+I$3-Lo_c)/Step_c)-MAX(6,MIN(INT(((Alpha_keep*$A48+I$3-Lo_c)/Step_c)+0.00000001),193)))*INDEX($D$5:$D$205,MAX(6,MIN(INT(((Alpha_keep*$A48+I$3-Lo_c)/Step_c)+0.00000001),193))+2)),"")</f>
        <v>-424.296789633386</v>
      </c>
      <c r="J48" s="16" t="n">
        <f aca="false">IF(Grid!H48=1,-Cost_k*J$3-Short_p*MAX(0,Floor_c-$A48)+Beta_q*((1-(((Alpha_keep*$A48+J$3-Lo_c)/Step_c)-MAX(6,MIN(INT(((Alpha_keep*$A48+J$3-Lo_c)/Step_c)+0.00000001),193))))*INDEX($D$5:$D$205,MAX(6,MIN(INT(((Alpha_keep*$A48+J$3-Lo_c)/Step_c)+0.00000001),193))+1)+(((Alpha_keep*$A48+J$3-Lo_c)/Step_c)-MAX(6,MIN(INT(((Alpha_keep*$A48+J$3-Lo_c)/Step_c)+0.00000001),193)))*INDEX($D$5:$D$205,MAX(6,MIN(INT(((Alpha_keep*$A48+J$3-Lo_c)/Step_c)+0.00000001),193))+2)),"")</f>
        <v>-421.269591897445</v>
      </c>
      <c r="K48" s="16" t="n">
        <f aca="false">IF(Grid!I48=1,-Cost_k*K$3-Short_p*MAX(0,Floor_c-$A48)+Beta_q*((1-(((Alpha_keep*$A48+K$3-Lo_c)/Step_c)-MAX(6,MIN(INT(((Alpha_keep*$A48+K$3-Lo_c)/Step_c)+0.00000001),193))))*INDEX($D$5:$D$205,MAX(6,MIN(INT(((Alpha_keep*$A48+K$3-Lo_c)/Step_c)+0.00000001),193))+1)+(((Alpha_keep*$A48+K$3-Lo_c)/Step_c)-MAX(6,MIN(INT(((Alpha_keep*$A48+K$3-Lo_c)/Step_c)+0.00000001),193)))*INDEX($D$5:$D$205,MAX(6,MIN(INT(((Alpha_keep*$A48+K$3-Lo_c)/Step_c)+0.00000001),193))+2)),"")</f>
        <v>-418.27607573331</v>
      </c>
      <c r="L48" s="16" t="n">
        <f aca="false">IF(Grid!J48=1,-Cost_k*L$3-Short_p*MAX(0,Floor_c-$A48)+Beta_q*((1-(((Alpha_keep*$A48+L$3-Lo_c)/Step_c)-MAX(6,MIN(INT(((Alpha_keep*$A48+L$3-Lo_c)/Step_c)+0.00000001),193))))*INDEX($D$5:$D$205,MAX(6,MIN(INT(((Alpha_keep*$A48+L$3-Lo_c)/Step_c)+0.00000001),193))+1)+(((Alpha_keep*$A48+L$3-Lo_c)/Step_c)-MAX(6,MIN(INT(((Alpha_keep*$A48+L$3-Lo_c)/Step_c)+0.00000001),193)))*INDEX($D$5:$D$205,MAX(6,MIN(INT(((Alpha_keep*$A48+L$3-Lo_c)/Step_c)+0.00000001),193))+2)),"")</f>
        <v>-415.316619260174</v>
      </c>
      <c r="M48" s="16" t="n">
        <f aca="false">IF(Grid!K48=1,-Cost_k*M$3-Short_p*MAX(0,Floor_c-$A48)+Beta_q*((1-(((Alpha_keep*$A48+M$3-Lo_c)/Step_c)-MAX(6,MIN(INT(((Alpha_keep*$A48+M$3-Lo_c)/Step_c)+0.00000001),193))))*INDEX($D$5:$D$205,MAX(6,MIN(INT(((Alpha_keep*$A48+M$3-Lo_c)/Step_c)+0.00000001),193))+1)+(((Alpha_keep*$A48+M$3-Lo_c)/Step_c)-MAX(6,MIN(INT(((Alpha_keep*$A48+M$3-Lo_c)/Step_c)+0.00000001),193)))*INDEX($D$5:$D$205,MAX(6,MIN(INT(((Alpha_keep*$A48+M$3-Lo_c)/Step_c)+0.00000001),193))+2)),"")</f>
        <v>-412.39177621061</v>
      </c>
      <c r="N48" s="16" t="n">
        <f aca="false">IF(Grid!L48=1,-Cost_k*N$3-Short_p*MAX(0,Floor_c-$A48)+Beta_q*((1-(((Alpha_keep*$A48+N$3-Lo_c)/Step_c)-MAX(6,MIN(INT(((Alpha_keep*$A48+N$3-Lo_c)/Step_c)+0.00000001),193))))*INDEX($D$5:$D$205,MAX(6,MIN(INT(((Alpha_keep*$A48+N$3-Lo_c)/Step_c)+0.00000001),193))+1)+(((Alpha_keep*$A48+N$3-Lo_c)/Step_c)-MAX(6,MIN(INT(((Alpha_keep*$A48+N$3-Lo_c)/Step_c)+0.00000001),193)))*INDEX($D$5:$D$205,MAX(6,MIN(INT(((Alpha_keep*$A48+N$3-Lo_c)/Step_c)+0.00000001),193))+2)),"")</f>
        <v>-409.501888369631</v>
      </c>
      <c r="O48" s="16" t="n">
        <f aca="false">IF(Grid!M48=1,-Cost_k*O$3-Short_p*MAX(0,Floor_c-$A48)+Beta_q*((1-(((Alpha_keep*$A48+O$3-Lo_c)/Step_c)-MAX(6,MIN(INT(((Alpha_keep*$A48+O$3-Lo_c)/Step_c)+0.00000001),193))))*INDEX($D$5:$D$205,MAX(6,MIN(INT(((Alpha_keep*$A48+O$3-Lo_c)/Step_c)+0.00000001),193))+1)+(((Alpha_keep*$A48+O$3-Lo_c)/Step_c)-MAX(6,MIN(INT(((Alpha_keep*$A48+O$3-Lo_c)/Step_c)+0.00000001),193)))*INDEX($D$5:$D$205,MAX(6,MIN(INT(((Alpha_keep*$A48+O$3-Lo_c)/Step_c)+0.00000001),193))+2)),"")</f>
        <v>-406.647365237246</v>
      </c>
      <c r="P48" s="11" t="n">
        <f aca="false">MAX(E48:O48)</f>
        <v>-406.647365237246</v>
      </c>
      <c r="Q48" s="12" t="n">
        <f aca="false">INDEX($E$3:$O$3,MATCH(P48,E48:O48,0))</f>
        <v>2.5</v>
      </c>
      <c r="R48" s="20" t="n">
        <v>2.5</v>
      </c>
      <c r="S48" s="14" t="n">
        <f aca="false">IF(ABS(Q48-R48)&lt;0.000000001,1,0)</f>
        <v>1</v>
      </c>
      <c r="T48" s="21" t="n">
        <f aca="false">ABS(P48-B48)</f>
        <v>0</v>
      </c>
      <c r="U48" s="16" t="n">
        <f aca="false">Alpha_keep*A48+Q48</f>
        <v>42.23125</v>
      </c>
      <c r="V48" s="14" t="n">
        <f aca="false">INDEX(GuardBlock,44,ROUND(Q48/Step_h,0)+1)</f>
        <v>1</v>
      </c>
      <c r="W48" s="22" t="n">
        <v>0</v>
      </c>
    </row>
    <row r="49" customFormat="false" ht="15" hidden="false" customHeight="false" outlineLevel="0" collapsed="false">
      <c r="A49" s="18" t="n">
        <f aca="false">Grid!A49</f>
        <v>41</v>
      </c>
      <c r="B49" s="19" t="n">
        <v>-402.524147081342</v>
      </c>
      <c r="C49" s="14" t="n">
        <v>44</v>
      </c>
      <c r="D49" s="11" t="n">
        <f aca="false">IF(AND($C49&gt;=6,$C49&lt;=194),Declarations!$B$25*INDEX($B$5:$B$205,$C49+1-Declarations!$E$25)+Declarations!$B$26*INDEX($B$5:$B$205,$C49+1-Declarations!$E$26)+Declarations!$B$27*INDEX($B$5:$B$205,$C49+1-Declarations!$E$27)+Declarations!$B$28*INDEX($B$5:$B$205,$C49+1-Declarations!$E$28)+Declarations!$B$29*INDEX($B$5:$B$205,$C49+1-Declarations!$E$29),"")</f>
        <v>-402.648465312718</v>
      </c>
      <c r="E49" s="16" t="n">
        <f aca="false">IF(Grid!C49=1,-Cost_k*E$3-Short_p*MAX(0,Floor_c-$A49)+Beta_q*((1-(((Alpha_keep*$A49+E$3-Lo_c)/Step_c)-MAX(6,MIN(INT(((Alpha_keep*$A49+E$3-Lo_c)/Step_c)+0.00000001),193))))*INDEX($D$5:$D$205,MAX(6,MIN(INT(((Alpha_keep*$A49+E$3-Lo_c)/Step_c)+0.00000001),193))+1)+(((Alpha_keep*$A49+E$3-Lo_c)/Step_c)-MAX(6,MIN(INT(((Alpha_keep*$A49+E$3-Lo_c)/Step_c)+0.00000001),193)))*INDEX($D$5:$D$205,MAX(6,MIN(INT(((Alpha_keep*$A49+E$3-Lo_c)/Step_c)+0.00000001),193))+2)),"")</f>
        <v>-432.280823385178</v>
      </c>
      <c r="F49" s="16" t="n">
        <f aca="false">IF(Grid!D49=1,-Cost_k*F$3-Short_p*MAX(0,Floor_c-$A49)+Beta_q*((1-(((Alpha_keep*$A49+F$3-Lo_c)/Step_c)-MAX(6,MIN(INT(((Alpha_keep*$A49+F$3-Lo_c)/Step_c)+0.00000001),193))))*INDEX($D$5:$D$205,MAX(6,MIN(INT(((Alpha_keep*$A49+F$3-Lo_c)/Step_c)+0.00000001),193))+1)+(((Alpha_keep*$A49+F$3-Lo_c)/Step_c)-MAX(6,MIN(INT(((Alpha_keep*$A49+F$3-Lo_c)/Step_c)+0.00000001),193)))*INDEX($D$5:$D$205,MAX(6,MIN(INT(((Alpha_keep*$A49+F$3-Lo_c)/Step_c)+0.00000001),193))+2)),"")</f>
        <v>-429.154040228493</v>
      </c>
      <c r="G49" s="16" t="n">
        <f aca="false">IF(Grid!E49=1,-Cost_k*G$3-Short_p*MAX(0,Floor_c-$A49)+Beta_q*((1-(((Alpha_keep*$A49+G$3-Lo_c)/Step_c)-MAX(6,MIN(INT(((Alpha_keep*$A49+G$3-Lo_c)/Step_c)+0.00000001),193))))*INDEX($D$5:$D$205,MAX(6,MIN(INT(((Alpha_keep*$A49+G$3-Lo_c)/Step_c)+0.00000001),193))+1)+(((Alpha_keep*$A49+G$3-Lo_c)/Step_c)-MAX(6,MIN(INT(((Alpha_keep*$A49+G$3-Lo_c)/Step_c)+0.00000001),193)))*INDEX($D$5:$D$205,MAX(6,MIN(INT(((Alpha_keep*$A49+G$3-Lo_c)/Step_c)+0.00000001),193))+2)),"")</f>
        <v>-426.059739468063</v>
      </c>
      <c r="H49" s="16" t="n">
        <f aca="false">IF(Grid!F49=1,-Cost_k*H$3-Short_p*MAX(0,Floor_c-$A49)+Beta_q*((1-(((Alpha_keep*$A49+H$3-Lo_c)/Step_c)-MAX(6,MIN(INT(((Alpha_keep*$A49+H$3-Lo_c)/Step_c)+0.00000001),193))))*INDEX($D$5:$D$205,MAX(6,MIN(INT(((Alpha_keep*$A49+H$3-Lo_c)/Step_c)+0.00000001),193))+1)+(((Alpha_keep*$A49+H$3-Lo_c)/Step_c)-MAX(6,MIN(INT(((Alpha_keep*$A49+H$3-Lo_c)/Step_c)+0.00000001),193)))*INDEX($D$5:$D$205,MAX(6,MIN(INT(((Alpha_keep*$A49+H$3-Lo_c)/Step_c)+0.00000001),193))+2)),"")</f>
        <v>-422.998244888119</v>
      </c>
      <c r="I49" s="16" t="n">
        <f aca="false">IF(Grid!G49=1,-Cost_k*I$3-Short_p*MAX(0,Floor_c-$A49)+Beta_q*((1-(((Alpha_keep*$A49+I$3-Lo_c)/Step_c)-MAX(6,MIN(INT(((Alpha_keep*$A49+I$3-Lo_c)/Step_c)+0.00000001),193))))*INDEX($D$5:$D$205,MAX(6,MIN(INT(((Alpha_keep*$A49+I$3-Lo_c)/Step_c)+0.00000001),193))+1)+(((Alpha_keep*$A49+I$3-Lo_c)/Step_c)-MAX(6,MIN(INT(((Alpha_keep*$A49+I$3-Lo_c)/Step_c)+0.00000001),193)))*INDEX($D$5:$D$205,MAX(6,MIN(INT(((Alpha_keep*$A49+I$3-Lo_c)/Step_c)+0.00000001),193))+2)),"")</f>
        <v>-419.970208977762</v>
      </c>
      <c r="J49" s="16" t="n">
        <f aca="false">IF(Grid!H49=1,-Cost_k*J$3-Short_p*MAX(0,Floor_c-$A49)+Beta_q*((1-(((Alpha_keep*$A49+J$3-Lo_c)/Step_c)-MAX(6,MIN(INT(((Alpha_keep*$A49+J$3-Lo_c)/Step_c)+0.00000001),193))))*INDEX($D$5:$D$205,MAX(6,MIN(INT(((Alpha_keep*$A49+J$3-Lo_c)/Step_c)+0.00000001),193))+1)+(((Alpha_keep*$A49+J$3-Lo_c)/Step_c)-MAX(6,MIN(INT(((Alpha_keep*$A49+J$3-Lo_c)/Step_c)+0.00000001),193)))*INDEX($D$5:$D$205,MAX(6,MIN(INT(((Alpha_keep*$A49+J$3-Lo_c)/Step_c)+0.00000001),193))+2)),"")</f>
        <v>-416.975850460964</v>
      </c>
      <c r="K49" s="16" t="n">
        <f aca="false">IF(Grid!I49=1,-Cost_k*K$3-Short_p*MAX(0,Floor_c-$A49)+Beta_q*((1-(((Alpha_keep*$A49+K$3-Lo_c)/Step_c)-MAX(6,MIN(INT(((Alpha_keep*$A49+K$3-Lo_c)/Step_c)+0.00000001),193))))*INDEX($D$5:$D$205,MAX(6,MIN(INT(((Alpha_keep*$A49+K$3-Lo_c)/Step_c)+0.00000001),193))+1)+(((Alpha_keep*$A49+K$3-Lo_c)/Step_c)-MAX(6,MIN(INT(((Alpha_keep*$A49+K$3-Lo_c)/Step_c)+0.00000001),193)))*INDEX($D$5:$D$205,MAX(6,MIN(INT(((Alpha_keep*$A49+K$3-Lo_c)/Step_c)+0.00000001),193))+2)),"")</f>
        <v>-414.015541754503</v>
      </c>
      <c r="L49" s="16" t="n">
        <f aca="false">IF(Grid!J49=1,-Cost_k*L$3-Short_p*MAX(0,Floor_c-$A49)+Beta_q*((1-(((Alpha_keep*$A49+L$3-Lo_c)/Step_c)-MAX(6,MIN(INT(((Alpha_keep*$A49+L$3-Lo_c)/Step_c)+0.00000001),193))))*INDEX($D$5:$D$205,MAX(6,MIN(INT(((Alpha_keep*$A49+L$3-Lo_c)/Step_c)+0.00000001),193))+1)+(((Alpha_keep*$A49+L$3-Lo_c)/Step_c)-MAX(6,MIN(INT(((Alpha_keep*$A49+L$3-Lo_c)/Step_c)+0.00000001),193)))*INDEX($D$5:$D$205,MAX(6,MIN(INT(((Alpha_keep*$A49+L$3-Lo_c)/Step_c)+0.00000001),193))+2)),"")</f>
        <v>-411.089832307004</v>
      </c>
      <c r="M49" s="16" t="n">
        <f aca="false">IF(Grid!K49=1,-Cost_k*M$3-Short_p*MAX(0,Floor_c-$A49)+Beta_q*((1-(((Alpha_keep*$A49+M$3-Lo_c)/Step_c)-MAX(6,MIN(INT(((Alpha_keep*$A49+M$3-Lo_c)/Step_c)+0.00000001),193))))*INDEX($D$5:$D$205,MAX(6,MIN(INT(((Alpha_keep*$A49+M$3-Lo_c)/Step_c)+0.00000001),193))+1)+(((Alpha_keep*$A49+M$3-Lo_c)/Step_c)-MAX(6,MIN(INT(((Alpha_keep*$A49+M$3-Lo_c)/Step_c)+0.00000001),193)))*INDEX($D$5:$D$205,MAX(6,MIN(INT(((Alpha_keep*$A49+M$3-Lo_c)/Step_c)+0.00000001),193))+2)),"")</f>
        <v>-408.199069979139</v>
      </c>
      <c r="N49" s="16" t="n">
        <f aca="false">IF(Grid!L49=1,-Cost_k*N$3-Short_p*MAX(0,Floor_c-$A49)+Beta_q*((1-(((Alpha_keep*$A49+N$3-Lo_c)/Step_c)-MAX(6,MIN(INT(((Alpha_keep*$A49+N$3-Lo_c)/Step_c)+0.00000001),193))))*INDEX($D$5:$D$205,MAX(6,MIN(INT(((Alpha_keep*$A49+N$3-Lo_c)/Step_c)+0.00000001),193))+1)+(((Alpha_keep*$A49+N$3-Lo_c)/Step_c)-MAX(6,MIN(INT(((Alpha_keep*$A49+N$3-Lo_c)/Step_c)+0.00000001),193)))*INDEX($D$5:$D$205,MAX(6,MIN(INT(((Alpha_keep*$A49+N$3-Lo_c)/Step_c)+0.00000001),193))+2)),"")</f>
        <v>-405.343661948161</v>
      </c>
      <c r="O49" s="16" t="n">
        <f aca="false">IF(Grid!M49=1,-Cost_k*O$3-Short_p*MAX(0,Floor_c-$A49)+Beta_q*((1-(((Alpha_keep*$A49+O$3-Lo_c)/Step_c)-MAX(6,MIN(INT(((Alpha_keep*$A49+O$3-Lo_c)/Step_c)+0.00000001),193))))*INDEX($D$5:$D$205,MAX(6,MIN(INT(((Alpha_keep*$A49+O$3-Lo_c)/Step_c)+0.00000001),193))+1)+(((Alpha_keep*$A49+O$3-Lo_c)/Step_c)-MAX(6,MIN(INT(((Alpha_keep*$A49+O$3-Lo_c)/Step_c)+0.00000001),193)))*INDEX($D$5:$D$205,MAX(6,MIN(INT(((Alpha_keep*$A49+O$3-Lo_c)/Step_c)+0.00000001),193))+2)),"")</f>
        <v>-402.524147081342</v>
      </c>
      <c r="P49" s="11" t="n">
        <f aca="false">MAX(E49:O49)</f>
        <v>-402.524147081342</v>
      </c>
      <c r="Q49" s="12" t="n">
        <f aca="false">INDEX($E$3:$O$3,MATCH(P49,E49:O49,0))</f>
        <v>2.5</v>
      </c>
      <c r="R49" s="20" t="n">
        <v>2.5</v>
      </c>
      <c r="S49" s="14" t="n">
        <f aca="false">IF(ABS(Q49-R49)&lt;0.000000001,1,0)</f>
        <v>1</v>
      </c>
      <c r="T49" s="21" t="n">
        <f aca="false">ABS(P49-B49)</f>
        <v>0</v>
      </c>
      <c r="U49" s="16" t="n">
        <f aca="false">Alpha_keep*A49+Q49</f>
        <v>42.475</v>
      </c>
      <c r="V49" s="14" t="n">
        <f aca="false">INDEX(GuardBlock,45,ROUND(Q49/Step_h,0)+1)</f>
        <v>1</v>
      </c>
      <c r="W49" s="22" t="n">
        <v>0</v>
      </c>
    </row>
    <row r="50" customFormat="false" ht="15" hidden="false" customHeight="false" outlineLevel="0" collapsed="false">
      <c r="A50" s="18" t="n">
        <f aca="false">Grid!A50</f>
        <v>41.25</v>
      </c>
      <c r="B50" s="19" t="n">
        <v>-398.435411617791</v>
      </c>
      <c r="C50" s="14" t="n">
        <v>45</v>
      </c>
      <c r="D50" s="11" t="n">
        <f aca="false">IF(AND($C50&gt;=6,$C50&lt;=194),Declarations!$B$25*INDEX($B$5:$B$205,$C50+1-Declarations!$E$25)+Declarations!$B$26*INDEX($B$5:$B$205,$C50+1-Declarations!$E$26)+Declarations!$B$27*INDEX($B$5:$B$205,$C50+1-Declarations!$E$27)+Declarations!$B$28*INDEX($B$5:$B$205,$C50+1-Declarations!$E$28)+Declarations!$B$29*INDEX($B$5:$B$205,$C50+1-Declarations!$E$29),"")</f>
        <v>-398.561238736129</v>
      </c>
      <c r="E50" s="16" t="n">
        <f aca="false">IF(Grid!C50=1,-Cost_k*E$3-Short_p*MAX(0,Floor_c-$A50)+Beta_q*((1-(((Alpha_keep*$A50+E$3-Lo_c)/Step_c)-MAX(6,MIN(INT(((Alpha_keep*$A50+E$3-Lo_c)/Step_c)+0.00000001),193))))*INDEX($D$5:$D$205,MAX(6,MIN(INT(((Alpha_keep*$A50+E$3-Lo_c)/Step_c)+0.00000001),193))+1)+(((Alpha_keep*$A50+E$3-Lo_c)/Step_c)-MAX(6,MIN(INT(((Alpha_keep*$A50+E$3-Lo_c)/Step_c)+0.00000001),193)))*INDEX($D$5:$D$205,MAX(6,MIN(INT(((Alpha_keep*$A50+E$3-Lo_c)/Step_c)+0.00000001),193))+2)),"")</f>
        <v>-427.857128247101</v>
      </c>
      <c r="F50" s="16" t="n">
        <f aca="false">IF(Grid!D50=1,-Cost_k*F$3-Short_p*MAX(0,Floor_c-$A50)+Beta_q*((1-(((Alpha_keep*$A50+F$3-Lo_c)/Step_c)-MAX(6,MIN(INT(((Alpha_keep*$A50+F$3-Lo_c)/Step_c)+0.00000001),193))))*INDEX($D$5:$D$205,MAX(6,MIN(INT(((Alpha_keep*$A50+F$3-Lo_c)/Step_c)+0.00000001),193))+1)+(((Alpha_keep*$A50+F$3-Lo_c)/Step_c)-MAX(6,MIN(INT(((Alpha_keep*$A50+F$3-Lo_c)/Step_c)+0.00000001),193)))*INDEX($D$5:$D$205,MAX(6,MIN(INT(((Alpha_keep*$A50+F$3-Lo_c)/Step_c)+0.00000001),193))+2)),"")</f>
        <v>-424.762015820452</v>
      </c>
      <c r="G50" s="16" t="n">
        <f aca="false">IF(Grid!E50=1,-Cost_k*G$3-Short_p*MAX(0,Floor_c-$A50)+Beta_q*((1-(((Alpha_keep*$A50+G$3-Lo_c)/Step_c)-MAX(6,MIN(INT(((Alpha_keep*$A50+G$3-Lo_c)/Step_c)+0.00000001),193))))*INDEX($D$5:$D$205,MAX(6,MIN(INT(((Alpha_keep*$A50+G$3-Lo_c)/Step_c)+0.00000001),193))+1)+(((Alpha_keep*$A50+G$3-Lo_c)/Step_c)-MAX(6,MIN(INT(((Alpha_keep*$A50+G$3-Lo_c)/Step_c)+0.00000001),193)))*INDEX($D$5:$D$205,MAX(6,MIN(INT(((Alpha_keep*$A50+G$3-Lo_c)/Step_c)+0.00000001),193))+2)),"")</f>
        <v>-421.699700142852</v>
      </c>
      <c r="H50" s="16" t="n">
        <f aca="false">IF(Grid!F50=1,-Cost_k*H$3-Short_p*MAX(0,Floor_c-$A50)+Beta_q*((1-(((Alpha_keep*$A50+H$3-Lo_c)/Step_c)-MAX(6,MIN(INT(((Alpha_keep*$A50+H$3-Lo_c)/Step_c)+0.00000001),193))))*INDEX($D$5:$D$205,MAX(6,MIN(INT(((Alpha_keep*$A50+H$3-Lo_c)/Step_c)+0.00000001),193))+1)+(((Alpha_keep*$A50+H$3-Lo_c)/Step_c)-MAX(6,MIN(INT(((Alpha_keep*$A50+H$3-Lo_c)/Step_c)+0.00000001),193)))*INDEX($D$5:$D$205,MAX(6,MIN(INT(((Alpha_keep*$A50+H$3-Lo_c)/Step_c)+0.00000001),193))+2)),"")</f>
        <v>-418.67082605808</v>
      </c>
      <c r="I50" s="16" t="n">
        <f aca="false">IF(Grid!G50=1,-Cost_k*I$3-Short_p*MAX(0,Floor_c-$A50)+Beta_q*((1-(((Alpha_keep*$A50+I$3-Lo_c)/Step_c)-MAX(6,MIN(INT(((Alpha_keep*$A50+I$3-Lo_c)/Step_c)+0.00000001),193))))*INDEX($D$5:$D$205,MAX(6,MIN(INT(((Alpha_keep*$A50+I$3-Lo_c)/Step_c)+0.00000001),193))+1)+(((Alpha_keep*$A50+I$3-Lo_c)/Step_c)-MAX(6,MIN(INT(((Alpha_keep*$A50+I$3-Lo_c)/Step_c)+0.00000001),193)))*INDEX($D$5:$D$205,MAX(6,MIN(INT(((Alpha_keep*$A50+I$3-Lo_c)/Step_c)+0.00000001),193))+2)),"")</f>
        <v>-415.675625188617</v>
      </c>
      <c r="J50" s="16" t="n">
        <f aca="false">IF(Grid!H50=1,-Cost_k*J$3-Short_p*MAX(0,Floor_c-$A50)+Beta_q*((1-(((Alpha_keep*$A50+J$3-Lo_c)/Step_c)-MAX(6,MIN(INT(((Alpha_keep*$A50+J$3-Lo_c)/Step_c)+0.00000001),193))))*INDEX($D$5:$D$205,MAX(6,MIN(INT(((Alpha_keep*$A50+J$3-Lo_c)/Step_c)+0.00000001),193))+1)+(((Alpha_keep*$A50+J$3-Lo_c)/Step_c)-MAX(6,MIN(INT(((Alpha_keep*$A50+J$3-Lo_c)/Step_c)+0.00000001),193)))*INDEX($D$5:$D$205,MAX(6,MIN(INT(((Alpha_keep*$A50+J$3-Lo_c)/Step_c)+0.00000001),193))+2)),"")</f>
        <v>-412.714464248833</v>
      </c>
      <c r="K50" s="16" t="n">
        <f aca="false">IF(Grid!I50=1,-Cost_k*K$3-Short_p*MAX(0,Floor_c-$A50)+Beta_q*((1-(((Alpha_keep*$A50+K$3-Lo_c)/Step_c)-MAX(6,MIN(INT(((Alpha_keep*$A50+K$3-Lo_c)/Step_c)+0.00000001),193))))*INDEX($D$5:$D$205,MAX(6,MIN(INT(((Alpha_keep*$A50+K$3-Lo_c)/Step_c)+0.00000001),193))+1)+(((Alpha_keep*$A50+K$3-Lo_c)/Step_c)-MAX(6,MIN(INT(((Alpha_keep*$A50+K$3-Lo_c)/Step_c)+0.00000001),193)))*INDEX($D$5:$D$205,MAX(6,MIN(INT(((Alpha_keep*$A50+K$3-Lo_c)/Step_c)+0.00000001),193))+2)),"")</f>
        <v>-409.787888403398</v>
      </c>
      <c r="L50" s="16" t="n">
        <f aca="false">IF(Grid!J50=1,-Cost_k*L$3-Short_p*MAX(0,Floor_c-$A50)+Beta_q*((1-(((Alpha_keep*$A50+L$3-Lo_c)/Step_c)-MAX(6,MIN(INT(((Alpha_keep*$A50+L$3-Lo_c)/Step_c)+0.00000001),193))))*INDEX($D$5:$D$205,MAX(6,MIN(INT(((Alpha_keep*$A50+L$3-Lo_c)/Step_c)+0.00000001),193))+1)+(((Alpha_keep*$A50+L$3-Lo_c)/Step_c)-MAX(6,MIN(INT(((Alpha_keep*$A50+L$3-Lo_c)/Step_c)+0.00000001),193)))*INDEX($D$5:$D$205,MAX(6,MIN(INT(((Alpha_keep*$A50+L$3-Lo_c)/Step_c)+0.00000001),193))+2)),"")</f>
        <v>-406.896251588647</v>
      </c>
      <c r="M50" s="16" t="n">
        <f aca="false">IF(Grid!K50=1,-Cost_k*M$3-Short_p*MAX(0,Floor_c-$A50)+Beta_q*((1-(((Alpha_keep*$A50+M$3-Lo_c)/Step_c)-MAX(6,MIN(INT(((Alpha_keep*$A50+M$3-Lo_c)/Step_c)+0.00000001),193))))*INDEX($D$5:$D$205,MAX(6,MIN(INT(((Alpha_keep*$A50+M$3-Lo_c)/Step_c)+0.00000001),193))+1)+(((Alpha_keep*$A50+M$3-Lo_c)/Step_c)-MAX(6,MIN(INT(((Alpha_keep*$A50+M$3-Lo_c)/Step_c)+0.00000001),193)))*INDEX($D$5:$D$205,MAX(6,MIN(INT(((Alpha_keep*$A50+M$3-Lo_c)/Step_c)+0.00000001),193))+2)),"")</f>
        <v>-404.039958659076</v>
      </c>
      <c r="N50" s="16" t="n">
        <f aca="false">IF(Grid!L50=1,-Cost_k*N$3-Short_p*MAX(0,Floor_c-$A50)+Beta_q*((1-(((Alpha_keep*$A50+N$3-Lo_c)/Step_c)-MAX(6,MIN(INT(((Alpha_keep*$A50+N$3-Lo_c)/Step_c)+0.00000001),193))))*INDEX($D$5:$D$205,MAX(6,MIN(INT(((Alpha_keep*$A50+N$3-Lo_c)/Step_c)+0.00000001),193))+1)+(((Alpha_keep*$A50+N$3-Lo_c)/Step_c)-MAX(6,MIN(INT(((Alpha_keep*$A50+N$3-Lo_c)/Step_c)+0.00000001),193)))*INDEX($D$5:$D$205,MAX(6,MIN(INT(((Alpha_keep*$A50+N$3-Lo_c)/Step_c)+0.00000001),193))+2)),"")</f>
        <v>-401.219545081985</v>
      </c>
      <c r="O50" s="16" t="n">
        <f aca="false">IF(Grid!M50=1,-Cost_k*O$3-Short_p*MAX(0,Floor_c-$A50)+Beta_q*((1-(((Alpha_keep*$A50+O$3-Lo_c)/Step_c)-MAX(6,MIN(INT(((Alpha_keep*$A50+O$3-Lo_c)/Step_c)+0.00000001),193))))*INDEX($D$5:$D$205,MAX(6,MIN(INT(((Alpha_keep*$A50+O$3-Lo_c)/Step_c)+0.00000001),193))+1)+(((Alpha_keep*$A50+O$3-Lo_c)/Step_c)-MAX(6,MIN(INT(((Alpha_keep*$A50+O$3-Lo_c)/Step_c)+0.00000001),193)))*INDEX($D$5:$D$205,MAX(6,MIN(INT(((Alpha_keep*$A50+O$3-Lo_c)/Step_c)+0.00000001),193))+2)),"")</f>
        <v>-398.435411617791</v>
      </c>
      <c r="P50" s="11" t="n">
        <f aca="false">MAX(E50:O50)</f>
        <v>-398.435411617791</v>
      </c>
      <c r="Q50" s="12" t="n">
        <f aca="false">INDEX($E$3:$O$3,MATCH(P50,E50:O50,0))</f>
        <v>2.5</v>
      </c>
      <c r="R50" s="20" t="n">
        <v>2.5</v>
      </c>
      <c r="S50" s="14" t="n">
        <f aca="false">IF(ABS(Q50-R50)&lt;0.000000001,1,0)</f>
        <v>1</v>
      </c>
      <c r="T50" s="21" t="n">
        <f aca="false">ABS(P50-B50)</f>
        <v>0</v>
      </c>
      <c r="U50" s="16" t="n">
        <f aca="false">Alpha_keep*A50+Q50</f>
        <v>42.71875</v>
      </c>
      <c r="V50" s="14" t="n">
        <f aca="false">INDEX(GuardBlock,46,ROUND(Q50/Step_h,0)+1)</f>
        <v>1</v>
      </c>
      <c r="W50" s="22" t="n">
        <v>0</v>
      </c>
    </row>
    <row r="51" customFormat="false" ht="15" hidden="false" customHeight="false" outlineLevel="0" collapsed="false">
      <c r="A51" s="18" t="n">
        <f aca="false">Grid!A51</f>
        <v>41.5</v>
      </c>
      <c r="B51" s="19" t="n">
        <v>-394.381562712994</v>
      </c>
      <c r="C51" s="14" t="n">
        <v>46</v>
      </c>
      <c r="D51" s="11" t="n">
        <f aca="false">IF(AND($C51&gt;=6,$C51&lt;=194),Declarations!$B$25*INDEX($B$5:$B$205,$C51+1-Declarations!$E$25)+Declarations!$B$26*INDEX($B$5:$B$205,$C51+1-Declarations!$E$26)+Declarations!$B$27*INDEX($B$5:$B$205,$C51+1-Declarations!$E$27)+Declarations!$B$28*INDEX($B$5:$B$205,$C51+1-Declarations!$E$28)+Declarations!$B$29*INDEX($B$5:$B$205,$C51+1-Declarations!$E$29),"")</f>
        <v>-394.508923512098</v>
      </c>
      <c r="E51" s="16" t="n">
        <f aca="false">IF(Grid!C51=1,-Cost_k*E$3-Short_p*MAX(0,Floor_c-$A51)+Beta_q*((1-(((Alpha_keep*$A51+E$3-Lo_c)/Step_c)-MAX(6,MIN(INT(((Alpha_keep*$A51+E$3-Lo_c)/Step_c)+0.00000001),193))))*INDEX($D$5:$D$205,MAX(6,MIN(INT(((Alpha_keep*$A51+E$3-Lo_c)/Step_c)+0.00000001),193))+1)+(((Alpha_keep*$A51+E$3-Lo_c)/Step_c)-MAX(6,MIN(INT(((Alpha_keep*$A51+E$3-Lo_c)/Step_c)+0.00000001),193)))*INDEX($D$5:$D$205,MAX(6,MIN(INT(((Alpha_keep*$A51+E$3-Lo_c)/Step_c)+0.00000001),193))+2)),"")</f>
        <v>-423.46429217284</v>
      </c>
      <c r="F51" s="16" t="n">
        <f aca="false">IF(Grid!D51=1,-Cost_k*F$3-Short_p*MAX(0,Floor_c-$A51)+Beta_q*((1-(((Alpha_keep*$A51+F$3-Lo_c)/Step_c)-MAX(6,MIN(INT(((Alpha_keep*$A51+F$3-Lo_c)/Step_c)+0.00000001),193))))*INDEX($D$5:$D$205,MAX(6,MIN(INT(((Alpha_keep*$A51+F$3-Lo_c)/Step_c)+0.00000001),193))+1)+(((Alpha_keep*$A51+F$3-Lo_c)/Step_c)-MAX(6,MIN(INT(((Alpha_keep*$A51+F$3-Lo_c)/Step_c)+0.00000001),193)))*INDEX($D$5:$D$205,MAX(6,MIN(INT(((Alpha_keep*$A51+F$3-Lo_c)/Step_c)+0.00000001),193))+2)),"")</f>
        <v>-420.401155397585</v>
      </c>
      <c r="G51" s="16" t="n">
        <f aca="false">IF(Grid!E51=1,-Cost_k*G$3-Short_p*MAX(0,Floor_c-$A51)+Beta_q*((1-(((Alpha_keep*$A51+G$3-Lo_c)/Step_c)-MAX(6,MIN(INT(((Alpha_keep*$A51+G$3-Lo_c)/Step_c)+0.00000001),193))))*INDEX($D$5:$D$205,MAX(6,MIN(INT(((Alpha_keep*$A51+G$3-Lo_c)/Step_c)+0.00000001),193))+1)+(((Alpha_keep*$A51+G$3-Lo_c)/Step_c)-MAX(6,MIN(INT(((Alpha_keep*$A51+G$3-Lo_c)/Step_c)+0.00000001),193)))*INDEX($D$5:$D$205,MAX(6,MIN(INT(((Alpha_keep*$A51+G$3-Lo_c)/Step_c)+0.00000001),193))+2)),"")</f>
        <v>-417.371443138397</v>
      </c>
      <c r="H51" s="16" t="n">
        <f aca="false">IF(Grid!F51=1,-Cost_k*H$3-Short_p*MAX(0,Floor_c-$A51)+Beta_q*((1-(((Alpha_keep*$A51+H$3-Lo_c)/Step_c)-MAX(6,MIN(INT(((Alpha_keep*$A51+H$3-Lo_c)/Step_c)+0.00000001),193))))*INDEX($D$5:$D$205,MAX(6,MIN(INT(((Alpha_keep*$A51+H$3-Lo_c)/Step_c)+0.00000001),193))+1)+(((Alpha_keep*$A51+H$3-Lo_c)/Step_c)-MAX(6,MIN(INT(((Alpha_keep*$A51+H$3-Lo_c)/Step_c)+0.00000001),193)))*INDEX($D$5:$D$205,MAX(6,MIN(INT(((Alpha_keep*$A51+H$3-Lo_c)/Step_c)+0.00000001),193))+2)),"")</f>
        <v>-414.375399916271</v>
      </c>
      <c r="I51" s="16" t="n">
        <f aca="false">IF(Grid!G51=1,-Cost_k*I$3-Short_p*MAX(0,Floor_c-$A51)+Beta_q*((1-(((Alpha_keep*$A51+I$3-Lo_c)/Step_c)-MAX(6,MIN(INT(((Alpha_keep*$A51+I$3-Lo_c)/Step_c)+0.00000001),193))))*INDEX($D$5:$D$205,MAX(6,MIN(INT(((Alpha_keep*$A51+I$3-Lo_c)/Step_c)+0.00000001),193))+1)+(((Alpha_keep*$A51+I$3-Lo_c)/Step_c)-MAX(6,MIN(INT(((Alpha_keep*$A51+I$3-Lo_c)/Step_c)+0.00000001),193)))*INDEX($D$5:$D$205,MAX(6,MIN(INT(((Alpha_keep*$A51+I$3-Lo_c)/Step_c)+0.00000001),193))+2)),"")</f>
        <v>-411.413386743162</v>
      </c>
      <c r="J51" s="16" t="n">
        <f aca="false">IF(Grid!H51=1,-Cost_k*J$3-Short_p*MAX(0,Floor_c-$A51)+Beta_q*((1-(((Alpha_keep*$A51+J$3-Lo_c)/Step_c)-MAX(6,MIN(INT(((Alpha_keep*$A51+J$3-Lo_c)/Step_c)+0.00000001),193))))*INDEX($D$5:$D$205,MAX(6,MIN(INT(((Alpha_keep*$A51+J$3-Lo_c)/Step_c)+0.00000001),193))+1)+(((Alpha_keep*$A51+J$3-Lo_c)/Step_c)-MAX(6,MIN(INT(((Alpha_keep*$A51+J$3-Lo_c)/Step_c)+0.00000001),193)))*INDEX($D$5:$D$205,MAX(6,MIN(INT(((Alpha_keep*$A51+J$3-Lo_c)/Step_c)+0.00000001),193))+2)),"")</f>
        <v>-408.485944499792</v>
      </c>
      <c r="K51" s="16" t="n">
        <f aca="false">IF(Grid!I51=1,-Cost_k*K$3-Short_p*MAX(0,Floor_c-$A51)+Beta_q*((1-(((Alpha_keep*$A51+K$3-Lo_c)/Step_c)-MAX(6,MIN(INT(((Alpha_keep*$A51+K$3-Lo_c)/Step_c)+0.00000001),193))))*INDEX($D$5:$D$205,MAX(6,MIN(INT(((Alpha_keep*$A51+K$3-Lo_c)/Step_c)+0.00000001),193))+1)+(((Alpha_keep*$A51+K$3-Lo_c)/Step_c)-MAX(6,MIN(INT(((Alpha_keep*$A51+K$3-Lo_c)/Step_c)+0.00000001),193)))*INDEX($D$5:$D$205,MAX(6,MIN(INT(((Alpha_keep*$A51+K$3-Lo_c)/Step_c)+0.00000001),193))+2)),"")</f>
        <v>-405.593433198155</v>
      </c>
      <c r="L51" s="16" t="n">
        <f aca="false">IF(Grid!J51=1,-Cost_k*L$3-Short_p*MAX(0,Floor_c-$A51)+Beta_q*((1-(((Alpha_keep*$A51+L$3-Lo_c)/Step_c)-MAX(6,MIN(INT(((Alpha_keep*$A51+L$3-Lo_c)/Step_c)+0.00000001),193))))*INDEX($D$5:$D$205,MAX(6,MIN(INT(((Alpha_keep*$A51+L$3-Lo_c)/Step_c)+0.00000001),193))+1)+(((Alpha_keep*$A51+L$3-Lo_c)/Step_c)-MAX(6,MIN(INT(((Alpha_keep*$A51+L$3-Lo_c)/Step_c)+0.00000001),193)))*INDEX($D$5:$D$205,MAX(6,MIN(INT(((Alpha_keep*$A51+L$3-Lo_c)/Step_c)+0.00000001),193))+2)),"")</f>
        <v>-402.736255369991</v>
      </c>
      <c r="M51" s="16" t="n">
        <f aca="false">IF(Grid!K51=1,-Cost_k*M$3-Short_p*MAX(0,Floor_c-$A51)+Beta_q*((1-(((Alpha_keep*$A51+M$3-Lo_c)/Step_c)-MAX(6,MIN(INT(((Alpha_keep*$A51+M$3-Lo_c)/Step_c)+0.00000001),193))))*INDEX($D$5:$D$205,MAX(6,MIN(INT(((Alpha_keep*$A51+M$3-Lo_c)/Step_c)+0.00000001),193))+1)+(((Alpha_keep*$A51+M$3-Lo_c)/Step_c)-MAX(6,MIN(INT(((Alpha_keep*$A51+M$3-Lo_c)/Step_c)+0.00000001),193)))*INDEX($D$5:$D$205,MAX(6,MIN(INT(((Alpha_keep*$A51+M$3-Lo_c)/Step_c)+0.00000001),193))+2)),"")</f>
        <v>-399.914943082629</v>
      </c>
      <c r="N51" s="16" t="n">
        <f aca="false">IF(Grid!L51=1,-Cost_k*N$3-Short_p*MAX(0,Floor_c-$A51)+Beta_q*((1-(((Alpha_keep*$A51+N$3-Lo_c)/Step_c)-MAX(6,MIN(INT(((Alpha_keep*$A51+N$3-Lo_c)/Step_c)+0.00000001),193))))*INDEX($D$5:$D$205,MAX(6,MIN(INT(((Alpha_keep*$A51+N$3-Lo_c)/Step_c)+0.00000001),193))+1)+(((Alpha_keep*$A51+N$3-Lo_c)/Step_c)-MAX(6,MIN(INT(((Alpha_keep*$A51+N$3-Lo_c)/Step_c)+0.00000001),193)))*INDEX($D$5:$D$205,MAX(6,MIN(INT(((Alpha_keep*$A51+N$3-Lo_c)/Step_c)+0.00000001),193))+2)),"")</f>
        <v>-397.129901430961</v>
      </c>
      <c r="O51" s="16" t="n">
        <f aca="false">IF(Grid!M51=1,-Cost_k*O$3-Short_p*MAX(0,Floor_c-$A51)+Beta_q*((1-(((Alpha_keep*$A51+O$3-Lo_c)/Step_c)-MAX(6,MIN(INT(((Alpha_keep*$A51+O$3-Lo_c)/Step_c)+0.00000001),193))))*INDEX($D$5:$D$205,MAX(6,MIN(INT(((Alpha_keep*$A51+O$3-Lo_c)/Step_c)+0.00000001),193))+1)+(((Alpha_keep*$A51+O$3-Lo_c)/Step_c)-MAX(6,MIN(INT(((Alpha_keep*$A51+O$3-Lo_c)/Step_c)+0.00000001),193)))*INDEX($D$5:$D$205,MAX(6,MIN(INT(((Alpha_keep*$A51+O$3-Lo_c)/Step_c)+0.00000001),193))+2)),"")</f>
        <v>-394.381562712994</v>
      </c>
      <c r="P51" s="11" t="n">
        <f aca="false">MAX(E51:O51)</f>
        <v>-394.381562712994</v>
      </c>
      <c r="Q51" s="12" t="n">
        <f aca="false">INDEX($E$3:$O$3,MATCH(P51,E51:O51,0))</f>
        <v>2.5</v>
      </c>
      <c r="R51" s="20" t="n">
        <v>2.5</v>
      </c>
      <c r="S51" s="14" t="n">
        <f aca="false">IF(ABS(Q51-R51)&lt;0.000000001,1,0)</f>
        <v>1</v>
      </c>
      <c r="T51" s="21" t="n">
        <f aca="false">ABS(P51-B51)</f>
        <v>0</v>
      </c>
      <c r="U51" s="16" t="n">
        <f aca="false">Alpha_keep*A51+Q51</f>
        <v>42.9625</v>
      </c>
      <c r="V51" s="14" t="n">
        <f aca="false">INDEX(GuardBlock,47,ROUND(Q51/Step_h,0)+1)</f>
        <v>1</v>
      </c>
      <c r="W51" s="22" t="n">
        <v>0</v>
      </c>
    </row>
    <row r="52" customFormat="false" ht="15" hidden="false" customHeight="false" outlineLevel="0" collapsed="false">
      <c r="A52" s="18" t="n">
        <f aca="false">Grid!A52</f>
        <v>41.75</v>
      </c>
      <c r="B52" s="19" t="n">
        <v>-390.363132202938</v>
      </c>
      <c r="C52" s="14" t="n">
        <v>47</v>
      </c>
      <c r="D52" s="11" t="n">
        <f aca="false">IF(AND($C52&gt;=6,$C52&lt;=194),Declarations!$B$25*INDEX($B$5:$B$205,$C52+1-Declarations!$E$25)+Declarations!$B$26*INDEX($B$5:$B$205,$C52+1-Declarations!$E$26)+Declarations!$B$27*INDEX($B$5:$B$205,$C52+1-Declarations!$E$27)+Declarations!$B$28*INDEX($B$5:$B$205,$C52+1-Declarations!$E$28)+Declarations!$B$29*INDEX($B$5:$B$205,$C52+1-Declarations!$E$29),"")</f>
        <v>-390.492099887488</v>
      </c>
      <c r="E52" s="16" t="n">
        <f aca="false">IF(Grid!C52=1,-Cost_k*E$3-Short_p*MAX(0,Floor_c-$A52)+Beta_q*((1-(((Alpha_keep*$A52+E$3-Lo_c)/Step_c)-MAX(6,MIN(INT(((Alpha_keep*$A52+E$3-Lo_c)/Step_c)+0.00000001),193))))*INDEX($D$5:$D$205,MAX(6,MIN(INT(((Alpha_keep*$A52+E$3-Lo_c)/Step_c)+0.00000001),193))+1)+(((Alpha_keep*$A52+E$3-Lo_c)/Step_c)-MAX(6,MIN(INT(((Alpha_keep*$A52+E$3-Lo_c)/Step_c)+0.00000001),193)))*INDEX($D$5:$D$205,MAX(6,MIN(INT(((Alpha_keep*$A52+E$3-Lo_c)/Step_c)+0.00000001),193))+2)),"")</f>
        <v>-419.102610652318</v>
      </c>
      <c r="F52" s="16" t="n">
        <f aca="false">IF(Grid!D52=1,-Cost_k*F$3-Short_p*MAX(0,Floor_c-$A52)+Beta_q*((1-(((Alpha_keep*$A52+F$3-Lo_c)/Step_c)-MAX(6,MIN(INT(((Alpha_keep*$A52+F$3-Lo_c)/Step_c)+0.00000001),193))))*INDEX($D$5:$D$205,MAX(6,MIN(INT(((Alpha_keep*$A52+F$3-Lo_c)/Step_c)+0.00000001),193))+1)+(((Alpha_keep*$A52+F$3-Lo_c)/Step_c)-MAX(6,MIN(INT(((Alpha_keep*$A52+F$3-Lo_c)/Step_c)+0.00000001),193)))*INDEX($D$5:$D$205,MAX(6,MIN(INT(((Alpha_keep*$A52+F$3-Lo_c)/Step_c)+0.00000001),193))+2)),"")</f>
        <v>-416.072060218715</v>
      </c>
      <c r="G52" s="16" t="n">
        <f aca="false">IF(Grid!E52=1,-Cost_k*G$3-Short_p*MAX(0,Floor_c-$A52)+Beta_q*((1-(((Alpha_keep*$A52+G$3-Lo_c)/Step_c)-MAX(6,MIN(INT(((Alpha_keep*$A52+G$3-Lo_c)/Step_c)+0.00000001),193))))*INDEX($D$5:$D$205,MAX(6,MIN(INT(((Alpha_keep*$A52+G$3-Lo_c)/Step_c)+0.00000001),193))+1)+(((Alpha_keep*$A52+G$3-Lo_c)/Step_c)-MAX(6,MIN(INT(((Alpha_keep*$A52+G$3-Lo_c)/Step_c)+0.00000001),193)))*INDEX($D$5:$D$205,MAX(6,MIN(INT(((Alpha_keep*$A52+G$3-Lo_c)/Step_c)+0.00000001),193))+2)),"")</f>
        <v>-413.075174643925</v>
      </c>
      <c r="H52" s="16" t="n">
        <f aca="false">IF(Grid!F52=1,-Cost_k*H$3-Short_p*MAX(0,Floor_c-$A52)+Beta_q*((1-(((Alpha_keep*$A52+H$3-Lo_c)/Step_c)-MAX(6,MIN(INT(((Alpha_keep*$A52+H$3-Lo_c)/Step_c)+0.00000001),193))))*INDEX($D$5:$D$205,MAX(6,MIN(INT(((Alpha_keep*$A52+H$3-Lo_c)/Step_c)+0.00000001),193))+1)+(((Alpha_keep*$A52+H$3-Lo_c)/Step_c)-MAX(6,MIN(INT(((Alpha_keep*$A52+H$3-Lo_c)/Step_c)+0.00000001),193)))*INDEX($D$5:$D$205,MAX(6,MIN(INT(((Alpha_keep*$A52+H$3-Lo_c)/Step_c)+0.00000001),193))+2)),"")</f>
        <v>-410.112309237491</v>
      </c>
      <c r="I52" s="16" t="n">
        <f aca="false">IF(Grid!G52=1,-Cost_k*I$3-Short_p*MAX(0,Floor_c-$A52)+Beta_q*((1-(((Alpha_keep*$A52+I$3-Lo_c)/Step_c)-MAX(6,MIN(INT(((Alpha_keep*$A52+I$3-Lo_c)/Step_c)+0.00000001),193))))*INDEX($D$5:$D$205,MAX(6,MIN(INT(((Alpha_keep*$A52+I$3-Lo_c)/Step_c)+0.00000001),193))+1)+(((Alpha_keep*$A52+I$3-Lo_c)/Step_c)-MAX(6,MIN(INT(((Alpha_keep*$A52+I$3-Lo_c)/Step_c)+0.00000001),193)))*INDEX($D$5:$D$205,MAX(6,MIN(INT(((Alpha_keep*$A52+I$3-Lo_c)/Step_c)+0.00000001),193))+2)),"")</f>
        <v>-407.184000596186</v>
      </c>
      <c r="J52" s="16" t="n">
        <f aca="false">IF(Grid!H52=1,-Cost_k*J$3-Short_p*MAX(0,Floor_c-$A52)+Beta_q*((1-(((Alpha_keep*$A52+J$3-Lo_c)/Step_c)-MAX(6,MIN(INT(((Alpha_keep*$A52+J$3-Lo_c)/Step_c)+0.00000001),193))))*INDEX($D$5:$D$205,MAX(6,MIN(INT(((Alpha_keep*$A52+J$3-Lo_c)/Step_c)+0.00000001),193))+1)+(((Alpha_keep*$A52+J$3-Lo_c)/Step_c)-MAX(6,MIN(INT(((Alpha_keep*$A52+J$3-Lo_c)/Step_c)+0.00000001),193)))*INDEX($D$5:$D$205,MAX(6,MIN(INT(((Alpha_keep*$A52+J$3-Lo_c)/Step_c)+0.00000001),193))+2)),"")</f>
        <v>-404.290614807663</v>
      </c>
      <c r="K52" s="16" t="n">
        <f aca="false">IF(Grid!I52=1,-Cost_k*K$3-Short_p*MAX(0,Floor_c-$A52)+Beta_q*((1-(((Alpha_keep*$A52+K$3-Lo_c)/Step_c)-MAX(6,MIN(INT(((Alpha_keep*$A52+K$3-Lo_c)/Step_c)+0.00000001),193))))*INDEX($D$5:$D$205,MAX(6,MIN(INT(((Alpha_keep*$A52+K$3-Lo_c)/Step_c)+0.00000001),193))+1)+(((Alpha_keep*$A52+K$3-Lo_c)/Step_c)-MAX(6,MIN(INT(((Alpha_keep*$A52+K$3-Lo_c)/Step_c)+0.00000001),193)))*INDEX($D$5:$D$205,MAX(6,MIN(INT(((Alpha_keep*$A52+K$3-Lo_c)/Step_c)+0.00000001),193))+2)),"")</f>
        <v>-401.432552080907</v>
      </c>
      <c r="L52" s="16" t="n">
        <f aca="false">IF(Grid!J52=1,-Cost_k*L$3-Short_p*MAX(0,Floor_c-$A52)+Beta_q*((1-(((Alpha_keep*$A52+L$3-Lo_c)/Step_c)-MAX(6,MIN(INT(((Alpha_keep*$A52+L$3-Lo_c)/Step_c)+0.00000001),193))))*INDEX($D$5:$D$205,MAX(6,MIN(INT(((Alpha_keep*$A52+L$3-Lo_c)/Step_c)+0.00000001),193))+1)+(((Alpha_keep*$A52+L$3-Lo_c)/Step_c)-MAX(6,MIN(INT(((Alpha_keep*$A52+L$3-Lo_c)/Step_c)+0.00000001),193)))*INDEX($D$5:$D$205,MAX(6,MIN(INT(((Alpha_keep*$A52+L$3-Lo_c)/Step_c)+0.00000001),193))+2)),"")</f>
        <v>-398.610341083272</v>
      </c>
      <c r="M52" s="16" t="n">
        <f aca="false">IF(Grid!K52=1,-Cost_k*M$3-Short_p*MAX(0,Floor_c-$A52)+Beta_q*((1-(((Alpha_keep*$A52+M$3-Lo_c)/Step_c)-MAX(6,MIN(INT(((Alpha_keep*$A52+M$3-Lo_c)/Step_c)+0.00000001),193))))*INDEX($D$5:$D$205,MAX(6,MIN(INT(((Alpha_keep*$A52+M$3-Lo_c)/Step_c)+0.00000001),193))+1)+(((Alpha_keep*$A52+M$3-Lo_c)/Step_c)-MAX(6,MIN(INT(((Alpha_keep*$A52+M$3-Lo_c)/Step_c)+0.00000001),193)))*INDEX($D$5:$D$205,MAX(6,MIN(INT(((Alpha_keep*$A52+M$3-Lo_c)/Step_c)+0.00000001),193))+2)),"")</f>
        <v>-395.824391244132</v>
      </c>
      <c r="N52" s="16" t="n">
        <f aca="false">IF(Grid!L52=1,-Cost_k*N$3-Short_p*MAX(0,Floor_c-$A52)+Beta_q*((1-(((Alpha_keep*$A52+N$3-Lo_c)/Step_c)-MAX(6,MIN(INT(((Alpha_keep*$A52+N$3-Lo_c)/Step_c)+0.00000001),193))))*INDEX($D$5:$D$205,MAX(6,MIN(INT(((Alpha_keep*$A52+N$3-Lo_c)/Step_c)+0.00000001),193))+1)+(((Alpha_keep*$A52+N$3-Lo_c)/Step_c)-MAX(6,MIN(INT(((Alpha_keep*$A52+N$3-Lo_c)/Step_c)+0.00000001),193)))*INDEX($D$5:$D$205,MAX(6,MIN(INT(((Alpha_keep*$A52+N$3-Lo_c)/Step_c)+0.00000001),193))+2)),"")</f>
        <v>-393.075133296492</v>
      </c>
      <c r="O52" s="16" t="n">
        <f aca="false">IF(Grid!M52=1,-Cost_k*O$3-Short_p*MAX(0,Floor_c-$A52)+Beta_q*((1-(((Alpha_keep*$A52+O$3-Lo_c)/Step_c)-MAX(6,MIN(INT(((Alpha_keep*$A52+O$3-Lo_c)/Step_c)+0.00000001),193))))*INDEX($D$5:$D$205,MAX(6,MIN(INT(((Alpha_keep*$A52+O$3-Lo_c)/Step_c)+0.00000001),193))+1)+(((Alpha_keep*$A52+O$3-Lo_c)/Step_c)-MAX(6,MIN(INT(((Alpha_keep*$A52+O$3-Lo_c)/Step_c)+0.00000001),193)))*INDEX($D$5:$D$205,MAX(6,MIN(INT(((Alpha_keep*$A52+O$3-Lo_c)/Step_c)+0.00000001),193))+2)),"")</f>
        <v>-390.363132202938</v>
      </c>
      <c r="P52" s="11" t="n">
        <f aca="false">MAX(E52:O52)</f>
        <v>-390.363132202938</v>
      </c>
      <c r="Q52" s="12" t="n">
        <f aca="false">INDEX($E$3:$O$3,MATCH(P52,E52:O52,0))</f>
        <v>2.5</v>
      </c>
      <c r="R52" s="20" t="n">
        <v>2.5</v>
      </c>
      <c r="S52" s="14" t="n">
        <f aca="false">IF(ABS(Q52-R52)&lt;0.000000001,1,0)</f>
        <v>1</v>
      </c>
      <c r="T52" s="21" t="n">
        <f aca="false">ABS(P52-B52)</f>
        <v>0</v>
      </c>
      <c r="U52" s="16" t="n">
        <f aca="false">Alpha_keep*A52+Q52</f>
        <v>43.20625</v>
      </c>
      <c r="V52" s="14" t="n">
        <f aca="false">INDEX(GuardBlock,48,ROUND(Q52/Step_h,0)+1)</f>
        <v>1</v>
      </c>
      <c r="W52" s="22" t="n">
        <v>0</v>
      </c>
    </row>
    <row r="53" customFormat="false" ht="15" hidden="false" customHeight="false" outlineLevel="0" collapsed="false">
      <c r="A53" s="18" t="n">
        <f aca="false">Grid!A53</f>
        <v>42</v>
      </c>
      <c r="B53" s="19" t="n">
        <v>-386.380498526575</v>
      </c>
      <c r="C53" s="14" t="n">
        <v>48</v>
      </c>
      <c r="D53" s="11" t="n">
        <f aca="false">IF(AND($C53&gt;=6,$C53&lt;=194),Declarations!$B$25*INDEX($B$5:$B$205,$C53+1-Declarations!$E$25)+Declarations!$B$26*INDEX($B$5:$B$205,$C53+1-Declarations!$E$26)+Declarations!$B$27*INDEX($B$5:$B$205,$C53+1-Declarations!$E$27)+Declarations!$B$28*INDEX($B$5:$B$205,$C53+1-Declarations!$E$28)+Declarations!$B$29*INDEX($B$5:$B$205,$C53+1-Declarations!$E$29),"")</f>
        <v>-386.511099222511</v>
      </c>
      <c r="E53" s="16" t="n">
        <f aca="false">IF(Grid!C53=1,-Cost_k*E$3-Short_p*MAX(0,Floor_c-$A53)+Beta_q*((1-(((Alpha_keep*$A53+E$3-Lo_c)/Step_c)-MAX(6,MIN(INT(((Alpha_keep*$A53+E$3-Lo_c)/Step_c)+0.00000001),193))))*INDEX($D$5:$D$205,MAX(6,MIN(INT(((Alpha_keep*$A53+E$3-Lo_c)/Step_c)+0.00000001),193))+1)+(((Alpha_keep*$A53+E$3-Lo_c)/Step_c)-MAX(6,MIN(INT(((Alpha_keep*$A53+E$3-Lo_c)/Step_c)+0.00000001),193)))*INDEX($D$5:$D$205,MAX(6,MIN(INT(((Alpha_keep*$A53+E$3-Lo_c)/Step_c)+0.00000001),193))+2)),"")</f>
        <v>-414.772677299032</v>
      </c>
      <c r="F53" s="16" t="n">
        <f aca="false">IF(Grid!D53=1,-Cost_k*F$3-Short_p*MAX(0,Floor_c-$A53)+Beta_q*((1-(((Alpha_keep*$A53+F$3-Lo_c)/Step_c)-MAX(6,MIN(INT(((Alpha_keep*$A53+F$3-Lo_c)/Step_c)+0.00000001),193))))*INDEX($D$5:$D$205,MAX(6,MIN(INT(((Alpha_keep*$A53+F$3-Lo_c)/Step_c)+0.00000001),193))+1)+(((Alpha_keep*$A53+F$3-Lo_c)/Step_c)-MAX(6,MIN(INT(((Alpha_keep*$A53+F$3-Lo_c)/Step_c)+0.00000001),193)))*INDEX($D$5:$D$205,MAX(6,MIN(INT(((Alpha_keep*$A53+F$3-Lo_c)/Step_c)+0.00000001),193))+2)),"")</f>
        <v>-411.774949371578</v>
      </c>
      <c r="G53" s="16" t="n">
        <f aca="false">IF(Grid!E53=1,-Cost_k*G$3-Short_p*MAX(0,Floor_c-$A53)+Beta_q*((1-(((Alpha_keep*$A53+G$3-Lo_c)/Step_c)-MAX(6,MIN(INT(((Alpha_keep*$A53+G$3-Lo_c)/Step_c)+0.00000001),193))))*INDEX($D$5:$D$205,MAX(6,MIN(INT(((Alpha_keep*$A53+G$3-Lo_c)/Step_c)+0.00000001),193))+1)+(((Alpha_keep*$A53+G$3-Lo_c)/Step_c)-MAX(6,MIN(INT(((Alpha_keep*$A53+G$3-Lo_c)/Step_c)+0.00000001),193)))*INDEX($D$5:$D$205,MAX(6,MIN(INT(((Alpha_keep*$A53+G$3-Lo_c)/Step_c)+0.00000001),193))+2)),"")</f>
        <v>-408.81123173182</v>
      </c>
      <c r="H53" s="16" t="n">
        <f aca="false">IF(Grid!F53=1,-Cost_k*H$3-Short_p*MAX(0,Floor_c-$A53)+Beta_q*((1-(((Alpha_keep*$A53+H$3-Lo_c)/Step_c)-MAX(6,MIN(INT(((Alpha_keep*$A53+H$3-Lo_c)/Step_c)+0.00000001),193))))*INDEX($D$5:$D$205,MAX(6,MIN(INT(((Alpha_keep*$A53+H$3-Lo_c)/Step_c)+0.00000001),193))+1)+(((Alpha_keep*$A53+H$3-Lo_c)/Step_c)-MAX(6,MIN(INT(((Alpha_keep*$A53+H$3-Lo_c)/Step_c)+0.00000001),193)))*INDEX($D$5:$D$205,MAX(6,MIN(INT(((Alpha_keep*$A53+H$3-Lo_c)/Step_c)+0.00000001),193))+2)),"")</f>
        <v>-405.88205669258</v>
      </c>
      <c r="I53" s="16" t="n">
        <f aca="false">IF(Grid!G53=1,-Cost_k*I$3-Short_p*MAX(0,Floor_c-$A53)+Beta_q*((1-(((Alpha_keep*$A53+I$3-Lo_c)/Step_c)-MAX(6,MIN(INT(((Alpha_keep*$A53+I$3-Lo_c)/Step_c)+0.00000001),193))))*INDEX($D$5:$D$205,MAX(6,MIN(INT(((Alpha_keep*$A53+I$3-Lo_c)/Step_c)+0.00000001),193))+1)+(((Alpha_keep*$A53+I$3-Lo_c)/Step_c)-MAX(6,MIN(INT(((Alpha_keep*$A53+I$3-Lo_c)/Step_c)+0.00000001),193)))*INDEX($D$5:$D$205,MAX(6,MIN(INT(((Alpha_keep*$A53+I$3-Lo_c)/Step_c)+0.00000001),193))+2)),"")</f>
        <v>-402.987796417171</v>
      </c>
      <c r="J53" s="16" t="n">
        <f aca="false">IF(Grid!H53=1,-Cost_k*J$3-Short_p*MAX(0,Floor_c-$A53)+Beta_q*((1-(((Alpha_keep*$A53+J$3-Lo_c)/Step_c)-MAX(6,MIN(INT(((Alpha_keep*$A53+J$3-Lo_c)/Step_c)+0.00000001),193))))*INDEX($D$5:$D$205,MAX(6,MIN(INT(((Alpha_keep*$A53+J$3-Lo_c)/Step_c)+0.00000001),193))+1)+(((Alpha_keep*$A53+J$3-Lo_c)/Step_c)-MAX(6,MIN(INT(((Alpha_keep*$A53+J$3-Lo_c)/Step_c)+0.00000001),193)))*INDEX($D$5:$D$205,MAX(6,MIN(INT(((Alpha_keep*$A53+J$3-Lo_c)/Step_c)+0.00000001),193))+2)),"")</f>
        <v>-400.128848791822</v>
      </c>
      <c r="K53" s="16" t="n">
        <f aca="false">IF(Grid!I53=1,-Cost_k*K$3-Short_p*MAX(0,Floor_c-$A53)+Beta_q*((1-(((Alpha_keep*$A53+K$3-Lo_c)/Step_c)-MAX(6,MIN(INT(((Alpha_keep*$A53+K$3-Lo_c)/Step_c)+0.00000001),193))))*INDEX($D$5:$D$205,MAX(6,MIN(INT(((Alpha_keep*$A53+K$3-Lo_c)/Step_c)+0.00000001),193))+1)+(((Alpha_keep*$A53+K$3-Lo_c)/Step_c)-MAX(6,MIN(INT(((Alpha_keep*$A53+K$3-Lo_c)/Step_c)+0.00000001),193)))*INDEX($D$5:$D$205,MAX(6,MIN(INT(((Alpha_keep*$A53+K$3-Lo_c)/Step_c)+0.00000001),193))+2)),"")</f>
        <v>-397.305739083915</v>
      </c>
      <c r="L53" s="16" t="n">
        <f aca="false">IF(Grid!J53=1,-Cost_k*L$3-Short_p*MAX(0,Floor_c-$A53)+Beta_q*((1-(((Alpha_keep*$A53+L$3-Lo_c)/Step_c)-MAX(6,MIN(INT(((Alpha_keep*$A53+L$3-Lo_c)/Step_c)+0.00000001),193))))*INDEX($D$5:$D$205,MAX(6,MIN(INT(((Alpha_keep*$A53+L$3-Lo_c)/Step_c)+0.00000001),193))+1)+(((Alpha_keep*$A53+L$3-Lo_c)/Step_c)-MAX(6,MIN(INT(((Alpha_keep*$A53+L$3-Lo_c)/Step_c)+0.00000001),193)))*INDEX($D$5:$D$205,MAX(6,MIN(INT(((Alpha_keep*$A53+L$3-Lo_c)/Step_c)+0.00000001),193))+2)),"")</f>
        <v>-394.518881057303</v>
      </c>
      <c r="M53" s="16" t="n">
        <f aca="false">IF(Grid!K53=1,-Cost_k*M$3-Short_p*MAX(0,Floor_c-$A53)+Beta_q*((1-(((Alpha_keep*$A53+M$3-Lo_c)/Step_c)-MAX(6,MIN(INT(((Alpha_keep*$A53+M$3-Lo_c)/Step_c)+0.00000001),193))))*INDEX($D$5:$D$205,MAX(6,MIN(INT(((Alpha_keep*$A53+M$3-Lo_c)/Step_c)+0.00000001),193))+1)+(((Alpha_keep*$A53+M$3-Lo_c)/Step_c)-MAX(6,MIN(INT(((Alpha_keep*$A53+M$3-Lo_c)/Step_c)+0.00000001),193)))*INDEX($D$5:$D$205,MAX(6,MIN(INT(((Alpha_keep*$A53+M$3-Lo_c)/Step_c)+0.00000001),193))+2)),"")</f>
        <v>-391.76870387999</v>
      </c>
      <c r="N53" s="16" t="n">
        <f aca="false">IF(Grid!L53=1,-Cost_k*N$3-Short_p*MAX(0,Floor_c-$A53)+Beta_q*((1-(((Alpha_keep*$A53+N$3-Lo_c)/Step_c)-MAX(6,MIN(INT(((Alpha_keep*$A53+N$3-Lo_c)/Step_c)+0.00000001),193))))*INDEX($D$5:$D$205,MAX(6,MIN(INT(((Alpha_keep*$A53+N$3-Lo_c)/Step_c)+0.00000001),193))+1)+(((Alpha_keep*$A53+N$3-Lo_c)/Step_c)-MAX(6,MIN(INT(((Alpha_keep*$A53+N$3-Lo_c)/Step_c)+0.00000001),193)))*INDEX($D$5:$D$205,MAX(6,MIN(INT(((Alpha_keep*$A53+N$3-Lo_c)/Step_c)+0.00000001),193))+2)),"")</f>
        <v>-389.05576877897</v>
      </c>
      <c r="O53" s="16" t="n">
        <f aca="false">IF(Grid!M53=1,-Cost_k*O$3-Short_p*MAX(0,Floor_c-$A53)+Beta_q*((1-(((Alpha_keep*$A53+O$3-Lo_c)/Step_c)-MAX(6,MIN(INT(((Alpha_keep*$A53+O$3-Lo_c)/Step_c)+0.00000001),193))))*INDEX($D$5:$D$205,MAX(6,MIN(INT(((Alpha_keep*$A53+O$3-Lo_c)/Step_c)+0.00000001),193))+1)+(((Alpha_keep*$A53+O$3-Lo_c)/Step_c)-MAX(6,MIN(INT(((Alpha_keep*$A53+O$3-Lo_c)/Step_c)+0.00000001),193)))*INDEX($D$5:$D$205,MAX(6,MIN(INT(((Alpha_keep*$A53+O$3-Lo_c)/Step_c)+0.00000001),193))+2)),"")</f>
        <v>-386.380498526575</v>
      </c>
      <c r="P53" s="11" t="n">
        <f aca="false">MAX(E53:O53)</f>
        <v>-386.380498526575</v>
      </c>
      <c r="Q53" s="12" t="n">
        <f aca="false">INDEX($E$3:$O$3,MATCH(P53,E53:O53,0))</f>
        <v>2.5</v>
      </c>
      <c r="R53" s="20" t="n">
        <v>2.5</v>
      </c>
      <c r="S53" s="14" t="n">
        <f aca="false">IF(ABS(Q53-R53)&lt;0.000000001,1,0)</f>
        <v>1</v>
      </c>
      <c r="T53" s="21" t="n">
        <f aca="false">ABS(P53-B53)</f>
        <v>0</v>
      </c>
      <c r="U53" s="16" t="n">
        <f aca="false">Alpha_keep*A53+Q53</f>
        <v>43.45</v>
      </c>
      <c r="V53" s="14" t="n">
        <f aca="false">INDEX(GuardBlock,49,ROUND(Q53/Step_h,0)+1)</f>
        <v>1</v>
      </c>
      <c r="W53" s="22" t="n">
        <v>0</v>
      </c>
    </row>
    <row r="54" customFormat="false" ht="15" hidden="false" customHeight="false" outlineLevel="0" collapsed="false">
      <c r="A54" s="18" t="n">
        <f aca="false">Grid!A54</f>
        <v>42.25</v>
      </c>
      <c r="B54" s="19" t="n">
        <v>-382.434086739894</v>
      </c>
      <c r="C54" s="14" t="n">
        <v>49</v>
      </c>
      <c r="D54" s="11" t="n">
        <f aca="false">IF(AND($C54&gt;=6,$C54&lt;=194),Declarations!$B$25*INDEX($B$5:$B$205,$C54+1-Declarations!$E$25)+Declarations!$B$26*INDEX($B$5:$B$205,$C54+1-Declarations!$E$26)+Declarations!$B$27*INDEX($B$5:$B$205,$C54+1-Declarations!$E$27)+Declarations!$B$28*INDEX($B$5:$B$205,$C54+1-Declarations!$E$28)+Declarations!$B$29*INDEX($B$5:$B$205,$C54+1-Declarations!$E$29),"")</f>
        <v>-382.56634802803</v>
      </c>
      <c r="E54" s="16" t="n">
        <f aca="false">IF(Grid!C54=1,-Cost_k*E$3-Short_p*MAX(0,Floor_c-$A54)+Beta_q*((1-(((Alpha_keep*$A54+E$3-Lo_c)/Step_c)-MAX(6,MIN(INT(((Alpha_keep*$A54+E$3-Lo_c)/Step_c)+0.00000001),193))))*INDEX($D$5:$D$205,MAX(6,MIN(INT(((Alpha_keep*$A54+E$3-Lo_c)/Step_c)+0.00000001),193))+1)+(((Alpha_keep*$A54+E$3-Lo_c)/Step_c)-MAX(6,MIN(INT(((Alpha_keep*$A54+E$3-Lo_c)/Step_c)+0.00000001),193)))*INDEX($D$5:$D$205,MAX(6,MIN(INT(((Alpha_keep*$A54+E$3-Lo_c)/Step_c)+0.00000001),193))+2)),"")</f>
        <v>-410.474724099232</v>
      </c>
      <c r="F54" s="16" t="n">
        <f aca="false">IF(Grid!D54=1,-Cost_k*F$3-Short_p*MAX(0,Floor_c-$A54)+Beta_q*((1-(((Alpha_keep*$A54+F$3-Lo_c)/Step_c)-MAX(6,MIN(INT(((Alpha_keep*$A54+F$3-Lo_c)/Step_c)+0.00000001),193))))*INDEX($D$5:$D$205,MAX(6,MIN(INT(((Alpha_keep*$A54+F$3-Lo_c)/Step_c)+0.00000001),193))+1)+(((Alpha_keep*$A54+F$3-Lo_c)/Step_c)-MAX(6,MIN(INT(((Alpha_keep*$A54+F$3-Lo_c)/Step_c)+0.00000001),193)))*INDEX($D$5:$D$205,MAX(6,MIN(INT(((Alpha_keep*$A54+F$3-Lo_c)/Step_c)+0.00000001),193))+2)),"")</f>
        <v>-407.510154226149</v>
      </c>
      <c r="G54" s="16" t="n">
        <f aca="false">IF(Grid!E54=1,-Cost_k*G$3-Short_p*MAX(0,Floor_c-$A54)+Beta_q*((1-(((Alpha_keep*$A54+G$3-Lo_c)/Step_c)-MAX(6,MIN(INT(((Alpha_keep*$A54+G$3-Lo_c)/Step_c)+0.00000001),193))))*INDEX($D$5:$D$205,MAX(6,MIN(INT(((Alpha_keep*$A54+G$3-Lo_c)/Step_c)+0.00000001),193))+1)+(((Alpha_keep*$A54+G$3-Lo_c)/Step_c)-MAX(6,MIN(INT(((Alpha_keep*$A54+G$3-Lo_c)/Step_c)+0.00000001),193)))*INDEX($D$5:$D$205,MAX(6,MIN(INT(((Alpha_keep*$A54+G$3-Lo_c)/Step_c)+0.00000001),193))+2)),"")</f>
        <v>-404.580112788974</v>
      </c>
      <c r="H54" s="16" t="n">
        <f aca="false">IF(Grid!F54=1,-Cost_k*H$3-Short_p*MAX(0,Floor_c-$A54)+Beta_q*((1-(((Alpha_keep*$A54+H$3-Lo_c)/Step_c)-MAX(6,MIN(INT(((Alpha_keep*$A54+H$3-Lo_c)/Step_c)+0.00000001),193))))*INDEX($D$5:$D$205,MAX(6,MIN(INT(((Alpha_keep*$A54+H$3-Lo_c)/Step_c)+0.00000001),193))+1)+(((Alpha_keep*$A54+H$3-Lo_c)/Step_c)-MAX(6,MIN(INT(((Alpha_keep*$A54+H$3-Lo_c)/Step_c)+0.00000001),193)))*INDEX($D$5:$D$205,MAX(6,MIN(INT(((Alpha_keep*$A54+H$3-Lo_c)/Step_c)+0.00000001),193))+2)),"")</f>
        <v>-401.684978026679</v>
      </c>
      <c r="I54" s="16" t="n">
        <f aca="false">IF(Grid!G54=1,-Cost_k*I$3-Short_p*MAX(0,Floor_c-$A54)+Beta_q*((1-(((Alpha_keep*$A54+I$3-Lo_c)/Step_c)-MAX(6,MIN(INT(((Alpha_keep*$A54+I$3-Lo_c)/Step_c)+0.00000001),193))))*INDEX($D$5:$D$205,MAX(6,MIN(INT(((Alpha_keep*$A54+I$3-Lo_c)/Step_c)+0.00000001),193))+1)+(((Alpha_keep*$A54+I$3-Lo_c)/Step_c)-MAX(6,MIN(INT(((Alpha_keep*$A54+I$3-Lo_c)/Step_c)+0.00000001),193)))*INDEX($D$5:$D$205,MAX(6,MIN(INT(((Alpha_keep*$A54+I$3-Lo_c)/Step_c)+0.00000001),193))+2)),"")</f>
        <v>-398.825145502737</v>
      </c>
      <c r="J54" s="16" t="n">
        <f aca="false">IF(Grid!H54=1,-Cost_k*J$3-Short_p*MAX(0,Floor_c-$A54)+Beta_q*((1-(((Alpha_keep*$A54+J$3-Lo_c)/Step_c)-MAX(6,MIN(INT(((Alpha_keep*$A54+J$3-Lo_c)/Step_c)+0.00000001),193))))*INDEX($D$5:$D$205,MAX(6,MIN(INT(((Alpha_keep*$A54+J$3-Lo_c)/Step_c)+0.00000001),193))+1)+(((Alpha_keep*$A54+J$3-Lo_c)/Step_c)-MAX(6,MIN(INT(((Alpha_keep*$A54+J$3-Lo_c)/Step_c)+0.00000001),193)))*INDEX($D$5:$D$205,MAX(6,MIN(INT(((Alpha_keep*$A54+J$3-Lo_c)/Step_c)+0.00000001),193))+2)),"")</f>
        <v>-396.001137084558</v>
      </c>
      <c r="K54" s="16" t="n">
        <f aca="false">IF(Grid!I54=1,-Cost_k*K$3-Short_p*MAX(0,Floor_c-$A54)+Beta_q*((1-(((Alpha_keep*$A54+K$3-Lo_c)/Step_c)-MAX(6,MIN(INT(((Alpha_keep*$A54+K$3-Lo_c)/Step_c)+0.00000001),193))))*INDEX($D$5:$D$205,MAX(6,MIN(INT(((Alpha_keep*$A54+K$3-Lo_c)/Step_c)+0.00000001),193))+1)+(((Alpha_keep*$A54+K$3-Lo_c)/Step_c)-MAX(6,MIN(INT(((Alpha_keep*$A54+K$3-Lo_c)/Step_c)+0.00000001),193)))*INDEX($D$5:$D$205,MAX(6,MIN(INT(((Alpha_keep*$A54+K$3-Lo_c)/Step_c)+0.00000001),193))+2)),"")</f>
        <v>-393.213370870474</v>
      </c>
      <c r="L54" s="16" t="n">
        <f aca="false">IF(Grid!J54=1,-Cost_k*L$3-Short_p*MAX(0,Floor_c-$A54)+Beta_q*((1-(((Alpha_keep*$A54+L$3-Lo_c)/Step_c)-MAX(6,MIN(INT(((Alpha_keep*$A54+L$3-Lo_c)/Step_c)+0.00000001),193))))*INDEX($D$5:$D$205,MAX(6,MIN(INT(((Alpha_keep*$A54+L$3-Lo_c)/Step_c)+0.00000001),193))+1)+(((Alpha_keep*$A54+L$3-Lo_c)/Step_c)-MAX(6,MIN(INT(((Alpha_keep*$A54+L$3-Lo_c)/Step_c)+0.00000001),193)))*INDEX($D$5:$D$205,MAX(6,MIN(INT(((Alpha_keep*$A54+L$3-Lo_c)/Step_c)+0.00000001),193))+2)),"")</f>
        <v>-390.462274463489</v>
      </c>
      <c r="M54" s="16" t="n">
        <f aca="false">IF(Grid!K54=1,-Cost_k*M$3-Short_p*MAX(0,Floor_c-$A54)+Beta_q*((1-(((Alpha_keep*$A54+M$3-Lo_c)/Step_c)-MAX(6,MIN(INT(((Alpha_keep*$A54+M$3-Lo_c)/Step_c)+0.00000001),193))))*INDEX($D$5:$D$205,MAX(6,MIN(INT(((Alpha_keep*$A54+M$3-Lo_c)/Step_c)+0.00000001),193))+1)+(((Alpha_keep*$A54+M$3-Lo_c)/Step_c)-MAX(6,MIN(INT(((Alpha_keep*$A54+M$3-Lo_c)/Step_c)+0.00000001),193)))*INDEX($D$5:$D$205,MAX(6,MIN(INT(((Alpha_keep*$A54+M$3-Lo_c)/Step_c)+0.00000001),193))+2)),"")</f>
        <v>-387.748405355002</v>
      </c>
      <c r="N54" s="16" t="n">
        <f aca="false">IF(Grid!L54=1,-Cost_k*N$3-Short_p*MAX(0,Floor_c-$A54)+Beta_q*((1-(((Alpha_keep*$A54+N$3-Lo_c)/Step_c)-MAX(6,MIN(INT(((Alpha_keep*$A54+N$3-Lo_c)/Step_c)+0.00000001),193))))*INDEX($D$5:$D$205,MAX(6,MIN(INT(((Alpha_keep*$A54+N$3-Lo_c)/Step_c)+0.00000001),193))+1)+(((Alpha_keep*$A54+N$3-Lo_c)/Step_c)-MAX(6,MIN(INT(((Alpha_keep*$A54+N$3-Lo_c)/Step_c)+0.00000001),193)))*INDEX($D$5:$D$205,MAX(6,MIN(INT(((Alpha_keep*$A54+N$3-Lo_c)/Step_c)+0.00000001),193))+2)),"")</f>
        <v>-385.072191577954</v>
      </c>
      <c r="O54" s="16" t="n">
        <f aca="false">IF(Grid!M54=1,-Cost_k*O$3-Short_p*MAX(0,Floor_c-$A54)+Beta_q*((1-(((Alpha_keep*$A54+O$3-Lo_c)/Step_c)-MAX(6,MIN(INT(((Alpha_keep*$A54+O$3-Lo_c)/Step_c)+0.00000001),193))))*INDEX($D$5:$D$205,MAX(6,MIN(INT(((Alpha_keep*$A54+O$3-Lo_c)/Step_c)+0.00000001),193))+1)+(((Alpha_keep*$A54+O$3-Lo_c)/Step_c)-MAX(6,MIN(INT(((Alpha_keep*$A54+O$3-Lo_c)/Step_c)+0.00000001),193)))*INDEX($D$5:$D$205,MAX(6,MIN(INT(((Alpha_keep*$A54+O$3-Lo_c)/Step_c)+0.00000001),193))+2)),"")</f>
        <v>-382.434086739894</v>
      </c>
      <c r="P54" s="11" t="n">
        <f aca="false">MAX(E54:O54)</f>
        <v>-382.434086739894</v>
      </c>
      <c r="Q54" s="12" t="n">
        <f aca="false">INDEX($E$3:$O$3,MATCH(P54,E54:O54,0))</f>
        <v>2.5</v>
      </c>
      <c r="R54" s="20" t="n">
        <v>2.5</v>
      </c>
      <c r="S54" s="14" t="n">
        <f aca="false">IF(ABS(Q54-R54)&lt;0.000000001,1,0)</f>
        <v>1</v>
      </c>
      <c r="T54" s="21" t="n">
        <f aca="false">ABS(P54-B54)</f>
        <v>0</v>
      </c>
      <c r="U54" s="16" t="n">
        <f aca="false">Alpha_keep*A54+Q54</f>
        <v>43.69375</v>
      </c>
      <c r="V54" s="14" t="n">
        <f aca="false">INDEX(GuardBlock,50,ROUND(Q54/Step_h,0)+1)</f>
        <v>1</v>
      </c>
      <c r="W54" s="22" t="n">
        <v>0</v>
      </c>
    </row>
    <row r="55" customFormat="false" ht="15" hidden="false" customHeight="false" outlineLevel="0" collapsed="false">
      <c r="A55" s="18" t="n">
        <f aca="false">Grid!A55</f>
        <v>42.5</v>
      </c>
      <c r="B55" s="19" t="n">
        <v>-378.524459356707</v>
      </c>
      <c r="C55" s="14" t="n">
        <v>50</v>
      </c>
      <c r="D55" s="11" t="n">
        <f aca="false">IF(AND($C55&gt;=6,$C55&lt;=194),Declarations!$B$25*INDEX($B$5:$B$205,$C55+1-Declarations!$E$25)+Declarations!$B$26*INDEX($B$5:$B$205,$C55+1-Declarations!$E$26)+Declarations!$B$27*INDEX($B$5:$B$205,$C55+1-Declarations!$E$27)+Declarations!$B$28*INDEX($B$5:$B$205,$C55+1-Declarations!$E$28)+Declarations!$B$29*INDEX($B$5:$B$205,$C55+1-Declarations!$E$29),"")</f>
        <v>-378.658412093227</v>
      </c>
      <c r="E55" s="16" t="n">
        <f aca="false">IF(Grid!C55=1,-Cost_k*E$3-Short_p*MAX(0,Floor_c-$A55)+Beta_q*((1-(((Alpha_keep*$A55+E$3-Lo_c)/Step_c)-MAX(6,MIN(INT(((Alpha_keep*$A55+E$3-Lo_c)/Step_c)+0.00000001),193))))*INDEX($D$5:$D$205,MAX(6,MIN(INT(((Alpha_keep*$A55+E$3-Lo_c)/Step_c)+0.00000001),193))+1)+(((Alpha_keep*$A55+E$3-Lo_c)/Step_c)-MAX(6,MIN(INT(((Alpha_keep*$A55+E$3-Lo_c)/Step_c)+0.00000001),193)))*INDEX($D$5:$D$205,MAX(6,MIN(INT(((Alpha_keep*$A55+E$3-Lo_c)/Step_c)+0.00000001),193))+2)),"")</f>
        <v>-406.209076720478</v>
      </c>
      <c r="F55" s="16" t="n">
        <f aca="false">IF(Grid!D55=1,-Cost_k*F$3-Short_p*MAX(0,Floor_c-$A55)+Beta_q*((1-(((Alpha_keep*$A55+F$3-Lo_c)/Step_c)-MAX(6,MIN(INT(((Alpha_keep*$A55+F$3-Lo_c)/Step_c)+0.00000001),193))))*INDEX($D$5:$D$205,MAX(6,MIN(INT(((Alpha_keep*$A55+F$3-Lo_c)/Step_c)+0.00000001),193))+1)+(((Alpha_keep*$A55+F$3-Lo_c)/Step_c)-MAX(6,MIN(INT(((Alpha_keep*$A55+F$3-Lo_c)/Step_c)+0.00000001),193)))*INDEX($D$5:$D$205,MAX(6,MIN(INT(((Alpha_keep*$A55+F$3-Lo_c)/Step_c)+0.00000001),193))+2)),"")</f>
        <v>-403.278168885368</v>
      </c>
      <c r="G55" s="16" t="n">
        <f aca="false">IF(Grid!E55=1,-Cost_k*G$3-Short_p*MAX(0,Floor_c-$A55)+Beta_q*((1-(((Alpha_keep*$A55+G$3-Lo_c)/Step_c)-MAX(6,MIN(INT(((Alpha_keep*$A55+G$3-Lo_c)/Step_c)+0.00000001),193))))*INDEX($D$5:$D$205,MAX(6,MIN(INT(((Alpha_keep*$A55+G$3-Lo_c)/Step_c)+0.00000001),193))+1)+(((Alpha_keep*$A55+G$3-Lo_c)/Step_c)-MAX(6,MIN(INT(((Alpha_keep*$A55+G$3-Lo_c)/Step_c)+0.00000001),193)))*INDEX($D$5:$D$205,MAX(6,MIN(INT(((Alpha_keep*$A55+G$3-Lo_c)/Step_c)+0.00000001),193))+2)),"")</f>
        <v>-400.382159636187</v>
      </c>
      <c r="H55" s="16" t="n">
        <f aca="false">IF(Grid!F55=1,-Cost_k*H$3-Short_p*MAX(0,Floor_c-$A55)+Beta_q*((1-(((Alpha_keep*$A55+H$3-Lo_c)/Step_c)-MAX(6,MIN(INT(((Alpha_keep*$A55+H$3-Lo_c)/Step_c)+0.00000001),193))))*INDEX($D$5:$D$205,MAX(6,MIN(INT(((Alpha_keep*$A55+H$3-Lo_c)/Step_c)+0.00000001),193))+1)+(((Alpha_keep*$A55+H$3-Lo_c)/Step_c)-MAX(6,MIN(INT(((Alpha_keep*$A55+H$3-Lo_c)/Step_c)+0.00000001),193)))*INDEX($D$5:$D$205,MAX(6,MIN(INT(((Alpha_keep*$A55+H$3-Lo_c)/Step_c)+0.00000001),193))+2)),"")</f>
        <v>-397.521442213652</v>
      </c>
      <c r="I55" s="16" t="n">
        <f aca="false">IF(Grid!G55=1,-Cost_k*I$3-Short_p*MAX(0,Floor_c-$A55)+Beta_q*((1-(((Alpha_keep*$A55+I$3-Lo_c)/Step_c)-MAX(6,MIN(INT(((Alpha_keep*$A55+I$3-Lo_c)/Step_c)+0.00000001),193))))*INDEX($D$5:$D$205,MAX(6,MIN(INT(((Alpha_keep*$A55+I$3-Lo_c)/Step_c)+0.00000001),193))+1)+(((Alpha_keep*$A55+I$3-Lo_c)/Step_c)-MAX(6,MIN(INT(((Alpha_keep*$A55+I$3-Lo_c)/Step_c)+0.00000001),193)))*INDEX($D$5:$D$205,MAX(6,MIN(INT(((Alpha_keep*$A55+I$3-Lo_c)/Step_c)+0.00000001),193))+2)),"")</f>
        <v>-394.696535085202</v>
      </c>
      <c r="J55" s="16" t="n">
        <f aca="false">IF(Grid!H55=1,-Cost_k*J$3-Short_p*MAX(0,Floor_c-$A55)+Beta_q*((1-(((Alpha_keep*$A55+J$3-Lo_c)/Step_c)-MAX(6,MIN(INT(((Alpha_keep*$A55+J$3-Lo_c)/Step_c)+0.00000001),193))))*INDEX($D$5:$D$205,MAX(6,MIN(INT(((Alpha_keep*$A55+J$3-Lo_c)/Step_c)+0.00000001),193))+1)+(((Alpha_keep*$A55+J$3-Lo_c)/Step_c)-MAX(6,MIN(INT(((Alpha_keep*$A55+J$3-Lo_c)/Step_c)+0.00000001),193)))*INDEX($D$5:$D$205,MAX(6,MIN(INT(((Alpha_keep*$A55+J$3-Lo_c)/Step_c)+0.00000001),193))+2)),"")</f>
        <v>-391.907860683645</v>
      </c>
      <c r="K55" s="16" t="n">
        <f aca="false">IF(Grid!I55=1,-Cost_k*K$3-Short_p*MAX(0,Floor_c-$A55)+Beta_q*((1-(((Alpha_keep*$A55+K$3-Lo_c)/Step_c)-MAX(6,MIN(INT(((Alpha_keep*$A55+K$3-Lo_c)/Step_c)+0.00000001),193))))*INDEX($D$5:$D$205,MAX(6,MIN(INT(((Alpha_keep*$A55+K$3-Lo_c)/Step_c)+0.00000001),193))+1)+(((Alpha_keep*$A55+K$3-Lo_c)/Step_c)-MAX(6,MIN(INT(((Alpha_keep*$A55+K$3-Lo_c)/Step_c)+0.00000001),193)))*INDEX($D$5:$D$205,MAX(6,MIN(INT(((Alpha_keep*$A55+K$3-Lo_c)/Step_c)+0.00000001),193))+2)),"")</f>
        <v>-389.155845046987</v>
      </c>
      <c r="L55" s="16" t="n">
        <f aca="false">IF(Grid!J55=1,-Cost_k*L$3-Short_p*MAX(0,Floor_c-$A55)+Beta_q*((1-(((Alpha_keep*$A55+L$3-Lo_c)/Step_c)-MAX(6,MIN(INT(((Alpha_keep*$A55+L$3-Lo_c)/Step_c)+0.00000001),193))))*INDEX($D$5:$D$205,MAX(6,MIN(INT(((Alpha_keep*$A55+L$3-Lo_c)/Step_c)+0.00000001),193))+1)+(((Alpha_keep*$A55+L$3-Lo_c)/Step_c)-MAX(6,MIN(INT(((Alpha_keep*$A55+L$3-Lo_c)/Step_c)+0.00000001),193)))*INDEX($D$5:$D$205,MAX(6,MIN(INT(((Alpha_keep*$A55+L$3-Lo_c)/Step_c)+0.00000001),193))+2)),"")</f>
        <v>-386.441041931035</v>
      </c>
      <c r="M55" s="16" t="n">
        <f aca="false">IF(Grid!K55=1,-Cost_k*M$3-Short_p*MAX(0,Floor_c-$A55)+Beta_q*((1-(((Alpha_keep*$A55+M$3-Lo_c)/Step_c)-MAX(6,MIN(INT(((Alpha_keep*$A55+M$3-Lo_c)/Step_c)+0.00000001),193))))*INDEX($D$5:$D$205,MAX(6,MIN(INT(((Alpha_keep*$A55+M$3-Lo_c)/Step_c)+0.00000001),193))+1)+(((Alpha_keep*$A55+M$3-Lo_c)/Step_c)-MAX(6,MIN(INT(((Alpha_keep*$A55+M$3-Lo_c)/Step_c)+0.00000001),193)))*INDEX($D$5:$D$205,MAX(6,MIN(INT(((Alpha_keep*$A55+M$3-Lo_c)/Step_c)+0.00000001),193))+2)),"")</f>
        <v>-383.763884629334</v>
      </c>
      <c r="N55" s="16" t="n">
        <f aca="false">IF(Grid!L55=1,-Cost_k*N$3-Short_p*MAX(0,Floor_c-$A55)+Beta_q*((1-(((Alpha_keep*$A55+N$3-Lo_c)/Step_c)-MAX(6,MIN(INT(((Alpha_keep*$A55+N$3-Lo_c)/Step_c)+0.00000001),193))))*INDEX($D$5:$D$205,MAX(6,MIN(INT(((Alpha_keep*$A55+N$3-Lo_c)/Step_c)+0.00000001),193))+1)+(((Alpha_keep*$A55+N$3-Lo_c)/Step_c)-MAX(6,MIN(INT(((Alpha_keep*$A55+N$3-Lo_c)/Step_c)+0.00000001),193)))*INDEX($D$5:$D$205,MAX(6,MIN(INT(((Alpha_keep*$A55+N$3-Lo_c)/Step_c)+0.00000001),193))+2)),"")</f>
        <v>-381.124824397173</v>
      </c>
      <c r="O55" s="16" t="n">
        <f aca="false">IF(Grid!M55=1,-Cost_k*O$3-Short_p*MAX(0,Floor_c-$A55)+Beta_q*((1-(((Alpha_keep*$A55+O$3-Lo_c)/Step_c)-MAX(6,MIN(INT(((Alpha_keep*$A55+O$3-Lo_c)/Step_c)+0.00000001),193))))*INDEX($D$5:$D$205,MAX(6,MIN(INT(((Alpha_keep*$A55+O$3-Lo_c)/Step_c)+0.00000001),193))+1)+(((Alpha_keep*$A55+O$3-Lo_c)/Step_c)-MAX(6,MIN(INT(((Alpha_keep*$A55+O$3-Lo_c)/Step_c)+0.00000001),193)))*INDEX($D$5:$D$205,MAX(6,MIN(INT(((Alpha_keep*$A55+O$3-Lo_c)/Step_c)+0.00000001),193))+2)),"")</f>
        <v>-378.524459356707</v>
      </c>
      <c r="P55" s="11" t="n">
        <f aca="false">MAX(E55:O55)</f>
        <v>-378.524459356707</v>
      </c>
      <c r="Q55" s="12" t="n">
        <f aca="false">INDEX($E$3:$O$3,MATCH(P55,E55:O55,0))</f>
        <v>2.5</v>
      </c>
      <c r="R55" s="20" t="n">
        <v>2.5</v>
      </c>
      <c r="S55" s="14" t="n">
        <f aca="false">IF(ABS(Q55-R55)&lt;0.000000001,1,0)</f>
        <v>1</v>
      </c>
      <c r="T55" s="21" t="n">
        <f aca="false">ABS(P55-B55)</f>
        <v>0</v>
      </c>
      <c r="U55" s="16" t="n">
        <f aca="false">Alpha_keep*A55+Q55</f>
        <v>43.9375</v>
      </c>
      <c r="V55" s="14" t="n">
        <f aca="false">INDEX(GuardBlock,51,ROUND(Q55/Step_h,0)+1)</f>
        <v>1</v>
      </c>
      <c r="W55" s="22" t="n">
        <v>0</v>
      </c>
    </row>
    <row r="56" customFormat="false" ht="15" hidden="false" customHeight="false" outlineLevel="0" collapsed="false">
      <c r="A56" s="18" t="n">
        <f aca="false">Grid!A56</f>
        <v>42.75</v>
      </c>
      <c r="B56" s="19" t="n">
        <v>-374.652008341862</v>
      </c>
      <c r="C56" s="14" t="n">
        <v>51</v>
      </c>
      <c r="D56" s="11" t="n">
        <f aca="false">IF(AND($C56&gt;=6,$C56&lt;=194),Declarations!$B$25*INDEX($B$5:$B$205,$C56+1-Declarations!$E$25)+Declarations!$B$26*INDEX($B$5:$B$205,$C56+1-Declarations!$E$26)+Declarations!$B$27*INDEX($B$5:$B$205,$C56+1-Declarations!$E$27)+Declarations!$B$28*INDEX($B$5:$B$205,$C56+1-Declarations!$E$28)+Declarations!$B$29*INDEX($B$5:$B$205,$C56+1-Declarations!$E$29),"")</f>
        <v>-374.787679647336</v>
      </c>
      <c r="E56" s="16" t="n">
        <f aca="false">IF(Grid!C56=1,-Cost_k*E$3-Short_p*MAX(0,Floor_c-$A56)+Beta_q*((1-(((Alpha_keep*$A56+E$3-Lo_c)/Step_c)-MAX(6,MIN(INT(((Alpha_keep*$A56+E$3-Lo_c)/Step_c)+0.00000001),193))))*INDEX($D$5:$D$205,MAX(6,MIN(INT(((Alpha_keep*$A56+E$3-Lo_c)/Step_c)+0.00000001),193))+1)+(((Alpha_keep*$A56+E$3-Lo_c)/Step_c)-MAX(6,MIN(INT(((Alpha_keep*$A56+E$3-Lo_c)/Step_c)+0.00000001),193)))*INDEX($D$5:$D$205,MAX(6,MIN(INT(((Alpha_keep*$A56+E$3-Lo_c)/Step_c)+0.00000001),193))+2)),"")</f>
        <v>-401.976224981762</v>
      </c>
      <c r="F56" s="16" t="n">
        <f aca="false">IF(Grid!D56=1,-Cost_k*F$3-Short_p*MAX(0,Floor_c-$A56)+Beta_q*((1-(((Alpha_keep*$A56+F$3-Lo_c)/Step_c)-MAX(6,MIN(INT(((Alpha_keep*$A56+F$3-Lo_c)/Step_c)+0.00000001),193))))*INDEX($D$5:$D$205,MAX(6,MIN(INT(((Alpha_keep*$A56+F$3-Lo_c)/Step_c)+0.00000001),193))+1)+(((Alpha_keep*$A56+F$3-Lo_c)/Step_c)-MAX(6,MIN(INT(((Alpha_keep*$A56+F$3-Lo_c)/Step_c)+0.00000001),193)))*INDEX($D$5:$D$205,MAX(6,MIN(INT(((Alpha_keep*$A56+F$3-Lo_c)/Step_c)+0.00000001),193))+2)),"")</f>
        <v>-399.079341245695</v>
      </c>
      <c r="G56" s="16" t="n">
        <f aca="false">IF(Grid!E56=1,-Cost_k*G$3-Short_p*MAX(0,Floor_c-$A56)+Beta_q*((1-(((Alpha_keep*$A56+G$3-Lo_c)/Step_c)-MAX(6,MIN(INT(((Alpha_keep*$A56+G$3-Lo_c)/Step_c)+0.00000001),193))))*INDEX($D$5:$D$205,MAX(6,MIN(INT(((Alpha_keep*$A56+G$3-Lo_c)/Step_c)+0.00000001),193))+1)+(((Alpha_keep*$A56+G$3-Lo_c)/Step_c)-MAX(6,MIN(INT(((Alpha_keep*$A56+G$3-Lo_c)/Step_c)+0.00000001),193)))*INDEX($D$5:$D$205,MAX(6,MIN(INT(((Alpha_keep*$A56+G$3-Lo_c)/Step_c)+0.00000001),193))+2)),"")</f>
        <v>-396.217738924567</v>
      </c>
      <c r="H56" s="16" t="n">
        <f aca="false">IF(Grid!F56=1,-Cost_k*H$3-Short_p*MAX(0,Floor_c-$A56)+Beta_q*((1-(((Alpha_keep*$A56+H$3-Lo_c)/Step_c)-MAX(6,MIN(INT(((Alpha_keep*$A56+H$3-Lo_c)/Step_c)+0.00000001),193))))*INDEX($D$5:$D$205,MAX(6,MIN(INT(((Alpha_keep*$A56+H$3-Lo_c)/Step_c)+0.00000001),193))+1)+(((Alpha_keep*$A56+H$3-Lo_c)/Step_c)-MAX(6,MIN(INT(((Alpha_keep*$A56+H$3-Lo_c)/Step_c)+0.00000001),193)))*INDEX($D$5:$D$205,MAX(6,MIN(INT(((Alpha_keep*$A56+H$3-Lo_c)/Step_c)+0.00000001),193))+2)),"")</f>
        <v>-393.391933085845</v>
      </c>
      <c r="I56" s="16" t="n">
        <f aca="false">IF(Grid!G56=1,-Cost_k*I$3-Short_p*MAX(0,Floor_c-$A56)+Beta_q*((1-(((Alpha_keep*$A56+I$3-Lo_c)/Step_c)-MAX(6,MIN(INT(((Alpha_keep*$A56+I$3-Lo_c)/Step_c)+0.00000001),193))))*INDEX($D$5:$D$205,MAX(6,MIN(INT(((Alpha_keep*$A56+I$3-Lo_c)/Step_c)+0.00000001),193))+1)+(((Alpha_keep*$A56+I$3-Lo_c)/Step_c)-MAX(6,MIN(INT(((Alpha_keep*$A56+I$3-Lo_c)/Step_c)+0.00000001),193)))*INDEX($D$5:$D$205,MAX(6,MIN(INT(((Alpha_keep*$A56+I$3-Lo_c)/Step_c)+0.00000001),193))+2)),"")</f>
        <v>-390.602350496815</v>
      </c>
      <c r="J56" s="16" t="n">
        <f aca="false">IF(Grid!H56=1,-Cost_k*J$3-Short_p*MAX(0,Floor_c-$A56)+Beta_q*((1-(((Alpha_keep*$A56+J$3-Lo_c)/Step_c)-MAX(6,MIN(INT(((Alpha_keep*$A56+J$3-Lo_c)/Step_c)+0.00000001),193))))*INDEX($D$5:$D$205,MAX(6,MIN(INT(((Alpha_keep*$A56+J$3-Lo_c)/Step_c)+0.00000001),193))+1)+(((Alpha_keep*$A56+J$3-Lo_c)/Step_c)-MAX(6,MIN(INT(((Alpha_keep*$A56+J$3-Lo_c)/Step_c)+0.00000001),193)))*INDEX($D$5:$D$205,MAX(6,MIN(INT(((Alpha_keep*$A56+J$3-Lo_c)/Step_c)+0.00000001),193))+2)),"")</f>
        <v>-387.849415630485</v>
      </c>
      <c r="K56" s="16" t="n">
        <f aca="false">IF(Grid!I56=1,-Cost_k*K$3-Short_p*MAX(0,Floor_c-$A56)+Beta_q*((1-(((Alpha_keep*$A56+K$3-Lo_c)/Step_c)-MAX(6,MIN(INT(((Alpha_keep*$A56+K$3-Lo_c)/Step_c)+0.00000001),193))))*INDEX($D$5:$D$205,MAX(6,MIN(INT(((Alpha_keep*$A56+K$3-Lo_c)/Step_c)+0.00000001),193))+1)+(((Alpha_keep*$A56+K$3-Lo_c)/Step_c)-MAX(6,MIN(INT(((Alpha_keep*$A56+K$3-Lo_c)/Step_c)+0.00000001),193)))*INDEX($D$5:$D$205,MAX(6,MIN(INT(((Alpha_keep*$A56+K$3-Lo_c)/Step_c)+0.00000001),193))+2)),"")</f>
        <v>-385.133678507067</v>
      </c>
      <c r="L56" s="16" t="n">
        <f aca="false">IF(Grid!J56=1,-Cost_k*L$3-Short_p*MAX(0,Floor_c-$A56)+Beta_q*((1-(((Alpha_keep*$A56+L$3-Lo_c)/Step_c)-MAX(6,MIN(INT(((Alpha_keep*$A56+L$3-Lo_c)/Step_c)+0.00000001),193))))*INDEX($D$5:$D$205,MAX(6,MIN(INT(((Alpha_keep*$A56+L$3-Lo_c)/Step_c)+0.00000001),193))+1)+(((Alpha_keep*$A56+L$3-Lo_c)/Step_c)-MAX(6,MIN(INT(((Alpha_keep*$A56+L$3-Lo_c)/Step_c)+0.00000001),193)))*INDEX($D$5:$D$205,MAX(6,MIN(INT(((Alpha_keep*$A56+L$3-Lo_c)/Step_c)+0.00000001),193))+2)),"")</f>
        <v>-382.455577680713</v>
      </c>
      <c r="M56" s="16" t="n">
        <f aca="false">IF(Grid!K56=1,-Cost_k*M$3-Short_p*MAX(0,Floor_c-$A56)+Beta_q*((1-(((Alpha_keep*$A56+M$3-Lo_c)/Step_c)-MAX(6,MIN(INT(((Alpha_keep*$A56+M$3-Lo_c)/Step_c)+0.00000001),193))))*INDEX($D$5:$D$205,MAX(6,MIN(INT(((Alpha_keep*$A56+M$3-Lo_c)/Step_c)+0.00000001),193))+1)+(((Alpha_keep*$A56+M$3-Lo_c)/Step_c)-MAX(6,MIN(INT(((Alpha_keep*$A56+M$3-Lo_c)/Step_c)+0.00000001),193)))*INDEX($D$5:$D$205,MAX(6,MIN(INT(((Alpha_keep*$A56+M$3-Lo_c)/Step_c)+0.00000001),193))+2)),"")</f>
        <v>-379.815562054452</v>
      </c>
      <c r="N56" s="16" t="n">
        <f aca="false">IF(Grid!L56=1,-Cost_k*N$3-Short_p*MAX(0,Floor_c-$A56)+Beta_q*((1-(((Alpha_keep*$A56+N$3-Lo_c)/Step_c)-MAX(6,MIN(INT(((Alpha_keep*$A56+N$3-Lo_c)/Step_c)+0.00000001),193))))*INDEX($D$5:$D$205,MAX(6,MIN(INT(((Alpha_keep*$A56+N$3-Lo_c)/Step_c)+0.00000001),193))+1)+(((Alpha_keep*$A56+N$3-Lo_c)/Step_c)-MAX(6,MIN(INT(((Alpha_keep*$A56+N$3-Lo_c)/Step_c)+0.00000001),193)))*INDEX($D$5:$D$205,MAX(6,MIN(INT(((Alpha_keep*$A56+N$3-Lo_c)/Step_c)+0.00000001),193))+2)),"")</f>
        <v>-377.214225638963</v>
      </c>
      <c r="O56" s="16" t="n">
        <f aca="false">IF(Grid!M56=1,-Cost_k*O$3-Short_p*MAX(0,Floor_c-$A56)+Beta_q*((1-(((Alpha_keep*$A56+O$3-Lo_c)/Step_c)-MAX(6,MIN(INT(((Alpha_keep*$A56+O$3-Lo_c)/Step_c)+0.00000001),193))))*INDEX($D$5:$D$205,MAX(6,MIN(INT(((Alpha_keep*$A56+O$3-Lo_c)/Step_c)+0.00000001),193))+1)+(((Alpha_keep*$A56+O$3-Lo_c)/Step_c)-MAX(6,MIN(INT(((Alpha_keep*$A56+O$3-Lo_c)/Step_c)+0.00000001),193)))*INDEX($D$5:$D$205,MAX(6,MIN(INT(((Alpha_keep*$A56+O$3-Lo_c)/Step_c)+0.00000001),193))+2)),"")</f>
        <v>-374.652008341862</v>
      </c>
      <c r="P56" s="11" t="n">
        <f aca="false">MAX(E56:O56)</f>
        <v>-374.652008341862</v>
      </c>
      <c r="Q56" s="12" t="n">
        <f aca="false">INDEX($E$3:$O$3,MATCH(P56,E56:O56,0))</f>
        <v>2.5</v>
      </c>
      <c r="R56" s="20" t="n">
        <v>2.5</v>
      </c>
      <c r="S56" s="14" t="n">
        <f aca="false">IF(ABS(Q56-R56)&lt;0.000000001,1,0)</f>
        <v>1</v>
      </c>
      <c r="T56" s="21" t="n">
        <f aca="false">ABS(P56-B56)</f>
        <v>0</v>
      </c>
      <c r="U56" s="16" t="n">
        <f aca="false">Alpha_keep*A56+Q56</f>
        <v>44.18125</v>
      </c>
      <c r="V56" s="14" t="n">
        <f aca="false">INDEX(GuardBlock,52,ROUND(Q56/Step_h,0)+1)</f>
        <v>1</v>
      </c>
      <c r="W56" s="22" t="n">
        <v>0</v>
      </c>
    </row>
    <row r="57" customFormat="false" ht="15" hidden="false" customHeight="false" outlineLevel="0" collapsed="false">
      <c r="A57" s="18" t="n">
        <f aca="false">Grid!A57</f>
        <v>43</v>
      </c>
      <c r="B57" s="19" t="n">
        <v>-370.817183426284</v>
      </c>
      <c r="C57" s="14" t="n">
        <v>52</v>
      </c>
      <c r="D57" s="11" t="n">
        <f aca="false">IF(AND($C57&gt;=6,$C57&lt;=194),Declarations!$B$25*INDEX($B$5:$B$205,$C57+1-Declarations!$E$25)+Declarations!$B$26*INDEX($B$5:$B$205,$C57+1-Declarations!$E$26)+Declarations!$B$27*INDEX($B$5:$B$205,$C57+1-Declarations!$E$27)+Declarations!$B$28*INDEX($B$5:$B$205,$C57+1-Declarations!$E$28)+Declarations!$B$29*INDEX($B$5:$B$205,$C57+1-Declarations!$E$29),"")</f>
        <v>-370.954603029086</v>
      </c>
      <c r="E57" s="16" t="n">
        <f aca="false">IF(Grid!C57=1,-Cost_k*E$3-Short_p*MAX(0,Floor_c-$A57)+Beta_q*((1-(((Alpha_keep*$A57+E$3-Lo_c)/Step_c)-MAX(6,MIN(INT(((Alpha_keep*$A57+E$3-Lo_c)/Step_c)+0.00000001),193))))*INDEX($D$5:$D$205,MAX(6,MIN(INT(((Alpha_keep*$A57+E$3-Lo_c)/Step_c)+0.00000001),193))+1)+(((Alpha_keep*$A57+E$3-Lo_c)/Step_c)-MAX(6,MIN(INT(((Alpha_keep*$A57+E$3-Lo_c)/Step_c)+0.00000001),193)))*INDEX($D$5:$D$205,MAX(6,MIN(INT(((Alpha_keep*$A57+E$3-Lo_c)/Step_c)+0.00000001),193))+2)),"")</f>
        <v>-397.776522855203</v>
      </c>
      <c r="F57" s="16" t="n">
        <f aca="false">IF(Grid!D57=1,-Cost_k*F$3-Short_p*MAX(0,Floor_c-$A57)+Beta_q*((1-(((Alpha_keep*$A57+F$3-Lo_c)/Step_c)-MAX(6,MIN(INT(((Alpha_keep*$A57+F$3-Lo_c)/Step_c)+0.00000001),193))))*INDEX($D$5:$D$205,MAX(6,MIN(INT(((Alpha_keep*$A57+F$3-Lo_c)/Step_c)+0.00000001),193))+1)+(((Alpha_keep*$A57+F$3-Lo_c)/Step_c)-MAX(6,MIN(INT(((Alpha_keep*$A57+F$3-Lo_c)/Step_c)+0.00000001),193)))*INDEX($D$5:$D$205,MAX(6,MIN(INT(((Alpha_keep*$A57+F$3-Lo_c)/Step_c)+0.00000001),193))+2)),"")</f>
        <v>-394.914035635482</v>
      </c>
      <c r="G57" s="16" t="n">
        <f aca="false">IF(Grid!E57=1,-Cost_k*G$3-Short_p*MAX(0,Floor_c-$A57)+Beta_q*((1-(((Alpha_keep*$A57+G$3-Lo_c)/Step_c)-MAX(6,MIN(INT(((Alpha_keep*$A57+G$3-Lo_c)/Step_c)+0.00000001),193))))*INDEX($D$5:$D$205,MAX(6,MIN(INT(((Alpha_keep*$A57+G$3-Lo_c)/Step_c)+0.00000001),193))+1)+(((Alpha_keep*$A57+G$3-Lo_c)/Step_c)-MAX(6,MIN(INT(((Alpha_keep*$A57+G$3-Lo_c)/Step_c)+0.00000001),193)))*INDEX($D$5:$D$205,MAX(6,MIN(INT(((Alpha_keep*$A57+G$3-Lo_c)/Step_c)+0.00000001),193))+2)),"")</f>
        <v>-392.087331086488</v>
      </c>
      <c r="H57" s="16" t="n">
        <f aca="false">IF(Grid!F57=1,-Cost_k*H$3-Short_p*MAX(0,Floor_c-$A57)+Beta_q*((1-(((Alpha_keep*$A57+H$3-Lo_c)/Step_c)-MAX(6,MIN(INT(((Alpha_keep*$A57+H$3-Lo_c)/Step_c)+0.00000001),193))))*INDEX($D$5:$D$205,MAX(6,MIN(INT(((Alpha_keep*$A57+H$3-Lo_c)/Step_c)+0.00000001),193))+1)+(((Alpha_keep*$A57+H$3-Lo_c)/Step_c)-MAX(6,MIN(INT(((Alpha_keep*$A57+H$3-Lo_c)/Step_c)+0.00000001),193)))*INDEX($D$5:$D$205,MAX(6,MIN(INT(((Alpha_keep*$A57+H$3-Lo_c)/Step_c)+0.00000001),193))+2)),"")</f>
        <v>-389.296840309986</v>
      </c>
      <c r="I57" s="16" t="n">
        <f aca="false">IF(Grid!G57=1,-Cost_k*I$3-Short_p*MAX(0,Floor_c-$A57)+Beta_q*((1-(((Alpha_keep*$A57+I$3-Lo_c)/Step_c)-MAX(6,MIN(INT(((Alpha_keep*$A57+I$3-Lo_c)/Step_c)+0.00000001),193))))*INDEX($D$5:$D$205,MAX(6,MIN(INT(((Alpha_keep*$A57+I$3-Lo_c)/Step_c)+0.00000001),193))+1)+(((Alpha_keep*$A57+I$3-Lo_c)/Step_c)-MAX(6,MIN(INT(((Alpha_keep*$A57+I$3-Lo_c)/Step_c)+0.00000001),193)))*INDEX($D$5:$D$205,MAX(6,MIN(INT(((Alpha_keep*$A57+I$3-Lo_c)/Step_c)+0.00000001),193))+2)),"")</f>
        <v>-386.542986213983</v>
      </c>
      <c r="J57" s="16" t="n">
        <f aca="false">IF(Grid!H57=1,-Cost_k*J$3-Short_p*MAX(0,Floor_c-$A57)+Beta_q*((1-(((Alpha_keep*$A57+J$3-Lo_c)/Step_c)-MAX(6,MIN(INT(((Alpha_keep*$A57+J$3-Lo_c)/Step_c)+0.00000001),193))))*INDEX($D$5:$D$205,MAX(6,MIN(INT(((Alpha_keep*$A57+J$3-Lo_c)/Step_c)+0.00000001),193))+1)+(((Alpha_keep*$A57+J$3-Lo_c)/Step_c)-MAX(6,MIN(INT(((Alpha_keep*$A57+J$3-Lo_c)/Step_c)+0.00000001),193)))*INDEX($D$5:$D$205,MAX(6,MIN(INT(((Alpha_keep*$A57+J$3-Lo_c)/Step_c)+0.00000001),193))+2)),"")</f>
        <v>-383.826315083099</v>
      </c>
      <c r="K57" s="16" t="n">
        <f aca="false">IF(Grid!I57=1,-Cost_k*K$3-Short_p*MAX(0,Floor_c-$A57)+Beta_q*((1-(((Alpha_keep*$A57+K$3-Lo_c)/Step_c)-MAX(6,MIN(INT(((Alpha_keep*$A57+K$3-Lo_c)/Step_c)+0.00000001),193))))*INDEX($D$5:$D$205,MAX(6,MIN(INT(((Alpha_keep*$A57+K$3-Lo_c)/Step_c)+0.00000001),193))+1)+(((Alpha_keep*$A57+K$3-Lo_c)/Step_c)-MAX(6,MIN(INT(((Alpha_keep*$A57+K$3-Lo_c)/Step_c)+0.00000001),193)))*INDEX($D$5:$D$205,MAX(6,MIN(INT(((Alpha_keep*$A57+K$3-Lo_c)/Step_c)+0.00000001),193))+2)),"")</f>
        <v>-381.147270732092</v>
      </c>
      <c r="L57" s="16" t="n">
        <f aca="false">IF(Grid!J57=1,-Cost_k*L$3-Short_p*MAX(0,Floor_c-$A57)+Beta_q*((1-(((Alpha_keep*$A57+L$3-Lo_c)/Step_c)-MAX(6,MIN(INT(((Alpha_keep*$A57+L$3-Lo_c)/Step_c)+0.00000001),193))))*INDEX($D$5:$D$205,MAX(6,MIN(INT(((Alpha_keep*$A57+L$3-Lo_c)/Step_c)+0.00000001),193))+1)+(((Alpha_keep*$A57+L$3-Lo_c)/Step_c)-MAX(6,MIN(INT(((Alpha_keep*$A57+L$3-Lo_c)/Step_c)+0.00000001),193)))*INDEX($D$5:$D$205,MAX(6,MIN(INT(((Alpha_keep*$A57+L$3-Lo_c)/Step_c)+0.00000001),193))+2)),"")</f>
        <v>-378.506299711731</v>
      </c>
      <c r="M57" s="16" t="n">
        <f aca="false">IF(Grid!K57=1,-Cost_k*M$3-Short_p*MAX(0,Floor_c-$A57)+Beta_q*((1-(((Alpha_keep*$A57+M$3-Lo_c)/Step_c)-MAX(6,MIN(INT(((Alpha_keep*$A57+M$3-Lo_c)/Step_c)+0.00000001),193))))*INDEX($D$5:$D$205,MAX(6,MIN(INT(((Alpha_keep*$A57+M$3-Lo_c)/Step_c)+0.00000001),193))+1)+(((Alpha_keep*$A57+M$3-Lo_c)/Step_c)-MAX(6,MIN(INT(((Alpha_keep*$A57+M$3-Lo_c)/Step_c)+0.00000001),193)))*INDEX($D$5:$D$205,MAX(6,MIN(INT(((Alpha_keep*$A57+M$3-Lo_c)/Step_c)+0.00000001),193))+2)),"")</f>
        <v>-375.903991921219</v>
      </c>
      <c r="N57" s="16" t="n">
        <f aca="false">IF(Grid!L57=1,-Cost_k*N$3-Short_p*MAX(0,Floor_c-$A57)+Beta_q*((1-(((Alpha_keep*$A57+N$3-Lo_c)/Step_c)-MAX(6,MIN(INT(((Alpha_keep*$A57+N$3-Lo_c)/Step_c)+0.00000001),193))))*INDEX($D$5:$D$205,MAX(6,MIN(INT(((Alpha_keep*$A57+N$3-Lo_c)/Step_c)+0.00000001),193))+1)+(((Alpha_keep*$A57+N$3-Lo_c)/Step_c)-MAX(6,MIN(INT(((Alpha_keep*$A57+N$3-Lo_c)/Step_c)+0.00000001),193)))*INDEX($D$5:$D$205,MAX(6,MIN(INT(((Alpha_keep*$A57+N$3-Lo_c)/Step_c)+0.00000001),193))+2)),"")</f>
        <v>-373.340794141596</v>
      </c>
      <c r="O57" s="16" t="n">
        <f aca="false">IF(Grid!M57=1,-Cost_k*O$3-Short_p*MAX(0,Floor_c-$A57)+Beta_q*((1-(((Alpha_keep*$A57+O$3-Lo_c)/Step_c)-MAX(6,MIN(INT(((Alpha_keep*$A57+O$3-Lo_c)/Step_c)+0.00000001),193))))*INDEX($D$5:$D$205,MAX(6,MIN(INT(((Alpha_keep*$A57+O$3-Lo_c)/Step_c)+0.00000001),193))+1)+(((Alpha_keep*$A57+O$3-Lo_c)/Step_c)-MAX(6,MIN(INT(((Alpha_keep*$A57+O$3-Lo_c)/Step_c)+0.00000001),193)))*INDEX($D$5:$D$205,MAX(6,MIN(INT(((Alpha_keep*$A57+O$3-Lo_c)/Step_c)+0.00000001),193))+2)),"")</f>
        <v>-370.817183426284</v>
      </c>
      <c r="P57" s="11" t="n">
        <f aca="false">MAX(E57:O57)</f>
        <v>-370.817183426284</v>
      </c>
      <c r="Q57" s="12" t="n">
        <f aca="false">INDEX($E$3:$O$3,MATCH(P57,E57:O57,0))</f>
        <v>2.5</v>
      </c>
      <c r="R57" s="20" t="n">
        <v>2.5</v>
      </c>
      <c r="S57" s="14" t="n">
        <f aca="false">IF(ABS(Q57-R57)&lt;0.000000001,1,0)</f>
        <v>1</v>
      </c>
      <c r="T57" s="21" t="n">
        <f aca="false">ABS(P57-B57)</f>
        <v>0</v>
      </c>
      <c r="U57" s="16" t="n">
        <f aca="false">Alpha_keep*A57+Q57</f>
        <v>44.425</v>
      </c>
      <c r="V57" s="14" t="n">
        <f aca="false">INDEX(GuardBlock,53,ROUND(Q57/Step_h,0)+1)</f>
        <v>1</v>
      </c>
      <c r="W57" s="22" t="n">
        <v>0</v>
      </c>
    </row>
    <row r="58" customFormat="false" ht="15" hidden="false" customHeight="false" outlineLevel="0" collapsed="false">
      <c r="A58" s="18" t="n">
        <f aca="false">Grid!A58</f>
        <v>43.25</v>
      </c>
      <c r="B58" s="19" t="n">
        <v>-367.020585950363</v>
      </c>
      <c r="C58" s="14" t="n">
        <v>53</v>
      </c>
      <c r="D58" s="11" t="n">
        <f aca="false">IF(AND($C58&gt;=6,$C58&lt;=194),Declarations!$B$25*INDEX($B$5:$B$205,$C58+1-Declarations!$E$25)+Declarations!$B$26*INDEX($B$5:$B$205,$C58+1-Declarations!$E$26)+Declarations!$B$27*INDEX($B$5:$B$205,$C58+1-Declarations!$E$27)+Declarations!$B$28*INDEX($B$5:$B$205,$C58+1-Declarations!$E$28)+Declarations!$B$29*INDEX($B$5:$B$205,$C58+1-Declarations!$E$29),"")</f>
        <v>-367.159787604103</v>
      </c>
      <c r="E58" s="16" t="n">
        <f aca="false">IF(Grid!C58=1,-Cost_k*E$3-Short_p*MAX(0,Floor_c-$A58)+Beta_q*((1-(((Alpha_keep*$A58+E$3-Lo_c)/Step_c)-MAX(6,MIN(INT(((Alpha_keep*$A58+E$3-Lo_c)/Step_c)+0.00000001),193))))*INDEX($D$5:$D$205,MAX(6,MIN(INT(((Alpha_keep*$A58+E$3-Lo_c)/Step_c)+0.00000001),193))+1)+(((Alpha_keep*$A58+E$3-Lo_c)/Step_c)-MAX(6,MIN(INT(((Alpha_keep*$A58+E$3-Lo_c)/Step_c)+0.00000001),193)))*INDEX($D$5:$D$205,MAX(6,MIN(INT(((Alpha_keep*$A58+E$3-Lo_c)/Step_c)+0.00000001),193))+2)),"")</f>
        <v>-393.610332346398</v>
      </c>
      <c r="F58" s="16" t="n">
        <f aca="false">IF(Grid!D58=1,-Cost_k*F$3-Short_p*MAX(0,Floor_c-$A58)+Beta_q*((1-(((Alpha_keep*$A58+F$3-Lo_c)/Step_c)-MAX(6,MIN(INT(((Alpha_keep*$A58+F$3-Lo_c)/Step_c)+0.00000001),193))))*INDEX($D$5:$D$205,MAX(6,MIN(INT(((Alpha_keep*$A58+F$3-Lo_c)/Step_c)+0.00000001),193))+1)+(((Alpha_keep*$A58+F$3-Lo_c)/Step_c)-MAX(6,MIN(INT(((Alpha_keep*$A58+F$3-Lo_c)/Step_c)+0.00000001),193)))*INDEX($D$5:$D$205,MAX(6,MIN(INT(((Alpha_keep*$A58+F$3-Lo_c)/Step_c)+0.00000001),193))+2)),"")</f>
        <v>-390.782729087132</v>
      </c>
      <c r="G58" s="16" t="n">
        <f aca="false">IF(Grid!E58=1,-Cost_k*G$3-Short_p*MAX(0,Floor_c-$A58)+Beta_q*((1-(((Alpha_keep*$A58+G$3-Lo_c)/Step_c)-MAX(6,MIN(INT(((Alpha_keep*$A58+G$3-Lo_c)/Step_c)+0.00000001),193))))*INDEX($D$5:$D$205,MAX(6,MIN(INT(((Alpha_keep*$A58+G$3-Lo_c)/Step_c)+0.00000001),193))+1)+(((Alpha_keep*$A58+G$3-Lo_c)/Step_c)-MAX(6,MIN(INT(((Alpha_keep*$A58+G$3-Lo_c)/Step_c)+0.00000001),193)))*INDEX($D$5:$D$205,MAX(6,MIN(INT(((Alpha_keep*$A58+G$3-Lo_c)/Step_c)+0.00000001),193))+2)),"")</f>
        <v>-387.991330123157</v>
      </c>
      <c r="H58" s="16" t="n">
        <f aca="false">IF(Grid!F58=1,-Cost_k*H$3-Short_p*MAX(0,Floor_c-$A58)+Beta_q*((1-(((Alpha_keep*$A58+H$3-Lo_c)/Step_c)-MAX(6,MIN(INT(((Alpha_keep*$A58+H$3-Lo_c)/Step_c)+0.00000001),193))))*INDEX($D$5:$D$205,MAX(6,MIN(INT(((Alpha_keep*$A58+H$3-Lo_c)/Step_c)+0.00000001),193))+1)+(((Alpha_keep*$A58+H$3-Lo_c)/Step_c)-MAX(6,MIN(INT(((Alpha_keep*$A58+H$3-Lo_c)/Step_c)+0.00000001),193)))*INDEX($D$5:$D$205,MAX(6,MIN(INT(((Alpha_keep*$A58+H$3-Lo_c)/Step_c)+0.00000001),193))+2)),"")</f>
        <v>-385.236556797482</v>
      </c>
      <c r="I58" s="16" t="n">
        <f aca="false">IF(Grid!G58=1,-Cost_k*I$3-Short_p*MAX(0,Floor_c-$A58)+Beta_q*((1-(((Alpha_keep*$A58+I$3-Lo_c)/Step_c)-MAX(6,MIN(INT(((Alpha_keep*$A58+I$3-Lo_c)/Step_c)+0.00000001),193))))*INDEX($D$5:$D$205,MAX(6,MIN(INT(((Alpha_keep*$A58+I$3-Lo_c)/Step_c)+0.00000001),193))+1)+(((Alpha_keep*$A58+I$3-Lo_c)/Step_c)-MAX(6,MIN(INT(((Alpha_keep*$A58+I$3-Lo_c)/Step_c)+0.00000001),193)))*INDEX($D$5:$D$205,MAX(6,MIN(INT(((Alpha_keep*$A58+I$3-Lo_c)/Step_c)+0.00000001),193))+2)),"")</f>
        <v>-382.518951659132</v>
      </c>
      <c r="J58" s="16" t="n">
        <f aca="false">IF(Grid!H58=1,-Cost_k*J$3-Short_p*MAX(0,Floor_c-$A58)+Beta_q*((1-(((Alpha_keep*$A58+J$3-Lo_c)/Step_c)-MAX(6,MIN(INT(((Alpha_keep*$A58+J$3-Lo_c)/Step_c)+0.00000001),193))))*INDEX($D$5:$D$205,MAX(6,MIN(INT(((Alpha_keep*$A58+J$3-Lo_c)/Step_c)+0.00000001),193))+1)+(((Alpha_keep*$A58+J$3-Lo_c)/Step_c)-MAX(6,MIN(INT(((Alpha_keep*$A58+J$3-Lo_c)/Step_c)+0.00000001),193)))*INDEX($D$5:$D$205,MAX(6,MIN(INT(((Alpha_keep*$A58+J$3-Lo_c)/Step_c)+0.00000001),193))+2)),"")</f>
        <v>-379.838963783472</v>
      </c>
      <c r="K58" s="16" t="n">
        <f aca="false">IF(Grid!I58=1,-Cost_k*K$3-Short_p*MAX(0,Floor_c-$A58)+Beta_q*((1-(((Alpha_keep*$A58+K$3-Lo_c)/Step_c)-MAX(6,MIN(INT(((Alpha_keep*$A58+K$3-Lo_c)/Step_c)+0.00000001),193))))*INDEX($D$5:$D$205,MAX(6,MIN(INT(((Alpha_keep*$A58+K$3-Lo_c)/Step_c)+0.00000001),193))+1)+(((Alpha_keep*$A58+K$3-Lo_c)/Step_c)-MAX(6,MIN(INT(((Alpha_keep*$A58+K$3-Lo_c)/Step_c)+0.00000001),193)))*INDEX($D$5:$D$205,MAX(6,MIN(INT(((Alpha_keep*$A58+K$3-Lo_c)/Step_c)+0.00000001),193))+2)),"")</f>
        <v>-377.19703736901</v>
      </c>
      <c r="L58" s="16" t="n">
        <f aca="false">IF(Grid!J58=1,-Cost_k*L$3-Short_p*MAX(0,Floor_c-$A58)+Beta_q*((1-(((Alpha_keep*$A58+L$3-Lo_c)/Step_c)-MAX(6,MIN(INT(((Alpha_keep*$A58+L$3-Lo_c)/Step_c)+0.00000001),193))))*INDEX($D$5:$D$205,MAX(6,MIN(INT(((Alpha_keep*$A58+L$3-Lo_c)/Step_c)+0.00000001),193))+1)+(((Alpha_keep*$A58+L$3-Lo_c)/Step_c)-MAX(6,MIN(INT(((Alpha_keep*$A58+L$3-Lo_c)/Step_c)+0.00000001),193)))*INDEX($D$5:$D$205,MAX(6,MIN(INT(((Alpha_keep*$A58+L$3-Lo_c)/Step_c)+0.00000001),193))+2)),"")</f>
        <v>-374.593758203475</v>
      </c>
      <c r="M58" s="16" t="n">
        <f aca="false">IF(Grid!K58=1,-Cost_k*M$3-Short_p*MAX(0,Floor_c-$A58)+Beta_q*((1-(((Alpha_keep*$A58+M$3-Lo_c)/Step_c)-MAX(6,MIN(INT(((Alpha_keep*$A58+M$3-Lo_c)/Step_c)+0.00000001),193))))*INDEX($D$5:$D$205,MAX(6,MIN(INT(((Alpha_keep*$A58+M$3-Lo_c)/Step_c)+0.00000001),193))+1)+(((Alpha_keep*$A58+M$3-Lo_c)/Step_c)-MAX(6,MIN(INT(((Alpha_keep*$A58+M$3-Lo_c)/Step_c)+0.00000001),193)))*INDEX($D$5:$D$205,MAX(6,MIN(INT(((Alpha_keep*$A58+M$3-Lo_c)/Step_c)+0.00000001),193))+2)),"")</f>
        <v>-372.02957994133</v>
      </c>
      <c r="N58" s="16" t="n">
        <f aca="false">IF(Grid!L58=1,-Cost_k*N$3-Short_p*MAX(0,Floor_c-$A58)+Beta_q*((1-(((Alpha_keep*$A58+N$3-Lo_c)/Step_c)-MAX(6,MIN(INT(((Alpha_keep*$A58+N$3-Lo_c)/Step_c)+0.00000001),193))))*INDEX($D$5:$D$205,MAX(6,MIN(INT(((Alpha_keep*$A58+N$3-Lo_c)/Step_c)+0.00000001),193))+1)+(((Alpha_keep*$A58+N$3-Lo_c)/Step_c)-MAX(6,MIN(INT(((Alpha_keep*$A58+N$3-Lo_c)/Step_c)+0.00000001),193)))*INDEX($D$5:$D$205,MAX(6,MIN(INT(((Alpha_keep*$A58+N$3-Lo_c)/Step_c)+0.00000001),193))+2)),"")</f>
        <v>-369.504975609088</v>
      </c>
      <c r="O58" s="16" t="n">
        <f aca="false">IF(Grid!M58=1,-Cost_k*O$3-Short_p*MAX(0,Floor_c-$A58)+Beta_q*((1-(((Alpha_keep*$A58+O$3-Lo_c)/Step_c)-MAX(6,MIN(INT(((Alpha_keep*$A58+O$3-Lo_c)/Step_c)+0.00000001),193))))*INDEX($D$5:$D$205,MAX(6,MIN(INT(((Alpha_keep*$A58+O$3-Lo_c)/Step_c)+0.00000001),193))+1)+(((Alpha_keep*$A58+O$3-Lo_c)/Step_c)-MAX(6,MIN(INT(((Alpha_keep*$A58+O$3-Lo_c)/Step_c)+0.00000001),193)))*INDEX($D$5:$D$205,MAX(6,MIN(INT(((Alpha_keep*$A58+O$3-Lo_c)/Step_c)+0.00000001),193))+2)),"")</f>
        <v>-367.020585950363</v>
      </c>
      <c r="P58" s="11" t="n">
        <f aca="false">MAX(E58:O58)</f>
        <v>-367.020585950363</v>
      </c>
      <c r="Q58" s="12" t="n">
        <f aca="false">INDEX($E$3:$O$3,MATCH(P58,E58:O58,0))</f>
        <v>2.5</v>
      </c>
      <c r="R58" s="20" t="n">
        <v>2.5</v>
      </c>
      <c r="S58" s="14" t="n">
        <f aca="false">IF(ABS(Q58-R58)&lt;0.000000001,1,0)</f>
        <v>1</v>
      </c>
      <c r="T58" s="21" t="n">
        <f aca="false">ABS(P58-B58)</f>
        <v>0</v>
      </c>
      <c r="U58" s="16" t="n">
        <f aca="false">Alpha_keep*A58+Q58</f>
        <v>44.66875</v>
      </c>
      <c r="V58" s="14" t="n">
        <f aca="false">INDEX(GuardBlock,54,ROUND(Q58/Step_h,0)+1)</f>
        <v>1</v>
      </c>
      <c r="W58" s="22" t="n">
        <v>0</v>
      </c>
    </row>
    <row r="59" customFormat="false" ht="15" hidden="false" customHeight="false" outlineLevel="0" collapsed="false">
      <c r="A59" s="18" t="n">
        <f aca="false">Grid!A59</f>
        <v>43.5</v>
      </c>
      <c r="B59" s="19" t="n">
        <v>-363.262612585726</v>
      </c>
      <c r="C59" s="14" t="n">
        <v>54</v>
      </c>
      <c r="D59" s="11" t="n">
        <f aca="false">IF(AND($C59&gt;=6,$C59&lt;=194),Declarations!$B$25*INDEX($B$5:$B$205,$C59+1-Declarations!$E$25)+Declarations!$B$26*INDEX($B$5:$B$205,$C59+1-Declarations!$E$26)+Declarations!$B$27*INDEX($B$5:$B$205,$C59+1-Declarations!$E$27)+Declarations!$B$28*INDEX($B$5:$B$205,$C59+1-Declarations!$E$28)+Declarations!$B$29*INDEX($B$5:$B$205,$C59+1-Declarations!$E$29),"")</f>
        <v>-363.403623239646</v>
      </c>
      <c r="E59" s="16" t="n">
        <f aca="false">IF(Grid!C59=1,-Cost_k*E$3-Short_p*MAX(0,Floor_c-$A59)+Beta_q*((1-(((Alpha_keep*$A59+E$3-Lo_c)/Step_c)-MAX(6,MIN(INT(((Alpha_keep*$A59+E$3-Lo_c)/Step_c)+0.00000001),193))))*INDEX($D$5:$D$205,MAX(6,MIN(INT(((Alpha_keep*$A59+E$3-Lo_c)/Step_c)+0.00000001),193))+1)+(((Alpha_keep*$A59+E$3-Lo_c)/Step_c)-MAX(6,MIN(INT(((Alpha_keep*$A59+E$3-Lo_c)/Step_c)+0.00000001),193)))*INDEX($D$5:$D$205,MAX(6,MIN(INT(((Alpha_keep*$A59+E$3-Lo_c)/Step_c)+0.00000001),193))+2)),"")</f>
        <v>-389.478127087775</v>
      </c>
      <c r="F59" s="16" t="n">
        <f aca="false">IF(Grid!D59=1,-Cost_k*F$3-Short_p*MAX(0,Floor_c-$A59)+Beta_q*((1-(((Alpha_keep*$A59+F$3-Lo_c)/Step_c)-MAX(6,MIN(INT(((Alpha_keep*$A59+F$3-Lo_c)/Step_c)+0.00000001),193))))*INDEX($D$5:$D$205,MAX(6,MIN(INT(((Alpha_keep*$A59+F$3-Lo_c)/Step_c)+0.00000001),193))+1)+(((Alpha_keep*$A59+F$3-Lo_c)/Step_c)-MAX(6,MIN(INT(((Alpha_keep*$A59+F$3-Lo_c)/Step_c)+0.00000001),193)))*INDEX($D$5:$D$205,MAX(6,MIN(INT(((Alpha_keep*$A59+F$3-Lo_c)/Step_c)+0.00000001),193))+2)),"")</f>
        <v>-386.685819936328</v>
      </c>
      <c r="G59" s="16" t="n">
        <f aca="false">IF(Grid!E59=1,-Cost_k*G$3-Short_p*MAX(0,Floor_c-$A59)+Beta_q*((1-(((Alpha_keep*$A59+G$3-Lo_c)/Step_c)-MAX(6,MIN(INT(((Alpha_keep*$A59+G$3-Lo_c)/Step_c)+0.00000001),193))))*INDEX($D$5:$D$205,MAX(6,MIN(INT(((Alpha_keep*$A59+G$3-Lo_c)/Step_c)+0.00000001),193))+1)+(((Alpha_keep*$A59+G$3-Lo_c)/Step_c)-MAX(6,MIN(INT(((Alpha_keep*$A59+G$3-Lo_c)/Step_c)+0.00000001),193)))*INDEX($D$5:$D$205,MAX(6,MIN(INT(((Alpha_keep*$A59+G$3-Lo_c)/Step_c)+0.00000001),193))+2)),"")</f>
        <v>-383.93012738098</v>
      </c>
      <c r="H59" s="16" t="n">
        <f aca="false">IF(Grid!F59=1,-Cost_k*H$3-Short_p*MAX(0,Floor_c-$A59)+Beta_q*((1-(((Alpha_keep*$A59+H$3-Lo_c)/Step_c)-MAX(6,MIN(INT(((Alpha_keep*$A59+H$3-Lo_c)/Step_c)+0.00000001),193))))*INDEX($D$5:$D$205,MAX(6,MIN(INT(((Alpha_keep*$A59+H$3-Lo_c)/Step_c)+0.00000001),193))+1)+(((Alpha_keep*$A59+H$3-Lo_c)/Step_c)-MAX(6,MIN(INT(((Alpha_keep*$A59+H$3-Lo_c)/Step_c)+0.00000001),193)))*INDEX($D$5:$D$205,MAX(6,MIN(INT(((Alpha_keep*$A59+H$3-Lo_c)/Step_c)+0.00000001),193))+2)),"")</f>
        <v>-381.211588235164</v>
      </c>
      <c r="I59" s="16" t="n">
        <f aca="false">IF(Grid!G59=1,-Cost_k*I$3-Short_p*MAX(0,Floor_c-$A59)+Beta_q*((1-(((Alpha_keep*$A59+I$3-Lo_c)/Step_c)-MAX(6,MIN(INT(((Alpha_keep*$A59+I$3-Lo_c)/Step_c)+0.00000001),193))))*INDEX($D$5:$D$205,MAX(6,MIN(INT(((Alpha_keep*$A59+I$3-Lo_c)/Step_c)+0.00000001),193))+1)+(((Alpha_keep*$A59+I$3-Lo_c)/Step_c)-MAX(6,MIN(INT(((Alpha_keep*$A59+I$3-Lo_c)/Step_c)+0.00000001),193)))*INDEX($D$5:$D$205,MAX(6,MIN(INT(((Alpha_keep*$A59+I$3-Lo_c)/Step_c)+0.00000001),193))+2)),"")</f>
        <v>-378.530656834851</v>
      </c>
      <c r="J59" s="16" t="n">
        <f aca="false">IF(Grid!H59=1,-Cost_k*J$3-Short_p*MAX(0,Floor_c-$A59)+Beta_q*((1-(((Alpha_keep*$A59+J$3-Lo_c)/Step_c)-MAX(6,MIN(INT(((Alpha_keep*$A59+J$3-Lo_c)/Step_c)+0.00000001),193))))*INDEX($D$5:$D$205,MAX(6,MIN(INT(((Alpha_keep*$A59+J$3-Lo_c)/Step_c)+0.00000001),193))+1)+(((Alpha_keep*$A59+J$3-Lo_c)/Step_c)-MAX(6,MIN(INT(((Alpha_keep*$A59+J$3-Lo_c)/Step_c)+0.00000001),193)))*INDEX($D$5:$D$205,MAX(6,MIN(INT(((Alpha_keep*$A59+J$3-Lo_c)/Step_c)+0.00000001),193))+2)),"")</f>
        <v>-375.887775026288</v>
      </c>
      <c r="K59" s="16" t="n">
        <f aca="false">IF(Grid!I59=1,-Cost_k*K$3-Short_p*MAX(0,Floor_c-$A59)+Beta_q*((1-(((Alpha_keep*$A59+K$3-Lo_c)/Step_c)-MAX(6,MIN(INT(((Alpha_keep*$A59+K$3-Lo_c)/Step_c)+0.00000001),193))))*INDEX($D$5:$D$205,MAX(6,MIN(INT(((Alpha_keep*$A59+K$3-Lo_c)/Step_c)+0.00000001),193))+1)+(((Alpha_keep*$A59+K$3-Lo_c)/Step_c)-MAX(6,MIN(INT(((Alpha_keep*$A59+K$3-Lo_c)/Step_c)+0.00000001),193)))*INDEX($D$5:$D$205,MAX(6,MIN(INT(((Alpha_keep*$A59+K$3-Lo_c)/Step_c)+0.00000001),193))+2)),"")</f>
        <v>-373.283524485731</v>
      </c>
      <c r="L59" s="16" t="n">
        <f aca="false">IF(Grid!J59=1,-Cost_k*L$3-Short_p*MAX(0,Floor_c-$A59)+Beta_q*((1-(((Alpha_keep*$A59+L$3-Lo_c)/Step_c)-MAX(6,MIN(INT(((Alpha_keep*$A59+L$3-Lo_c)/Step_c)+0.00000001),193))))*INDEX($D$5:$D$205,MAX(6,MIN(INT(((Alpha_keep*$A59+L$3-Lo_c)/Step_c)+0.00000001),193))+1)+(((Alpha_keep*$A59+L$3-Lo_c)/Step_c)-MAX(6,MIN(INT(((Alpha_keep*$A59+L$3-Lo_c)/Step_c)+0.00000001),193)))*INDEX($D$5:$D$205,MAX(6,MIN(INT(((Alpha_keep*$A59+L$3-Lo_c)/Step_c)+0.00000001),193))+2)),"")</f>
        <v>-370.718365741064</v>
      </c>
      <c r="M59" s="16" t="n">
        <f aca="false">IF(Grid!K59=1,-Cost_k*M$3-Short_p*MAX(0,Floor_c-$A59)+Beta_q*((1-(((Alpha_keep*$A59+M$3-Lo_c)/Step_c)-MAX(6,MIN(INT(((Alpha_keep*$A59+M$3-Lo_c)/Step_c)+0.00000001),193))))*INDEX($D$5:$D$205,MAX(6,MIN(INT(((Alpha_keep*$A59+M$3-Lo_c)/Step_c)+0.00000001),193))+1)+(((Alpha_keep*$A59+M$3-Lo_c)/Step_c)-MAX(6,MIN(INT(((Alpha_keep*$A59+M$3-Lo_c)/Step_c)+0.00000001),193)))*INDEX($D$5:$D$205,MAX(6,MIN(INT(((Alpha_keep*$A59+M$3-Lo_c)/Step_c)+0.00000001),193))+2)),"")</f>
        <v>-368.192767791891</v>
      </c>
      <c r="N59" s="16" t="n">
        <f aca="false">IF(Grid!L59=1,-Cost_k*N$3-Short_p*MAX(0,Floor_c-$A59)+Beta_q*((1-(((Alpha_keep*$A59+N$3-Lo_c)/Step_c)-MAX(6,MIN(INT(((Alpha_keep*$A59+N$3-Lo_c)/Step_c)+0.00000001),193))))*INDEX($D$5:$D$205,MAX(6,MIN(INT(((Alpha_keep*$A59+N$3-Lo_c)/Step_c)+0.00000001),193))+1)+(((Alpha_keep*$A59+N$3-Lo_c)/Step_c)-MAX(6,MIN(INT(((Alpha_keep*$A59+N$3-Lo_c)/Step_c)+0.00000001),193)))*INDEX($D$5:$D$205,MAX(6,MIN(INT(((Alpha_keep*$A59+N$3-Lo_c)/Step_c)+0.00000001),193))+2)),"")</f>
        <v>-365.707367108966</v>
      </c>
      <c r="O59" s="16" t="n">
        <f aca="false">IF(Grid!M59=1,-Cost_k*O$3-Short_p*MAX(0,Floor_c-$A59)+Beta_q*((1-(((Alpha_keep*$A59+O$3-Lo_c)/Step_c)-MAX(6,MIN(INT(((Alpha_keep*$A59+O$3-Lo_c)/Step_c)+0.00000001),193))))*INDEX($D$5:$D$205,MAX(6,MIN(INT(((Alpha_keep*$A59+O$3-Lo_c)/Step_c)+0.00000001),193))+1)+(((Alpha_keep*$A59+O$3-Lo_c)/Step_c)-MAX(6,MIN(INT(((Alpha_keep*$A59+O$3-Lo_c)/Step_c)+0.00000001),193)))*INDEX($D$5:$D$205,MAX(6,MIN(INT(((Alpha_keep*$A59+O$3-Lo_c)/Step_c)+0.00000001),193))+2)),"")</f>
        <v>-363.262612585726</v>
      </c>
      <c r="P59" s="11" t="n">
        <f aca="false">MAX(E59:O59)</f>
        <v>-363.262612585726</v>
      </c>
      <c r="Q59" s="12" t="n">
        <f aca="false">INDEX($E$3:$O$3,MATCH(P59,E59:O59,0))</f>
        <v>2.5</v>
      </c>
      <c r="R59" s="20" t="n">
        <v>2.5</v>
      </c>
      <c r="S59" s="14" t="n">
        <f aca="false">IF(ABS(Q59-R59)&lt;0.000000001,1,0)</f>
        <v>1</v>
      </c>
      <c r="T59" s="21" t="n">
        <f aca="false">ABS(P59-B59)</f>
        <v>0</v>
      </c>
      <c r="U59" s="16" t="n">
        <f aca="false">Alpha_keep*A59+Q59</f>
        <v>44.9125</v>
      </c>
      <c r="V59" s="14" t="n">
        <f aca="false">INDEX(GuardBlock,55,ROUND(Q59/Step_h,0)+1)</f>
        <v>1</v>
      </c>
      <c r="W59" s="22" t="n">
        <v>0</v>
      </c>
    </row>
    <row r="60" customFormat="false" ht="15" hidden="false" customHeight="false" outlineLevel="0" collapsed="false">
      <c r="A60" s="18" t="n">
        <f aca="false">Grid!A60</f>
        <v>43.75</v>
      </c>
      <c r="B60" s="19" t="n">
        <v>-359.543743367302</v>
      </c>
      <c r="C60" s="14" t="n">
        <v>55</v>
      </c>
      <c r="D60" s="11" t="n">
        <f aca="false">IF(AND($C60&gt;=6,$C60&lt;=194),Declarations!$B$25*INDEX($B$5:$B$205,$C60+1-Declarations!$E$25)+Declarations!$B$26*INDEX($B$5:$B$205,$C60+1-Declarations!$E$26)+Declarations!$B$27*INDEX($B$5:$B$205,$C60+1-Declarations!$E$27)+Declarations!$B$28*INDEX($B$5:$B$205,$C60+1-Declarations!$E$28)+Declarations!$B$29*INDEX($B$5:$B$205,$C60+1-Declarations!$E$29),"")</f>
        <v>-359.686596162253</v>
      </c>
      <c r="E60" s="16" t="n">
        <f aca="false">IF(Grid!C60=1,-Cost_k*E$3-Short_p*MAX(0,Floor_c-$A60)+Beta_q*((1-(((Alpha_keep*$A60+E$3-Lo_c)/Step_c)-MAX(6,MIN(INT(((Alpha_keep*$A60+E$3-Lo_c)/Step_c)+0.00000001),193))))*INDEX($D$5:$D$205,MAX(6,MIN(INT(((Alpha_keep*$A60+E$3-Lo_c)/Step_c)+0.00000001),193))+1)+(((Alpha_keep*$A60+E$3-Lo_c)/Step_c)-MAX(6,MIN(INT(((Alpha_keep*$A60+E$3-Lo_c)/Step_c)+0.00000001),193)))*INDEX($D$5:$D$205,MAX(6,MIN(INT(((Alpha_keep*$A60+E$3-Lo_c)/Step_c)+0.00000001),193))+2)),"")</f>
        <v>-385.380309749499</v>
      </c>
      <c r="F60" s="16" t="n">
        <f aca="false">IF(Grid!D60=1,-Cost_k*F$3-Short_p*MAX(0,Floor_c-$A60)+Beta_q*((1-(((Alpha_keep*$A60+F$3-Lo_c)/Step_c)-MAX(6,MIN(INT(((Alpha_keep*$A60+F$3-Lo_c)/Step_c)+0.00000001),193))))*INDEX($D$5:$D$205,MAX(6,MIN(INT(((Alpha_keep*$A60+F$3-Lo_c)/Step_c)+0.00000001),193))+1)+(((Alpha_keep*$A60+F$3-Lo_c)/Step_c)-MAX(6,MIN(INT(((Alpha_keep*$A60+F$3-Lo_c)/Step_c)+0.00000001),193)))*INDEX($D$5:$D$205,MAX(6,MIN(INT(((Alpha_keep*$A60+F$3-Lo_c)/Step_c)+0.00000001),193))+2)),"")</f>
        <v>-382.623697964478</v>
      </c>
      <c r="G60" s="16" t="n">
        <f aca="false">IF(Grid!E60=1,-Cost_k*G$3-Short_p*MAX(0,Floor_c-$A60)+Beta_q*((1-(((Alpha_keep*$A60+G$3-Lo_c)/Step_c)-MAX(6,MIN(INT(((Alpha_keep*$A60+G$3-Lo_c)/Step_c)+0.00000001),193))))*INDEX($D$5:$D$205,MAX(6,MIN(INT(((Alpha_keep*$A60+G$3-Lo_c)/Step_c)+0.00000001),193))+1)+(((Alpha_keep*$A60+G$3-Lo_c)/Step_c)-MAX(6,MIN(INT(((Alpha_keep*$A60+G$3-Lo_c)/Step_c)+0.00000001),193)))*INDEX($D$5:$D$205,MAX(6,MIN(INT(((Alpha_keep*$A60+G$3-Lo_c)/Step_c)+0.00000001),193))+2)),"")</f>
        <v>-379.904224811196</v>
      </c>
      <c r="H60" s="16" t="n">
        <f aca="false">IF(Grid!F60=1,-Cost_k*H$3-Short_p*MAX(0,Floor_c-$A60)+Beta_q*((1-(((Alpha_keep*$A60+H$3-Lo_c)/Step_c)-MAX(6,MIN(INT(((Alpha_keep*$A60+H$3-Lo_c)/Step_c)+0.00000001),193))))*INDEX($D$5:$D$205,MAX(6,MIN(INT(((Alpha_keep*$A60+H$3-Lo_c)/Step_c)+0.00000001),193))+1)+(((Alpha_keep*$A60+H$3-Lo_c)/Step_c)-MAX(6,MIN(INT(((Alpha_keep*$A60+H$3-Lo_c)/Step_c)+0.00000001),193)))*INDEX($D$5:$D$205,MAX(6,MIN(INT(((Alpha_keep*$A60+H$3-Lo_c)/Step_c)+0.00000001),193))+2)),"")</f>
        <v>-377.22234988623</v>
      </c>
      <c r="I60" s="16" t="n">
        <f aca="false">IF(Grid!G60=1,-Cost_k*I$3-Short_p*MAX(0,Floor_c-$A60)+Beta_q*((1-(((Alpha_keep*$A60+I$3-Lo_c)/Step_c)-MAX(6,MIN(INT(((Alpha_keep*$A60+I$3-Lo_c)/Step_c)+0.00000001),193))))*INDEX($D$5:$D$205,MAX(6,MIN(INT(((Alpha_keep*$A60+I$3-Lo_c)/Step_c)+0.00000001),193))+1)+(((Alpha_keep*$A60+I$3-Lo_c)/Step_c)-MAX(6,MIN(INT(((Alpha_keep*$A60+I$3-Lo_c)/Step_c)+0.00000001),193)))*INDEX($D$5:$D$205,MAX(6,MIN(INT(((Alpha_keep*$A60+I$3-Lo_c)/Step_c)+0.00000001),193))+2)),"")</f>
        <v>-374.578512683567</v>
      </c>
      <c r="J60" s="16" t="n">
        <f aca="false">IF(Grid!H60=1,-Cost_k*J$3-Short_p*MAX(0,Floor_c-$A60)+Beta_q*((1-(((Alpha_keep*$A60+J$3-Lo_c)/Step_c)-MAX(6,MIN(INT(((Alpha_keep*$A60+J$3-Lo_c)/Step_c)+0.00000001),193))))*INDEX($D$5:$D$205,MAX(6,MIN(INT(((Alpha_keep*$A60+J$3-Lo_c)/Step_c)+0.00000001),193))+1)+(((Alpha_keep*$A60+J$3-Lo_c)/Step_c)-MAX(6,MIN(INT(((Alpha_keep*$A60+J$3-Lo_c)/Step_c)+0.00000001),193)))*INDEX($D$5:$D$205,MAX(6,MIN(INT(((Alpha_keep*$A60+J$3-Lo_c)/Step_c)+0.00000001),193))+2)),"")</f>
        <v>-371.973290767987</v>
      </c>
      <c r="K60" s="16" t="n">
        <f aca="false">IF(Grid!I60=1,-Cost_k*K$3-Short_p*MAX(0,Floor_c-$A60)+Beta_q*((1-(((Alpha_keep*$A60+K$3-Lo_c)/Step_c)-MAX(6,MIN(INT(((Alpha_keep*$A60+K$3-Lo_c)/Step_c)+0.00000001),193))))*INDEX($D$5:$D$205,MAX(6,MIN(INT(((Alpha_keep*$A60+K$3-Lo_c)/Step_c)+0.00000001),193))+1)+(((Alpha_keep*$A60+K$3-Lo_c)/Step_c)-MAX(6,MIN(INT(((Alpha_keep*$A60+K$3-Lo_c)/Step_c)+0.00000001),193)))*INDEX($D$5:$D$205,MAX(6,MIN(INT(((Alpha_keep*$A60+K$3-Lo_c)/Step_c)+0.00000001),193))+2)),"")</f>
        <v>-369.407151540798</v>
      </c>
      <c r="L60" s="16" t="n">
        <f aca="false">IF(Grid!J60=1,-Cost_k*L$3-Short_p*MAX(0,Floor_c-$A60)+Beta_q*((1-(((Alpha_keep*$A60+L$3-Lo_c)/Step_c)-MAX(6,MIN(INT(((Alpha_keep*$A60+L$3-Lo_c)/Step_c)+0.00000001),193))))*INDEX($D$5:$D$205,MAX(6,MIN(INT(((Alpha_keep*$A60+L$3-Lo_c)/Step_c)+0.00000001),193))+1)+(((Alpha_keep*$A60+L$3-Lo_c)/Step_c)-MAX(6,MIN(INT(((Alpha_keep*$A60+L$3-Lo_c)/Step_c)+0.00000001),193)))*INDEX($D$5:$D$205,MAX(6,MIN(INT(((Alpha_keep*$A60+L$3-Lo_c)/Step_c)+0.00000001),193))+2)),"")</f>
        <v>-366.880559974695</v>
      </c>
      <c r="M60" s="16" t="n">
        <f aca="false">IF(Grid!K60=1,-Cost_k*M$3-Short_p*MAX(0,Floor_c-$A60)+Beta_q*((1-(((Alpha_keep*$A60+M$3-Lo_c)/Step_c)-MAX(6,MIN(INT(((Alpha_keep*$A60+M$3-Lo_c)/Step_c)+0.00000001),193))))*INDEX($D$5:$D$205,MAX(6,MIN(INT(((Alpha_keep*$A60+M$3-Lo_c)/Step_c)+0.00000001),193))+1)+(((Alpha_keep*$A60+M$3-Lo_c)/Step_c)-MAX(6,MIN(INT(((Alpha_keep*$A60+M$3-Lo_c)/Step_c)+0.00000001),193)))*INDEX($D$5:$D$205,MAX(6,MIN(INT(((Alpha_keep*$A60+M$3-Lo_c)/Step_c)+0.00000001),193))+2)),"")</f>
        <v>-364.394148267569</v>
      </c>
      <c r="N60" s="16" t="n">
        <f aca="false">IF(Grid!L60=1,-Cost_k*N$3-Short_p*MAX(0,Floor_c-$A60)+Beta_q*((1-(((Alpha_keep*$A60+N$3-Lo_c)/Step_c)-MAX(6,MIN(INT(((Alpha_keep*$A60+N$3-Lo_c)/Step_c)+0.00000001),193))))*INDEX($D$5:$D$205,MAX(6,MIN(INT(((Alpha_keep*$A60+N$3-Lo_c)/Step_c)+0.00000001),193))+1)+(((Alpha_keep*$A60+N$3-Lo_c)/Step_c)-MAX(6,MIN(INT(((Alpha_keep*$A60+N$3-Lo_c)/Step_c)+0.00000001),193)))*INDEX($D$5:$D$205,MAX(6,MIN(INT(((Alpha_keep*$A60+N$3-Lo_c)/Step_c)+0.00000001),193))+2)),"")</f>
        <v>-361.948374828142</v>
      </c>
      <c r="O60" s="16" t="n">
        <f aca="false">IF(Grid!M60=1,-Cost_k*O$3-Short_p*MAX(0,Floor_c-$A60)+Beta_q*((1-(((Alpha_keep*$A60+O$3-Lo_c)/Step_c)-MAX(6,MIN(INT(((Alpha_keep*$A60+O$3-Lo_c)/Step_c)+0.00000001),193))))*INDEX($D$5:$D$205,MAX(6,MIN(INT(((Alpha_keep*$A60+O$3-Lo_c)/Step_c)+0.00000001),193))+1)+(((Alpha_keep*$A60+O$3-Lo_c)/Step_c)-MAX(6,MIN(INT(((Alpha_keep*$A60+O$3-Lo_c)/Step_c)+0.00000001),193)))*INDEX($D$5:$D$205,MAX(6,MIN(INT(((Alpha_keep*$A60+O$3-Lo_c)/Step_c)+0.00000001),193))+2)),"")</f>
        <v>-359.543743367302</v>
      </c>
      <c r="P60" s="11" t="n">
        <f aca="false">MAX(E60:O60)</f>
        <v>-359.543743367302</v>
      </c>
      <c r="Q60" s="12" t="n">
        <f aca="false">INDEX($E$3:$O$3,MATCH(P60,E60:O60,0))</f>
        <v>2.5</v>
      </c>
      <c r="R60" s="20" t="n">
        <v>2.5</v>
      </c>
      <c r="S60" s="14" t="n">
        <f aca="false">IF(ABS(Q60-R60)&lt;0.000000001,1,0)</f>
        <v>1</v>
      </c>
      <c r="T60" s="21" t="n">
        <f aca="false">ABS(P60-B60)</f>
        <v>0</v>
      </c>
      <c r="U60" s="16" t="n">
        <f aca="false">Alpha_keep*A60+Q60</f>
        <v>45.15625</v>
      </c>
      <c r="V60" s="14" t="n">
        <f aca="false">INDEX(GuardBlock,56,ROUND(Q60/Step_h,0)+1)</f>
        <v>1</v>
      </c>
      <c r="W60" s="22" t="n">
        <v>0</v>
      </c>
    </row>
    <row r="61" customFormat="false" ht="15" hidden="false" customHeight="false" outlineLevel="0" collapsed="false">
      <c r="A61" s="18" t="n">
        <f aca="false">Grid!A61</f>
        <v>44</v>
      </c>
      <c r="B61" s="19" t="n">
        <v>-355.864628602911</v>
      </c>
      <c r="C61" s="14" t="n">
        <v>56</v>
      </c>
      <c r="D61" s="11" t="n">
        <f aca="false">IF(AND($C61&gt;=6,$C61&lt;=194),Declarations!$B$25*INDEX($B$5:$B$205,$C61+1-Declarations!$E$25)+Declarations!$B$26*INDEX($B$5:$B$205,$C61+1-Declarations!$E$26)+Declarations!$B$27*INDEX($B$5:$B$205,$C61+1-Declarations!$E$27)+Declarations!$B$28*INDEX($B$5:$B$205,$C61+1-Declarations!$E$28)+Declarations!$B$29*INDEX($B$5:$B$205,$C61+1-Declarations!$E$29),"")</f>
        <v>-356.009361023195</v>
      </c>
      <c r="E61" s="16" t="n">
        <f aca="false">IF(Grid!C61=1,-Cost_k*E$3-Short_p*MAX(0,Floor_c-$A61)+Beta_q*((1-(((Alpha_keep*$A61+E$3-Lo_c)/Step_c)-MAX(6,MIN(INT(((Alpha_keep*$A61+E$3-Lo_c)/Step_c)+0.00000001),193))))*INDEX($D$5:$D$205,MAX(6,MIN(INT(((Alpha_keep*$A61+E$3-Lo_c)/Step_c)+0.00000001),193))+1)+(((Alpha_keep*$A61+E$3-Lo_c)/Step_c)-MAX(6,MIN(INT(((Alpha_keep*$A61+E$3-Lo_c)/Step_c)+0.00000001),193)))*INDEX($D$5:$D$205,MAX(6,MIN(INT(((Alpha_keep*$A61+E$3-Lo_c)/Step_c)+0.00000001),193))+2)),"")</f>
        <v>-381.317268547977</v>
      </c>
      <c r="F61" s="16" t="n">
        <f aca="false">IF(Grid!D61=1,-Cost_k*F$3-Short_p*MAX(0,Floor_c-$A61)+Beta_q*((1-(((Alpha_keep*$A61+F$3-Lo_c)/Step_c)-MAX(6,MIN(INT(((Alpha_keep*$A61+F$3-Lo_c)/Step_c)+0.00000001),193))))*INDEX($D$5:$D$205,MAX(6,MIN(INT(((Alpha_keep*$A61+F$3-Lo_c)/Step_c)+0.00000001),193))+1)+(((Alpha_keep*$A61+F$3-Lo_c)/Step_c)-MAX(6,MIN(INT(((Alpha_keep*$A61+F$3-Lo_c)/Step_c)+0.00000001),193)))*INDEX($D$5:$D$205,MAX(6,MIN(INT(((Alpha_keep*$A61+F$3-Lo_c)/Step_c)+0.00000001),193))+2)),"")</f>
        <v>-378.596861387228</v>
      </c>
      <c r="G61" s="16" t="n">
        <f aca="false">IF(Grid!E61=1,-Cost_k*G$3-Short_p*MAX(0,Floor_c-$A61)+Beta_q*((1-(((Alpha_keep*$A61+G$3-Lo_c)/Step_c)-MAX(6,MIN(INT(((Alpha_keep*$A61+G$3-Lo_c)/Step_c)+0.00000001),193))))*INDEX($D$5:$D$205,MAX(6,MIN(INT(((Alpha_keep*$A61+G$3-Lo_c)/Step_c)+0.00000001),193))+1)+(((Alpha_keep*$A61+G$3-Lo_c)/Step_c)-MAX(6,MIN(INT(((Alpha_keep*$A61+G$3-Lo_c)/Step_c)+0.00000001),193)))*INDEX($D$5:$D$205,MAX(6,MIN(INT(((Alpha_keep*$A61+G$3-Lo_c)/Step_c)+0.00000001),193))+2)),"")</f>
        <v>-375.914042937609</v>
      </c>
      <c r="H61" s="16" t="n">
        <f aca="false">IF(Grid!F61=1,-Cost_k*H$3-Short_p*MAX(0,Floor_c-$A61)+Beta_q*((1-(((Alpha_keep*$A61+H$3-Lo_c)/Step_c)-MAX(6,MIN(INT(((Alpha_keep*$A61+H$3-Lo_c)/Step_c)+0.00000001),193))))*INDEX($D$5:$D$205,MAX(6,MIN(INT(((Alpha_keep*$A61+H$3-Lo_c)/Step_c)+0.00000001),193))+1)+(((Alpha_keep*$A61+H$3-Lo_c)/Step_c)-MAX(6,MIN(INT(((Alpha_keep*$A61+H$3-Lo_c)/Step_c)+0.00000001),193)))*INDEX($D$5:$D$205,MAX(6,MIN(INT(((Alpha_keep*$A61+H$3-Lo_c)/Step_c)+0.00000001),193))+2)),"")</f>
        <v>-373.269250340846</v>
      </c>
      <c r="I61" s="16" t="n">
        <f aca="false">IF(Grid!G61=1,-Cost_k*I$3-Short_p*MAX(0,Floor_c-$A61)+Beta_q*((1-(((Alpha_keep*$A61+I$3-Lo_c)/Step_c)-MAX(6,MIN(INT(((Alpha_keep*$A61+I$3-Lo_c)/Step_c)+0.00000001),193))))*INDEX($D$5:$D$205,MAX(6,MIN(INT(((Alpha_keep*$A61+I$3-Lo_c)/Step_c)+0.00000001),193))+1)+(((Alpha_keep*$A61+I$3-Lo_c)/Step_c)-MAX(6,MIN(INT(((Alpha_keep*$A61+I$3-Lo_c)/Step_c)+0.00000001),193)))*INDEX($D$5:$D$205,MAX(6,MIN(INT(((Alpha_keep*$A61+I$3-Lo_c)/Step_c)+0.00000001),193))+2)),"")</f>
        <v>-370.663057050242</v>
      </c>
      <c r="J61" s="16" t="n">
        <f aca="false">IF(Grid!H61=1,-Cost_k*J$3-Short_p*MAX(0,Floor_c-$A61)+Beta_q*((1-(((Alpha_keep*$A61+J$3-Lo_c)/Step_c)-MAX(6,MIN(INT(((Alpha_keep*$A61+J$3-Lo_c)/Step_c)+0.00000001),193))))*INDEX($D$5:$D$205,MAX(6,MIN(INT(((Alpha_keep*$A61+J$3-Lo_c)/Step_c)+0.00000001),193))+1)+(((Alpha_keep*$A61+J$3-Lo_c)/Step_c)-MAX(6,MIN(INT(((Alpha_keep*$A61+J$3-Lo_c)/Step_c)+0.00000001),193)))*INDEX($D$5:$D$205,MAX(6,MIN(INT(((Alpha_keep*$A61+J$3-Lo_c)/Step_c)+0.00000001),193))+2)),"")</f>
        <v>-368.095937340532</v>
      </c>
      <c r="K61" s="16" t="n">
        <f aca="false">IF(Grid!I61=1,-Cost_k*K$3-Short_p*MAX(0,Floor_c-$A61)+Beta_q*((1-(((Alpha_keep*$A61+K$3-Lo_c)/Step_c)-MAX(6,MIN(INT(((Alpha_keep*$A61+K$3-Lo_c)/Step_c)+0.00000001),193))))*INDEX($D$5:$D$205,MAX(6,MIN(INT(((Alpha_keep*$A61+K$3-Lo_c)/Step_c)+0.00000001),193))+1)+(((Alpha_keep*$A61+K$3-Lo_c)/Step_c)-MAX(6,MIN(INT(((Alpha_keep*$A61+K$3-Lo_c)/Step_c)+0.00000001),193)))*INDEX($D$5:$D$205,MAX(6,MIN(INT(((Alpha_keep*$A61+K$3-Lo_c)/Step_c)+0.00000001),193))+2)),"")</f>
        <v>-365.568352157499</v>
      </c>
      <c r="L61" s="16" t="n">
        <f aca="false">IF(Grid!J61=1,-Cost_k*L$3-Short_p*MAX(0,Floor_c-$A61)+Beta_q*((1-(((Alpha_keep*$A61+L$3-Lo_c)/Step_c)-MAX(6,MIN(INT(((Alpha_keep*$A61+L$3-Lo_c)/Step_c)+0.00000001),193))))*INDEX($D$5:$D$205,MAX(6,MIN(INT(((Alpha_keep*$A61+L$3-Lo_c)/Step_c)+0.00000001),193))+1)+(((Alpha_keep*$A61+L$3-Lo_c)/Step_c)-MAX(6,MIN(INT(((Alpha_keep*$A61+L$3-Lo_c)/Step_c)+0.00000001),193)))*INDEX($D$5:$D$205,MAX(6,MIN(INT(((Alpha_keep*$A61+L$3-Lo_c)/Step_c)+0.00000001),193))+2)),"")</f>
        <v>-363.080929426172</v>
      </c>
      <c r="M61" s="16" t="n">
        <f aca="false">IF(Grid!K61=1,-Cost_k*M$3-Short_p*MAX(0,Floor_c-$A61)+Beta_q*((1-(((Alpha_keep*$A61+M$3-Lo_c)/Step_c)-MAX(6,MIN(INT(((Alpha_keep*$A61+M$3-Lo_c)/Step_c)+0.00000001),193))))*INDEX($D$5:$D$205,MAX(6,MIN(INT(((Alpha_keep*$A61+M$3-Lo_c)/Step_c)+0.00000001),193))+1)+(((Alpha_keep*$A61+M$3-Lo_c)/Step_c)-MAX(6,MIN(INT(((Alpha_keep*$A61+M$3-Lo_c)/Step_c)+0.00000001),193)))*INDEX($D$5:$D$205,MAX(6,MIN(INT(((Alpha_keep*$A61+M$3-Lo_c)/Step_c)+0.00000001),193))+2)),"")</f>
        <v>-360.634137070557</v>
      </c>
      <c r="N61" s="16" t="n">
        <f aca="false">IF(Grid!L61=1,-Cost_k*N$3-Short_p*MAX(0,Floor_c-$A61)+Beta_q*((1-(((Alpha_keep*$A61+N$3-Lo_c)/Step_c)-MAX(6,MIN(INT(((Alpha_keep*$A61+N$3-Lo_c)/Step_c)+0.00000001),193))))*INDEX($D$5:$D$205,MAX(6,MIN(INT(((Alpha_keep*$A61+N$3-Lo_c)/Step_c)+0.00000001),193))+1)+(((Alpha_keep*$A61+N$3-Lo_c)/Step_c)-MAX(6,MIN(INT(((Alpha_keep*$A61+N$3-Lo_c)/Step_c)+0.00000001),193)))*INDEX($D$5:$D$205,MAX(6,MIN(INT(((Alpha_keep*$A61+N$3-Lo_c)/Step_c)+0.00000001),193))+2)),"")</f>
        <v>-358.228471280286</v>
      </c>
      <c r="O61" s="16" t="n">
        <f aca="false">IF(Grid!M61=1,-Cost_k*O$3-Short_p*MAX(0,Floor_c-$A61)+Beta_q*((1-(((Alpha_keep*$A61+O$3-Lo_c)/Step_c)-MAX(6,MIN(INT(((Alpha_keep*$A61+O$3-Lo_c)/Step_c)+0.00000001),193))))*INDEX($D$5:$D$205,MAX(6,MIN(INT(((Alpha_keep*$A61+O$3-Lo_c)/Step_c)+0.00000001),193))+1)+(((Alpha_keep*$A61+O$3-Lo_c)/Step_c)-MAX(6,MIN(INT(((Alpha_keep*$A61+O$3-Lo_c)/Step_c)+0.00000001),193)))*INDEX($D$5:$D$205,MAX(6,MIN(INT(((Alpha_keep*$A61+O$3-Lo_c)/Step_c)+0.00000001),193))+2)),"")</f>
        <v>-355.864628602911</v>
      </c>
      <c r="P61" s="11" t="n">
        <f aca="false">MAX(E61:O61)</f>
        <v>-355.864628602911</v>
      </c>
      <c r="Q61" s="12" t="n">
        <f aca="false">INDEX($E$3:$O$3,MATCH(P61,E61:O61,0))</f>
        <v>2.5</v>
      </c>
      <c r="R61" s="20" t="n">
        <v>2.5</v>
      </c>
      <c r="S61" s="14" t="n">
        <f aca="false">IF(ABS(Q61-R61)&lt;0.000000001,1,0)</f>
        <v>1</v>
      </c>
      <c r="T61" s="21" t="n">
        <f aca="false">ABS(P61-B61)</f>
        <v>0</v>
      </c>
      <c r="U61" s="16" t="n">
        <f aca="false">Alpha_keep*A61+Q61</f>
        <v>45.4</v>
      </c>
      <c r="V61" s="14" t="n">
        <f aca="false">INDEX(GuardBlock,57,ROUND(Q61/Step_h,0)+1)</f>
        <v>1</v>
      </c>
      <c r="W61" s="22" t="n">
        <v>0</v>
      </c>
    </row>
    <row r="62" customFormat="false" ht="15" hidden="false" customHeight="false" outlineLevel="0" collapsed="false">
      <c r="A62" s="18" t="n">
        <f aca="false">Grid!A62</f>
        <v>44.25</v>
      </c>
      <c r="B62" s="19" t="n">
        <v>-352.225653461116</v>
      </c>
      <c r="C62" s="14" t="n">
        <v>57</v>
      </c>
      <c r="D62" s="11" t="n">
        <f aca="false">IF(AND($C62&gt;=6,$C62&lt;=194),Declarations!$B$25*INDEX($B$5:$B$205,$C62+1-Declarations!$E$25)+Declarations!$B$26*INDEX($B$5:$B$205,$C62+1-Declarations!$E$26)+Declarations!$B$27*INDEX($B$5:$B$205,$C62+1-Declarations!$E$27)+Declarations!$B$28*INDEX($B$5:$B$205,$C62+1-Declarations!$E$28)+Declarations!$B$29*INDEX($B$5:$B$205,$C62+1-Declarations!$E$29),"")</f>
        <v>-352.372290907037</v>
      </c>
      <c r="E62" s="16" t="n">
        <f aca="false">IF(Grid!C62=1,-Cost_k*E$3-Short_p*MAX(0,Floor_c-$A62)+Beta_q*((1-(((Alpha_keep*$A62+E$3-Lo_c)/Step_c)-MAX(6,MIN(INT(((Alpha_keep*$A62+E$3-Lo_c)/Step_c)+0.00000001),193))))*INDEX($D$5:$D$205,MAX(6,MIN(INT(((Alpha_keep*$A62+E$3-Lo_c)/Step_c)+0.00000001),193))+1)+(((Alpha_keep*$A62+E$3-Lo_c)/Step_c)-MAX(6,MIN(INT(((Alpha_keep*$A62+E$3-Lo_c)/Step_c)+0.00000001),193)))*INDEX($D$5:$D$205,MAX(6,MIN(INT(((Alpha_keep*$A62+E$3-Lo_c)/Step_c)+0.00000001),193))+2)),"")</f>
        <v>-377.289497963261</v>
      </c>
      <c r="F62" s="16" t="n">
        <f aca="false">IF(Grid!D62=1,-Cost_k*F$3-Short_p*MAX(0,Floor_c-$A62)+Beta_q*((1-(((Alpha_keep*$A62+F$3-Lo_c)/Step_c)-MAX(6,MIN(INT(((Alpha_keep*$A62+F$3-Lo_c)/Step_c)+0.00000001),193))))*INDEX($D$5:$D$205,MAX(6,MIN(INT(((Alpha_keep*$A62+F$3-Lo_c)/Step_c)+0.00000001),193))+1)+(((Alpha_keep*$A62+F$3-Lo_c)/Step_c)-MAX(6,MIN(INT(((Alpha_keep*$A62+F$3-Lo_c)/Step_c)+0.00000001),193)))*INDEX($D$5:$D$205,MAX(6,MIN(INT(((Alpha_keep*$A62+F$3-Lo_c)/Step_c)+0.00000001),193))+2)),"")</f>
        <v>-374.605735988989</v>
      </c>
      <c r="G62" s="16" t="n">
        <f aca="false">IF(Grid!E62=1,-Cost_k*G$3-Short_p*MAX(0,Floor_c-$A62)+Beta_q*((1-(((Alpha_keep*$A62+G$3-Lo_c)/Step_c)-MAX(6,MIN(INT(((Alpha_keep*$A62+G$3-Lo_c)/Step_c)+0.00000001),193))))*INDEX($D$5:$D$205,MAX(6,MIN(INT(((Alpha_keep*$A62+G$3-Lo_c)/Step_c)+0.00000001),193))+1)+(((Alpha_keep*$A62+G$3-Lo_c)/Step_c)-MAX(6,MIN(INT(((Alpha_keep*$A62+G$3-Lo_c)/Step_c)+0.00000001),193)))*INDEX($D$5:$D$205,MAX(6,MIN(INT(((Alpha_keep*$A62+G$3-Lo_c)/Step_c)+0.00000001),193))+2)),"")</f>
        <v>-371.959987998125</v>
      </c>
      <c r="H62" s="16" t="n">
        <f aca="false">IF(Grid!F62=1,-Cost_k*H$3-Short_p*MAX(0,Floor_c-$A62)+Beta_q*((1-(((Alpha_keep*$A62+H$3-Lo_c)/Step_c)-MAX(6,MIN(INT(((Alpha_keep*$A62+H$3-Lo_c)/Step_c)+0.00000001),193))))*INDEX($D$5:$D$205,MAX(6,MIN(INT(((Alpha_keep*$A62+H$3-Lo_c)/Step_c)+0.00000001),193))+1)+(((Alpha_keep*$A62+H$3-Lo_c)/Step_c)-MAX(6,MIN(INT(((Alpha_keep*$A62+H$3-Lo_c)/Step_c)+0.00000001),193)))*INDEX($D$5:$D$205,MAX(6,MIN(INT(((Alpha_keep*$A62+H$3-Lo_c)/Step_c)+0.00000001),193))+2)),"")</f>
        <v>-369.352823332498</v>
      </c>
      <c r="I62" s="16" t="n">
        <f aca="false">IF(Grid!G62=1,-Cost_k*I$3-Short_p*MAX(0,Floor_c-$A62)+Beta_q*((1-(((Alpha_keep*$A62+I$3-Lo_c)/Step_c)-MAX(6,MIN(INT(((Alpha_keep*$A62+I$3-Lo_c)/Step_c)+0.00000001),193))))*INDEX($D$5:$D$205,MAX(6,MIN(INT(((Alpha_keep*$A62+I$3-Lo_c)/Step_c)+0.00000001),193))+1)+(((Alpha_keep*$A62+I$3-Lo_c)/Step_c)-MAX(6,MIN(INT(((Alpha_keep*$A62+I$3-Lo_c)/Step_c)+0.00000001),193)))*INDEX($D$5:$D$205,MAX(6,MIN(INT(((Alpha_keep*$A62+I$3-Lo_c)/Step_c)+0.00000001),193))+2)),"")</f>
        <v>-366.784723140266</v>
      </c>
      <c r="J62" s="16" t="n">
        <f aca="false">IF(Grid!H62=1,-Cost_k*J$3-Short_p*MAX(0,Floor_c-$A62)+Beta_q*((1-(((Alpha_keep*$A62+J$3-Lo_c)/Step_c)-MAX(6,MIN(INT(((Alpha_keep*$A62+J$3-Lo_c)/Step_c)+0.00000001),193))))*INDEX($D$5:$D$205,MAX(6,MIN(INT(((Alpha_keep*$A62+J$3-Lo_c)/Step_c)+0.00000001),193))+1)+(((Alpha_keep*$A62+J$3-Lo_c)/Step_c)-MAX(6,MIN(INT(((Alpha_keep*$A62+J$3-Lo_c)/Step_c)+0.00000001),193)))*INDEX($D$5:$D$205,MAX(6,MIN(INT(((Alpha_keep*$A62+J$3-Lo_c)/Step_c)+0.00000001),193))+2)),"")</f>
        <v>-364.256144340302</v>
      </c>
      <c r="K62" s="16" t="n">
        <f aca="false">IF(Grid!I62=1,-Cost_k*K$3-Short_p*MAX(0,Floor_c-$A62)+Beta_q*((1-(((Alpha_keep*$A62+K$3-Lo_c)/Step_c)-MAX(6,MIN(INT(((Alpha_keep*$A62+K$3-Lo_c)/Step_c)+0.00000001),193))))*INDEX($D$5:$D$205,MAX(6,MIN(INT(((Alpha_keep*$A62+K$3-Lo_c)/Step_c)+0.00000001),193))+1)+(((Alpha_keep*$A62+K$3-Lo_c)/Step_c)-MAX(6,MIN(INT(((Alpha_keep*$A62+K$3-Lo_c)/Step_c)+0.00000001),193)))*INDEX($D$5:$D$205,MAX(6,MIN(INT(((Alpha_keep*$A62+K$3-Lo_c)/Step_c)+0.00000001),193))+2)),"")</f>
        <v>-361.767710584775</v>
      </c>
      <c r="L62" s="16" t="n">
        <f aca="false">IF(Grid!J62=1,-Cost_k*L$3-Short_p*MAX(0,Floor_c-$A62)+Beta_q*((1-(((Alpha_keep*$A62+L$3-Lo_c)/Step_c)-MAX(6,MIN(INT(((Alpha_keep*$A62+L$3-Lo_c)/Step_c)+0.00000001),193))))*INDEX($D$5:$D$205,MAX(6,MIN(INT(((Alpha_keep*$A62+L$3-Lo_c)/Step_c)+0.00000001),193))+1)+(((Alpha_keep*$A62+L$3-Lo_c)/Step_c)-MAX(6,MIN(INT(((Alpha_keep*$A62+L$3-Lo_c)/Step_c)+0.00000001),193)))*INDEX($D$5:$D$205,MAX(6,MIN(INT(((Alpha_keep*$A62+L$3-Lo_c)/Step_c)+0.00000001),193))+2)),"")</f>
        <v>-359.319899312972</v>
      </c>
      <c r="M62" s="16" t="n">
        <f aca="false">IF(Grid!K62=1,-Cost_k*M$3-Short_p*MAX(0,Floor_c-$A62)+Beta_q*((1-(((Alpha_keep*$A62+M$3-Lo_c)/Step_c)-MAX(6,MIN(INT(((Alpha_keep*$A62+M$3-Lo_c)/Step_c)+0.00000001),193))))*INDEX($D$5:$D$205,MAX(6,MIN(INT(((Alpha_keep*$A62+M$3-Lo_c)/Step_c)+0.00000001),193))+1)+(((Alpha_keep*$A62+M$3-Lo_c)/Step_c)-MAX(6,MIN(INT(((Alpha_keep*$A62+M$3-Lo_c)/Step_c)+0.00000001),193)))*INDEX($D$5:$D$205,MAX(6,MIN(INT(((Alpha_keep*$A62+M$3-Lo_c)/Step_c)+0.00000001),193))+2)),"")</f>
        <v>-356.91319919327</v>
      </c>
      <c r="N62" s="16" t="n">
        <f aca="false">IF(Grid!L62=1,-Cost_k*N$3-Short_p*MAX(0,Floor_c-$A62)+Beta_q*((1-(((Alpha_keep*$A62+N$3-Lo_c)/Step_c)-MAX(6,MIN(INT(((Alpha_keep*$A62+N$3-Lo_c)/Step_c)+0.00000001),193))))*INDEX($D$5:$D$205,MAX(6,MIN(INT(((Alpha_keep*$A62+N$3-Lo_c)/Step_c)+0.00000001),193))+1)+(((Alpha_keep*$A62+N$3-Lo_c)/Step_c)-MAX(6,MIN(INT(((Alpha_keep*$A62+N$3-Lo_c)/Step_c)+0.00000001),193)))*INDEX($D$5:$D$205,MAX(6,MIN(INT(((Alpha_keep*$A62+N$3-Lo_c)/Step_c)+0.00000001),193))+2)),"")</f>
        <v>-354.548303439146</v>
      </c>
      <c r="O62" s="16" t="n">
        <f aca="false">IF(Grid!M62=1,-Cost_k*O$3-Short_p*MAX(0,Floor_c-$A62)+Beta_q*((1-(((Alpha_keep*$A62+O$3-Lo_c)/Step_c)-MAX(6,MIN(INT(((Alpha_keep*$A62+O$3-Lo_c)/Step_c)+0.00000001),193))))*INDEX($D$5:$D$205,MAX(6,MIN(INT(((Alpha_keep*$A62+O$3-Lo_c)/Step_c)+0.00000001),193))+1)+(((Alpha_keep*$A62+O$3-Lo_c)/Step_c)-MAX(6,MIN(INT(((Alpha_keep*$A62+O$3-Lo_c)/Step_c)+0.00000001),193)))*INDEX($D$5:$D$205,MAX(6,MIN(INT(((Alpha_keep*$A62+O$3-Lo_c)/Step_c)+0.00000001),193))+2)),"")</f>
        <v>-352.225653461116</v>
      </c>
      <c r="P62" s="11" t="n">
        <f aca="false">MAX(E62:O62)</f>
        <v>-352.225653461116</v>
      </c>
      <c r="Q62" s="12" t="n">
        <f aca="false">INDEX($E$3:$O$3,MATCH(P62,E62:O62,0))</f>
        <v>2.5</v>
      </c>
      <c r="R62" s="20" t="n">
        <v>2.5</v>
      </c>
      <c r="S62" s="14" t="n">
        <f aca="false">IF(ABS(Q62-R62)&lt;0.000000001,1,0)</f>
        <v>1</v>
      </c>
      <c r="T62" s="21" t="n">
        <f aca="false">ABS(P62-B62)</f>
        <v>0</v>
      </c>
      <c r="U62" s="16" t="n">
        <f aca="false">Alpha_keep*A62+Q62</f>
        <v>45.64375</v>
      </c>
      <c r="V62" s="14" t="n">
        <f aca="false">INDEX(GuardBlock,58,ROUND(Q62/Step_h,0)+1)</f>
        <v>1</v>
      </c>
      <c r="W62" s="22" t="n">
        <v>0</v>
      </c>
    </row>
    <row r="63" customFormat="false" ht="15" hidden="false" customHeight="false" outlineLevel="0" collapsed="false">
      <c r="A63" s="18" t="n">
        <f aca="false">Grid!A63</f>
        <v>44.5</v>
      </c>
      <c r="B63" s="19" t="n">
        <v>-348.627343177112</v>
      </c>
      <c r="C63" s="14" t="n">
        <v>58</v>
      </c>
      <c r="D63" s="11" t="n">
        <f aca="false">IF(AND($C63&gt;=6,$C63&lt;=194),Declarations!$B$25*INDEX($B$5:$B$205,$C63+1-Declarations!$E$25)+Declarations!$B$26*INDEX($B$5:$B$205,$C63+1-Declarations!$E$26)+Declarations!$B$27*INDEX($B$5:$B$205,$C63+1-Declarations!$E$27)+Declarations!$B$28*INDEX($B$5:$B$205,$C63+1-Declarations!$E$28)+Declarations!$B$29*INDEX($B$5:$B$205,$C63+1-Declarations!$E$29),"")</f>
        <v>-348.775923858883</v>
      </c>
      <c r="E63" s="16" t="n">
        <f aca="false">IF(Grid!C63=1,-Cost_k*E$3-Short_p*MAX(0,Floor_c-$A63)+Beta_q*((1-(((Alpha_keep*$A63+E$3-Lo_c)/Step_c)-MAX(6,MIN(INT(((Alpha_keep*$A63+E$3-Lo_c)/Step_c)+0.00000001),193))))*INDEX($D$5:$D$205,MAX(6,MIN(INT(((Alpha_keep*$A63+E$3-Lo_c)/Step_c)+0.00000001),193))+1)+(((Alpha_keep*$A63+E$3-Lo_c)/Step_c)-MAX(6,MIN(INT(((Alpha_keep*$A63+E$3-Lo_c)/Step_c)+0.00000001),193)))*INDEX($D$5:$D$205,MAX(6,MIN(INT(((Alpha_keep*$A63+E$3-Lo_c)/Step_c)+0.00000001),193))+2)),"")</f>
        <v>-373.297429040368</v>
      </c>
      <c r="F63" s="16" t="n">
        <f aca="false">IF(Grid!D63=1,-Cost_k*F$3-Short_p*MAX(0,Floor_c-$A63)+Beta_q*((1-(((Alpha_keep*$A63+F$3-Lo_c)/Step_c)-MAX(6,MIN(INT(((Alpha_keep*$A63+F$3-Lo_c)/Step_c)+0.00000001),193))))*INDEX($D$5:$D$205,MAX(6,MIN(INT(((Alpha_keep*$A63+F$3-Lo_c)/Step_c)+0.00000001),193))+1)+(((Alpha_keep*$A63+F$3-Lo_c)/Step_c)-MAX(6,MIN(INT(((Alpha_keep*$A63+F$3-Lo_c)/Step_c)+0.00000001),193)))*INDEX($D$5:$D$205,MAX(6,MIN(INT(((Alpha_keep*$A63+F$3-Lo_c)/Step_c)+0.00000001),193))+2)),"")</f>
        <v>-370.650725655404</v>
      </c>
      <c r="G63" s="16" t="n">
        <f aca="false">IF(Grid!E63=1,-Cost_k*G$3-Short_p*MAX(0,Floor_c-$A63)+Beta_q*((1-(((Alpha_keep*$A63+G$3-Lo_c)/Step_c)-MAX(6,MIN(INT(((Alpha_keep*$A63+G$3-Lo_c)/Step_c)+0.00000001),193))))*INDEX($D$5:$D$205,MAX(6,MIN(INT(((Alpha_keep*$A63+G$3-Lo_c)/Step_c)+0.00000001),193))+1)+(((Alpha_keep*$A63+G$3-Lo_c)/Step_c)-MAX(6,MIN(INT(((Alpha_keep*$A63+G$3-Lo_c)/Step_c)+0.00000001),193)))*INDEX($D$5:$D$205,MAX(6,MIN(INT(((Alpha_keep*$A63+G$3-Lo_c)/Step_c)+0.00000001),193))+2)),"")</f>
        <v>-368.042589614754</v>
      </c>
      <c r="H63" s="16" t="n">
        <f aca="false">IF(Grid!F63=1,-Cost_k*H$3-Short_p*MAX(0,Floor_c-$A63)+Beta_q*((1-(((Alpha_keep*$A63+H$3-Lo_c)/Step_c)-MAX(6,MIN(INT(((Alpha_keep*$A63+H$3-Lo_c)/Step_c)+0.00000001),193))))*INDEX($D$5:$D$205,MAX(6,MIN(INT(((Alpha_keep*$A63+H$3-Lo_c)/Step_c)+0.00000001),193))+1)+(((Alpha_keep*$A63+H$3-Lo_c)/Step_c)-MAX(6,MIN(INT(((Alpha_keep*$A63+H$3-Lo_c)/Step_c)+0.00000001),193)))*INDEX($D$5:$D$205,MAX(6,MIN(INT(((Alpha_keep*$A63+H$3-Lo_c)/Step_c)+0.00000001),193))+2)),"")</f>
        <v>-365.47350894</v>
      </c>
      <c r="I63" s="16" t="n">
        <f aca="false">IF(Grid!G63=1,-Cost_k*I$3-Short_p*MAX(0,Floor_c-$A63)+Beta_q*((1-(((Alpha_keep*$A63+I$3-Lo_c)/Step_c)-MAX(6,MIN(INT(((Alpha_keep*$A63+I$3-Lo_c)/Step_c)+0.00000001),193))))*INDEX($D$5:$D$205,MAX(6,MIN(INT(((Alpha_keep*$A63+I$3-Lo_c)/Step_c)+0.00000001),193))+1)+(((Alpha_keep*$A63+I$3-Lo_c)/Step_c)-MAX(6,MIN(INT(((Alpha_keep*$A63+I$3-Lo_c)/Step_c)+0.00000001),193)))*INDEX($D$5:$D$205,MAX(6,MIN(INT(((Alpha_keep*$A63+I$3-Lo_c)/Step_c)+0.00000001),193))+2)),"")</f>
        <v>-362.943936523106</v>
      </c>
      <c r="J63" s="16" t="n">
        <f aca="false">IF(Grid!H63=1,-Cost_k*J$3-Short_p*MAX(0,Floor_c-$A63)+Beta_q*((1-(((Alpha_keep*$A63+J$3-Lo_c)/Step_c)-MAX(6,MIN(INT(((Alpha_keep*$A63+J$3-Lo_c)/Step_c)+0.00000001),193))))*INDEX($D$5:$D$205,MAX(6,MIN(INT(((Alpha_keep*$A63+J$3-Lo_c)/Step_c)+0.00000001),193))+1)+(((Alpha_keep*$A63+J$3-Lo_c)/Step_c)-MAX(6,MIN(INT(((Alpha_keep*$A63+J$3-Lo_c)/Step_c)+0.00000001),193)))*INDEX($D$5:$D$205,MAX(6,MIN(INT(((Alpha_keep*$A63+J$3-Lo_c)/Step_c)+0.00000001),193))+2)),"")</f>
        <v>-360.454491743378</v>
      </c>
      <c r="K63" s="16" t="n">
        <f aca="false">IF(Grid!I63=1,-Cost_k*K$3-Short_p*MAX(0,Floor_c-$A63)+Beta_q*((1-(((Alpha_keep*$A63+K$3-Lo_c)/Step_c)-MAX(6,MIN(INT(((Alpha_keep*$A63+K$3-Lo_c)/Step_c)+0.00000001),193))))*INDEX($D$5:$D$205,MAX(6,MIN(INT(((Alpha_keep*$A63+K$3-Lo_c)/Step_c)+0.00000001),193))+1)+(((Alpha_keep*$A63+K$3-Lo_c)/Step_c)-MAX(6,MIN(INT(((Alpha_keep*$A63+K$3-Lo_c)/Step_c)+0.00000001),193)))*INDEX($D$5:$D$205,MAX(6,MIN(INT(((Alpha_keep*$A63+K$3-Lo_c)/Step_c)+0.00000001),193))+2)),"")</f>
        <v>-358.005661555388</v>
      </c>
      <c r="L63" s="16" t="n">
        <f aca="false">IF(Grid!J63=1,-Cost_k*L$3-Short_p*MAX(0,Floor_c-$A63)+Beta_q*((1-(((Alpha_keep*$A63+L$3-Lo_c)/Step_c)-MAX(6,MIN(INT(((Alpha_keep*$A63+L$3-Lo_c)/Step_c)+0.00000001),193))))*INDEX($D$5:$D$205,MAX(6,MIN(INT(((Alpha_keep*$A63+L$3-Lo_c)/Step_c)+0.00000001),193))+1)+(((Alpha_keep*$A63+L$3-Lo_c)/Step_c)-MAX(6,MIN(INT(((Alpha_keep*$A63+L$3-Lo_c)/Step_c)+0.00000001),193)))*INDEX($D$5:$D$205,MAX(6,MIN(INT(((Alpha_keep*$A63+L$3-Lo_c)/Step_c)+0.00000001),193))+2)),"")</f>
        <v>-355.597927106255</v>
      </c>
      <c r="M63" s="16" t="n">
        <f aca="false">IF(Grid!K63=1,-Cost_k*M$3-Short_p*MAX(0,Floor_c-$A63)+Beta_q*((1-(((Alpha_keep*$A63+M$3-Lo_c)/Step_c)-MAX(6,MIN(INT(((Alpha_keep*$A63+M$3-Lo_c)/Step_c)+0.00000001),193))))*INDEX($D$5:$D$205,MAX(6,MIN(INT(((Alpha_keep*$A63+M$3-Lo_c)/Step_c)+0.00000001),193))+1)+(((Alpha_keep*$A63+M$3-Lo_c)/Step_c)-MAX(6,MIN(INT(((Alpha_keep*$A63+M$3-Lo_c)/Step_c)+0.00000001),193)))*INDEX($D$5:$D$205,MAX(6,MIN(INT(((Alpha_keep*$A63+M$3-Lo_c)/Step_c)+0.00000001),193))+2)),"")</f>
        <v>-353.23197827538</v>
      </c>
      <c r="N63" s="16" t="n">
        <f aca="false">IF(Grid!L63=1,-Cost_k*N$3-Short_p*MAX(0,Floor_c-$A63)+Beta_q*((1-(((Alpha_keep*$A63+N$3-Lo_c)/Step_c)-MAX(6,MIN(INT(((Alpha_keep*$A63+N$3-Lo_c)/Step_c)+0.00000001),193))))*INDEX($D$5:$D$205,MAX(6,MIN(INT(((Alpha_keep*$A63+N$3-Lo_c)/Step_c)+0.00000001),193))+1)+(((Alpha_keep*$A63+N$3-Lo_c)/Step_c)-MAX(6,MIN(INT(((Alpha_keep*$A63+N$3-Lo_c)/Step_c)+0.00000001),193)))*INDEX($D$5:$D$205,MAX(6,MIN(INT(((Alpha_keep*$A63+N$3-Lo_c)/Step_c)+0.00000001),193))+2)),"")</f>
        <v>-350.908269885553</v>
      </c>
      <c r="O63" s="16" t="n">
        <f aca="false">IF(Grid!M63=1,-Cost_k*O$3-Short_p*MAX(0,Floor_c-$A63)+Beta_q*((1-(((Alpha_keep*$A63+O$3-Lo_c)/Step_c)-MAX(6,MIN(INT(((Alpha_keep*$A63+O$3-Lo_c)/Step_c)+0.00000001),193))))*INDEX($D$5:$D$205,MAX(6,MIN(INT(((Alpha_keep*$A63+O$3-Lo_c)/Step_c)+0.00000001),193))+1)+(((Alpha_keep*$A63+O$3-Lo_c)/Step_c)-MAX(6,MIN(INT(((Alpha_keep*$A63+O$3-Lo_c)/Step_c)+0.00000001),193)))*INDEX($D$5:$D$205,MAX(6,MIN(INT(((Alpha_keep*$A63+O$3-Lo_c)/Step_c)+0.00000001),193))+2)),"")</f>
        <v>-348.627343177112</v>
      </c>
      <c r="P63" s="11" t="n">
        <f aca="false">MAX(E63:O63)</f>
        <v>-348.627343177112</v>
      </c>
      <c r="Q63" s="12" t="n">
        <f aca="false">INDEX($E$3:$O$3,MATCH(P63,E63:O63,0))</f>
        <v>2.5</v>
      </c>
      <c r="R63" s="20" t="n">
        <v>2.5</v>
      </c>
      <c r="S63" s="14" t="n">
        <f aca="false">IF(ABS(Q63-R63)&lt;0.000000001,1,0)</f>
        <v>1</v>
      </c>
      <c r="T63" s="21" t="n">
        <f aca="false">ABS(P63-B63)</f>
        <v>0</v>
      </c>
      <c r="U63" s="16" t="n">
        <f aca="false">Alpha_keep*A63+Q63</f>
        <v>45.8875</v>
      </c>
      <c r="V63" s="14" t="n">
        <f aca="false">INDEX(GuardBlock,59,ROUND(Q63/Step_h,0)+1)</f>
        <v>1</v>
      </c>
      <c r="W63" s="22" t="n">
        <v>0</v>
      </c>
    </row>
    <row r="64" customFormat="false" ht="15" hidden="false" customHeight="false" outlineLevel="0" collapsed="false">
      <c r="A64" s="18" t="n">
        <f aca="false">Grid!A64</f>
        <v>44.75</v>
      </c>
      <c r="B64" s="19" t="n">
        <v>-345.070408537008</v>
      </c>
      <c r="C64" s="14" t="n">
        <v>59</v>
      </c>
      <c r="D64" s="11" t="n">
        <f aca="false">IF(AND($C64&gt;=6,$C64&lt;=194),Declarations!$B$25*INDEX($B$5:$B$205,$C64+1-Declarations!$E$25)+Declarations!$B$26*INDEX($B$5:$B$205,$C64+1-Declarations!$E$26)+Declarations!$B$27*INDEX($B$5:$B$205,$C64+1-Declarations!$E$27)+Declarations!$B$28*INDEX($B$5:$B$205,$C64+1-Declarations!$E$28)+Declarations!$B$29*INDEX($B$5:$B$205,$C64+1-Declarations!$E$29),"")</f>
        <v>-345.220972959692</v>
      </c>
      <c r="E64" s="16" t="n">
        <f aca="false">IF(Grid!C64=1,-Cost_k*E$3-Short_p*MAX(0,Floor_c-$A64)+Beta_q*((1-(((Alpha_keep*$A64+E$3-Lo_c)/Step_c)-MAX(6,MIN(INT(((Alpha_keep*$A64+E$3-Lo_c)/Step_c)+0.00000001),193))))*INDEX($D$5:$D$205,MAX(6,MIN(INT(((Alpha_keep*$A64+E$3-Lo_c)/Step_c)+0.00000001),193))+1)+(((Alpha_keep*$A64+E$3-Lo_c)/Step_c)-MAX(6,MIN(INT(((Alpha_keep*$A64+E$3-Lo_c)/Step_c)+0.00000001),193)))*INDEX($D$5:$D$205,MAX(6,MIN(INT(((Alpha_keep*$A64+E$3-Lo_c)/Step_c)+0.00000001),193))+2)),"")</f>
        <v>-369.341463312683</v>
      </c>
      <c r="F64" s="16" t="n">
        <f aca="false">IF(Grid!D64=1,-Cost_k*F$3-Short_p*MAX(0,Floor_c-$A64)+Beta_q*((1-(((Alpha_keep*$A64+F$3-Lo_c)/Step_c)-MAX(6,MIN(INT(((Alpha_keep*$A64+F$3-Lo_c)/Step_c)+0.00000001),193))))*INDEX($D$5:$D$205,MAX(6,MIN(INT(((Alpha_keep*$A64+F$3-Lo_c)/Step_c)+0.00000001),193))+1)+(((Alpha_keep*$A64+F$3-Lo_c)/Step_c)-MAX(6,MIN(INT(((Alpha_keep*$A64+F$3-Lo_c)/Step_c)+0.00000001),193)))*INDEX($D$5:$D$205,MAX(6,MIN(INT(((Alpha_keep*$A64+F$3-Lo_c)/Step_c)+0.00000001),193))+2)),"")</f>
        <v>-366.73235589701</v>
      </c>
      <c r="G64" s="16" t="n">
        <f aca="false">IF(Grid!E64=1,-Cost_k*G$3-Short_p*MAX(0,Floor_c-$A64)+Beta_q*((1-(((Alpha_keep*$A64+G$3-Lo_c)/Step_c)-MAX(6,MIN(INT(((Alpha_keep*$A64+G$3-Lo_c)/Step_c)+0.00000001),193))))*INDEX($D$5:$D$205,MAX(6,MIN(INT(((Alpha_keep*$A64+G$3-Lo_c)/Step_c)+0.00000001),193))+1)+(((Alpha_keep*$A64+G$3-Lo_c)/Step_c)-MAX(6,MIN(INT(((Alpha_keep*$A64+G$3-Lo_c)/Step_c)+0.00000001),193)))*INDEX($D$5:$D$205,MAX(6,MIN(INT(((Alpha_keep*$A64+G$3-Lo_c)/Step_c)+0.00000001),193))+2)),"")</f>
        <v>-364.162294739734</v>
      </c>
      <c r="H64" s="16" t="n">
        <f aca="false">IF(Grid!F64=1,-Cost_k*H$3-Short_p*MAX(0,Floor_c-$A64)+Beta_q*((1-(((Alpha_keep*$A64+H$3-Lo_c)/Step_c)-MAX(6,MIN(INT(((Alpha_keep*$A64+H$3-Lo_c)/Step_c)+0.00000001),193))))*INDEX($D$5:$D$205,MAX(6,MIN(INT(((Alpha_keep*$A64+H$3-Lo_c)/Step_c)+0.00000001),193))+1)+(((Alpha_keep*$A64+H$3-Lo_c)/Step_c)-MAX(6,MIN(INT(((Alpha_keep*$A64+H$3-Lo_c)/Step_c)+0.00000001),193)))*INDEX($D$5:$D$205,MAX(6,MIN(INT(((Alpha_keep*$A64+H$3-Lo_c)/Step_c)+0.00000001),193))+2)),"")</f>
        <v>-361.63172870591</v>
      </c>
      <c r="I64" s="16" t="n">
        <f aca="false">IF(Grid!G64=1,-Cost_k*I$3-Short_p*MAX(0,Floor_c-$A64)+Beta_q*((1-(((Alpha_keep*$A64+I$3-Lo_c)/Step_c)-MAX(6,MIN(INT(((Alpha_keep*$A64+I$3-Lo_c)/Step_c)+0.00000001),193))))*INDEX($D$5:$D$205,MAX(6,MIN(INT(((Alpha_keep*$A64+I$3-Lo_c)/Step_c)+0.00000001),193))+1)+(((Alpha_keep*$A64+I$3-Lo_c)/Step_c)-MAX(6,MIN(INT(((Alpha_keep*$A64+I$3-Lo_c)/Step_c)+0.00000001),193)))*INDEX($D$5:$D$205,MAX(6,MIN(INT(((Alpha_keep*$A64+I$3-Lo_c)/Step_c)+0.00000001),193))+2)),"")</f>
        <v>-359.14127290198</v>
      </c>
      <c r="J64" s="16" t="n">
        <f aca="false">IF(Grid!H64=1,-Cost_k*J$3-Short_p*MAX(0,Floor_c-$A64)+Beta_q*((1-(((Alpha_keep*$A64+J$3-Lo_c)/Step_c)-MAX(6,MIN(INT(((Alpha_keep*$A64+J$3-Lo_c)/Step_c)+0.00000001),193))))*INDEX($D$5:$D$205,MAX(6,MIN(INT(((Alpha_keep*$A64+J$3-Lo_c)/Step_c)+0.00000001),193))+1)+(((Alpha_keep*$A64+J$3-Lo_c)/Step_c)-MAX(6,MIN(INT(((Alpha_keep*$A64+J$3-Lo_c)/Step_c)+0.00000001),193)))*INDEX($D$5:$D$205,MAX(6,MIN(INT(((Alpha_keep*$A64+J$3-Lo_c)/Step_c)+0.00000001),193))+2)),"")</f>
        <v>-356.691423797803</v>
      </c>
      <c r="K64" s="16" t="n">
        <f aca="false">IF(Grid!I64=1,-Cost_k*K$3-Short_p*MAX(0,Floor_c-$A64)+Beta_q*((1-(((Alpha_keep*$A64+K$3-Lo_c)/Step_c)-MAX(6,MIN(INT(((Alpha_keep*$A64+K$3-Lo_c)/Step_c)+0.00000001),193))))*INDEX($D$5:$D$205,MAX(6,MIN(INT(((Alpha_keep*$A64+K$3-Lo_c)/Step_c)+0.00000001),193))+1)+(((Alpha_keep*$A64+K$3-Lo_c)/Step_c)-MAX(6,MIN(INT(((Alpha_keep*$A64+K$3-Lo_c)/Step_c)+0.00000001),193)))*INDEX($D$5:$D$205,MAX(6,MIN(INT(((Alpha_keep*$A64+K$3-Lo_c)/Step_c)+0.00000001),193))+2)),"")</f>
        <v>-354.282655019239</v>
      </c>
      <c r="L64" s="16" t="n">
        <f aca="false">IF(Grid!J64=1,-Cost_k*L$3-Short_p*MAX(0,Floor_c-$A64)+Beta_q*((1-(((Alpha_keep*$A64+L$3-Lo_c)/Step_c)-MAX(6,MIN(INT(((Alpha_keep*$A64+L$3-Lo_c)/Step_c)+0.00000001),193))))*INDEX($D$5:$D$205,MAX(6,MIN(INT(((Alpha_keep*$A64+L$3-Lo_c)/Step_c)+0.00000001),193))+1)+(((Alpha_keep*$A64+L$3-Lo_c)/Step_c)-MAX(6,MIN(INT(((Alpha_keep*$A64+L$3-Lo_c)/Step_c)+0.00000001),193)))*INDEX($D$5:$D$205,MAX(6,MIN(INT(((Alpha_keep*$A64+L$3-Lo_c)/Step_c)+0.00000001),193))+2)),"")</f>
        <v>-351.915653111614</v>
      </c>
      <c r="M64" s="16" t="n">
        <f aca="false">IF(Grid!K64=1,-Cost_k*M$3-Short_p*MAX(0,Floor_c-$A64)+Beta_q*((1-(((Alpha_keep*$A64+M$3-Lo_c)/Step_c)-MAX(6,MIN(INT(((Alpha_keep*$A64+M$3-Lo_c)/Step_c)+0.00000001),193))))*INDEX($D$5:$D$205,MAX(6,MIN(INT(((Alpha_keep*$A64+M$3-Lo_c)/Step_c)+0.00000001),193))+1)+(((Alpha_keep*$A64+M$3-Lo_c)/Step_c)-MAX(6,MIN(INT(((Alpha_keep*$A64+M$3-Lo_c)/Step_c)+0.00000001),193)))*INDEX($D$5:$D$205,MAX(6,MIN(INT(((Alpha_keep*$A64+M$3-Lo_c)/Step_c)+0.00000001),193))+2)),"")</f>
        <v>-349.590886309989</v>
      </c>
      <c r="N64" s="16" t="n">
        <f aca="false">IF(Grid!L64=1,-Cost_k*N$3-Short_p*MAX(0,Floor_c-$A64)+Beta_q*((1-(((Alpha_keep*$A64+N$3-Lo_c)/Step_c)-MAX(6,MIN(INT(((Alpha_keep*$A64+N$3-Lo_c)/Step_c)+0.00000001),193))))*INDEX($D$5:$D$205,MAX(6,MIN(INT(((Alpha_keep*$A64+N$3-Lo_c)/Step_c)+0.00000001),193))+1)+(((Alpha_keep*$A64+N$3-Lo_c)/Step_c)-MAX(6,MIN(INT(((Alpha_keep*$A64+N$3-Lo_c)/Step_c)+0.00000001),193)))*INDEX($D$5:$D$205,MAX(6,MIN(INT(((Alpha_keep*$A64+N$3-Lo_c)/Step_c)+0.00000001),193))+2)),"")</f>
        <v>-347.308880952957</v>
      </c>
      <c r="O64" s="16" t="n">
        <f aca="false">IF(Grid!M64=1,-Cost_k*O$3-Short_p*MAX(0,Floor_c-$A64)+Beta_q*((1-(((Alpha_keep*$A64+O$3-Lo_c)/Step_c)-MAX(6,MIN(INT(((Alpha_keep*$A64+O$3-Lo_c)/Step_c)+0.00000001),193))))*INDEX($D$5:$D$205,MAX(6,MIN(INT(((Alpha_keep*$A64+O$3-Lo_c)/Step_c)+0.00000001),193))+1)+(((Alpha_keep*$A64+O$3-Lo_c)/Step_c)-MAX(6,MIN(INT(((Alpha_keep*$A64+O$3-Lo_c)/Step_c)+0.00000001),193)))*INDEX($D$5:$D$205,MAX(6,MIN(INT(((Alpha_keep*$A64+O$3-Lo_c)/Step_c)+0.00000001),193))+2)),"")</f>
        <v>-345.070408537008</v>
      </c>
      <c r="P64" s="11" t="n">
        <f aca="false">MAX(E64:O64)</f>
        <v>-345.070408537008</v>
      </c>
      <c r="Q64" s="12" t="n">
        <f aca="false">INDEX($E$3:$O$3,MATCH(P64,E64:O64,0))</f>
        <v>2.5</v>
      </c>
      <c r="R64" s="20" t="n">
        <v>2.5</v>
      </c>
      <c r="S64" s="14" t="n">
        <f aca="false">IF(ABS(Q64-R64)&lt;0.000000001,1,0)</f>
        <v>1</v>
      </c>
      <c r="T64" s="21" t="n">
        <f aca="false">ABS(P64-B64)</f>
        <v>0</v>
      </c>
      <c r="U64" s="16" t="n">
        <f aca="false">Alpha_keep*A64+Q64</f>
        <v>46.13125</v>
      </c>
      <c r="V64" s="14" t="n">
        <f aca="false">INDEX(GuardBlock,60,ROUND(Q64/Step_h,0)+1)</f>
        <v>1</v>
      </c>
      <c r="W64" s="22" t="n">
        <v>0</v>
      </c>
    </row>
    <row r="65" customFormat="false" ht="15" hidden="false" customHeight="false" outlineLevel="0" collapsed="false">
      <c r="A65" s="18" t="n">
        <f aca="false">Grid!A65</f>
        <v>45</v>
      </c>
      <c r="B65" s="19" t="n">
        <v>-341.555193197167</v>
      </c>
      <c r="C65" s="14" t="n">
        <v>60</v>
      </c>
      <c r="D65" s="11" t="n">
        <f aca="false">IF(AND($C65&gt;=6,$C65&lt;=194),Declarations!$B$25*INDEX($B$5:$B$205,$C65+1-Declarations!$E$25)+Declarations!$B$26*INDEX($B$5:$B$205,$C65+1-Declarations!$E$26)+Declarations!$B$27*INDEX($B$5:$B$205,$C65+1-Declarations!$E$27)+Declarations!$B$28*INDEX($B$5:$B$205,$C65+1-Declarations!$E$28)+Declarations!$B$29*INDEX($B$5:$B$205,$C65+1-Declarations!$E$29),"")</f>
        <v>-341.707761501125</v>
      </c>
      <c r="E65" s="16" t="n">
        <f aca="false">IF(Grid!C65=1,-Cost_k*E$3-Short_p*MAX(0,Floor_c-$A65)+Beta_q*((1-(((Alpha_keep*$A65+E$3-Lo_c)/Step_c)-MAX(6,MIN(INT(((Alpha_keep*$A65+E$3-Lo_c)/Step_c)+0.00000001),193))))*INDEX($D$5:$D$205,MAX(6,MIN(INT(((Alpha_keep*$A65+E$3-Lo_c)/Step_c)+0.00000001),193))+1)+(((Alpha_keep*$A65+E$3-Lo_c)/Step_c)-MAX(6,MIN(INT(((Alpha_keep*$A65+E$3-Lo_c)/Step_c)+0.00000001),193)))*INDEX($D$5:$D$205,MAX(6,MIN(INT(((Alpha_keep*$A65+E$3-Lo_c)/Step_c)+0.00000001),193))+2)),"")</f>
        <v>-365.422122179266</v>
      </c>
      <c r="F65" s="16" t="n">
        <f aca="false">IF(Grid!D65=1,-Cost_k*F$3-Short_p*MAX(0,Floor_c-$A65)+Beta_q*((1-(((Alpha_keep*$A65+F$3-Lo_c)/Step_c)-MAX(6,MIN(INT(((Alpha_keep*$A65+F$3-Lo_c)/Step_c)+0.00000001),193))))*INDEX($D$5:$D$205,MAX(6,MIN(INT(((Alpha_keep*$A65+F$3-Lo_c)/Step_c)+0.00000001),193))+1)+(((Alpha_keep*$A65+F$3-Lo_c)/Step_c)-MAX(6,MIN(INT(((Alpha_keep*$A65+F$3-Lo_c)/Step_c)+0.00000001),193)))*INDEX($D$5:$D$205,MAX(6,MIN(INT(((Alpha_keep*$A65+F$3-Lo_c)/Step_c)+0.00000001),193))+2)),"")</f>
        <v>-362.851080539468</v>
      </c>
      <c r="G65" s="16" t="n">
        <f aca="false">IF(Grid!E65=1,-Cost_k*G$3-Short_p*MAX(0,Floor_c-$A65)+Beta_q*((1-(((Alpha_keep*$A65+G$3-Lo_c)/Step_c)-MAX(6,MIN(INT(((Alpha_keep*$A65+G$3-Lo_c)/Step_c)+0.00000001),193))))*INDEX($D$5:$D$205,MAX(6,MIN(INT(((Alpha_keep*$A65+G$3-Lo_c)/Step_c)+0.00000001),193))+1)+(((Alpha_keep*$A65+G$3-Lo_c)/Step_c)-MAX(6,MIN(INT(((Alpha_keep*$A65+G$3-Lo_c)/Step_c)+0.00000001),193)))*INDEX($D$5:$D$205,MAX(6,MIN(INT(((Alpha_keep*$A65+G$3-Lo_c)/Step_c)+0.00000001),193))+2)),"")</f>
        <v>-360.319520888713</v>
      </c>
      <c r="H65" s="16" t="n">
        <f aca="false">IF(Grid!F65=1,-Cost_k*H$3-Short_p*MAX(0,Floor_c-$A65)+Beta_q*((1-(((Alpha_keep*$A65+H$3-Lo_c)/Step_c)-MAX(6,MIN(INT(((Alpha_keep*$A65+H$3-Lo_c)/Step_c)+0.00000001),193))))*INDEX($D$5:$D$205,MAX(6,MIN(INT(((Alpha_keep*$A65+H$3-Lo_c)/Step_c)+0.00000001),193))+1)+(((Alpha_keep*$A65+H$3-Lo_c)/Step_c)-MAX(6,MIN(INT(((Alpha_keep*$A65+H$3-Lo_c)/Step_c)+0.00000001),193)))*INDEX($D$5:$D$205,MAX(6,MIN(INT(((Alpha_keep*$A65+H$3-Lo_c)/Step_c)+0.00000001),193))+2)),"")</f>
        <v>-357.828054060583</v>
      </c>
      <c r="I65" s="16" t="n">
        <f aca="false">IF(Grid!G65=1,-Cost_k*I$3-Short_p*MAX(0,Floor_c-$A65)+Beta_q*((1-(((Alpha_keep*$A65+I$3-Lo_c)/Step_c)-MAX(6,MIN(INT(((Alpha_keep*$A65+I$3-Lo_c)/Step_c)+0.00000001),193))))*INDEX($D$5:$D$205,MAX(6,MIN(INT(((Alpha_keep*$A65+I$3-Lo_c)/Step_c)+0.00000001),193))+1)+(((Alpha_keep*$A65+I$3-Lo_c)/Step_c)-MAX(6,MIN(INT(((Alpha_keep*$A65+I$3-Lo_c)/Step_c)+0.00000001),193)))*INDEX($D$5:$D$205,MAX(6,MIN(INT(((Alpha_keep*$A65+I$3-Lo_c)/Step_c)+0.00000001),193))+2)),"")</f>
        <v>-355.377186040219</v>
      </c>
      <c r="J65" s="16" t="n">
        <f aca="false">IF(Grid!H65=1,-Cost_k*J$3-Short_p*MAX(0,Floor_c-$A65)+Beta_q*((1-(((Alpha_keep*$A65+J$3-Lo_c)/Step_c)-MAX(6,MIN(INT(((Alpha_keep*$A65+J$3-Lo_c)/Step_c)+0.00000001),193))))*INDEX($D$5:$D$205,MAX(6,MIN(INT(((Alpha_keep*$A65+J$3-Lo_c)/Step_c)+0.00000001),193))+1)+(((Alpha_keep*$A65+J$3-Lo_c)/Step_c)-MAX(6,MIN(INT(((Alpha_keep*$A65+J$3-Lo_c)/Step_c)+0.00000001),193)))*INDEX($D$5:$D$205,MAX(6,MIN(INT(((Alpha_keep*$A65+J$3-Lo_c)/Step_c)+0.00000001),193))+2)),"")</f>
        <v>-352.967382932223</v>
      </c>
      <c r="K65" s="16" t="n">
        <f aca="false">IF(Grid!I65=1,-Cost_k*K$3-Short_p*MAX(0,Floor_c-$A65)+Beta_q*((1-(((Alpha_keep*$A65+K$3-Lo_c)/Step_c)-MAX(6,MIN(INT(((Alpha_keep*$A65+K$3-Lo_c)/Step_c)+0.00000001),193))))*INDEX($D$5:$D$205,MAX(6,MIN(INT(((Alpha_keep*$A65+K$3-Lo_c)/Step_c)+0.00000001),193))+1)+(((Alpha_keep*$A65+K$3-Lo_c)/Step_c)-MAX(6,MIN(INT(((Alpha_keep*$A65+K$3-Lo_c)/Step_c)+0.00000001),193)))*INDEX($D$5:$D$205,MAX(6,MIN(INT(((Alpha_keep*$A65+K$3-Lo_c)/Step_c)+0.00000001),193))+2)),"")</f>
        <v>-350.599327947849</v>
      </c>
      <c r="L65" s="16" t="n">
        <f aca="false">IF(Grid!J65=1,-Cost_k*L$3-Short_p*MAX(0,Floor_c-$A65)+Beta_q*((1-(((Alpha_keep*$A65+L$3-Lo_c)/Step_c)-MAX(6,MIN(INT(((Alpha_keep*$A65+L$3-Lo_c)/Step_c)+0.00000001),193))))*INDEX($D$5:$D$205,MAX(6,MIN(INT(((Alpha_keep*$A65+L$3-Lo_c)/Step_c)+0.00000001),193))+1)+(((Alpha_keep*$A65+L$3-Lo_c)/Step_c)-MAX(6,MIN(INT(((Alpha_keep*$A65+L$3-Lo_c)/Step_c)+0.00000001),193)))*INDEX($D$5:$D$205,MAX(6,MIN(INT(((Alpha_keep*$A65+L$3-Lo_c)/Step_c)+0.00000001),193))+2)),"")</f>
        <v>-348.273502734426</v>
      </c>
      <c r="M65" s="16" t="n">
        <f aca="false">IF(Grid!K65=1,-Cost_k*M$3-Short_p*MAX(0,Floor_c-$A65)+Beta_q*((1-(((Alpha_keep*$A65+M$3-Lo_c)/Step_c)-MAX(6,MIN(INT(((Alpha_keep*$A65+M$3-Lo_c)/Step_c)+0.00000001),193))))*INDEX($D$5:$D$205,MAX(6,MIN(INT(((Alpha_keep*$A65+M$3-Lo_c)/Step_c)+0.00000001),193))+1)+(((Alpha_keep*$A65+M$3-Lo_c)/Step_c)-MAX(6,MIN(INT(((Alpha_keep*$A65+M$3-Lo_c)/Step_c)+0.00000001),193)))*INDEX($D$5:$D$205,MAX(6,MIN(INT(((Alpha_keep*$A65+M$3-Lo_c)/Step_c)+0.00000001),193))+2)),"")</f>
        <v>-345.990418728801</v>
      </c>
      <c r="N65" s="16" t="n">
        <f aca="false">IF(Grid!L65=1,-Cost_k*N$3-Short_p*MAX(0,Floor_c-$A65)+Beta_q*((1-(((Alpha_keep*$A65+N$3-Lo_c)/Step_c)-MAX(6,MIN(INT(((Alpha_keep*$A65+N$3-Lo_c)/Step_c)+0.00000001),193))))*INDEX($D$5:$D$205,MAX(6,MIN(INT(((Alpha_keep*$A65+N$3-Lo_c)/Step_c)+0.00000001),193))+1)+(((Alpha_keep*$A65+N$3-Lo_c)/Step_c)-MAX(6,MIN(INT(((Alpha_keep*$A65+N$3-Lo_c)/Step_c)+0.00000001),193)))*INDEX($D$5:$D$205,MAX(6,MIN(INT(((Alpha_keep*$A65+N$3-Lo_c)/Step_c)+0.00000001),193))+2)),"")</f>
        <v>-343.750849235813</v>
      </c>
      <c r="O65" s="16" t="n">
        <f aca="false">IF(Grid!M65=1,-Cost_k*O$3-Short_p*MAX(0,Floor_c-$A65)+Beta_q*((1-(((Alpha_keep*$A65+O$3-Lo_c)/Step_c)-MAX(6,MIN(INT(((Alpha_keep*$A65+O$3-Lo_c)/Step_c)+0.00000001),193))))*INDEX($D$5:$D$205,MAX(6,MIN(INT(((Alpha_keep*$A65+O$3-Lo_c)/Step_c)+0.00000001),193))+1)+(((Alpha_keep*$A65+O$3-Lo_c)/Step_c)-MAX(6,MIN(INT(((Alpha_keep*$A65+O$3-Lo_c)/Step_c)+0.00000001),193)))*INDEX($D$5:$D$205,MAX(6,MIN(INT(((Alpha_keep*$A65+O$3-Lo_c)/Step_c)+0.00000001),193))+2)),"")</f>
        <v>-341.555193197167</v>
      </c>
      <c r="P65" s="11" t="n">
        <f aca="false">MAX(E65:O65)</f>
        <v>-341.555193197167</v>
      </c>
      <c r="Q65" s="12" t="n">
        <f aca="false">INDEX($E$3:$O$3,MATCH(P65,E65:O65,0))</f>
        <v>2.5</v>
      </c>
      <c r="R65" s="20" t="n">
        <v>2.5</v>
      </c>
      <c r="S65" s="14" t="n">
        <f aca="false">IF(ABS(Q65-R65)&lt;0.000000001,1,0)</f>
        <v>1</v>
      </c>
      <c r="T65" s="21" t="n">
        <f aca="false">ABS(P65-B65)</f>
        <v>0</v>
      </c>
      <c r="U65" s="16" t="n">
        <f aca="false">Alpha_keep*A65+Q65</f>
        <v>46.375</v>
      </c>
      <c r="V65" s="14" t="n">
        <f aca="false">INDEX(GuardBlock,61,ROUND(Q65/Step_h,0)+1)</f>
        <v>1</v>
      </c>
      <c r="W65" s="22" t="n">
        <v>0</v>
      </c>
    </row>
    <row r="66" customFormat="false" ht="15" hidden="false" customHeight="false" outlineLevel="0" collapsed="false">
      <c r="A66" s="18" t="n">
        <f aca="false">Grid!A66</f>
        <v>45.25</v>
      </c>
      <c r="B66" s="19" t="n">
        <v>-338.082296418561</v>
      </c>
      <c r="C66" s="14" t="n">
        <v>61</v>
      </c>
      <c r="D66" s="11" t="n">
        <f aca="false">IF(AND($C66&gt;=6,$C66&lt;=194),Declarations!$B$25*INDEX($B$5:$B$205,$C66+1-Declarations!$E$25)+Declarations!$B$26*INDEX($B$5:$B$205,$C66+1-Declarations!$E$26)+Declarations!$B$27*INDEX($B$5:$B$205,$C66+1-Declarations!$E$27)+Declarations!$B$28*INDEX($B$5:$B$205,$C66+1-Declarations!$E$28)+Declarations!$B$29*INDEX($B$5:$B$205,$C66+1-Declarations!$E$29),"")</f>
        <v>-338.236920879731</v>
      </c>
      <c r="E66" s="16" t="n">
        <f aca="false">IF(Grid!C66=1,-Cost_k*E$3-Short_p*MAX(0,Floor_c-$A66)+Beta_q*((1-(((Alpha_keep*$A66+E$3-Lo_c)/Step_c)-MAX(6,MIN(INT(((Alpha_keep*$A66+E$3-Lo_c)/Step_c)+0.00000001),193))))*INDEX($D$5:$D$205,MAX(6,MIN(INT(((Alpha_keep*$A66+E$3-Lo_c)/Step_c)+0.00000001),193))+1)+(((Alpha_keep*$A66+E$3-Lo_c)/Step_c)-MAX(6,MIN(INT(((Alpha_keep*$A66+E$3-Lo_c)/Step_c)+0.00000001),193)))*INDEX($D$5:$D$205,MAX(6,MIN(INT(((Alpha_keep*$A66+E$3-Lo_c)/Step_c)+0.00000001),193))+2)),"")</f>
        <v>-361.539866339202</v>
      </c>
      <c r="F66" s="16" t="n">
        <f aca="false">IF(Grid!D66=1,-Cost_k*F$3-Short_p*MAX(0,Floor_c-$A66)+Beta_q*((1-(((Alpha_keep*$A66+F$3-Lo_c)/Step_c)-MAX(6,MIN(INT(((Alpha_keep*$A66+F$3-Lo_c)/Step_c)+0.00000001),193))))*INDEX($D$5:$D$205,MAX(6,MIN(INT(((Alpha_keep*$A66+F$3-Lo_c)/Step_c)+0.00000001),193))+1)+(((Alpha_keep*$A66+F$3-Lo_c)/Step_c)-MAX(6,MIN(INT(((Alpha_keep*$A66+F$3-Lo_c)/Step_c)+0.00000001),193)))*INDEX($D$5:$D$205,MAX(6,MIN(INT(((Alpha_keep*$A66+F$3-Lo_c)/Step_c)+0.00000001),193))+2)),"")</f>
        <v>-359.007313071517</v>
      </c>
      <c r="G66" s="16" t="n">
        <f aca="false">IF(Grid!E66=1,-Cost_k*G$3-Short_p*MAX(0,Floor_c-$A66)+Beta_q*((1-(((Alpha_keep*$A66+G$3-Lo_c)/Step_c)-MAX(6,MIN(INT(((Alpha_keep*$A66+G$3-Lo_c)/Step_c)+0.00000001),193))))*INDEX($D$5:$D$205,MAX(6,MIN(INT(((Alpha_keep*$A66+G$3-Lo_c)/Step_c)+0.00000001),193))+1)+(((Alpha_keep*$A66+G$3-Lo_c)/Step_c)-MAX(6,MIN(INT(((Alpha_keep*$A66+G$3-Lo_c)/Step_c)+0.00000001),193)))*INDEX($D$5:$D$205,MAX(6,MIN(INT(((Alpha_keep*$A66+G$3-Lo_c)/Step_c)+0.00000001),193))+2)),"")</f>
        <v>-356.514835219186</v>
      </c>
      <c r="H66" s="16" t="n">
        <f aca="false">IF(Grid!F66=1,-Cost_k*H$3-Short_p*MAX(0,Floor_c-$A66)+Beta_q*((1-(((Alpha_keep*$A66+H$3-Lo_c)/Step_c)-MAX(6,MIN(INT(((Alpha_keep*$A66+H$3-Lo_c)/Step_c)+0.00000001),193))))*INDEX($D$5:$D$205,MAX(6,MIN(INT(((Alpha_keep*$A66+H$3-Lo_c)/Step_c)+0.00000001),193))+1)+(((Alpha_keep*$A66+H$3-Lo_c)/Step_c)-MAX(6,MIN(INT(((Alpha_keep*$A66+H$3-Lo_c)/Step_c)+0.00000001),193)))*INDEX($D$5:$D$205,MAX(6,MIN(INT(((Alpha_keep*$A66+H$3-Lo_c)/Step_c)+0.00000001),193))+2)),"")</f>
        <v>-354.062948282634</v>
      </c>
      <c r="I66" s="16" t="n">
        <f aca="false">IF(Grid!G66=1,-Cost_k*I$3-Short_p*MAX(0,Floor_c-$A66)+Beta_q*((1-(((Alpha_keep*$A66+I$3-Lo_c)/Step_c)-MAX(6,MIN(INT(((Alpha_keep*$A66+I$3-Lo_c)/Step_c)+0.00000001),193))))*INDEX($D$5:$D$205,MAX(6,MIN(INT(((Alpha_keep*$A66+I$3-Lo_c)/Step_c)+0.00000001),193))+1)+(((Alpha_keep*$A66+I$3-Lo_c)/Step_c)-MAX(6,MIN(INT(((Alpha_keep*$A66+I$3-Lo_c)/Step_c)+0.00000001),193)))*INDEX($D$5:$D$205,MAX(6,MIN(INT(((Alpha_keep*$A66+I$3-Lo_c)/Step_c)+0.00000001),193))+2)),"")</f>
        <v>-351.652110845208</v>
      </c>
      <c r="J66" s="16" t="n">
        <f aca="false">IF(Grid!H66=1,-Cost_k*J$3-Short_p*MAX(0,Floor_c-$A66)+Beta_q*((1-(((Alpha_keep*$A66+J$3-Lo_c)/Step_c)-MAX(6,MIN(INT(((Alpha_keep*$A66+J$3-Lo_c)/Step_c)+0.00000001),193))))*INDEX($D$5:$D$205,MAX(6,MIN(INT(((Alpha_keep*$A66+J$3-Lo_c)/Step_c)+0.00000001),193))+1)+(((Alpha_keep*$A66+J$3-Lo_c)/Step_c)-MAX(6,MIN(INT(((Alpha_keep*$A66+J$3-Lo_c)/Step_c)+0.00000001),193)))*INDEX($D$5:$D$205,MAX(6,MIN(INT(((Alpha_keep*$A66+J$3-Lo_c)/Step_c)+0.00000001),193))+2)),"")</f>
        <v>-349.283002784083</v>
      </c>
      <c r="K66" s="16" t="n">
        <f aca="false">IF(Grid!I66=1,-Cost_k*K$3-Short_p*MAX(0,Floor_c-$A66)+Beta_q*((1-(((Alpha_keep*$A66+K$3-Lo_c)/Step_c)-MAX(6,MIN(INT(((Alpha_keep*$A66+K$3-Lo_c)/Step_c)+0.00000001),193))))*INDEX($D$5:$D$205,MAX(6,MIN(INT(((Alpha_keep*$A66+K$3-Lo_c)/Step_c)+0.00000001),193))+1)+(((Alpha_keep*$A66+K$3-Lo_c)/Step_c)-MAX(6,MIN(INT(((Alpha_keep*$A66+K$3-Lo_c)/Step_c)+0.00000001),193)))*INDEX($D$5:$D$205,MAX(6,MIN(INT(((Alpha_keep*$A66+K$3-Lo_c)/Step_c)+0.00000001),193))+2)),"")</f>
        <v>-346.956119158863</v>
      </c>
      <c r="L66" s="16" t="n">
        <f aca="false">IF(Grid!J66=1,-Cost_k*L$3-Short_p*MAX(0,Floor_c-$A66)+Beta_q*((1-(((Alpha_keep*$A66+L$3-Lo_c)/Step_c)-MAX(6,MIN(INT(((Alpha_keep*$A66+L$3-Lo_c)/Step_c)+0.00000001),193))))*INDEX($D$5:$D$205,MAX(6,MIN(INT(((Alpha_keep*$A66+L$3-Lo_c)/Step_c)+0.00000001),193))+1)+(((Alpha_keep*$A66+L$3-Lo_c)/Step_c)-MAX(6,MIN(INT(((Alpha_keep*$A66+L$3-Lo_c)/Step_c)+0.00000001),193)))*INDEX($D$5:$D$205,MAX(6,MIN(INT(((Alpha_keep*$A66+L$3-Lo_c)/Step_c)+0.00000001),193))+2)),"")</f>
        <v>-344.671956504646</v>
      </c>
      <c r="M66" s="16" t="n">
        <f aca="false">IF(Grid!K66=1,-Cost_k*M$3-Short_p*MAX(0,Floor_c-$A66)+Beta_q*((1-(((Alpha_keep*$A66+M$3-Lo_c)/Step_c)-MAX(6,MIN(INT(((Alpha_keep*$A66+M$3-Lo_c)/Step_c)+0.00000001),193))))*INDEX($D$5:$D$205,MAX(6,MIN(INT(((Alpha_keep*$A66+M$3-Lo_c)/Step_c)+0.00000001),193))+1)+(((Alpha_keep*$A66+M$3-Lo_c)/Step_c)-MAX(6,MIN(INT(((Alpha_keep*$A66+M$3-Lo_c)/Step_c)+0.00000001),193)))*INDEX($D$5:$D$205,MAX(6,MIN(INT(((Alpha_keep*$A66+M$3-Lo_c)/Step_c)+0.00000001),193))+2)),"")</f>
        <v>-342.431289934618</v>
      </c>
      <c r="N66" s="16" t="n">
        <f aca="false">IF(Grid!L66=1,-Cost_k*N$3-Short_p*MAX(0,Floor_c-$A66)+Beta_q*((1-(((Alpha_keep*$A66+N$3-Lo_c)/Step_c)-MAX(6,MIN(INT(((Alpha_keep*$A66+N$3-Lo_c)/Step_c)+0.00000001),193))))*INDEX($D$5:$D$205,MAX(6,MIN(INT(((Alpha_keep*$A66+N$3-Lo_c)/Step_c)+0.00000001),193))+1)+(((Alpha_keep*$A66+N$3-Lo_c)/Step_c)-MAX(6,MIN(INT(((Alpha_keep*$A66+N$3-Lo_c)/Step_c)+0.00000001),193)))*INDEX($D$5:$D$205,MAX(6,MIN(INT(((Alpha_keep*$A66+N$3-Lo_c)/Step_c)+0.00000001),193))+2)),"")</f>
        <v>-340.234535300295</v>
      </c>
      <c r="O66" s="16" t="n">
        <f aca="false">IF(Grid!M66=1,-Cost_k*O$3-Short_p*MAX(0,Floor_c-$A66)+Beta_q*((1-(((Alpha_keep*$A66+O$3-Lo_c)/Step_c)-MAX(6,MIN(INT(((Alpha_keep*$A66+O$3-Lo_c)/Step_c)+0.00000001),193))))*INDEX($D$5:$D$205,MAX(6,MIN(INT(((Alpha_keep*$A66+O$3-Lo_c)/Step_c)+0.00000001),193))+1)+(((Alpha_keep*$A66+O$3-Lo_c)/Step_c)-MAX(6,MIN(INT(((Alpha_keep*$A66+O$3-Lo_c)/Step_c)+0.00000001),193)))*INDEX($D$5:$D$205,MAX(6,MIN(INT(((Alpha_keep*$A66+O$3-Lo_c)/Step_c)+0.00000001),193))+2)),"")</f>
        <v>-338.082296418561</v>
      </c>
      <c r="P66" s="11" t="n">
        <f aca="false">MAX(E66:O66)</f>
        <v>-338.082296418561</v>
      </c>
      <c r="Q66" s="12" t="n">
        <f aca="false">INDEX($E$3:$O$3,MATCH(P66,E66:O66,0))</f>
        <v>2.5</v>
      </c>
      <c r="R66" s="20" t="n">
        <v>2.5</v>
      </c>
      <c r="S66" s="14" t="n">
        <f aca="false">IF(ABS(Q66-R66)&lt;0.000000001,1,0)</f>
        <v>1</v>
      </c>
      <c r="T66" s="21" t="n">
        <f aca="false">ABS(P66-B66)</f>
        <v>0</v>
      </c>
      <c r="U66" s="16" t="n">
        <f aca="false">Alpha_keep*A66+Q66</f>
        <v>46.61875</v>
      </c>
      <c r="V66" s="14" t="n">
        <f aca="false">INDEX(GuardBlock,62,ROUND(Q66/Step_h,0)+1)</f>
        <v>1</v>
      </c>
      <c r="W66" s="22" t="n">
        <v>0</v>
      </c>
    </row>
    <row r="67" customFormat="false" ht="15" hidden="false" customHeight="false" outlineLevel="0" collapsed="false">
      <c r="A67" s="18" t="n">
        <f aca="false">Grid!A67</f>
        <v>45.5</v>
      </c>
      <c r="B67" s="19" t="n">
        <v>-334.652497128585</v>
      </c>
      <c r="C67" s="14" t="n">
        <v>62</v>
      </c>
      <c r="D67" s="11" t="n">
        <f aca="false">IF(AND($C67&gt;=6,$C67&lt;=194),Declarations!$B$25*INDEX($B$5:$B$205,$C67+1-Declarations!$E$25)+Declarations!$B$26*INDEX($B$5:$B$205,$C67+1-Declarations!$E$26)+Declarations!$B$27*INDEX($B$5:$B$205,$C67+1-Declarations!$E$27)+Declarations!$B$28*INDEX($B$5:$B$205,$C67+1-Declarations!$E$28)+Declarations!$B$29*INDEX($B$5:$B$205,$C67+1-Declarations!$E$29),"")</f>
        <v>-334.809219070951</v>
      </c>
      <c r="E67" s="16" t="n">
        <f aca="false">IF(Grid!C67=1,-Cost_k*E$3-Short_p*MAX(0,Floor_c-$A67)+Beta_q*((1-(((Alpha_keep*$A67+E$3-Lo_c)/Step_c)-MAX(6,MIN(INT(((Alpha_keep*$A67+E$3-Lo_c)/Step_c)+0.00000001),193))))*INDEX($D$5:$D$205,MAX(6,MIN(INT(((Alpha_keep*$A67+E$3-Lo_c)/Step_c)+0.00000001),193))+1)+(((Alpha_keep*$A67+E$3-Lo_c)/Step_c)-MAX(6,MIN(INT(((Alpha_keep*$A67+E$3-Lo_c)/Step_c)+0.00000001),193)))*INDEX($D$5:$D$205,MAX(6,MIN(INT(((Alpha_keep*$A67+E$3-Lo_c)/Step_c)+0.00000001),193))+2)),"")</f>
        <v>-357.695105254321</v>
      </c>
      <c r="F67" s="16" t="n">
        <f aca="false">IF(Grid!D67=1,-Cost_k*F$3-Short_p*MAX(0,Floor_c-$A67)+Beta_q*((1-(((Alpha_keep*$A67+F$3-Lo_c)/Step_c)-MAX(6,MIN(INT(((Alpha_keep*$A67+F$3-Lo_c)/Step_c)+0.00000001),193))))*INDEX($D$5:$D$205,MAX(6,MIN(INT(((Alpha_keep*$A67+F$3-Lo_c)/Step_c)+0.00000001),193))+1)+(((Alpha_keep*$A67+F$3-Lo_c)/Step_c)-MAX(6,MIN(INT(((Alpha_keep*$A67+F$3-Lo_c)/Step_c)+0.00000001),193)))*INDEX($D$5:$D$205,MAX(6,MIN(INT(((Alpha_keep*$A67+F$3-Lo_c)/Step_c)+0.00000001),193))+2)),"")</f>
        <v>-355.201616377789</v>
      </c>
      <c r="G67" s="16" t="n">
        <f aca="false">IF(Grid!E67=1,-Cost_k*G$3-Short_p*MAX(0,Floor_c-$A67)+Beta_q*((1-(((Alpha_keep*$A67+G$3-Lo_c)/Step_c)-MAX(6,MIN(INT(((Alpha_keep*$A67+G$3-Lo_c)/Step_c)+0.00000001),193))))*INDEX($D$5:$D$205,MAX(6,MIN(INT(((Alpha_keep*$A67+G$3-Lo_c)/Step_c)+0.00000001),193))+1)+(((Alpha_keep*$A67+G$3-Lo_c)/Step_c)-MAX(6,MIN(INT(((Alpha_keep*$A67+G$3-Lo_c)/Step_c)+0.00000001),193)))*INDEX($D$5:$D$205,MAX(6,MIN(INT(((Alpha_keep*$A67+G$3-Lo_c)/Step_c)+0.00000001),193))+2)),"")</f>
        <v>-352.748710525049</v>
      </c>
      <c r="H67" s="16" t="n">
        <f aca="false">IF(Grid!F67=1,-Cost_k*H$3-Short_p*MAX(0,Floor_c-$A67)+Beta_q*((1-(((Alpha_keep*$A67+H$3-Lo_c)/Step_c)-MAX(6,MIN(INT(((Alpha_keep*$A67+H$3-Lo_c)/Step_c)+0.00000001),193))))*INDEX($D$5:$D$205,MAX(6,MIN(INT(((Alpha_keep*$A67+H$3-Lo_c)/Step_c)+0.00000001),193))+1)+(((Alpha_keep*$A67+H$3-Lo_c)/Step_c)-MAX(6,MIN(INT(((Alpha_keep*$A67+H$3-Lo_c)/Step_c)+0.00000001),193)))*INDEX($D$5:$D$205,MAX(6,MIN(INT(((Alpha_keep*$A67+H$3-Lo_c)/Step_c)+0.00000001),193))+2)),"")</f>
        <v>-350.336838758192</v>
      </c>
      <c r="I67" s="16" t="n">
        <f aca="false">IF(Grid!G67=1,-Cost_k*I$3-Short_p*MAX(0,Floor_c-$A67)+Beta_q*((1-(((Alpha_keep*$A67+I$3-Lo_c)/Step_c)-MAX(6,MIN(INT(((Alpha_keep*$A67+I$3-Lo_c)/Step_c)+0.00000001),193))))*INDEX($D$5:$D$205,MAX(6,MIN(INT(((Alpha_keep*$A67+I$3-Lo_c)/Step_c)+0.00000001),193))+1)+(((Alpha_keep*$A67+I$3-Lo_c)/Step_c)-MAX(6,MIN(INT(((Alpha_keep*$A67+I$3-Lo_c)/Step_c)+0.00000001),193)))*INDEX($D$5:$D$205,MAX(6,MIN(INT(((Alpha_keep*$A67+I$3-Lo_c)/Step_c)+0.00000001),193))+2)),"")</f>
        <v>-347.966677620318</v>
      </c>
      <c r="J67" s="16" t="n">
        <f aca="false">IF(Grid!H67=1,-Cost_k*J$3-Short_p*MAX(0,Floor_c-$A67)+Beta_q*((1-(((Alpha_keep*$A67+J$3-Lo_c)/Step_c)-MAX(6,MIN(INT(((Alpha_keep*$A67+J$3-Lo_c)/Step_c)+0.00000001),193))))*INDEX($D$5:$D$205,MAX(6,MIN(INT(((Alpha_keep*$A67+J$3-Lo_c)/Step_c)+0.00000001),193))+1)+(((Alpha_keep*$A67+J$3-Lo_c)/Step_c)-MAX(6,MIN(INT(((Alpha_keep*$A67+J$3-Lo_c)/Step_c)+0.00000001),193)))*INDEX($D$5:$D$205,MAX(6,MIN(INT(((Alpha_keep*$A67+J$3-Lo_c)/Step_c)+0.00000001),193))+2)),"")</f>
        <v>-345.6387355833</v>
      </c>
      <c r="K67" s="16" t="n">
        <f aca="false">IF(Grid!I67=1,-Cost_k*K$3-Short_p*MAX(0,Floor_c-$A67)+Beta_q*((1-(((Alpha_keep*$A67+K$3-Lo_c)/Step_c)-MAX(6,MIN(INT(((Alpha_keep*$A67+K$3-Lo_c)/Step_c)+0.00000001),193))))*INDEX($D$5:$D$205,MAX(6,MIN(INT(((Alpha_keep*$A67+K$3-Lo_c)/Step_c)+0.00000001),193))+1)+(((Alpha_keep*$A67+K$3-Lo_c)/Step_c)-MAX(6,MIN(INT(((Alpha_keep*$A67+K$3-Lo_c)/Step_c)+0.00000001),193)))*INDEX($D$5:$D$205,MAX(6,MIN(INT(((Alpha_keep*$A67+K$3-Lo_c)/Step_c)+0.00000001),193))+2)),"")</f>
        <v>-343.35349428049</v>
      </c>
      <c r="L67" s="16" t="n">
        <f aca="false">IF(Grid!J67=1,-Cost_k*L$3-Short_p*MAX(0,Floor_c-$A67)+Beta_q*((1-(((Alpha_keep*$A67+L$3-Lo_c)/Step_c)-MAX(6,MIN(INT(((Alpha_keep*$A67+L$3-Lo_c)/Step_c)+0.00000001),193))))*INDEX($D$5:$D$205,MAX(6,MIN(INT(((Alpha_keep*$A67+L$3-Lo_c)/Step_c)+0.00000001),193))+1)+(((Alpha_keep*$A67+L$3-Lo_c)/Step_c)-MAX(6,MIN(INT(((Alpha_keep*$A67+L$3-Lo_c)/Step_c)+0.00000001),193)))*INDEX($D$5:$D$205,MAX(6,MIN(INT(((Alpha_keep*$A67+L$3-Lo_c)/Step_c)+0.00000001),193))+2)),"")</f>
        <v>-341.111730633423</v>
      </c>
      <c r="M67" s="16" t="n">
        <f aca="false">IF(Grid!K67=1,-Cost_k*M$3-Short_p*MAX(0,Floor_c-$A67)+Beta_q*((1-(((Alpha_keep*$A67+M$3-Lo_c)/Step_c)-MAX(6,MIN(INT(((Alpha_keep*$A67+M$3-Lo_c)/Step_c)+0.00000001),193))))*INDEX($D$5:$D$205,MAX(6,MIN(INT(((Alpha_keep*$A67+M$3-Lo_c)/Step_c)+0.00000001),193))+1)+(((Alpha_keep*$A67+M$3-Lo_c)/Step_c)-MAX(6,MIN(INT(((Alpha_keep*$A67+M$3-Lo_c)/Step_c)+0.00000001),193)))*INDEX($D$5:$D$205,MAX(6,MIN(INT(((Alpha_keep*$A67+M$3-Lo_c)/Step_c)+0.00000001),193))+2)),"")</f>
        <v>-338.913877403422</v>
      </c>
      <c r="N67" s="16" t="n">
        <f aca="false">IF(Grid!L67=1,-Cost_k*N$3-Short_p*MAX(0,Floor_c-$A67)+Beta_q*((1-(((Alpha_keep*$A67+N$3-Lo_c)/Step_c)-MAX(6,MIN(INT(((Alpha_keep*$A67+N$3-Lo_c)/Step_c)+0.00000001),193))))*INDEX($D$5:$D$205,MAX(6,MIN(INT(((Alpha_keep*$A67+N$3-Lo_c)/Step_c)+0.00000001),193))+1)+(((Alpha_keep*$A67+N$3-Lo_c)/Step_c)-MAX(6,MIN(INT(((Alpha_keep*$A67+N$3-Lo_c)/Step_c)+0.00000001),193)))*INDEX($D$5:$D$205,MAX(6,MIN(INT(((Alpha_keep*$A67+N$3-Lo_c)/Step_c)+0.00000001),193))+2)),"")</f>
        <v>-336.76050982467</v>
      </c>
      <c r="O67" s="16" t="n">
        <f aca="false">IF(Grid!M67=1,-Cost_k*O$3-Short_p*MAX(0,Floor_c-$A67)+Beta_q*((1-(((Alpha_keep*$A67+O$3-Lo_c)/Step_c)-MAX(6,MIN(INT(((Alpha_keep*$A67+O$3-Lo_c)/Step_c)+0.00000001),193))))*INDEX($D$5:$D$205,MAX(6,MIN(INT(((Alpha_keep*$A67+O$3-Lo_c)/Step_c)+0.00000001),193))+1)+(((Alpha_keep*$A67+O$3-Lo_c)/Step_c)-MAX(6,MIN(INT(((Alpha_keep*$A67+O$3-Lo_c)/Step_c)+0.00000001),193)))*INDEX($D$5:$D$205,MAX(6,MIN(INT(((Alpha_keep*$A67+O$3-Lo_c)/Step_c)+0.00000001),193))+2)),"")</f>
        <v>-334.652497128585</v>
      </c>
      <c r="P67" s="11" t="n">
        <f aca="false">MAX(E67:O67)</f>
        <v>-334.652497128585</v>
      </c>
      <c r="Q67" s="12" t="n">
        <f aca="false">INDEX($E$3:$O$3,MATCH(P67,E67:O67,0))</f>
        <v>2.5</v>
      </c>
      <c r="R67" s="20" t="n">
        <v>2.5</v>
      </c>
      <c r="S67" s="14" t="n">
        <f aca="false">IF(ABS(Q67-R67)&lt;0.000000001,1,0)</f>
        <v>1</v>
      </c>
      <c r="T67" s="21" t="n">
        <f aca="false">ABS(P67-B67)</f>
        <v>0</v>
      </c>
      <c r="U67" s="16" t="n">
        <f aca="false">Alpha_keep*A67+Q67</f>
        <v>46.8625</v>
      </c>
      <c r="V67" s="14" t="n">
        <f aca="false">INDEX(GuardBlock,63,ROUND(Q67/Step_h,0)+1)</f>
        <v>1</v>
      </c>
      <c r="W67" s="22" t="n">
        <v>0</v>
      </c>
    </row>
    <row r="68" customFormat="false" ht="15" hidden="false" customHeight="false" outlineLevel="0" collapsed="false">
      <c r="A68" s="18" t="n">
        <f aca="false">Grid!A68</f>
        <v>45.75</v>
      </c>
      <c r="B68" s="19" t="n">
        <v>-331.266052056154</v>
      </c>
      <c r="C68" s="14" t="n">
        <v>63</v>
      </c>
      <c r="D68" s="11" t="n">
        <f aca="false">IF(AND($C68&gt;=6,$C68&lt;=194),Declarations!$B$25*INDEX($B$5:$B$205,$C68+1-Declarations!$E$25)+Declarations!$B$26*INDEX($B$5:$B$205,$C68+1-Declarations!$E$26)+Declarations!$B$27*INDEX($B$5:$B$205,$C68+1-Declarations!$E$27)+Declarations!$B$28*INDEX($B$5:$B$205,$C68+1-Declarations!$E$28)+Declarations!$B$29*INDEX($B$5:$B$205,$C68+1-Declarations!$E$29),"")</f>
        <v>-331.424874622594</v>
      </c>
      <c r="E68" s="16" t="n">
        <f aca="false">IF(Grid!C68=1,-Cost_k*E$3-Short_p*MAX(0,Floor_c-$A68)+Beta_q*((1-(((Alpha_keep*$A68+E$3-Lo_c)/Step_c)-MAX(6,MIN(INT(((Alpha_keep*$A68+E$3-Lo_c)/Step_c)+0.00000001),193))))*INDEX($D$5:$D$205,MAX(6,MIN(INT(((Alpha_keep*$A68+E$3-Lo_c)/Step_c)+0.00000001),193))+1)+(((Alpha_keep*$A68+E$3-Lo_c)/Step_c)-MAX(6,MIN(INT(((Alpha_keep*$A68+E$3-Lo_c)/Step_c)+0.00000001),193)))*INDEX($D$5:$D$205,MAX(6,MIN(INT(((Alpha_keep*$A68+E$3-Lo_c)/Step_c)+0.00000001),193))+2)),"")</f>
        <v>-353.888397536392</v>
      </c>
      <c r="F68" s="16" t="n">
        <f aca="false">IF(Grid!D68=1,-Cost_k*F$3-Short_p*MAX(0,Floor_c-$A68)+Beta_q*((1-(((Alpha_keep*$A68+F$3-Lo_c)/Step_c)-MAX(6,MIN(INT(((Alpha_keep*$A68+F$3-Lo_c)/Step_c)+0.00000001),193))))*INDEX($D$5:$D$205,MAX(6,MIN(INT(((Alpha_keep*$A68+F$3-Lo_c)/Step_c)+0.00000001),193))+1)+(((Alpha_keep*$A68+F$3-Lo_c)/Step_c)-MAX(6,MIN(INT(((Alpha_keep*$A68+F$3-Lo_c)/Step_c)+0.00000001),193)))*INDEX($D$5:$D$205,MAX(6,MIN(INT(((Alpha_keep*$A68+F$3-Lo_c)/Step_c)+0.00000001),193))+2)),"")</f>
        <v>-351.434472767465</v>
      </c>
      <c r="G68" s="16" t="n">
        <f aca="false">IF(Grid!E68=1,-Cost_k*G$3-Short_p*MAX(0,Floor_c-$A68)+Beta_q*((1-(((Alpha_keep*$A68+G$3-Lo_c)/Step_c)-MAX(6,MIN(INT(((Alpha_keep*$A68+G$3-Lo_c)/Step_c)+0.00000001),193))))*INDEX($D$5:$D$205,MAX(6,MIN(INT(((Alpha_keep*$A68+G$3-Lo_c)/Step_c)+0.00000001),193))+1)+(((Alpha_keep*$A68+G$3-Lo_c)/Step_c)-MAX(6,MIN(INT(((Alpha_keep*$A68+G$3-Lo_c)/Step_c)+0.00000001),193)))*INDEX($D$5:$D$205,MAX(6,MIN(INT(((Alpha_keep*$A68+G$3-Lo_c)/Step_c)+0.00000001),193))+2)),"")</f>
        <v>-349.021566671177</v>
      </c>
      <c r="H68" s="16" t="n">
        <f aca="false">IF(Grid!F68=1,-Cost_k*H$3-Short_p*MAX(0,Floor_c-$A68)+Beta_q*((1-(((Alpha_keep*$A68+H$3-Lo_c)/Step_c)-MAX(6,MIN(INT(((Alpha_keep*$A68+H$3-Lo_c)/Step_c)+0.00000001),193))))*INDEX($D$5:$D$205,MAX(6,MIN(INT(((Alpha_keep*$A68+H$3-Lo_c)/Step_c)+0.00000001),193))+1)+(((Alpha_keep*$A68+H$3-Lo_c)/Step_c)-MAX(6,MIN(INT(((Alpha_keep*$A68+H$3-Lo_c)/Step_c)+0.00000001),193)))*INDEX($D$5:$D$205,MAX(6,MIN(INT(((Alpha_keep*$A68+H$3-Lo_c)/Step_c)+0.00000001),193))+2)),"")</f>
        <v>-346.650352456552</v>
      </c>
      <c r="I68" s="16" t="n">
        <f aca="false">IF(Grid!G68=1,-Cost_k*I$3-Short_p*MAX(0,Floor_c-$A68)+Beta_q*((1-(((Alpha_keep*$A68+I$3-Lo_c)/Step_c)-MAX(6,MIN(INT(((Alpha_keep*$A68+I$3-Lo_c)/Step_c)+0.00000001),193))))*INDEX($D$5:$D$205,MAX(6,MIN(INT(((Alpha_keep*$A68+I$3-Lo_c)/Step_c)+0.00000001),193))+1)+(((Alpha_keep*$A68+I$3-Lo_c)/Step_c)-MAX(6,MIN(INT(((Alpha_keep*$A68+I$3-Lo_c)/Step_c)+0.00000001),193)))*INDEX($D$5:$D$205,MAX(6,MIN(INT(((Alpha_keep*$A68+I$3-Lo_c)/Step_c)+0.00000001),193))+2)),"")</f>
        <v>-344.321352007736</v>
      </c>
      <c r="J68" s="16" t="n">
        <f aca="false">IF(Grid!H68=1,-Cost_k*J$3-Short_p*MAX(0,Floor_c-$A68)+Beta_q*((1-(((Alpha_keep*$A68+J$3-Lo_c)/Step_c)-MAX(6,MIN(INT(((Alpha_keep*$A68+J$3-Lo_c)/Step_c)+0.00000001),193))))*INDEX($D$5:$D$205,MAX(6,MIN(INT(((Alpha_keep*$A68+J$3-Lo_c)/Step_c)+0.00000001),193))+1)+(((Alpha_keep*$A68+J$3-Lo_c)/Step_c)-MAX(6,MIN(INT(((Alpha_keep*$A68+J$3-Lo_c)/Step_c)+0.00000001),193)))*INDEX($D$5:$D$205,MAX(6,MIN(INT(((Alpha_keep*$A68+J$3-Lo_c)/Step_c)+0.00000001),193))+2)),"")</f>
        <v>-342.035032056335</v>
      </c>
      <c r="K68" s="16" t="n">
        <f aca="false">IF(Grid!I68=1,-Cost_k*K$3-Short_p*MAX(0,Floor_c-$A68)+Beta_q*((1-(((Alpha_keep*$A68+K$3-Lo_c)/Step_c)-MAX(6,MIN(INT(((Alpha_keep*$A68+K$3-Lo_c)/Step_c)+0.00000001),193))))*INDEX($D$5:$D$205,MAX(6,MIN(INT(((Alpha_keep*$A68+K$3-Lo_c)/Step_c)+0.00000001),193))+1)+(((Alpha_keep*$A68+K$3-Lo_c)/Step_c)-MAX(6,MIN(INT(((Alpha_keep*$A68+K$3-Lo_c)/Step_c)+0.00000001),193)))*INDEX($D$5:$D$205,MAX(6,MIN(INT(((Alpha_keep*$A68+K$3-Lo_c)/Step_c)+0.00000001),193))+2)),"")</f>
        <v>-339.792171332228</v>
      </c>
      <c r="L68" s="16" t="n">
        <f aca="false">IF(Grid!J68=1,-Cost_k*L$3-Short_p*MAX(0,Floor_c-$A68)+Beta_q*((1-(((Alpha_keep*$A68+L$3-Lo_c)/Step_c)-MAX(6,MIN(INT(((Alpha_keep*$A68+L$3-Lo_c)/Step_c)+0.00000001),193))))*INDEX($D$5:$D$205,MAX(6,MIN(INT(((Alpha_keep*$A68+L$3-Lo_c)/Step_c)+0.00000001),193))+1)+(((Alpha_keep*$A68+L$3-Lo_c)/Step_c)-MAX(6,MIN(INT(((Alpha_keep*$A68+L$3-Lo_c)/Step_c)+0.00000001),193)))*INDEX($D$5:$D$205,MAX(6,MIN(INT(((Alpha_keep*$A68+L$3-Lo_c)/Step_c)+0.00000001),193))+2)),"")</f>
        <v>-337.593219506549</v>
      </c>
      <c r="M68" s="16" t="n">
        <f aca="false">IF(Grid!K68=1,-Cost_k*M$3-Short_p*MAX(0,Floor_c-$A68)+Beta_q*((1-(((Alpha_keep*$A68+M$3-Lo_c)/Step_c)-MAX(6,MIN(INT(((Alpha_keep*$A68+M$3-Lo_c)/Step_c)+0.00000001),193))))*INDEX($D$5:$D$205,MAX(6,MIN(INT(((Alpha_keep*$A68+M$3-Lo_c)/Step_c)+0.00000001),193))+1)+(((Alpha_keep*$A68+M$3-Lo_c)/Step_c)-MAX(6,MIN(INT(((Alpha_keep*$A68+M$3-Lo_c)/Step_c)+0.00000001),193)))*INDEX($D$5:$D$205,MAX(6,MIN(INT(((Alpha_keep*$A68+M$3-Lo_c)/Step_c)+0.00000001),193))+2)),"")</f>
        <v>-335.438723230778</v>
      </c>
      <c r="N68" s="16" t="n">
        <f aca="false">IF(Grid!L68=1,-Cost_k*N$3-Short_p*MAX(0,Floor_c-$A68)+Beta_q*((1-(((Alpha_keep*$A68+N$3-Lo_c)/Step_c)-MAX(6,MIN(INT(((Alpha_keep*$A68+N$3-Lo_c)/Step_c)+0.00000001),193))))*INDEX($D$5:$D$205,MAX(6,MIN(INT(((Alpha_keep*$A68+N$3-Lo_c)/Step_c)+0.00000001),193))+1)+(((Alpha_keep*$A68+N$3-Lo_c)/Step_c)-MAX(6,MIN(INT(((Alpha_keep*$A68+N$3-Lo_c)/Step_c)+0.00000001),193)))*INDEX($D$5:$D$205,MAX(6,MIN(INT(((Alpha_keep*$A68+N$3-Lo_c)/Step_c)+0.00000001),193))+2)),"")</f>
        <v>-333.329570337569</v>
      </c>
      <c r="O68" s="16" t="n">
        <f aca="false">IF(Grid!M68=1,-Cost_k*O$3-Short_p*MAX(0,Floor_c-$A68)+Beta_q*((1-(((Alpha_keep*$A68+O$3-Lo_c)/Step_c)-MAX(6,MIN(INT(((Alpha_keep*$A68+O$3-Lo_c)/Step_c)+0.00000001),193))))*INDEX($D$5:$D$205,MAX(6,MIN(INT(((Alpha_keep*$A68+O$3-Lo_c)/Step_c)+0.00000001),193))+1)+(((Alpha_keep*$A68+O$3-Lo_c)/Step_c)-MAX(6,MIN(INT(((Alpha_keep*$A68+O$3-Lo_c)/Step_c)+0.00000001),193)))*INDEX($D$5:$D$205,MAX(6,MIN(INT(((Alpha_keep*$A68+O$3-Lo_c)/Step_c)+0.00000001),193))+2)),"")</f>
        <v>-331.266052056154</v>
      </c>
      <c r="P68" s="11" t="n">
        <f aca="false">MAX(E68:O68)</f>
        <v>-331.266052056154</v>
      </c>
      <c r="Q68" s="12" t="n">
        <f aca="false">INDEX($E$3:$O$3,MATCH(P68,E68:O68,0))</f>
        <v>2.5</v>
      </c>
      <c r="R68" s="20" t="n">
        <v>2.5</v>
      </c>
      <c r="S68" s="14" t="n">
        <f aca="false">IF(ABS(Q68-R68)&lt;0.000000001,1,0)</f>
        <v>1</v>
      </c>
      <c r="T68" s="21" t="n">
        <f aca="false">ABS(P68-B68)</f>
        <v>0</v>
      </c>
      <c r="U68" s="16" t="n">
        <f aca="false">Alpha_keep*A68+Q68</f>
        <v>47.10625</v>
      </c>
      <c r="V68" s="14" t="n">
        <f aca="false">INDEX(GuardBlock,64,ROUND(Q68/Step_h,0)+1)</f>
        <v>1</v>
      </c>
      <c r="W68" s="22" t="n">
        <v>0</v>
      </c>
    </row>
    <row r="69" customFormat="false" ht="15" hidden="false" customHeight="false" outlineLevel="0" collapsed="false">
      <c r="A69" s="18" t="n">
        <f aca="false">Grid!A69</f>
        <v>46</v>
      </c>
      <c r="B69" s="19" t="n">
        <v>-327.923702836796</v>
      </c>
      <c r="C69" s="14" t="n">
        <v>64</v>
      </c>
      <c r="D69" s="11" t="n">
        <f aca="false">IF(AND($C69&gt;=6,$C69&lt;=194),Declarations!$B$25*INDEX($B$5:$B$205,$C69+1-Declarations!$E$25)+Declarations!$B$26*INDEX($B$5:$B$205,$C69+1-Declarations!$E$26)+Declarations!$B$27*INDEX($B$5:$B$205,$C69+1-Declarations!$E$27)+Declarations!$B$28*INDEX($B$5:$B$205,$C69+1-Declarations!$E$28)+Declarations!$B$29*INDEX($B$5:$B$205,$C69+1-Declarations!$E$29),"")</f>
        <v>-328.084716525801</v>
      </c>
      <c r="E69" s="16" t="n">
        <f aca="false">IF(Grid!C69=1,-Cost_k*E$3-Short_p*MAX(0,Floor_c-$A69)+Beta_q*((1-(((Alpha_keep*$A69+E$3-Lo_c)/Step_c)-MAX(6,MIN(INT(((Alpha_keep*$A69+E$3-Lo_c)/Step_c)+0.00000001),193))))*INDEX($D$5:$D$205,MAX(6,MIN(INT(((Alpha_keep*$A69+E$3-Lo_c)/Step_c)+0.00000001),193))+1)+(((Alpha_keep*$A69+E$3-Lo_c)/Step_c)-MAX(6,MIN(INT(((Alpha_keep*$A69+E$3-Lo_c)/Step_c)+0.00000001),193)))*INDEX($D$5:$D$205,MAX(6,MIN(INT(((Alpha_keep*$A69+E$3-Lo_c)/Step_c)+0.00000001),193))+2)),"")</f>
        <v>-350.12023500988</v>
      </c>
      <c r="F69" s="16" t="n">
        <f aca="false">IF(Grid!D69=1,-Cost_k*F$3-Short_p*MAX(0,Floor_c-$A69)+Beta_q*((1-(((Alpha_keep*$A69+F$3-Lo_c)/Step_c)-MAX(6,MIN(INT(((Alpha_keep*$A69+F$3-Lo_c)/Step_c)+0.00000001),193))))*INDEX($D$5:$D$205,MAX(6,MIN(INT(((Alpha_keep*$A69+F$3-Lo_c)/Step_c)+0.00000001),193))+1)+(((Alpha_keep*$A69+F$3-Lo_c)/Step_c)-MAX(6,MIN(INT(((Alpha_keep*$A69+F$3-Lo_c)/Step_c)+0.00000001),193)))*INDEX($D$5:$D$205,MAX(6,MIN(INT(((Alpha_keep*$A69+F$3-Lo_c)/Step_c)+0.00000001),193))+2)),"")</f>
        <v>-347.706294584161</v>
      </c>
      <c r="G69" s="16" t="n">
        <f aca="false">IF(Grid!E69=1,-Cost_k*G$3-Short_p*MAX(0,Floor_c-$A69)+Beta_q*((1-(((Alpha_keep*$A69+G$3-Lo_c)/Step_c)-MAX(6,MIN(INT(((Alpha_keep*$A69+G$3-Lo_c)/Step_c)+0.00000001),193))))*INDEX($D$5:$D$205,MAX(6,MIN(INT(((Alpha_keep*$A69+G$3-Lo_c)/Step_c)+0.00000001),193))+1)+(((Alpha_keep*$A69+G$3-Lo_c)/Step_c)-MAX(6,MIN(INT(((Alpha_keep*$A69+G$3-Lo_c)/Step_c)+0.00000001),193)))*INDEX($D$5:$D$205,MAX(6,MIN(INT(((Alpha_keep*$A69+G$3-Lo_c)/Step_c)+0.00000001),193))+2)),"")</f>
        <v>-345.334027292786</v>
      </c>
      <c r="H69" s="16" t="n">
        <f aca="false">IF(Grid!F69=1,-Cost_k*H$3-Short_p*MAX(0,Floor_c-$A69)+Beta_q*((1-(((Alpha_keep*$A69+H$3-Lo_c)/Step_c)-MAX(6,MIN(INT(((Alpha_keep*$A69+H$3-Lo_c)/Step_c)+0.00000001),193))))*INDEX($D$5:$D$205,MAX(6,MIN(INT(((Alpha_keep*$A69+H$3-Lo_c)/Step_c)+0.00000001),193))+1)+(((Alpha_keep*$A69+H$3-Lo_c)/Step_c)-MAX(6,MIN(INT(((Alpha_keep*$A69+H$3-Lo_c)/Step_c)+0.00000001),193)))*INDEX($D$5:$D$205,MAX(6,MIN(INT(((Alpha_keep*$A69+H$3-Lo_c)/Step_c)+0.00000001),193))+2)),"")</f>
        <v>-343.003968432173</v>
      </c>
      <c r="I69" s="16" t="n">
        <f aca="false">IF(Grid!G69=1,-Cost_k*I$3-Short_p*MAX(0,Floor_c-$A69)+Beta_q*((1-(((Alpha_keep*$A69+I$3-Lo_c)/Step_c)-MAX(6,MIN(INT(((Alpha_keep*$A69+I$3-Lo_c)/Step_c)+0.00000001),193))))*INDEX($D$5:$D$205,MAX(6,MIN(INT(((Alpha_keep*$A69+I$3-Lo_c)/Step_c)+0.00000001),193))+1)+(((Alpha_keep*$A69+I$3-Lo_c)/Step_c)-MAX(6,MIN(INT(((Alpha_keep*$A69+I$3-Lo_c)/Step_c)+0.00000001),193)))*INDEX($D$5:$D$205,MAX(6,MIN(INT(((Alpha_keep*$A69+I$3-Lo_c)/Step_c)+0.00000001),193))+2)),"")</f>
        <v>-340.716569832179</v>
      </c>
      <c r="J69" s="16" t="n">
        <f aca="false">IF(Grid!H69=1,-Cost_k*J$3-Short_p*MAX(0,Floor_c-$A69)+Beta_q*((1-(((Alpha_keep*$A69+J$3-Lo_c)/Step_c)-MAX(6,MIN(INT(((Alpha_keep*$A69+J$3-Lo_c)/Step_c)+0.00000001),193))))*INDEX($D$5:$D$205,MAX(6,MIN(INT(((Alpha_keep*$A69+J$3-Lo_c)/Step_c)+0.00000001),193))+1)+(((Alpha_keep*$A69+J$3-Lo_c)/Step_c)-MAX(6,MIN(INT(((Alpha_keep*$A69+J$3-Lo_c)/Step_c)+0.00000001),193)))*INDEX($D$5:$D$205,MAX(6,MIN(INT(((Alpha_keep*$A69+J$3-Lo_c)/Step_c)+0.00000001),193))+2)),"")</f>
        <v>-338.472612031033</v>
      </c>
      <c r="K69" s="16" t="n">
        <f aca="false">IF(Grid!I69=1,-Cost_k*K$3-Short_p*MAX(0,Floor_c-$A69)+Beta_q*((1-(((Alpha_keep*$A69+K$3-Lo_c)/Step_c)-MAX(6,MIN(INT(((Alpha_keep*$A69+K$3-Lo_c)/Step_c)+0.00000001),193))))*INDEX($D$5:$D$205,MAX(6,MIN(INT(((Alpha_keep*$A69+K$3-Lo_c)/Step_c)+0.00000001),193))+1)+(((Alpha_keep*$A69+K$3-Lo_c)/Step_c)-MAX(6,MIN(INT(((Alpha_keep*$A69+K$3-Lo_c)/Step_c)+0.00000001),193)))*INDEX($D$5:$D$205,MAX(6,MIN(INT(((Alpha_keep*$A69+K$3-Lo_c)/Step_c)+0.00000001),193))+2)),"")</f>
        <v>-336.272561609677</v>
      </c>
      <c r="L69" s="16" t="n">
        <f aca="false">IF(Grid!J69=1,-Cost_k*L$3-Short_p*MAX(0,Floor_c-$A69)+Beta_q*((1-(((Alpha_keep*$A69+L$3-Lo_c)/Step_c)-MAX(6,MIN(INT(((Alpha_keep*$A69+L$3-Lo_c)/Step_c)+0.00000001),193))))*INDEX($D$5:$D$205,MAX(6,MIN(INT(((Alpha_keep*$A69+L$3-Lo_c)/Step_c)+0.00000001),193))+1)+(((Alpha_keep*$A69+L$3-Lo_c)/Step_c)-MAX(6,MIN(INT(((Alpha_keep*$A69+L$3-Lo_c)/Step_c)+0.00000001),193)))*INDEX($D$5:$D$205,MAX(6,MIN(INT(((Alpha_keep*$A69+L$3-Lo_c)/Step_c)+0.00000001),193))+2)),"")</f>
        <v>-334.116936636886</v>
      </c>
      <c r="M69" s="16" t="n">
        <f aca="false">IF(Grid!K69=1,-Cost_k*M$3-Short_p*MAX(0,Floor_c-$A69)+Beta_q*((1-(((Alpha_keep*$A69+M$3-Lo_c)/Step_c)-MAX(6,MIN(INT(((Alpha_keep*$A69+M$3-Lo_c)/Step_c)+0.00000001),193))))*INDEX($D$5:$D$205,MAX(6,MIN(INT(((Alpha_keep*$A69+M$3-Lo_c)/Step_c)+0.00000001),193))+1)+(((Alpha_keep*$A69+M$3-Lo_c)/Step_c)-MAX(6,MIN(INT(((Alpha_keep*$A69+M$3-Lo_c)/Step_c)+0.00000001),193)))*INDEX($D$5:$D$205,MAX(6,MIN(INT(((Alpha_keep*$A69+M$3-Lo_c)/Step_c)+0.00000001),193))+2)),"")</f>
        <v>-332.006643546552</v>
      </c>
      <c r="N69" s="16" t="n">
        <f aca="false">IF(Grid!L69=1,-Cost_k*N$3-Short_p*MAX(0,Floor_c-$A69)+Beta_q*((1-(((Alpha_keep*$A69+N$3-Lo_c)/Step_c)-MAX(6,MIN(INT(((Alpha_keep*$A69+N$3-Lo_c)/Step_c)+0.00000001),193))))*INDEX($D$5:$D$205,MAX(6,MIN(INT(((Alpha_keep*$A69+N$3-Lo_c)/Step_c)+0.00000001),193))+1)+(((Alpha_keep*$A69+N$3-Lo_c)/Step_c)-MAX(6,MIN(INT(((Alpha_keep*$A69+N$3-Lo_c)/Step_c)+0.00000001),193)))*INDEX($D$5:$D$205,MAX(6,MIN(INT(((Alpha_keep*$A69+N$3-Lo_c)/Step_c)+0.00000001),193))+2)),"")</f>
        <v>-329.941983495848</v>
      </c>
      <c r="O69" s="16" t="n">
        <f aca="false">IF(Grid!M69=1,-Cost_k*O$3-Short_p*MAX(0,Floor_c-$A69)+Beta_q*((1-(((Alpha_keep*$A69+O$3-Lo_c)/Step_c)-MAX(6,MIN(INT(((Alpha_keep*$A69+O$3-Lo_c)/Step_c)+0.00000001),193))))*INDEX($D$5:$D$205,MAX(6,MIN(INT(((Alpha_keep*$A69+O$3-Lo_c)/Step_c)+0.00000001),193))+1)+(((Alpha_keep*$A69+O$3-Lo_c)/Step_c)-MAX(6,MIN(INT(((Alpha_keep*$A69+O$3-Lo_c)/Step_c)+0.00000001),193)))*INDEX($D$5:$D$205,MAX(6,MIN(INT(((Alpha_keep*$A69+O$3-Lo_c)/Step_c)+0.00000001),193))+2)),"")</f>
        <v>-327.923702836796</v>
      </c>
      <c r="P69" s="11" t="n">
        <f aca="false">MAX(E69:O69)</f>
        <v>-327.923702836796</v>
      </c>
      <c r="Q69" s="12" t="n">
        <f aca="false">INDEX($E$3:$O$3,MATCH(P69,E69:O69,0))</f>
        <v>2.5</v>
      </c>
      <c r="R69" s="20" t="n">
        <v>2.5</v>
      </c>
      <c r="S69" s="14" t="n">
        <f aca="false">IF(ABS(Q69-R69)&lt;0.000000001,1,0)</f>
        <v>1</v>
      </c>
      <c r="T69" s="21" t="n">
        <f aca="false">ABS(P69-B69)</f>
        <v>0</v>
      </c>
      <c r="U69" s="16" t="n">
        <f aca="false">Alpha_keep*A69+Q69</f>
        <v>47.35</v>
      </c>
      <c r="V69" s="14" t="n">
        <f aca="false">INDEX(GuardBlock,65,ROUND(Q69/Step_h,0)+1)</f>
        <v>1</v>
      </c>
      <c r="W69" s="22" t="n">
        <v>0</v>
      </c>
    </row>
    <row r="70" customFormat="false" ht="15" hidden="false" customHeight="false" outlineLevel="0" collapsed="false">
      <c r="A70" s="18" t="n">
        <f aca="false">Grid!A70</f>
        <v>46.25</v>
      </c>
      <c r="B70" s="19" t="n">
        <v>-324.626284947417</v>
      </c>
      <c r="C70" s="14" t="n">
        <v>65</v>
      </c>
      <c r="D70" s="11" t="n">
        <f aca="false">IF(AND($C70&gt;=6,$C70&lt;=194),Declarations!$B$25*INDEX($B$5:$B$205,$C70+1-Declarations!$E$25)+Declarations!$B$26*INDEX($B$5:$B$205,$C70+1-Declarations!$E$26)+Declarations!$B$27*INDEX($B$5:$B$205,$C70+1-Declarations!$E$27)+Declarations!$B$28*INDEX($B$5:$B$205,$C70+1-Declarations!$E$28)+Declarations!$B$29*INDEX($B$5:$B$205,$C70+1-Declarations!$E$29),"")</f>
        <v>-324.789499693575</v>
      </c>
      <c r="E70" s="16" t="n">
        <f aca="false">IF(Grid!C70=1,-Cost_k*E$3-Short_p*MAX(0,Floor_c-$A70)+Beta_q*((1-(((Alpha_keep*$A70+E$3-Lo_c)/Step_c)-MAX(6,MIN(INT(((Alpha_keep*$A70+E$3-Lo_c)/Step_c)+0.00000001),193))))*INDEX($D$5:$D$205,MAX(6,MIN(INT(((Alpha_keep*$A70+E$3-Lo_c)/Step_c)+0.00000001),193))+1)+(((Alpha_keep*$A70+E$3-Lo_c)/Step_c)-MAX(6,MIN(INT(((Alpha_keep*$A70+E$3-Lo_c)/Step_c)+0.00000001),193)))*INDEX($D$5:$D$205,MAX(6,MIN(INT(((Alpha_keep*$A70+E$3-Lo_c)/Step_c)+0.00000001),193))+2)),"")</f>
        <v>-346.391022497145</v>
      </c>
      <c r="F70" s="16" t="n">
        <f aca="false">IF(Grid!D70=1,-Cost_k*F$3-Short_p*MAX(0,Floor_c-$A70)+Beta_q*((1-(((Alpha_keep*$A70+F$3-Lo_c)/Step_c)-MAX(6,MIN(INT(((Alpha_keep*$A70+F$3-Lo_c)/Step_c)+0.00000001),193))))*INDEX($D$5:$D$205,MAX(6,MIN(INT(((Alpha_keep*$A70+F$3-Lo_c)/Step_c)+0.00000001),193))+1)+(((Alpha_keep*$A70+F$3-Lo_c)/Step_c)-MAX(6,MIN(INT(((Alpha_keep*$A70+F$3-Lo_c)/Step_c)+0.00000001),193)))*INDEX($D$5:$D$205,MAX(6,MIN(INT(((Alpha_keep*$A70+F$3-Lo_c)/Step_c)+0.00000001),193))+2)),"")</f>
        <v>-344.017702129021</v>
      </c>
      <c r="G70" s="16" t="n">
        <f aca="false">IF(Grid!E70=1,-Cost_k*G$3-Short_p*MAX(0,Floor_c-$A70)+Beta_q*((1-(((Alpha_keep*$A70+G$3-Lo_c)/Step_c)-MAX(6,MIN(INT(((Alpha_keep*$A70+G$3-Lo_c)/Step_c)+0.00000001),193))))*INDEX($D$5:$D$205,MAX(6,MIN(INT(((Alpha_keep*$A70+G$3-Lo_c)/Step_c)+0.00000001),193))+1)+(((Alpha_keep*$A70+G$3-Lo_c)/Step_c)-MAX(6,MIN(INT(((Alpha_keep*$A70+G$3-Lo_c)/Step_c)+0.00000001),193)))*INDEX($D$5:$D$205,MAX(6,MIN(INT(((Alpha_keep*$A70+G$3-Lo_c)/Step_c)+0.00000001),193))+2)),"")</f>
        <v>-341.68658485661</v>
      </c>
      <c r="H70" s="16" t="n">
        <f aca="false">IF(Grid!F70=1,-Cost_k*H$3-Short_p*MAX(0,Floor_c-$A70)+Beta_q*((1-(((Alpha_keep*$A70+H$3-Lo_c)/Step_c)-MAX(6,MIN(INT(((Alpha_keep*$A70+H$3-Lo_c)/Step_c)+0.00000001),193))))*INDEX($D$5:$D$205,MAX(6,MIN(INT(((Alpha_keep*$A70+H$3-Lo_c)/Step_c)+0.00000001),193))+1)+(((Alpha_keep*$A70+H$3-Lo_c)/Step_c)-MAX(6,MIN(INT(((Alpha_keep*$A70+H$3-Lo_c)/Step_c)+0.00000001),193)))*INDEX($D$5:$D$205,MAX(6,MIN(INT(((Alpha_keep*$A70+H$3-Lo_c)/Step_c)+0.00000001),193))+2)),"")</f>
        <v>-339.398107608024</v>
      </c>
      <c r="I70" s="16" t="n">
        <f aca="false">IF(Grid!G70=1,-Cost_k*I$3-Short_p*MAX(0,Floor_c-$A70)+Beta_q*((1-(((Alpha_keep*$A70+I$3-Lo_c)/Step_c)-MAX(6,MIN(INT(((Alpha_keep*$A70+I$3-Lo_c)/Step_c)+0.00000001),193))))*INDEX($D$5:$D$205,MAX(6,MIN(INT(((Alpha_keep*$A70+I$3-Lo_c)/Step_c)+0.00000001),193))+1)+(((Alpha_keep*$A70+I$3-Lo_c)/Step_c)-MAX(6,MIN(INT(((Alpha_keep*$A70+I$3-Lo_c)/Step_c)+0.00000001),193)))*INDEX($D$5:$D$205,MAX(6,MIN(INT(((Alpha_keep*$A70+I$3-Lo_c)/Step_c)+0.00000001),193))+2)),"")</f>
        <v>-337.153052729838</v>
      </c>
      <c r="J70" s="16" t="n">
        <f aca="false">IF(Grid!H70=1,-Cost_k*J$3-Short_p*MAX(0,Floor_c-$A70)+Beta_q*((1-(((Alpha_keep*$A70+J$3-Lo_c)/Step_c)-MAX(6,MIN(INT(((Alpha_keep*$A70+J$3-Lo_c)/Step_c)+0.00000001),193))))*INDEX($D$5:$D$205,MAX(6,MIN(INT(((Alpha_keep*$A70+J$3-Lo_c)/Step_c)+0.00000001),193))+1)+(((Alpha_keep*$A70+J$3-Lo_c)/Step_c)-MAX(6,MIN(INT(((Alpha_keep*$A70+J$3-Lo_c)/Step_c)+0.00000001),193)))*INDEX($D$5:$D$205,MAX(6,MIN(INT(((Alpha_keep*$A70+J$3-Lo_c)/Step_c)+0.00000001),193))+2)),"")</f>
        <v>-334.951903712804</v>
      </c>
      <c r="K70" s="16" t="n">
        <f aca="false">IF(Grid!I70=1,-Cost_k*K$3-Short_p*MAX(0,Floor_c-$A70)+Beta_q*((1-(((Alpha_keep*$A70+K$3-Lo_c)/Step_c)-MAX(6,MIN(INT(((Alpha_keep*$A70+K$3-Lo_c)/Step_c)+0.00000001),193))))*INDEX($D$5:$D$205,MAX(6,MIN(INT(((Alpha_keep*$A70+K$3-Lo_c)/Step_c)+0.00000001),193))+1)+(((Alpha_keep*$A70+K$3-Lo_c)/Step_c)-MAX(6,MIN(INT(((Alpha_keep*$A70+K$3-Lo_c)/Step_c)+0.00000001),193)))*INDEX($D$5:$D$205,MAX(6,MIN(INT(((Alpha_keep*$A70+K$3-Lo_c)/Step_c)+0.00000001),193))+2)),"")</f>
        <v>-332.795150042995</v>
      </c>
      <c r="L70" s="16" t="n">
        <f aca="false">IF(Grid!J70=1,-Cost_k*L$3-Short_p*MAX(0,Floor_c-$A70)+Beta_q*((1-(((Alpha_keep*$A70+L$3-Lo_c)/Step_c)-MAX(6,MIN(INT(((Alpha_keep*$A70+L$3-Lo_c)/Step_c)+0.00000001),193))))*INDEX($D$5:$D$205,MAX(6,MIN(INT(((Alpha_keep*$A70+L$3-Lo_c)/Step_c)+0.00000001),193))+1)+(((Alpha_keep*$A70+L$3-Lo_c)/Step_c)-MAX(6,MIN(INT(((Alpha_keep*$A70+L$3-Lo_c)/Step_c)+0.00000001),193)))*INDEX($D$5:$D$205,MAX(6,MIN(INT(((Alpha_keep*$A70+L$3-Lo_c)/Step_c)+0.00000001),193))+2)),"")</f>
        <v>-330.683716755535</v>
      </c>
      <c r="M70" s="16" t="n">
        <f aca="false">IF(Grid!K70=1,-Cost_k*M$3-Short_p*MAX(0,Floor_c-$A70)+Beta_q*((1-(((Alpha_keep*$A70+M$3-Lo_c)/Step_c)-MAX(6,MIN(INT(((Alpha_keep*$A70+M$3-Lo_c)/Step_c)+0.00000001),193))))*INDEX($D$5:$D$205,MAX(6,MIN(INT(((Alpha_keep*$A70+M$3-Lo_c)/Step_c)+0.00000001),193))+1)+(((Alpha_keep*$A70+M$3-Lo_c)/Step_c)-MAX(6,MIN(INT(((Alpha_keep*$A70+M$3-Lo_c)/Step_c)+0.00000001),193)))*INDEX($D$5:$D$205,MAX(6,MIN(INT(((Alpha_keep*$A70+M$3-Lo_c)/Step_c)+0.00000001),193))+2)),"")</f>
        <v>-328.617914935542</v>
      </c>
      <c r="N70" s="16" t="n">
        <f aca="false">IF(Grid!L70=1,-Cost_k*N$3-Short_p*MAX(0,Floor_c-$A70)+Beta_q*((1-(((Alpha_keep*$A70+N$3-Lo_c)/Step_c)-MAX(6,MIN(INT(((Alpha_keep*$A70+N$3-Lo_c)/Step_c)+0.00000001),193))))*INDEX($D$5:$D$205,MAX(6,MIN(INT(((Alpha_keep*$A70+N$3-Lo_c)/Step_c)+0.00000001),193))+1)+(((Alpha_keep*$A70+N$3-Lo_c)/Step_c)-MAX(6,MIN(INT(((Alpha_keep*$A70+N$3-Lo_c)/Step_c)+0.00000001),193)))*INDEX($D$5:$D$205,MAX(6,MIN(INT(((Alpha_keep*$A70+N$3-Lo_c)/Step_c)+0.00000001),193))+2)),"")</f>
        <v>-326.598448218446</v>
      </c>
      <c r="O70" s="16" t="n">
        <f aca="false">IF(Grid!M70=1,-Cost_k*O$3-Short_p*MAX(0,Floor_c-$A70)+Beta_q*((1-(((Alpha_keep*$A70+O$3-Lo_c)/Step_c)-MAX(6,MIN(INT(((Alpha_keep*$A70+O$3-Lo_c)/Step_c)+0.00000001),193))))*INDEX($D$5:$D$205,MAX(6,MIN(INT(((Alpha_keep*$A70+O$3-Lo_c)/Step_c)+0.00000001),193))+1)+(((Alpha_keep*$A70+O$3-Lo_c)/Step_c)-MAX(6,MIN(INT(((Alpha_keep*$A70+O$3-Lo_c)/Step_c)+0.00000001),193)))*INDEX($D$5:$D$205,MAX(6,MIN(INT(((Alpha_keep*$A70+O$3-Lo_c)/Step_c)+0.00000001),193))+2)),"")</f>
        <v>-324.626284947417</v>
      </c>
      <c r="P70" s="11" t="n">
        <f aca="false">MAX(E70:O70)</f>
        <v>-324.626284947417</v>
      </c>
      <c r="Q70" s="12" t="n">
        <f aca="false">INDEX($E$3:$O$3,MATCH(P70,E70:O70,0))</f>
        <v>2.5</v>
      </c>
      <c r="R70" s="20" t="n">
        <v>2.5</v>
      </c>
      <c r="S70" s="14" t="n">
        <f aca="false">IF(ABS(Q70-R70)&lt;0.000000001,1,0)</f>
        <v>1</v>
      </c>
      <c r="T70" s="21" t="n">
        <f aca="false">ABS(P70-B70)</f>
        <v>0</v>
      </c>
      <c r="U70" s="16" t="n">
        <f aca="false">Alpha_keep*A70+Q70</f>
        <v>47.59375</v>
      </c>
      <c r="V70" s="14" t="n">
        <f aca="false">INDEX(GuardBlock,66,ROUND(Q70/Step_h,0)+1)</f>
        <v>1</v>
      </c>
      <c r="W70" s="22" t="n">
        <v>0</v>
      </c>
    </row>
    <row r="71" customFormat="false" ht="15" hidden="false" customHeight="false" outlineLevel="0" collapsed="false">
      <c r="A71" s="18" t="n">
        <f aca="false">Grid!A71</f>
        <v>46.5</v>
      </c>
      <c r="B71" s="19" t="n">
        <v>-321.373863396015</v>
      </c>
      <c r="C71" s="14" t="n">
        <v>66</v>
      </c>
      <c r="D71" s="11" t="n">
        <f aca="false">IF(AND($C71&gt;=6,$C71&lt;=194),Declarations!$B$25*INDEX($B$5:$B$205,$C71+1-Declarations!$E$25)+Declarations!$B$26*INDEX($B$5:$B$205,$C71+1-Declarations!$E$26)+Declarations!$B$27*INDEX($B$5:$B$205,$C71+1-Declarations!$E$27)+Declarations!$B$28*INDEX($B$5:$B$205,$C71+1-Declarations!$E$28)+Declarations!$B$29*INDEX($B$5:$B$205,$C71+1-Declarations!$E$29),"")</f>
        <v>-321.539286336237</v>
      </c>
      <c r="E71" s="16" t="n">
        <f aca="false">IF(Grid!C71=1,-Cost_k*E$3-Short_p*MAX(0,Floor_c-$A71)+Beta_q*((1-(((Alpha_keep*$A71+E$3-Lo_c)/Step_c)-MAX(6,MIN(INT(((Alpha_keep*$A71+E$3-Lo_c)/Step_c)+0.00000001),193))))*INDEX($D$5:$D$205,MAX(6,MIN(INT(((Alpha_keep*$A71+E$3-Lo_c)/Step_c)+0.00000001),193))+1)+(((Alpha_keep*$A71+E$3-Lo_c)/Step_c)-MAX(6,MIN(INT(((Alpha_keep*$A71+E$3-Lo_c)/Step_c)+0.00000001),193)))*INDEX($D$5:$D$205,MAX(6,MIN(INT(((Alpha_keep*$A71+E$3-Lo_c)/Step_c)+0.00000001),193))+2)),"")</f>
        <v>-342.701376965255</v>
      </c>
      <c r="F71" s="16" t="n">
        <f aca="false">IF(Grid!D71=1,-Cost_k*F$3-Short_p*MAX(0,Floor_c-$A71)+Beta_q*((1-(((Alpha_keep*$A71+F$3-Lo_c)/Step_c)-MAX(6,MIN(INT(((Alpha_keep*$A71+F$3-Lo_c)/Step_c)+0.00000001),193))))*INDEX($D$5:$D$205,MAX(6,MIN(INT(((Alpha_keep*$A71+F$3-Lo_c)/Step_c)+0.00000001),193))+1)+(((Alpha_keep*$A71+F$3-Lo_c)/Step_c)-MAX(6,MIN(INT(((Alpha_keep*$A71+F$3-Lo_c)/Step_c)+0.00000001),193)))*INDEX($D$5:$D$205,MAX(6,MIN(INT(((Alpha_keep*$A71+F$3-Lo_c)/Step_c)+0.00000001),193))+2)),"")</f>
        <v>-340.369201281047</v>
      </c>
      <c r="G71" s="16" t="n">
        <f aca="false">IF(Grid!E71=1,-Cost_k*G$3-Short_p*MAX(0,Floor_c-$A71)+Beta_q*((1-(((Alpha_keep*$A71+G$3-Lo_c)/Step_c)-MAX(6,MIN(INT(((Alpha_keep*$A71+G$3-Lo_c)/Step_c)+0.00000001),193))))*INDEX($D$5:$D$205,MAX(6,MIN(INT(((Alpha_keep*$A71+G$3-Lo_c)/Step_c)+0.00000001),193))+1)+(((Alpha_keep*$A71+G$3-Lo_c)/Step_c)-MAX(6,MIN(INT(((Alpha_keep*$A71+G$3-Lo_c)/Step_c)+0.00000001),193)))*INDEX($D$5:$D$205,MAX(6,MIN(INT(((Alpha_keep*$A71+G$3-Lo_c)/Step_c)+0.00000001),193))+2)),"")</f>
        <v>-338.079645383868</v>
      </c>
      <c r="H71" s="16" t="n">
        <f aca="false">IF(Grid!F71=1,-Cost_k*H$3-Short_p*MAX(0,Floor_c-$A71)+Beta_q*((1-(((Alpha_keep*$A71+H$3-Lo_c)/Step_c)-MAX(6,MIN(INT(((Alpha_keep*$A71+H$3-Lo_c)/Step_c)+0.00000001),193))))*INDEX($D$5:$D$205,MAX(6,MIN(INT(((Alpha_keep*$A71+H$3-Lo_c)/Step_c)+0.00000001),193))+1)+(((Alpha_keep*$A71+H$3-Lo_c)/Step_c)-MAX(6,MIN(INT(((Alpha_keep*$A71+H$3-Lo_c)/Step_c)+0.00000001),193)))*INDEX($D$5:$D$205,MAX(6,MIN(INT(((Alpha_keep*$A71+H$3-Lo_c)/Step_c)+0.00000001),193))+2)),"")</f>
        <v>-335.833493428643</v>
      </c>
      <c r="I71" s="16" t="n">
        <f aca="false">IF(Grid!G71=1,-Cost_k*I$3-Short_p*MAX(0,Floor_c-$A71)+Beta_q*((1-(((Alpha_keep*$A71+I$3-Lo_c)/Step_c)-MAX(6,MIN(INT(((Alpha_keep*$A71+I$3-Lo_c)/Step_c)+0.00000001),193))))*INDEX($D$5:$D$205,MAX(6,MIN(INT(((Alpha_keep*$A71+I$3-Lo_c)/Step_c)+0.00000001),193))+1)+(((Alpha_keep*$A71+I$3-Lo_c)/Step_c)-MAX(6,MIN(INT(((Alpha_keep*$A71+I$3-Lo_c)/Step_c)+0.00000001),193)))*INDEX($D$5:$D$205,MAX(6,MIN(INT(((Alpha_keep*$A71+I$3-Lo_c)/Step_c)+0.00000001),193))+2)),"")</f>
        <v>-333.631245815931</v>
      </c>
      <c r="J71" s="16" t="n">
        <f aca="false">IF(Grid!H71=1,-Cost_k*J$3-Short_p*MAX(0,Floor_c-$A71)+Beta_q*((1-(((Alpha_keep*$A71+J$3-Lo_c)/Step_c)-MAX(6,MIN(INT(((Alpha_keep*$A71+J$3-Lo_c)/Step_c)+0.00000001),193))))*INDEX($D$5:$D$205,MAX(6,MIN(INT(((Alpha_keep*$A71+J$3-Lo_c)/Step_c)+0.00000001),193))+1)+(((Alpha_keep*$A71+J$3-Lo_c)/Step_c)-MAX(6,MIN(INT(((Alpha_keep*$A71+J$3-Lo_c)/Step_c)+0.00000001),193)))*INDEX($D$5:$D$205,MAX(6,MIN(INT(((Alpha_keep*$A71+J$3-Lo_c)/Step_c)+0.00000001),193))+2)),"")</f>
        <v>-331.473363449103</v>
      </c>
      <c r="K71" s="16" t="n">
        <f aca="false">IF(Grid!I71=1,-Cost_k*K$3-Short_p*MAX(0,Floor_c-$A71)+Beta_q*((1-(((Alpha_keep*$A71+K$3-Lo_c)/Step_c)-MAX(6,MIN(INT(((Alpha_keep*$A71+K$3-Lo_c)/Step_c)+0.00000001),193))))*INDEX($D$5:$D$205,MAX(6,MIN(INT(((Alpha_keep*$A71+K$3-Lo_c)/Step_c)+0.00000001),193))+1)+(((Alpha_keep*$A71+K$3-Lo_c)/Step_c)-MAX(6,MIN(INT(((Alpha_keep*$A71+K$3-Lo_c)/Step_c)+0.00000001),193)))*INDEX($D$5:$D$205,MAX(6,MIN(INT(((Alpha_keep*$A71+K$3-Lo_c)/Step_c)+0.00000001),193))+2)),"")</f>
        <v>-329.360789964519</v>
      </c>
      <c r="L71" s="16" t="n">
        <f aca="false">IF(Grid!J71=1,-Cost_k*L$3-Short_p*MAX(0,Floor_c-$A71)+Beta_q*((1-(((Alpha_keep*$A71+L$3-Lo_c)/Step_c)-MAX(6,MIN(INT(((Alpha_keep*$A71+L$3-Lo_c)/Step_c)+0.00000001),193))))*INDEX($D$5:$D$205,MAX(6,MIN(INT(((Alpha_keep*$A71+L$3-Lo_c)/Step_c)+0.00000001),193))+1)+(((Alpha_keep*$A71+L$3-Lo_c)/Step_c)-MAX(6,MIN(INT(((Alpha_keep*$A71+L$3-Lo_c)/Step_c)+0.00000001),193)))*INDEX($D$5:$D$205,MAX(6,MIN(INT(((Alpha_keep*$A71+L$3-Lo_c)/Step_c)+0.00000001),193))+2)),"")</f>
        <v>-327.293846375236</v>
      </c>
      <c r="M71" s="16" t="n">
        <f aca="false">IF(Grid!K71=1,-Cost_k*M$3-Short_p*MAX(0,Floor_c-$A71)+Beta_q*((1-(((Alpha_keep*$A71+M$3-Lo_c)/Step_c)-MAX(6,MIN(INT(((Alpha_keep*$A71+M$3-Lo_c)/Step_c)+0.00000001),193))))*INDEX($D$5:$D$205,MAX(6,MIN(INT(((Alpha_keep*$A71+M$3-Lo_c)/Step_c)+0.00000001),193))+1)+(((Alpha_keep*$A71+M$3-Lo_c)/Step_c)-MAX(6,MIN(INT(((Alpha_keep*$A71+M$3-Lo_c)/Step_c)+0.00000001),193)))*INDEX($D$5:$D$205,MAX(6,MIN(INT(((Alpha_keep*$A71+M$3-Lo_c)/Step_c)+0.00000001),193))+2)),"")</f>
        <v>-325.273193600096</v>
      </c>
      <c r="N71" s="16" t="n">
        <f aca="false">IF(Grid!L71=1,-Cost_k*N$3-Short_p*MAX(0,Floor_c-$A71)+Beta_q*((1-(((Alpha_keep*$A71+N$3-Lo_c)/Step_c)-MAX(6,MIN(INT(((Alpha_keep*$A71+N$3-Lo_c)/Step_c)+0.00000001),193))))*INDEX($D$5:$D$205,MAX(6,MIN(INT(((Alpha_keep*$A71+N$3-Lo_c)/Step_c)+0.00000001),193))+1)+(((Alpha_keep*$A71+N$3-Lo_c)/Step_c)-MAX(6,MIN(INT(((Alpha_keep*$A71+N$3-Lo_c)/Step_c)+0.00000001),193)))*INDEX($D$5:$D$205,MAX(6,MIN(INT(((Alpha_keep*$A71+N$3-Lo_c)/Step_c)+0.00000001),193))+2)),"")</f>
        <v>-323.299853529403</v>
      </c>
      <c r="O71" s="16" t="n">
        <f aca="false">IF(Grid!M71=1,-Cost_k*O$3-Short_p*MAX(0,Floor_c-$A71)+Beta_q*((1-(((Alpha_keep*$A71+O$3-Lo_c)/Step_c)-MAX(6,MIN(INT(((Alpha_keep*$A71+O$3-Lo_c)/Step_c)+0.00000001),193))))*INDEX($D$5:$D$205,MAX(6,MIN(INT(((Alpha_keep*$A71+O$3-Lo_c)/Step_c)+0.00000001),193))+1)+(((Alpha_keep*$A71+O$3-Lo_c)/Step_c)-MAX(6,MIN(INT(((Alpha_keep*$A71+O$3-Lo_c)/Step_c)+0.00000001),193)))*INDEX($D$5:$D$205,MAX(6,MIN(INT(((Alpha_keep*$A71+O$3-Lo_c)/Step_c)+0.00000001),193))+2)),"")</f>
        <v>-321.373863396015</v>
      </c>
      <c r="P71" s="11" t="n">
        <f aca="false">MAX(E71:O71)</f>
        <v>-321.373863396015</v>
      </c>
      <c r="Q71" s="12" t="n">
        <f aca="false">INDEX($E$3:$O$3,MATCH(P71,E71:O71,0))</f>
        <v>2.5</v>
      </c>
      <c r="R71" s="20" t="n">
        <v>2.5</v>
      </c>
      <c r="S71" s="14" t="n">
        <f aca="false">IF(ABS(Q71-R71)&lt;0.000000001,1,0)</f>
        <v>1</v>
      </c>
      <c r="T71" s="21" t="n">
        <f aca="false">ABS(P71-B71)</f>
        <v>0</v>
      </c>
      <c r="U71" s="16" t="n">
        <f aca="false">Alpha_keep*A71+Q71</f>
        <v>47.8375</v>
      </c>
      <c r="V71" s="14" t="n">
        <f aca="false">INDEX(GuardBlock,67,ROUND(Q71/Step_h,0)+1)</f>
        <v>1</v>
      </c>
      <c r="W71" s="22" t="n">
        <v>0</v>
      </c>
    </row>
    <row r="72" customFormat="false" ht="15" hidden="false" customHeight="false" outlineLevel="0" collapsed="false">
      <c r="A72" s="18" t="n">
        <f aca="false">Grid!A72</f>
        <v>46.75</v>
      </c>
      <c r="B72" s="19" t="n">
        <v>-318.167525986078</v>
      </c>
      <c r="C72" s="14" t="n">
        <v>67</v>
      </c>
      <c r="D72" s="11" t="n">
        <f aca="false">IF(AND($C72&gt;=6,$C72&lt;=194),Declarations!$B$25*INDEX($B$5:$B$205,$C72+1-Declarations!$E$25)+Declarations!$B$26*INDEX($B$5:$B$205,$C72+1-Declarations!$E$26)+Declarations!$B$27*INDEX($B$5:$B$205,$C72+1-Declarations!$E$27)+Declarations!$B$28*INDEX($B$5:$B$205,$C72+1-Declarations!$E$28)+Declarations!$B$29*INDEX($B$5:$B$205,$C72+1-Declarations!$E$29),"")</f>
        <v>-318.335309541616</v>
      </c>
      <c r="E72" s="16" t="n">
        <f aca="false">IF(Grid!C72=1,-Cost_k*E$3-Short_p*MAX(0,Floor_c-$A72)+Beta_q*((1-(((Alpha_keep*$A72+E$3-Lo_c)/Step_c)-MAX(6,MIN(INT(((Alpha_keep*$A72+E$3-Lo_c)/Step_c)+0.00000001),193))))*INDEX($D$5:$D$205,MAX(6,MIN(INT(((Alpha_keep*$A72+E$3-Lo_c)/Step_c)+0.00000001),193))+1)+(((Alpha_keep*$A72+E$3-Lo_c)/Step_c)-MAX(6,MIN(INT(((Alpha_keep*$A72+E$3-Lo_c)/Step_c)+0.00000001),193)))*INDEX($D$5:$D$205,MAX(6,MIN(INT(((Alpha_keep*$A72+E$3-Lo_c)/Step_c)+0.00000001),193))+2)),"")</f>
        <v>-339.051817705483</v>
      </c>
      <c r="F72" s="16" t="n">
        <f aca="false">IF(Grid!D72=1,-Cost_k*F$3-Short_p*MAX(0,Floor_c-$A72)+Beta_q*((1-(((Alpha_keep*$A72+F$3-Lo_c)/Step_c)-MAX(6,MIN(INT(((Alpha_keep*$A72+F$3-Lo_c)/Step_c)+0.00000001),193))))*INDEX($D$5:$D$205,MAX(6,MIN(INT(((Alpha_keep*$A72+F$3-Lo_c)/Step_c)+0.00000001),193))+1)+(((Alpha_keep*$A72+F$3-Lo_c)/Step_c)-MAX(6,MIN(INT(((Alpha_keep*$A72+F$3-Lo_c)/Step_c)+0.00000001),193)))*INDEX($D$5:$D$205,MAX(6,MIN(INT(((Alpha_keep*$A72+F$3-Lo_c)/Step_c)+0.00000001),193))+2)),"")</f>
        <v>-336.761183159713</v>
      </c>
      <c r="G72" s="16" t="n">
        <f aca="false">IF(Grid!E72=1,-Cost_k*G$3-Short_p*MAX(0,Floor_c-$A72)+Beta_q*((1-(((Alpha_keep*$A72+G$3-Lo_c)/Step_c)-MAX(6,MIN(INT(((Alpha_keep*$A72+G$3-Lo_c)/Step_c)+0.00000001),193))))*INDEX($D$5:$D$205,MAX(6,MIN(INT(((Alpha_keep*$A72+G$3-Lo_c)/Step_c)+0.00000001),193))+1)+(((Alpha_keep*$A72+G$3-Lo_c)/Step_c)-MAX(6,MIN(INT(((Alpha_keep*$A72+G$3-Lo_c)/Step_c)+0.00000001),193)))*INDEX($D$5:$D$205,MAX(6,MIN(INT(((Alpha_keep*$A72+G$3-Lo_c)/Step_c)+0.00000001),193))+2)),"")</f>
        <v>-334.513934127447</v>
      </c>
      <c r="H72" s="16" t="n">
        <f aca="false">IF(Grid!F72=1,-Cost_k*H$3-Short_p*MAX(0,Floor_c-$A72)+Beta_q*((1-(((Alpha_keep*$A72+H$3-Lo_c)/Step_c)-MAX(6,MIN(INT(((Alpha_keep*$A72+H$3-Lo_c)/Step_c)+0.00000001),193))))*INDEX($D$5:$D$205,MAX(6,MIN(INT(((Alpha_keep*$A72+H$3-Lo_c)/Step_c)+0.00000001),193))+1)+(((Alpha_keep*$A72+H$3-Lo_c)/Step_c)-MAX(6,MIN(INT(((Alpha_keep*$A72+H$3-Lo_c)/Step_c)+0.00000001),193)))*INDEX($D$5:$D$205,MAX(6,MIN(INT(((Alpha_keep*$A72+H$3-Lo_c)/Step_c)+0.00000001),193))+2)),"")</f>
        <v>-332.310587919059</v>
      </c>
      <c r="I72" s="16" t="n">
        <f aca="false">IF(Grid!G72=1,-Cost_k*I$3-Short_p*MAX(0,Floor_c-$A72)+Beta_q*((1-(((Alpha_keep*$A72+I$3-Lo_c)/Step_c)-MAX(6,MIN(INT(((Alpha_keep*$A72+I$3-Lo_c)/Step_c)+0.00000001),193))))*INDEX($D$5:$D$205,MAX(6,MIN(INT(((Alpha_keep*$A72+I$3-Lo_c)/Step_c)+0.00000001),193))+1)+(((Alpha_keep*$A72+I$3-Lo_c)/Step_c)-MAX(6,MIN(INT(((Alpha_keep*$A72+I$3-Lo_c)/Step_c)+0.00000001),193)))*INDEX($D$5:$D$205,MAX(6,MIN(INT(((Alpha_keep*$A72+I$3-Lo_c)/Step_c)+0.00000001),193))+2)),"")</f>
        <v>-330.151576855212</v>
      </c>
      <c r="J72" s="16" t="n">
        <f aca="false">IF(Grid!H72=1,-Cost_k*J$3-Short_p*MAX(0,Floor_c-$A72)+Beta_q*((1-(((Alpha_keep*$A72+J$3-Lo_c)/Step_c)-MAX(6,MIN(INT(((Alpha_keep*$A72+J$3-Lo_c)/Step_c)+0.00000001),193))))*INDEX($D$5:$D$205,MAX(6,MIN(INT(((Alpha_keep*$A72+J$3-Lo_c)/Step_c)+0.00000001),193))+1)+(((Alpha_keep*$A72+J$3-Lo_c)/Step_c)-MAX(6,MIN(INT(((Alpha_keep*$A72+J$3-Lo_c)/Step_c)+0.00000001),193)))*INDEX($D$5:$D$205,MAX(6,MIN(INT(((Alpha_keep*$A72+J$3-Lo_c)/Step_c)+0.00000001),193))+2)),"")</f>
        <v>-328.037863173502</v>
      </c>
      <c r="K72" s="16" t="n">
        <f aca="false">IF(Grid!I72=1,-Cost_k*K$3-Short_p*MAX(0,Floor_c-$A72)+Beta_q*((1-(((Alpha_keep*$A72+K$3-Lo_c)/Step_c)-MAX(6,MIN(INT(((Alpha_keep*$A72+K$3-Lo_c)/Step_c)+0.00000001),193))))*INDEX($D$5:$D$205,MAX(6,MIN(INT(((Alpha_keep*$A72+K$3-Lo_c)/Step_c)+0.00000001),193))+1)+(((Alpha_keep*$A72+K$3-Lo_c)/Step_c)-MAX(6,MIN(INT(((Alpha_keep*$A72+K$3-Lo_c)/Step_c)+0.00000001),193)))*INDEX($D$5:$D$205,MAX(6,MIN(INT(((Alpha_keep*$A72+K$3-Lo_c)/Step_c)+0.00000001),193))+2)),"")</f>
        <v>-325.96977781493</v>
      </c>
      <c r="L72" s="16" t="n">
        <f aca="false">IF(Grid!J72=1,-Cost_k*L$3-Short_p*MAX(0,Floor_c-$A72)+Beta_q*((1-(((Alpha_keep*$A72+L$3-Lo_c)/Step_c)-MAX(6,MIN(INT(((Alpha_keep*$A72+L$3-Lo_c)/Step_c)+0.00000001),193))))*INDEX($D$5:$D$205,MAX(6,MIN(INT(((Alpha_keep*$A72+L$3-Lo_c)/Step_c)+0.00000001),193))+1)+(((Alpha_keep*$A72+L$3-Lo_c)/Step_c)-MAX(6,MIN(INT(((Alpha_keep*$A72+L$3-Lo_c)/Step_c)+0.00000001),193)))*INDEX($D$5:$D$205,MAX(6,MIN(INT(((Alpha_keep*$A72+L$3-Lo_c)/Step_c)+0.00000001),193))+2)),"")</f>
        <v>-323.947938981745</v>
      </c>
      <c r="M72" s="16" t="n">
        <f aca="false">IF(Grid!K72=1,-Cost_k*M$3-Short_p*MAX(0,Floor_c-$A72)+Beta_q*((1-(((Alpha_keep*$A72+M$3-Lo_c)/Step_c)-MAX(6,MIN(INT(((Alpha_keep*$A72+M$3-Lo_c)/Step_c)+0.00000001),193))))*INDEX($D$5:$D$205,MAX(6,MIN(INT(((Alpha_keep*$A72+M$3-Lo_c)/Step_c)+0.00000001),193))+1)+(((Alpha_keep*$A72+M$3-Lo_c)/Step_c)-MAX(6,MIN(INT(((Alpha_keep*$A72+M$3-Lo_c)/Step_c)+0.00000001),193)))*INDEX($D$5:$D$205,MAX(6,MIN(INT(((Alpha_keep*$A72+M$3-Lo_c)/Step_c)+0.00000001),193))+2)),"")</f>
        <v>-321.973422111388</v>
      </c>
      <c r="N72" s="16" t="n">
        <f aca="false">IF(Grid!L72=1,-Cost_k*N$3-Short_p*MAX(0,Floor_c-$A72)+Beta_q*((1-(((Alpha_keep*$A72+N$3-Lo_c)/Step_c)-MAX(6,MIN(INT(((Alpha_keep*$A72+N$3-Lo_c)/Step_c)+0.00000001),193))))*INDEX($D$5:$D$205,MAX(6,MIN(INT(((Alpha_keep*$A72+N$3-Lo_c)/Step_c)+0.00000001),193))+1)+(((Alpha_keep*$A72+N$3-Lo_c)/Step_c)-MAX(6,MIN(INT(((Alpha_keep*$A72+N$3-Lo_c)/Step_c)+0.00000001),193)))*INDEX($D$5:$D$205,MAX(6,MIN(INT(((Alpha_keep*$A72+N$3-Lo_c)/Step_c)+0.00000001),193))+2)),"")</f>
        <v>-320.046235324712</v>
      </c>
      <c r="O72" s="16" t="n">
        <f aca="false">IF(Grid!M72=1,-Cost_k*O$3-Short_p*MAX(0,Floor_c-$A72)+Beta_q*((1-(((Alpha_keep*$A72+O$3-Lo_c)/Step_c)-MAX(6,MIN(INT(((Alpha_keep*$A72+O$3-Lo_c)/Step_c)+0.00000001),193))))*INDEX($D$5:$D$205,MAX(6,MIN(INT(((Alpha_keep*$A72+O$3-Lo_c)/Step_c)+0.00000001),193))+1)+(((Alpha_keep*$A72+O$3-Lo_c)/Step_c)-MAX(6,MIN(INT(((Alpha_keep*$A72+O$3-Lo_c)/Step_c)+0.00000001),193)))*INDEX($D$5:$D$205,MAX(6,MIN(INT(((Alpha_keep*$A72+O$3-Lo_c)/Step_c)+0.00000001),193))+2)),"")</f>
        <v>-318.167525986078</v>
      </c>
      <c r="P72" s="11" t="n">
        <f aca="false">MAX(E72:O72)</f>
        <v>-318.167525986078</v>
      </c>
      <c r="Q72" s="12" t="n">
        <f aca="false">INDEX($E$3:$O$3,MATCH(P72,E72:O72,0))</f>
        <v>2.5</v>
      </c>
      <c r="R72" s="20" t="n">
        <v>2.5</v>
      </c>
      <c r="S72" s="14" t="n">
        <f aca="false">IF(ABS(Q72-R72)&lt;0.000000001,1,0)</f>
        <v>1</v>
      </c>
      <c r="T72" s="21" t="n">
        <f aca="false">ABS(P72-B72)</f>
        <v>0</v>
      </c>
      <c r="U72" s="16" t="n">
        <f aca="false">Alpha_keep*A72+Q72</f>
        <v>48.08125</v>
      </c>
      <c r="V72" s="14" t="n">
        <f aca="false">INDEX(GuardBlock,68,ROUND(Q72/Step_h,0)+1)</f>
        <v>1</v>
      </c>
      <c r="W72" s="22" t="n">
        <v>0</v>
      </c>
    </row>
    <row r="73" customFormat="false" ht="15" hidden="false" customHeight="false" outlineLevel="0" collapsed="false">
      <c r="A73" s="18" t="n">
        <f aca="false">Grid!A73</f>
        <v>47</v>
      </c>
      <c r="B73" s="19" t="n">
        <v>-315.008007592544</v>
      </c>
      <c r="C73" s="14" t="n">
        <v>68</v>
      </c>
      <c r="D73" s="11" t="n">
        <f aca="false">IF(AND($C73&gt;=6,$C73&lt;=194),Declarations!$B$25*INDEX($B$5:$B$205,$C73+1-Declarations!$E$25)+Declarations!$B$26*INDEX($B$5:$B$205,$C73+1-Declarations!$E$26)+Declarations!$B$27*INDEX($B$5:$B$205,$C73+1-Declarations!$E$27)+Declarations!$B$28*INDEX($B$5:$B$205,$C73+1-Declarations!$E$28)+Declarations!$B$29*INDEX($B$5:$B$205,$C73+1-Declarations!$E$29),"")</f>
        <v>-315.178040406356</v>
      </c>
      <c r="E73" s="16" t="n">
        <f aca="false">IF(Grid!C73=1,-Cost_k*E$3-Short_p*MAX(0,Floor_c-$A73)+Beta_q*((1-(((Alpha_keep*$A73+E$3-Lo_c)/Step_c)-MAX(6,MIN(INT(((Alpha_keep*$A73+E$3-Lo_c)/Step_c)+0.00000001),193))))*INDEX($D$5:$D$205,MAX(6,MIN(INT(((Alpha_keep*$A73+E$3-Lo_c)/Step_c)+0.00000001),193))+1)+(((Alpha_keep*$A73+E$3-Lo_c)/Step_c)-MAX(6,MIN(INT(((Alpha_keep*$A73+E$3-Lo_c)/Step_c)+0.00000001),193)))*INDEX($D$5:$D$205,MAX(6,MIN(INT(((Alpha_keep*$A73+E$3-Lo_c)/Step_c)+0.00000001),193))+2)),"")</f>
        <v>-335.442720935557</v>
      </c>
      <c r="F73" s="16" t="n">
        <f aca="false">IF(Grid!D73=1,-Cost_k*F$3-Short_p*MAX(0,Floor_c-$A73)+Beta_q*((1-(((Alpha_keep*$A73+F$3-Lo_c)/Step_c)-MAX(6,MIN(INT(((Alpha_keep*$A73+F$3-Lo_c)/Step_c)+0.00000001),193))))*INDEX($D$5:$D$205,MAX(6,MIN(INT(((Alpha_keep*$A73+F$3-Lo_c)/Step_c)+0.00000001),193))+1)+(((Alpha_keep*$A73+F$3-Lo_c)/Step_c)-MAX(6,MIN(INT(((Alpha_keep*$A73+F$3-Lo_c)/Step_c)+0.00000001),193)))*INDEX($D$5:$D$205,MAX(6,MIN(INT(((Alpha_keep*$A73+F$3-Lo_c)/Step_c)+0.00000001),193))+2)),"")</f>
        <v>-333.194374826252</v>
      </c>
      <c r="G73" s="16" t="n">
        <f aca="false">IF(Grid!E73=1,-Cost_k*G$3-Short_p*MAX(0,Floor_c-$A73)+Beta_q*((1-(((Alpha_keep*$A73+G$3-Lo_c)/Step_c)-MAX(6,MIN(INT(((Alpha_keep*$A73+G$3-Lo_c)/Step_c)+0.00000001),193))))*INDEX($D$5:$D$205,MAX(6,MIN(INT(((Alpha_keep*$A73+G$3-Lo_c)/Step_c)+0.00000001),193))+1)+(((Alpha_keep*$A73+G$3-Lo_c)/Step_c)-MAX(6,MIN(INT(((Alpha_keep*$A73+G$3-Lo_c)/Step_c)+0.00000001),193)))*INDEX($D$5:$D$205,MAX(6,MIN(INT(((Alpha_keep*$A73+G$3-Lo_c)/Step_c)+0.00000001),193))+2)),"")</f>
        <v>-330.989930022186</v>
      </c>
      <c r="H73" s="16" t="n">
        <f aca="false">IF(Grid!F73=1,-Cost_k*H$3-Short_p*MAX(0,Floor_c-$A73)+Beta_q*((1-(((Alpha_keep*$A73+H$3-Lo_c)/Step_c)-MAX(6,MIN(INT(((Alpha_keep*$A73+H$3-Lo_c)/Step_c)+0.00000001),193))))*INDEX($D$5:$D$205,MAX(6,MIN(INT(((Alpha_keep*$A73+H$3-Lo_c)/Step_c)+0.00000001),193))+1)+(((Alpha_keep*$A73+H$3-Lo_c)/Step_c)-MAX(6,MIN(INT(((Alpha_keep*$A73+H$3-Lo_c)/Step_c)+0.00000001),193)))*INDEX($D$5:$D$205,MAX(6,MIN(INT(((Alpha_keep*$A73+H$3-Lo_c)/Step_c)+0.00000001),193))+2)),"")</f>
        <v>-328.82979026132</v>
      </c>
      <c r="I73" s="16" t="n">
        <f aca="false">IF(Grid!G73=1,-Cost_k*I$3-Short_p*MAX(0,Floor_c-$A73)+Beta_q*((1-(((Alpha_keep*$A73+I$3-Lo_c)/Step_c)-MAX(6,MIN(INT(((Alpha_keep*$A73+I$3-Lo_c)/Step_c)+0.00000001),193))))*INDEX($D$5:$D$205,MAX(6,MIN(INT(((Alpha_keep*$A73+I$3-Lo_c)/Step_c)+0.00000001),193))+1)+(((Alpha_keep*$A73+I$3-Lo_c)/Step_c)-MAX(6,MIN(INT(((Alpha_keep*$A73+I$3-Lo_c)/Step_c)+0.00000001),193)))*INDEX($D$5:$D$205,MAX(6,MIN(INT(((Alpha_keep*$A73+I$3-Lo_c)/Step_c)+0.00000001),193))+2)),"")</f>
        <v>-326.714936382485</v>
      </c>
      <c r="J73" s="16" t="n">
        <f aca="false">IF(Grid!H73=1,-Cost_k*J$3-Short_p*MAX(0,Floor_c-$A73)+Beta_q*((1-(((Alpha_keep*$A73+J$3-Lo_c)/Step_c)-MAX(6,MIN(INT(((Alpha_keep*$A73+J$3-Lo_c)/Step_c)+0.00000001),193))))*INDEX($D$5:$D$205,MAX(6,MIN(INT(((Alpha_keep*$A73+J$3-Lo_c)/Step_c)+0.00000001),193))+1)+(((Alpha_keep*$A73+J$3-Lo_c)/Step_c)-MAX(6,MIN(INT(((Alpha_keep*$A73+J$3-Lo_c)/Step_c)+0.00000001),193)))*INDEX($D$5:$D$205,MAX(6,MIN(INT(((Alpha_keep*$A73+J$3-Lo_c)/Step_c)+0.00000001),193))+2)),"")</f>
        <v>-324.645709254624</v>
      </c>
      <c r="K73" s="16" t="n">
        <f aca="false">IF(Grid!I73=1,-Cost_k*K$3-Short_p*MAX(0,Floor_c-$A73)+Beta_q*((1-(((Alpha_keep*$A73+K$3-Lo_c)/Step_c)-MAX(6,MIN(INT(((Alpha_keep*$A73+K$3-Lo_c)/Step_c)+0.00000001),193))))*INDEX($D$5:$D$205,MAX(6,MIN(INT(((Alpha_keep*$A73+K$3-Lo_c)/Step_c)+0.00000001),193))+1)+(((Alpha_keep*$A73+K$3-Lo_c)/Step_c)-MAX(6,MIN(INT(((Alpha_keep*$A73+K$3-Lo_c)/Step_c)+0.00000001),193)))*INDEX($D$5:$D$205,MAX(6,MIN(INT(((Alpha_keep*$A73+K$3-Lo_c)/Step_c)+0.00000001),193))+2)),"")</f>
        <v>-322.622684363395</v>
      </c>
      <c r="L73" s="16" t="n">
        <f aca="false">IF(Grid!J73=1,-Cost_k*L$3-Short_p*MAX(0,Floor_c-$A73)+Beta_q*((1-(((Alpha_keep*$A73+L$3-Lo_c)/Step_c)-MAX(6,MIN(INT(((Alpha_keep*$A73+L$3-Lo_c)/Step_c)+0.00000001),193))))*INDEX($D$5:$D$205,MAX(6,MIN(INT(((Alpha_keep*$A73+L$3-Lo_c)/Step_c)+0.00000001),193))+1)+(((Alpha_keep*$A73+L$3-Lo_c)/Step_c)-MAX(6,MIN(INT(((Alpha_keep*$A73+L$3-Lo_c)/Step_c)+0.00000001),193)))*INDEX($D$5:$D$205,MAX(6,MIN(INT(((Alpha_keep*$A73+L$3-Lo_c)/Step_c)+0.00000001),193))+2)),"")</f>
        <v>-320.646990693374</v>
      </c>
      <c r="M73" s="16" t="n">
        <f aca="false">IF(Grid!K73=1,-Cost_k*M$3-Short_p*MAX(0,Floor_c-$A73)+Beta_q*((1-(((Alpha_keep*$A73+M$3-Lo_c)/Step_c)-MAX(6,MIN(INT(((Alpha_keep*$A73+M$3-Lo_c)/Step_c)+0.00000001),193))))*INDEX($D$5:$D$205,MAX(6,MIN(INT(((Alpha_keep*$A73+M$3-Lo_c)/Step_c)+0.00000001),193))+1)+(((Alpha_keep*$A73+M$3-Lo_c)/Step_c)-MAX(6,MIN(INT(((Alpha_keep*$A73+M$3-Lo_c)/Step_c)+0.00000001),193)))*INDEX($D$5:$D$205,MAX(6,MIN(INT(((Alpha_keep*$A73+M$3-Lo_c)/Step_c)+0.00000001),193))+2)),"")</f>
        <v>-318.71860725341</v>
      </c>
      <c r="N73" s="16" t="n">
        <f aca="false">IF(Grid!L73=1,-Cost_k*N$3-Short_p*MAX(0,Floor_c-$A73)+Beta_q*((1-(((Alpha_keep*$A73+N$3-Lo_c)/Step_c)-MAX(6,MIN(INT(((Alpha_keep*$A73+N$3-Lo_c)/Step_c)+0.00000001),193))))*INDEX($D$5:$D$205,MAX(6,MIN(INT(((Alpha_keep*$A73+N$3-Lo_c)/Step_c)+0.00000001),193))+1)+(((Alpha_keep*$A73+N$3-Lo_c)/Step_c)-MAX(6,MIN(INT(((Alpha_keep*$A73+N$3-Lo_c)/Step_c)+0.00000001),193)))*INDEX($D$5:$D$205,MAX(6,MIN(INT(((Alpha_keep*$A73+N$3-Lo_c)/Step_c)+0.00000001),193))+2)),"")</f>
        <v>-316.83865423714</v>
      </c>
      <c r="O73" s="16" t="n">
        <f aca="false">IF(Grid!M73=1,-Cost_k*O$3-Short_p*MAX(0,Floor_c-$A73)+Beta_q*((1-(((Alpha_keep*$A73+O$3-Lo_c)/Step_c)-MAX(6,MIN(INT(((Alpha_keep*$A73+O$3-Lo_c)/Step_c)+0.00000001),193))))*INDEX($D$5:$D$205,MAX(6,MIN(INT(((Alpha_keep*$A73+O$3-Lo_c)/Step_c)+0.00000001),193))+1)+(((Alpha_keep*$A73+O$3-Lo_c)/Step_c)-MAX(6,MIN(INT(((Alpha_keep*$A73+O$3-Lo_c)/Step_c)+0.00000001),193)))*INDEX($D$5:$D$205,MAX(6,MIN(INT(((Alpha_keep*$A73+O$3-Lo_c)/Step_c)+0.00000001),193))+2)),"")</f>
        <v>-315.008007592544</v>
      </c>
      <c r="P73" s="11" t="n">
        <f aca="false">MAX(E73:O73)</f>
        <v>-315.008007592544</v>
      </c>
      <c r="Q73" s="12" t="n">
        <f aca="false">INDEX($E$3:$O$3,MATCH(P73,E73:O73,0))</f>
        <v>2.5</v>
      </c>
      <c r="R73" s="20" t="n">
        <v>2.5</v>
      </c>
      <c r="S73" s="14" t="n">
        <f aca="false">IF(ABS(Q73-R73)&lt;0.000000001,1,0)</f>
        <v>1</v>
      </c>
      <c r="T73" s="21" t="n">
        <f aca="false">ABS(P73-B73)</f>
        <v>0</v>
      </c>
      <c r="U73" s="16" t="n">
        <f aca="false">Alpha_keep*A73+Q73</f>
        <v>48.325</v>
      </c>
      <c r="V73" s="14" t="n">
        <f aca="false">INDEX(GuardBlock,69,ROUND(Q73/Step_h,0)+1)</f>
        <v>1</v>
      </c>
      <c r="W73" s="22" t="n">
        <v>0</v>
      </c>
    </row>
    <row r="74" customFormat="false" ht="15" hidden="false" customHeight="false" outlineLevel="0" collapsed="false">
      <c r="A74" s="18" t="n">
        <f aca="false">Grid!A74</f>
        <v>47.25</v>
      </c>
      <c r="B74" s="19" t="n">
        <v>-311.895092056499</v>
      </c>
      <c r="C74" s="14" t="n">
        <v>69</v>
      </c>
      <c r="D74" s="11" t="n">
        <f aca="false">IF(AND($C74&gt;=6,$C74&lt;=194),Declarations!$B$25*INDEX($B$5:$B$205,$C74+1-Declarations!$E$25)+Declarations!$B$26*INDEX($B$5:$B$205,$C74+1-Declarations!$E$26)+Declarations!$B$27*INDEX($B$5:$B$205,$C74+1-Declarations!$E$27)+Declarations!$B$28*INDEX($B$5:$B$205,$C74+1-Declarations!$E$28)+Declarations!$B$29*INDEX($B$5:$B$205,$C74+1-Declarations!$E$29),"")</f>
        <v>-312.067543333457</v>
      </c>
      <c r="E74" s="16" t="n">
        <f aca="false">IF(Grid!C74=1,-Cost_k*E$3-Short_p*MAX(0,Floor_c-$A74)+Beta_q*((1-(((Alpha_keep*$A74+E$3-Lo_c)/Step_c)-MAX(6,MIN(INT(((Alpha_keep*$A74+E$3-Lo_c)/Step_c)+0.00000001),193))))*INDEX($D$5:$D$205,MAX(6,MIN(INT(((Alpha_keep*$A74+E$3-Lo_c)/Step_c)+0.00000001),193))+1)+(((Alpha_keep*$A74+E$3-Lo_c)/Step_c)-MAX(6,MIN(INT(((Alpha_keep*$A74+E$3-Lo_c)/Step_c)+0.00000001),193)))*INDEX($D$5:$D$205,MAX(6,MIN(INT(((Alpha_keep*$A74+E$3-Lo_c)/Step_c)+0.00000001),193))+2)),"")</f>
        <v>-331.874815525057</v>
      </c>
      <c r="F74" s="16" t="n">
        <f aca="false">IF(Grid!D74=1,-Cost_k*F$3-Short_p*MAX(0,Floor_c-$A74)+Beta_q*((1-(((Alpha_keep*$A74+F$3-Lo_c)/Step_c)-MAX(6,MIN(INT(((Alpha_keep*$A74+F$3-Lo_c)/Step_c)+0.00000001),193))))*INDEX($D$5:$D$205,MAX(6,MIN(INT(((Alpha_keep*$A74+F$3-Lo_c)/Step_c)+0.00000001),193))+1)+(((Alpha_keep*$A74+F$3-Lo_c)/Step_c)-MAX(6,MIN(INT(((Alpha_keep*$A74+F$3-Lo_c)/Step_c)+0.00000001),193)))*INDEX($D$5:$D$205,MAX(6,MIN(INT(((Alpha_keep*$A74+F$3-Lo_c)/Step_c)+0.00000001),193))+2)),"")</f>
        <v>-329.669272125313</v>
      </c>
      <c r="G74" s="16" t="n">
        <f aca="false">IF(Grid!E74=1,-Cost_k*G$3-Short_p*MAX(0,Floor_c-$A74)+Beta_q*((1-(((Alpha_keep*$A74+G$3-Lo_c)/Step_c)-MAX(6,MIN(INT(((Alpha_keep*$A74+G$3-Lo_c)/Step_c)+0.00000001),193))))*INDEX($D$5:$D$205,MAX(6,MIN(INT(((Alpha_keep*$A74+G$3-Lo_c)/Step_c)+0.00000001),193))+1)+(((Alpha_keep*$A74+G$3-Lo_c)/Step_c)-MAX(6,MIN(INT(((Alpha_keep*$A74+G$3-Lo_c)/Step_c)+0.00000001),193)))*INDEX($D$5:$D$205,MAX(6,MIN(INT(((Alpha_keep*$A74+G$3-Lo_c)/Step_c)+0.00000001),193))+2)),"")</f>
        <v>-327.508003667428</v>
      </c>
      <c r="H74" s="16" t="n">
        <f aca="false">IF(Grid!F74=1,-Cost_k*H$3-Short_p*MAX(0,Floor_c-$A74)+Beta_q*((1-(((Alpha_keep*$A74+H$3-Lo_c)/Step_c)-MAX(6,MIN(INT(((Alpha_keep*$A74+H$3-Lo_c)/Step_c)+0.00000001),193))))*INDEX($D$5:$D$205,MAX(6,MIN(INT(((Alpha_keep*$A74+H$3-Lo_c)/Step_c)+0.00000001),193))+1)+(((Alpha_keep*$A74+H$3-Lo_c)/Step_c)-MAX(6,MIN(INT(((Alpha_keep*$A74+H$3-Lo_c)/Step_c)+0.00000001),193)))*INDEX($D$5:$D$205,MAX(6,MIN(INT(((Alpha_keep*$A74+H$3-Lo_c)/Step_c)+0.00000001),193))+2)),"")</f>
        <v>-325.392009591469</v>
      </c>
      <c r="I74" s="16" t="n">
        <f aca="false">IF(Grid!G74=1,-Cost_k*I$3-Short_p*MAX(0,Floor_c-$A74)+Beta_q*((1-(((Alpha_keep*$A74+I$3-Lo_c)/Step_c)-MAX(6,MIN(INT(((Alpha_keep*$A74+I$3-Lo_c)/Step_c)+0.00000001),193))))*INDEX($D$5:$D$205,MAX(6,MIN(INT(((Alpha_keep*$A74+I$3-Lo_c)/Step_c)+0.00000001),193))+1)+(((Alpha_keep*$A74+I$3-Lo_c)/Step_c)-MAX(6,MIN(INT(((Alpha_keep*$A74+I$3-Lo_c)/Step_c)+0.00000001),193)))*INDEX($D$5:$D$205,MAX(6,MIN(INT(((Alpha_keep*$A74+I$3-Lo_c)/Step_c)+0.00000001),193))+2)),"")</f>
        <v>-323.321640694318</v>
      </c>
      <c r="J74" s="16" t="n">
        <f aca="false">IF(Grid!H74=1,-Cost_k*J$3-Short_p*MAX(0,Floor_c-$A74)+Beta_q*((1-(((Alpha_keep*$A74+J$3-Lo_c)/Step_c)-MAX(6,MIN(INT(((Alpha_keep*$A74+J$3-Lo_c)/Step_c)+0.00000001),193))))*INDEX($D$5:$D$205,MAX(6,MIN(INT(((Alpha_keep*$A74+J$3-Lo_c)/Step_c)+0.00000001),193))+1)+(((Alpha_keep*$A74+J$3-Lo_c)/Step_c)-MAX(6,MIN(INT(((Alpha_keep*$A74+J$3-Lo_c)/Step_c)+0.00000001),193)))*INDEX($D$5:$D$205,MAX(6,MIN(INT(((Alpha_keep*$A74+J$3-Lo_c)/Step_c)+0.00000001),193))+2)),"")</f>
        <v>-321.297429745045</v>
      </c>
      <c r="K74" s="16" t="n">
        <f aca="false">IF(Grid!I74=1,-Cost_k*K$3-Short_p*MAX(0,Floor_c-$A74)+Beta_q*((1-(((Alpha_keep*$A74+K$3-Lo_c)/Step_c)-MAX(6,MIN(INT(((Alpha_keep*$A74+K$3-Lo_c)/Step_c)+0.00000001),193))))*INDEX($D$5:$D$205,MAX(6,MIN(INT(((Alpha_keep*$A74+K$3-Lo_c)/Step_c)+0.00000001),193))+1)+(((Alpha_keep*$A74+K$3-Lo_c)/Step_c)-MAX(6,MIN(INT(((Alpha_keep*$A74+K$3-Lo_c)/Step_c)+0.00000001),193)))*INDEX($D$5:$D$205,MAX(6,MIN(INT(((Alpha_keep*$A74+K$3-Lo_c)/Step_c)+0.00000001),193))+2)),"")</f>
        <v>-319.320559275359</v>
      </c>
      <c r="L74" s="16" t="n">
        <f aca="false">IF(Grid!J74=1,-Cost_k*L$3-Short_p*MAX(0,Floor_c-$A74)+Beta_q*((1-(((Alpha_keep*$A74+L$3-Lo_c)/Step_c)-MAX(6,MIN(INT(((Alpha_keep*$A74+L$3-Lo_c)/Step_c)+0.00000001),193))))*INDEX($D$5:$D$205,MAX(6,MIN(INT(((Alpha_keep*$A74+L$3-Lo_c)/Step_c)+0.00000001),193))+1)+(((Alpha_keep*$A74+L$3-Lo_c)/Step_c)-MAX(6,MIN(INT(((Alpha_keep*$A74+L$3-Lo_c)/Step_c)+0.00000001),193)))*INDEX($D$5:$D$205,MAX(6,MIN(INT(((Alpha_keep*$A74+L$3-Lo_c)/Step_c)+0.00000001),193))+2)),"")</f>
        <v>-317.390979182107</v>
      </c>
      <c r="M74" s="16" t="n">
        <f aca="false">IF(Grid!K74=1,-Cost_k*M$3-Short_p*MAX(0,Floor_c-$A74)+Beta_q*((1-(((Alpha_keep*$A74+M$3-Lo_c)/Step_c)-MAX(6,MIN(INT(((Alpha_keep*$A74+M$3-Lo_c)/Step_c)+0.00000001),193))))*INDEX($D$5:$D$205,MAX(6,MIN(INT(((Alpha_keep*$A74+M$3-Lo_c)/Step_c)+0.00000001),193))+1)+(((Alpha_keep*$A74+M$3-Lo_c)/Step_c)-MAX(6,MIN(INT(((Alpha_keep*$A74+M$3-Lo_c)/Step_c)+0.00000001),193)))*INDEX($D$5:$D$205,MAX(6,MIN(INT(((Alpha_keep*$A74+M$3-Lo_c)/Step_c)+0.00000001),193))+2)),"")</f>
        <v>-315.509782488202</v>
      </c>
      <c r="N74" s="16" t="n">
        <f aca="false">IF(Grid!L74=1,-Cost_k*N$3-Short_p*MAX(0,Floor_c-$A74)+Beta_q*((1-(((Alpha_keep*$A74+N$3-Lo_c)/Step_c)-MAX(6,MIN(INT(((Alpha_keep*$A74+N$3-Lo_c)/Step_c)+0.00000001),193))))*INDEX($D$5:$D$205,MAX(6,MIN(INT(((Alpha_keep*$A74+N$3-Lo_c)/Step_c)+0.00000001),193))+1)+(((Alpha_keep*$A74+N$3-Lo_c)/Step_c)-MAX(6,MIN(INT(((Alpha_keep*$A74+N$3-Lo_c)/Step_c)+0.00000001),193)))*INDEX($D$5:$D$205,MAX(6,MIN(INT(((Alpha_keep*$A74+N$3-Lo_c)/Step_c)+0.00000001),193))+2)),"")</f>
        <v>-313.677928893783</v>
      </c>
      <c r="O74" s="16" t="n">
        <f aca="false">IF(Grid!M74=1,-Cost_k*O$3-Short_p*MAX(0,Floor_c-$A74)+Beta_q*((1-(((Alpha_keep*$A74+O$3-Lo_c)/Step_c)-MAX(6,MIN(INT(((Alpha_keep*$A74+O$3-Lo_c)/Step_c)+0.00000001),193))))*INDEX($D$5:$D$205,MAX(6,MIN(INT(((Alpha_keep*$A74+O$3-Lo_c)/Step_c)+0.00000001),193))+1)+(((Alpha_keep*$A74+O$3-Lo_c)/Step_c)-MAX(6,MIN(INT(((Alpha_keep*$A74+O$3-Lo_c)/Step_c)+0.00000001),193)))*INDEX($D$5:$D$205,MAX(6,MIN(INT(((Alpha_keep*$A74+O$3-Lo_c)/Step_c)+0.00000001),193))+2)),"")</f>
        <v>-311.895092056499</v>
      </c>
      <c r="P74" s="11" t="n">
        <f aca="false">MAX(E74:O74)</f>
        <v>-311.895092056499</v>
      </c>
      <c r="Q74" s="12" t="n">
        <f aca="false">INDEX($E$3:$O$3,MATCH(P74,E74:O74,0))</f>
        <v>2.5</v>
      </c>
      <c r="R74" s="20" t="n">
        <v>2.5</v>
      </c>
      <c r="S74" s="14" t="n">
        <f aca="false">IF(ABS(Q74-R74)&lt;0.000000001,1,0)</f>
        <v>1</v>
      </c>
      <c r="T74" s="21" t="n">
        <f aca="false">ABS(P74-B74)</f>
        <v>0</v>
      </c>
      <c r="U74" s="16" t="n">
        <f aca="false">Alpha_keep*A74+Q74</f>
        <v>48.56875</v>
      </c>
      <c r="V74" s="14" t="n">
        <f aca="false">INDEX(GuardBlock,70,ROUND(Q74/Step_h,0)+1)</f>
        <v>1</v>
      </c>
      <c r="W74" s="22" t="n">
        <v>0</v>
      </c>
    </row>
    <row r="75" customFormat="false" ht="15" hidden="false" customHeight="false" outlineLevel="0" collapsed="false">
      <c r="A75" s="18" t="n">
        <f aca="false">Grid!A75</f>
        <v>47.5</v>
      </c>
      <c r="B75" s="19" t="n">
        <v>-308.830669352396</v>
      </c>
      <c r="C75" s="14" t="n">
        <v>70</v>
      </c>
      <c r="D75" s="11" t="n">
        <f aca="false">IF(AND($C75&gt;=6,$C75&lt;=194),Declarations!$B$25*INDEX($B$5:$B$205,$C75+1-Declarations!$E$25)+Declarations!$B$26*INDEX($B$5:$B$205,$C75+1-Declarations!$E$26)+Declarations!$B$27*INDEX($B$5:$B$205,$C75+1-Declarations!$E$27)+Declarations!$B$28*INDEX($B$5:$B$205,$C75+1-Declarations!$E$28)+Declarations!$B$29*INDEX($B$5:$B$205,$C75+1-Declarations!$E$29),"")</f>
        <v>-309.00563259172</v>
      </c>
      <c r="E75" s="16" t="n">
        <f aca="false">IF(Grid!C75=1,-Cost_k*E$3-Short_p*MAX(0,Floor_c-$A75)+Beta_q*((1-(((Alpha_keep*$A75+E$3-Lo_c)/Step_c)-MAX(6,MIN(INT(((Alpha_keep*$A75+E$3-Lo_c)/Step_c)+0.00000001),193))))*INDEX($D$5:$D$205,MAX(6,MIN(INT(((Alpha_keep*$A75+E$3-Lo_c)/Step_c)+0.00000001),193))+1)+(((Alpha_keep*$A75+E$3-Lo_c)/Step_c)-MAX(6,MIN(INT(((Alpha_keep*$A75+E$3-Lo_c)/Step_c)+0.00000001),193)))*INDEX($D$5:$D$205,MAX(6,MIN(INT(((Alpha_keep*$A75+E$3-Lo_c)/Step_c)+0.00000001),193))+2)),"")</f>
        <v>-328.348614228441</v>
      </c>
      <c r="F75" s="16" t="n">
        <f aca="false">IF(Grid!D75=1,-Cost_k*F$3-Short_p*MAX(0,Floor_c-$A75)+Beta_q*((1-(((Alpha_keep*$A75+F$3-Lo_c)/Step_c)-MAX(6,MIN(INT(((Alpha_keep*$A75+F$3-Lo_c)/Step_c)+0.00000001),193))))*INDEX($D$5:$D$205,MAX(6,MIN(INT(((Alpha_keep*$A75+F$3-Lo_c)/Step_c)+0.00000001),193))+1)+(((Alpha_keep*$A75+F$3-Lo_c)/Step_c)-MAX(6,MIN(INT(((Alpha_keep*$A75+F$3-Lo_c)/Step_c)+0.00000001),193)))*INDEX($D$5:$D$205,MAX(6,MIN(INT(((Alpha_keep*$A75+F$3-Lo_c)/Step_c)+0.00000001),193))+2)),"")</f>
        <v>-326.186217073537</v>
      </c>
      <c r="G75" s="16" t="n">
        <f aca="false">IF(Grid!E75=1,-Cost_k*G$3-Short_p*MAX(0,Floor_c-$A75)+Beta_q*((1-(((Alpha_keep*$A75+G$3-Lo_c)/Step_c)-MAX(6,MIN(INT(((Alpha_keep*$A75+G$3-Lo_c)/Step_c)+0.00000001),193))))*INDEX($D$5:$D$205,MAX(6,MIN(INT(((Alpha_keep*$A75+G$3-Lo_c)/Step_c)+0.00000001),193))+1)+(((Alpha_keep*$A75+G$3-Lo_c)/Step_c)-MAX(6,MIN(INT(((Alpha_keep*$A75+G$3-Lo_c)/Step_c)+0.00000001),193)))*INDEX($D$5:$D$205,MAX(6,MIN(INT(((Alpha_keep*$A75+G$3-Lo_c)/Step_c)+0.00000001),193))+2)),"")</f>
        <v>-324.069082800452</v>
      </c>
      <c r="H75" s="16" t="n">
        <f aca="false">IF(Grid!F75=1,-Cost_k*H$3-Short_p*MAX(0,Floor_c-$A75)+Beta_q*((1-(((Alpha_keep*$A75+H$3-Lo_c)/Step_c)-MAX(6,MIN(INT(((Alpha_keep*$A75+H$3-Lo_c)/Step_c)+0.00000001),193))))*INDEX($D$5:$D$205,MAX(6,MIN(INT(((Alpha_keep*$A75+H$3-Lo_c)/Step_c)+0.00000001),193))+1)+(((Alpha_keep*$A75+H$3-Lo_c)/Step_c)-MAX(6,MIN(INT(((Alpha_keep*$A75+H$3-Lo_c)/Step_c)+0.00000001),193)))*INDEX($D$5:$D$205,MAX(6,MIN(INT(((Alpha_keep*$A75+H$3-Lo_c)/Step_c)+0.00000001),193))+2)),"")</f>
        <v>-321.997572134012</v>
      </c>
      <c r="I75" s="16" t="n">
        <f aca="false">IF(Grid!G75=1,-Cost_k*I$3-Short_p*MAX(0,Floor_c-$A75)+Beta_q*((1-(((Alpha_keep*$A75+I$3-Lo_c)/Step_c)-MAX(6,MIN(INT(((Alpha_keep*$A75+I$3-Lo_c)/Step_c)+0.00000001),193))))*INDEX($D$5:$D$205,MAX(6,MIN(INT(((Alpha_keep*$A75+I$3-Lo_c)/Step_c)+0.00000001),193))+1)+(((Alpha_keep*$A75+I$3-Lo_c)/Step_c)-MAX(6,MIN(INT(((Alpha_keep*$A75+I$3-Lo_c)/Step_c)+0.00000001),193)))*INDEX($D$5:$D$205,MAX(6,MIN(INT(((Alpha_keep*$A75+I$3-Lo_c)/Step_c)+0.00000001),193))+2)),"")</f>
        <v>-319.972175126695</v>
      </c>
      <c r="J75" s="16" t="n">
        <f aca="false">IF(Grid!H75=1,-Cost_k*J$3-Short_p*MAX(0,Floor_c-$A75)+Beta_q*((1-(((Alpha_keep*$A75+J$3-Lo_c)/Step_c)-MAX(6,MIN(INT(((Alpha_keep*$A75+J$3-Lo_c)/Step_c)+0.00000001),193))))*INDEX($D$5:$D$205,MAX(6,MIN(INT(((Alpha_keep*$A75+J$3-Lo_c)/Step_c)+0.00000001),193))+1)+(((Alpha_keep*$A75+J$3-Lo_c)/Step_c)-MAX(6,MIN(INT(((Alpha_keep*$A75+J$3-Lo_c)/Step_c)+0.00000001),193)))*INDEX($D$5:$D$205,MAX(6,MIN(INT(((Alpha_keep*$A75+J$3-Lo_c)/Step_c)+0.00000001),193))+2)),"")</f>
        <v>-317.994127857345</v>
      </c>
      <c r="K75" s="16" t="n">
        <f aca="false">IF(Grid!I75=1,-Cost_k*K$3-Short_p*MAX(0,Floor_c-$A75)+Beta_q*((1-(((Alpha_keep*$A75+K$3-Lo_c)/Step_c)-MAX(6,MIN(INT(((Alpha_keep*$A75+K$3-Lo_c)/Step_c)+0.00000001),193))))*INDEX($D$5:$D$205,MAX(6,MIN(INT(((Alpha_keep*$A75+K$3-Lo_c)/Step_c)+0.00000001),193))+1)+(((Alpha_keep*$A75+K$3-Lo_c)/Step_c)-MAX(6,MIN(INT(((Alpha_keep*$A75+K$3-Lo_c)/Step_c)+0.00000001),193)))*INDEX($D$5:$D$205,MAX(6,MIN(INT(((Alpha_keep*$A75+K$3-Lo_c)/Step_c)+0.00000001),193))+2)),"")</f>
        <v>-316.063351110805</v>
      </c>
      <c r="L75" s="16" t="n">
        <f aca="false">IF(Grid!J75=1,-Cost_k*L$3-Short_p*MAX(0,Floor_c-$A75)+Beta_q*((1-(((Alpha_keep*$A75+L$3-Lo_c)/Step_c)-MAX(6,MIN(INT(((Alpha_keep*$A75+L$3-Lo_c)/Step_c)+0.00000001),193))))*INDEX($D$5:$D$205,MAX(6,MIN(INT(((Alpha_keep*$A75+L$3-Lo_c)/Step_c)+0.00000001),193))+1)+(((Alpha_keep*$A75+L$3-Lo_c)/Step_c)-MAX(6,MIN(INT(((Alpha_keep*$A75+L$3-Lo_c)/Step_c)+0.00000001),193)))*INDEX($D$5:$D$205,MAX(6,MIN(INT(((Alpha_keep*$A75+L$3-Lo_c)/Step_c)+0.00000001),193))+2)),"")</f>
        <v>-314.180910739264</v>
      </c>
      <c r="M75" s="16" t="n">
        <f aca="false">IF(Grid!K75=1,-Cost_k*M$3-Short_p*MAX(0,Floor_c-$A75)+Beta_q*((1-(((Alpha_keep*$A75+M$3-Lo_c)/Step_c)-MAX(6,MIN(INT(((Alpha_keep*$A75+M$3-Lo_c)/Step_c)+0.00000001),193))))*INDEX($D$5:$D$205,MAX(6,MIN(INT(((Alpha_keep*$A75+M$3-Lo_c)/Step_c)+0.00000001),193))+1)+(((Alpha_keep*$A75+M$3-Lo_c)/Step_c)-MAX(6,MIN(INT(((Alpha_keep*$A75+M$3-Lo_c)/Step_c)+0.00000001),193)))*INDEX($D$5:$D$205,MAX(6,MIN(INT(((Alpha_keep*$A75+M$3-Lo_c)/Step_c)+0.00000001),193))+2)),"")</f>
        <v>-312.347850195021</v>
      </c>
      <c r="N75" s="16" t="n">
        <f aca="false">IF(Grid!L75=1,-Cost_k*N$3-Short_p*MAX(0,Floor_c-$A75)+Beta_q*((1-(((Alpha_keep*$A75+N$3-Lo_c)/Step_c)-MAX(6,MIN(INT(((Alpha_keep*$A75+N$3-Lo_c)/Step_c)+0.00000001),193))))*INDEX($D$5:$D$205,MAX(6,MIN(INT(((Alpha_keep*$A75+N$3-Lo_c)/Step_c)+0.00000001),193))+1)+(((Alpha_keep*$A75+N$3-Lo_c)/Step_c)-MAX(6,MIN(INT(((Alpha_keep*$A75+N$3-Lo_c)/Step_c)+0.00000001),193)))*INDEX($D$5:$D$205,MAX(6,MIN(INT(((Alpha_keep*$A75+N$3-Lo_c)/Step_c)+0.00000001),193))+2)),"")</f>
        <v>-310.563739247532</v>
      </c>
      <c r="O75" s="16" t="n">
        <f aca="false">IF(Grid!M75=1,-Cost_k*O$3-Short_p*MAX(0,Floor_c-$A75)+Beta_q*((1-(((Alpha_keep*$A75+O$3-Lo_c)/Step_c)-MAX(6,MIN(INT(((Alpha_keep*$A75+O$3-Lo_c)/Step_c)+0.00000001),193))))*INDEX($D$5:$D$205,MAX(6,MIN(INT(((Alpha_keep*$A75+O$3-Lo_c)/Step_c)+0.00000001),193))+1)+(((Alpha_keep*$A75+O$3-Lo_c)/Step_c)-MAX(6,MIN(INT(((Alpha_keep*$A75+O$3-Lo_c)/Step_c)+0.00000001),193)))*INDEX($D$5:$D$205,MAX(6,MIN(INT(((Alpha_keep*$A75+O$3-Lo_c)/Step_c)+0.00000001),193))+2)),"")</f>
        <v>-308.830669352396</v>
      </c>
      <c r="P75" s="11" t="n">
        <f aca="false">MAX(E75:O75)</f>
        <v>-308.830669352396</v>
      </c>
      <c r="Q75" s="12" t="n">
        <f aca="false">INDEX($E$3:$O$3,MATCH(P75,E75:O75,0))</f>
        <v>2.5</v>
      </c>
      <c r="R75" s="20" t="n">
        <v>2.5</v>
      </c>
      <c r="S75" s="14" t="n">
        <f aca="false">IF(ABS(Q75-R75)&lt;0.000000001,1,0)</f>
        <v>1</v>
      </c>
      <c r="T75" s="21" t="n">
        <f aca="false">ABS(P75-B75)</f>
        <v>0</v>
      </c>
      <c r="U75" s="16" t="n">
        <f aca="false">Alpha_keep*A75+Q75</f>
        <v>48.8125</v>
      </c>
      <c r="V75" s="14" t="n">
        <f aca="false">INDEX(GuardBlock,71,ROUND(Q75/Step_h,0)+1)</f>
        <v>1</v>
      </c>
      <c r="W75" s="22" t="n">
        <v>0</v>
      </c>
    </row>
    <row r="76" customFormat="false" ht="15" hidden="false" customHeight="false" outlineLevel="0" collapsed="false">
      <c r="A76" s="18" t="n">
        <f aca="false">Grid!A76</f>
        <v>47.75</v>
      </c>
      <c r="B76" s="19" t="n">
        <v>-305.814716975801</v>
      </c>
      <c r="C76" s="14" t="n">
        <v>71</v>
      </c>
      <c r="D76" s="11" t="n">
        <f aca="false">IF(AND($C76&gt;=6,$C76&lt;=194),Declarations!$B$25*INDEX($B$5:$B$205,$C76+1-Declarations!$E$25)+Declarations!$B$26*INDEX($B$5:$B$205,$C76+1-Declarations!$E$26)+Declarations!$B$27*INDEX($B$5:$B$205,$C76+1-Declarations!$E$27)+Declarations!$B$28*INDEX($B$5:$B$205,$C76+1-Declarations!$E$28)+Declarations!$B$29*INDEX($B$5:$B$205,$C76+1-Declarations!$E$29),"")</f>
        <v>-305.991928915803</v>
      </c>
      <c r="E76" s="16" t="n">
        <f aca="false">IF(Grid!C76=1,-Cost_k*E$3-Short_p*MAX(0,Floor_c-$A76)+Beta_q*((1-(((Alpha_keep*$A76+E$3-Lo_c)/Step_c)-MAX(6,MIN(INT(((Alpha_keep*$A76+E$3-Lo_c)/Step_c)+0.00000001),193))))*INDEX($D$5:$D$205,MAX(6,MIN(INT(((Alpha_keep*$A76+E$3-Lo_c)/Step_c)+0.00000001),193))+1)+(((Alpha_keep*$A76+E$3-Lo_c)/Step_c)-MAX(6,MIN(INT(((Alpha_keep*$A76+E$3-Lo_c)/Step_c)+0.00000001),193)))*INDEX($D$5:$D$205,MAX(6,MIN(INT(((Alpha_keep*$A76+E$3-Lo_c)/Step_c)+0.00000001),193))+2)),"")</f>
        <v>-324.864430479645</v>
      </c>
      <c r="F76" s="16" t="n">
        <f aca="false">IF(Grid!D76=1,-Cost_k*F$3-Short_p*MAX(0,Floor_c-$A76)+Beta_q*((1-(((Alpha_keep*$A76+F$3-Lo_c)/Step_c)-MAX(6,MIN(INT(((Alpha_keep*$A76+F$3-Lo_c)/Step_c)+0.00000001),193))))*INDEX($D$5:$D$205,MAX(6,MIN(INT(((Alpha_keep*$A76+F$3-Lo_c)/Step_c)+0.00000001),193))+1)+(((Alpha_keep*$A76+F$3-Lo_c)/Step_c)-MAX(6,MIN(INT(((Alpha_keep*$A76+F$3-Lo_c)/Step_c)+0.00000001),193)))*INDEX($D$5:$D$205,MAX(6,MIN(INT(((Alpha_keep*$A76+F$3-Lo_c)/Step_c)+0.00000001),193))+2)),"")</f>
        <v>-322.746156009435</v>
      </c>
      <c r="G76" s="16" t="n">
        <f aca="false">IF(Grid!E76=1,-Cost_k*G$3-Short_p*MAX(0,Floor_c-$A76)+Beta_q*((1-(((Alpha_keep*$A76+G$3-Lo_c)/Step_c)-MAX(6,MIN(INT(((Alpha_keep*$A76+G$3-Lo_c)/Step_c)+0.00000001),193))))*INDEX($D$5:$D$205,MAX(6,MIN(INT(((Alpha_keep*$A76+G$3-Lo_c)/Step_c)+0.00000001),193))+1)+(((Alpha_keep*$A76+G$3-Lo_c)/Step_c)-MAX(6,MIN(INT(((Alpha_keep*$A76+G$3-Lo_c)/Step_c)+0.00000001),193)))*INDEX($D$5:$D$205,MAX(6,MIN(INT(((Alpha_keep*$A76+G$3-Lo_c)/Step_c)+0.00000001),193))+2)),"")</f>
        <v>-320.673503573706</v>
      </c>
      <c r="H76" s="16" t="n">
        <f aca="false">IF(Grid!F76=1,-Cost_k*H$3-Short_p*MAX(0,Floor_c-$A76)+Beta_q*((1-(((Alpha_keep*$A76+H$3-Lo_c)/Step_c)-MAX(6,MIN(INT(((Alpha_keep*$A76+H$3-Lo_c)/Step_c)+0.00000001),193))))*INDEX($D$5:$D$205,MAX(6,MIN(INT(((Alpha_keep*$A76+H$3-Lo_c)/Step_c)+0.00000001),193))+1)+(((Alpha_keep*$A76+H$3-Lo_c)/Step_c)-MAX(6,MIN(INT(((Alpha_keep*$A76+H$3-Lo_c)/Step_c)+0.00000001),193)))*INDEX($D$5:$D$205,MAX(6,MIN(INT(((Alpha_keep*$A76+H$3-Lo_c)/Step_c)+0.00000001),193))+2)),"")</f>
        <v>-318.646920508345</v>
      </c>
      <c r="I76" s="16" t="n">
        <f aca="false">IF(Grid!G76=1,-Cost_k*I$3-Short_p*MAX(0,Floor_c-$A76)+Beta_q*((1-(((Alpha_keep*$A76+I$3-Lo_c)/Step_c)-MAX(6,MIN(INT(((Alpha_keep*$A76+I$3-Lo_c)/Step_c)+0.00000001),193))))*INDEX($D$5:$D$205,MAX(6,MIN(INT(((Alpha_keep*$A76+I$3-Lo_c)/Step_c)+0.00000001),193))+1)+(((Alpha_keep*$A76+I$3-Lo_c)/Step_c)-MAX(6,MIN(INT(((Alpha_keep*$A76+I$3-Lo_c)/Step_c)+0.00000001),193)))*INDEX($D$5:$D$205,MAX(6,MIN(INT(((Alpha_keep*$A76+I$3-Lo_c)/Step_c)+0.00000001),193))+2)),"")</f>
        <v>-316.66769643933</v>
      </c>
      <c r="J76" s="16" t="n">
        <f aca="false">IF(Grid!H76=1,-Cost_k*J$3-Short_p*MAX(0,Floor_c-$A76)+Beta_q*((1-(((Alpha_keep*$A76+J$3-Lo_c)/Step_c)-MAX(6,MIN(INT(((Alpha_keep*$A76+J$3-Lo_c)/Step_c)+0.00000001),193))))*INDEX($D$5:$D$205,MAX(6,MIN(INT(((Alpha_keep*$A76+J$3-Lo_c)/Step_c)+0.00000001),193))+1)+(((Alpha_keep*$A76+J$3-Lo_c)/Step_c)-MAX(6,MIN(INT(((Alpha_keep*$A76+J$3-Lo_c)/Step_c)+0.00000001),193)))*INDEX($D$5:$D$205,MAX(6,MIN(INT(((Alpha_keep*$A76+J$3-Lo_c)/Step_c)+0.00000001),193))+2)),"")</f>
        <v>-314.735723039502</v>
      </c>
      <c r="K76" s="16" t="n">
        <f aca="false">IF(Grid!I76=1,-Cost_k*K$3-Short_p*MAX(0,Floor_c-$A76)+Beta_q*((1-(((Alpha_keep*$A76+K$3-Lo_c)/Step_c)-MAX(6,MIN(INT(((Alpha_keep*$A76+K$3-Lo_c)/Step_c)+0.00000001),193))))*INDEX($D$5:$D$205,MAX(6,MIN(INT(((Alpha_keep*$A76+K$3-Lo_c)/Step_c)+0.00000001),193))+1)+(((Alpha_keep*$A76+K$3-Lo_c)/Step_c)-MAX(6,MIN(INT(((Alpha_keep*$A76+K$3-Lo_c)/Step_c)+0.00000001),193)))*INDEX($D$5:$D$205,MAX(6,MIN(INT(((Alpha_keep*$A76+K$3-Lo_c)/Step_c)+0.00000001),193))+2)),"")</f>
        <v>-312.852038990326</v>
      </c>
      <c r="L76" s="16" t="n">
        <f aca="false">IF(Grid!J76=1,-Cost_k*L$3-Short_p*MAX(0,Floor_c-$A76)+Beta_q*((1-(((Alpha_keep*$A76+L$3-Lo_c)/Step_c)-MAX(6,MIN(INT(((Alpha_keep*$A76+L$3-Lo_c)/Step_c)+0.00000001),193))))*INDEX($D$5:$D$205,MAX(6,MIN(INT(((Alpha_keep*$A76+L$3-Lo_c)/Step_c)+0.00000001),193))+1)+(((Alpha_keep*$A76+L$3-Lo_c)/Step_c)-MAX(6,MIN(INT(((Alpha_keep*$A76+L$3-Lo_c)/Step_c)+0.00000001),193)))*INDEX($D$5:$D$205,MAX(6,MIN(INT(((Alpha_keep*$A76+L$3-Lo_c)/Step_c)+0.00000001),193))+2)),"")</f>
        <v>-311.01777149626</v>
      </c>
      <c r="M76" s="16" t="n">
        <f aca="false">IF(Grid!K76=1,-Cost_k*M$3-Short_p*MAX(0,Floor_c-$A76)+Beta_q*((1-(((Alpha_keep*$A76+M$3-Lo_c)/Step_c)-MAX(6,MIN(INT(((Alpha_keep*$A76+M$3-Lo_c)/Step_c)+0.00000001),193))))*INDEX($D$5:$D$205,MAX(6,MIN(INT(((Alpha_keep*$A76+M$3-Lo_c)/Step_c)+0.00000001),193))+1)+(((Alpha_keep*$A76+M$3-Lo_c)/Step_c)-MAX(6,MIN(INT(((Alpha_keep*$A76+M$3-Lo_c)/Step_c)+0.00000001),193)))*INDEX($D$5:$D$205,MAX(6,MIN(INT(((Alpha_keep*$A76+M$3-Lo_c)/Step_c)+0.00000001),193))+2)),"")</f>
        <v>-309.232386438565</v>
      </c>
      <c r="N76" s="16" t="n">
        <f aca="false">IF(Grid!L76=1,-Cost_k*N$3-Short_p*MAX(0,Floor_c-$A76)+Beta_q*((1-(((Alpha_keep*$A76+N$3-Lo_c)/Step_c)-MAX(6,MIN(INT(((Alpha_keep*$A76+N$3-Lo_c)/Step_c)+0.00000001),193))))*INDEX($D$5:$D$205,MAX(6,MIN(INT(((Alpha_keep*$A76+N$3-Lo_c)/Step_c)+0.00000001),193))+1)+(((Alpha_keep*$A76+N$3-Lo_c)/Step_c)-MAX(6,MIN(INT(((Alpha_keep*$A76+N$3-Lo_c)/Step_c)+0.00000001),193)))*INDEX($D$5:$D$205,MAX(6,MIN(INT(((Alpha_keep*$A76+N$3-Lo_c)/Step_c)+0.00000001),193))+2)),"")</f>
        <v>-307.498034768811</v>
      </c>
      <c r="O76" s="16" t="n">
        <f aca="false">IF(Grid!M76=1,-Cost_k*O$3-Short_p*MAX(0,Floor_c-$A76)+Beta_q*((1-(((Alpha_keep*$A76+O$3-Lo_c)/Step_c)-MAX(6,MIN(INT(((Alpha_keep*$A76+O$3-Lo_c)/Step_c)+0.00000001),193))))*INDEX($D$5:$D$205,MAX(6,MIN(INT(((Alpha_keep*$A76+O$3-Lo_c)/Step_c)+0.00000001),193))+1)+(((Alpha_keep*$A76+O$3-Lo_c)/Step_c)-MAX(6,MIN(INT(((Alpha_keep*$A76+O$3-Lo_c)/Step_c)+0.00000001),193)))*INDEX($D$5:$D$205,MAX(6,MIN(INT(((Alpha_keep*$A76+O$3-Lo_c)/Step_c)+0.00000001),193))+2)),"")</f>
        <v>-305.814716975801</v>
      </c>
      <c r="P76" s="11" t="n">
        <f aca="false">MAX(E76:O76)</f>
        <v>-305.814716975801</v>
      </c>
      <c r="Q76" s="12" t="n">
        <f aca="false">INDEX($E$3:$O$3,MATCH(P76,E76:O76,0))</f>
        <v>2.5</v>
      </c>
      <c r="R76" s="20" t="n">
        <v>2.5</v>
      </c>
      <c r="S76" s="14" t="n">
        <f aca="false">IF(ABS(Q76-R76)&lt;0.000000001,1,0)</f>
        <v>1</v>
      </c>
      <c r="T76" s="21" t="n">
        <f aca="false">ABS(P76-B76)</f>
        <v>0</v>
      </c>
      <c r="U76" s="16" t="n">
        <f aca="false">Alpha_keep*A76+Q76</f>
        <v>49.05625</v>
      </c>
      <c r="V76" s="14" t="n">
        <f aca="false">INDEX(GuardBlock,72,ROUND(Q76/Step_h,0)+1)</f>
        <v>1</v>
      </c>
      <c r="W76" s="22" t="n">
        <v>0</v>
      </c>
    </row>
    <row r="77" customFormat="false" ht="15" hidden="false" customHeight="false" outlineLevel="0" collapsed="false">
      <c r="A77" s="18" t="n">
        <f aca="false">Grid!A77</f>
        <v>48</v>
      </c>
      <c r="B77" s="19" t="n">
        <v>-302.847323116804</v>
      </c>
      <c r="C77" s="14" t="n">
        <v>72</v>
      </c>
      <c r="D77" s="11" t="n">
        <f aca="false">IF(AND($C77&gt;=6,$C77&lt;=194),Declarations!$B$25*INDEX($B$5:$B$205,$C77+1-Declarations!$E$25)+Declarations!$B$26*INDEX($B$5:$B$205,$C77+1-Declarations!$E$26)+Declarations!$B$27*INDEX($B$5:$B$205,$C77+1-Declarations!$E$27)+Declarations!$B$28*INDEX($B$5:$B$205,$C77+1-Declarations!$E$28)+Declarations!$B$29*INDEX($B$5:$B$205,$C77+1-Declarations!$E$29),"")</f>
        <v>-303.027245600424</v>
      </c>
      <c r="E77" s="16" t="n">
        <f aca="false">IF(Grid!C77=1,-Cost_k*E$3-Short_p*MAX(0,Floor_c-$A77)+Beta_q*((1-(((Alpha_keep*$A77+E$3-Lo_c)/Step_c)-MAX(6,MIN(INT(((Alpha_keep*$A77+E$3-Lo_c)/Step_c)+0.00000001),193))))*INDEX($D$5:$D$205,MAX(6,MIN(INT(((Alpha_keep*$A77+E$3-Lo_c)/Step_c)+0.00000001),193))+1)+(((Alpha_keep*$A77+E$3-Lo_c)/Step_c)-MAX(6,MIN(INT(((Alpha_keep*$A77+E$3-Lo_c)/Step_c)+0.00000001),193)))*INDEX($D$5:$D$205,MAX(6,MIN(INT(((Alpha_keep*$A77+E$3-Lo_c)/Step_c)+0.00000001),193))+2)),"")</f>
        <v>-321.423229218419</v>
      </c>
      <c r="F77" s="16" t="n">
        <f aca="false">IF(Grid!D77=1,-Cost_k*F$3-Short_p*MAX(0,Floor_c-$A77)+Beta_q*((1-(((Alpha_keep*$A77+F$3-Lo_c)/Step_c)-MAX(6,MIN(INT(((Alpha_keep*$A77+F$3-Lo_c)/Step_c)+0.00000001),193))))*INDEX($D$5:$D$205,MAX(6,MIN(INT(((Alpha_keep*$A77+F$3-Lo_c)/Step_c)+0.00000001),193))+1)+(((Alpha_keep*$A77+F$3-Lo_c)/Step_c)-MAX(6,MIN(INT(((Alpha_keep*$A77+F$3-Lo_c)/Step_c)+0.00000001),193)))*INDEX($D$5:$D$205,MAX(6,MIN(INT(((Alpha_keep*$A77+F$3-Lo_c)/Step_c)+0.00000001),193))+2)),"")</f>
        <v>-319.3494350134</v>
      </c>
      <c r="G77" s="16" t="n">
        <f aca="false">IF(Grid!E77=1,-Cost_k*G$3-Short_p*MAX(0,Floor_c-$A77)+Beta_q*((1-(((Alpha_keep*$A77+G$3-Lo_c)/Step_c)-MAX(6,MIN(INT(((Alpha_keep*$A77+G$3-Lo_c)/Step_c)+0.00000001),193))))*INDEX($D$5:$D$205,MAX(6,MIN(INT(((Alpha_keep*$A77+G$3-Lo_c)/Step_c)+0.00000001),193))+1)+(((Alpha_keep*$A77+G$3-Lo_c)/Step_c)-MAX(6,MIN(INT(((Alpha_keep*$A77+G$3-Lo_c)/Step_c)+0.00000001),193)))*INDEX($D$5:$D$205,MAX(6,MIN(INT(((Alpha_keep*$A77+G$3-Lo_c)/Step_c)+0.00000001),193))+2)),"")</f>
        <v>-317.321665889995</v>
      </c>
      <c r="H77" s="16" t="n">
        <f aca="false">IF(Grid!F77=1,-Cost_k*H$3-Short_p*MAX(0,Floor_c-$A77)+Beta_q*((1-(((Alpha_keep*$A77+H$3-Lo_c)/Step_c)-MAX(6,MIN(INT(((Alpha_keep*$A77+H$3-Lo_c)/Step_c)+0.00000001),193))))*INDEX($D$5:$D$205,MAX(6,MIN(INT(((Alpha_keep*$A77+H$3-Lo_c)/Step_c)+0.00000001),193))+1)+(((Alpha_keep*$A77+H$3-Lo_c)/Step_c)-MAX(6,MIN(INT(((Alpha_keep*$A77+H$3-Lo_c)/Step_c)+0.00000001),193)))*INDEX($D$5:$D$205,MAX(6,MIN(INT(((Alpha_keep*$A77+H$3-Lo_c)/Step_c)+0.00000001),193))+2)),"")</f>
        <v>-315.341265021316</v>
      </c>
      <c r="I77" s="16" t="n">
        <f aca="false">IF(Grid!G77=1,-Cost_k*I$3-Short_p*MAX(0,Floor_c-$A77)+Beta_q*((1-(((Alpha_keep*$A77+I$3-Lo_c)/Step_c)-MAX(6,MIN(INT(((Alpha_keep*$A77+I$3-Lo_c)/Step_c)+0.00000001),193))))*INDEX($D$5:$D$205,MAX(6,MIN(INT(((Alpha_keep*$A77+I$3-Lo_c)/Step_c)+0.00000001),193))+1)+(((Alpha_keep*$A77+I$3-Lo_c)/Step_c)-MAX(6,MIN(INT(((Alpha_keep*$A77+I$3-Lo_c)/Step_c)+0.00000001),193)))*INDEX($D$5:$D$205,MAX(6,MIN(INT(((Alpha_keep*$A77+I$3-Lo_c)/Step_c)+0.00000001),193))+2)),"")</f>
        <v>-313.408094968199</v>
      </c>
      <c r="J77" s="16" t="n">
        <f aca="false">IF(Grid!H77=1,-Cost_k*J$3-Short_p*MAX(0,Floor_c-$A77)+Beta_q*((1-(((Alpha_keep*$A77+J$3-Lo_c)/Step_c)-MAX(6,MIN(INT(((Alpha_keep*$A77+J$3-Lo_c)/Step_c)+0.00000001),193))))*INDEX($D$5:$D$205,MAX(6,MIN(INT(((Alpha_keep*$A77+J$3-Lo_c)/Step_c)+0.00000001),193))+1)+(((Alpha_keep*$A77+J$3-Lo_c)/Step_c)-MAX(6,MIN(INT(((Alpha_keep*$A77+J$3-Lo_c)/Step_c)+0.00000001),193)))*INDEX($D$5:$D$205,MAX(6,MIN(INT(((Alpha_keep*$A77+J$3-Lo_c)/Step_c)+0.00000001),193))+2)),"")</f>
        <v>-311.523167241387</v>
      </c>
      <c r="K77" s="16" t="n">
        <f aca="false">IF(Grid!I77=1,-Cost_k*K$3-Short_p*MAX(0,Floor_c-$A77)+Beta_q*((1-(((Alpha_keep*$A77+K$3-Lo_c)/Step_c)-MAX(6,MIN(INT(((Alpha_keep*$A77+K$3-Lo_c)/Step_c)+0.00000001),193))))*INDEX($D$5:$D$205,MAX(6,MIN(INT(((Alpha_keep*$A77+K$3-Lo_c)/Step_c)+0.00000001),193))+1)+(((Alpha_keep*$A77+K$3-Lo_c)/Step_c)-MAX(6,MIN(INT(((Alpha_keep*$A77+K$3-Lo_c)/Step_c)+0.00000001),193)))*INDEX($D$5:$D$205,MAX(6,MIN(INT(((Alpha_keep*$A77+K$3-Lo_c)/Step_c)+0.00000001),193))+2)),"")</f>
        <v>-309.687692797499</v>
      </c>
      <c r="L77" s="16" t="n">
        <f aca="false">IF(Grid!J77=1,-Cost_k*L$3-Short_p*MAX(0,Floor_c-$A77)+Beta_q*((1-(((Alpha_keep*$A77+L$3-Lo_c)/Step_c)-MAX(6,MIN(INT(((Alpha_keep*$A77+L$3-Lo_c)/Step_c)+0.00000001),193))))*INDEX($D$5:$D$205,MAX(6,MIN(INT(((Alpha_keep*$A77+L$3-Lo_c)/Step_c)+0.00000001),193))+1)+(((Alpha_keep*$A77+L$3-Lo_c)/Step_c)-MAX(6,MIN(INT(((Alpha_keep*$A77+L$3-Lo_c)/Step_c)+0.00000001),193)))*INDEX($D$5:$D$205,MAX(6,MIN(INT(((Alpha_keep*$A77+L$3-Lo_c)/Step_c)+0.00000001),193))+2)),"")</f>
        <v>-307.901033629598</v>
      </c>
      <c r="M77" s="16" t="n">
        <f aca="false">IF(Grid!K77=1,-Cost_k*M$3-Short_p*MAX(0,Floor_c-$A77)+Beta_q*((1-(((Alpha_keep*$A77+M$3-Lo_c)/Step_c)-MAX(6,MIN(INT(((Alpha_keep*$A77+M$3-Lo_c)/Step_c)+0.00000001),193))))*INDEX($D$5:$D$205,MAX(6,MIN(INT(((Alpha_keep*$A77+M$3-Lo_c)/Step_c)+0.00000001),193))+1)+(((Alpha_keep*$A77+M$3-Lo_c)/Step_c)-MAX(6,MIN(INT(((Alpha_keep*$A77+M$3-Lo_c)/Step_c)+0.00000001),193)))*INDEX($D$5:$D$205,MAX(6,MIN(INT(((Alpha_keep*$A77+M$3-Lo_c)/Step_c)+0.00000001),193))+2)),"")</f>
        <v>-306.165400185226</v>
      </c>
      <c r="N77" s="16" t="n">
        <f aca="false">IF(Grid!L77=1,-Cost_k*N$3-Short_p*MAX(0,Floor_c-$A77)+Beta_q*((1-(((Alpha_keep*$A77+N$3-Lo_c)/Step_c)-MAX(6,MIN(INT(((Alpha_keep*$A77+N$3-Lo_c)/Step_c)+0.00000001),193))))*INDEX($D$5:$D$205,MAX(6,MIN(INT(((Alpha_keep*$A77+N$3-Lo_c)/Step_c)+0.00000001),193))+1)+(((Alpha_keep*$A77+N$3-Lo_c)/Step_c)-MAX(6,MIN(INT(((Alpha_keep*$A77+N$3-Lo_c)/Step_c)+0.00000001),193)))*INDEX($D$5:$D$205,MAX(6,MIN(INT(((Alpha_keep*$A77+N$3-Lo_c)/Step_c)+0.00000001),193))+2)),"")</f>
        <v>-304.480826962928</v>
      </c>
      <c r="O77" s="16" t="n">
        <f aca="false">IF(Grid!M77=1,-Cost_k*O$3-Short_p*MAX(0,Floor_c-$A77)+Beta_q*((1-(((Alpha_keep*$A77+O$3-Lo_c)/Step_c)-MAX(6,MIN(INT(((Alpha_keep*$A77+O$3-Lo_c)/Step_c)+0.00000001),193))))*INDEX($D$5:$D$205,MAX(6,MIN(INT(((Alpha_keep*$A77+O$3-Lo_c)/Step_c)+0.00000001),193))+1)+(((Alpha_keep*$A77+O$3-Lo_c)/Step_c)-MAX(6,MIN(INT(((Alpha_keep*$A77+O$3-Lo_c)/Step_c)+0.00000001),193)))*INDEX($D$5:$D$205,MAX(6,MIN(INT(((Alpha_keep*$A77+O$3-Lo_c)/Step_c)+0.00000001),193))+2)),"")</f>
        <v>-302.847323116804</v>
      </c>
      <c r="P77" s="11" t="n">
        <f aca="false">MAX(E77:O77)</f>
        <v>-302.847323116804</v>
      </c>
      <c r="Q77" s="12" t="n">
        <f aca="false">INDEX($E$3:$O$3,MATCH(P77,E77:O77,0))</f>
        <v>2.5</v>
      </c>
      <c r="R77" s="20" t="n">
        <v>2.5</v>
      </c>
      <c r="S77" s="14" t="n">
        <f aca="false">IF(ABS(Q77-R77)&lt;0.000000001,1,0)</f>
        <v>1</v>
      </c>
      <c r="T77" s="21" t="n">
        <f aca="false">ABS(P77-B77)</f>
        <v>0</v>
      </c>
      <c r="U77" s="16" t="n">
        <f aca="false">Alpha_keep*A77+Q77</f>
        <v>49.3</v>
      </c>
      <c r="V77" s="14" t="n">
        <f aca="false">INDEX(GuardBlock,73,ROUND(Q77/Step_h,0)+1)</f>
        <v>1</v>
      </c>
      <c r="W77" s="22" t="n">
        <v>0</v>
      </c>
    </row>
    <row r="78" customFormat="false" ht="15" hidden="false" customHeight="false" outlineLevel="0" collapsed="false">
      <c r="A78" s="18" t="n">
        <f aca="false">Grid!A78</f>
        <v>48.25</v>
      </c>
      <c r="B78" s="19" t="n">
        <v>-299.931145796214</v>
      </c>
      <c r="C78" s="14" t="n">
        <v>73</v>
      </c>
      <c r="D78" s="11" t="n">
        <f aca="false">IF(AND($C78&gt;=6,$C78&lt;=194),Declarations!$B$25*INDEX($B$5:$B$205,$C78+1-Declarations!$E$25)+Declarations!$B$26*INDEX($B$5:$B$205,$C78+1-Declarations!$E$26)+Declarations!$B$27*INDEX($B$5:$B$205,$C78+1-Declarations!$E$27)+Declarations!$B$28*INDEX($B$5:$B$205,$C78+1-Declarations!$E$28)+Declarations!$B$29*INDEX($B$5:$B$205,$C78+1-Declarations!$E$29),"")</f>
        <v>-300.113508976701</v>
      </c>
      <c r="E78" s="16" t="n">
        <f aca="false">IF(Grid!C78=1,-Cost_k*E$3-Short_p*MAX(0,Floor_c-$A78)+Beta_q*((1-(((Alpha_keep*$A78+E$3-Lo_c)/Step_c)-MAX(6,MIN(INT(((Alpha_keep*$A78+E$3-Lo_c)/Step_c)+0.00000001),193))))*INDEX($D$5:$D$205,MAX(6,MIN(INT(((Alpha_keep*$A78+E$3-Lo_c)/Step_c)+0.00000001),193))+1)+(((Alpha_keep*$A78+E$3-Lo_c)/Step_c)-MAX(6,MIN(INT(((Alpha_keep*$A78+E$3-Lo_c)/Step_c)+0.00000001),193)))*INDEX($D$5:$D$205,MAX(6,MIN(INT(((Alpha_keep*$A78+E$3-Lo_c)/Step_c)+0.00000001),193))+2)),"")</f>
        <v>-318.025366453094</v>
      </c>
      <c r="F78" s="16" t="n">
        <f aca="false">IF(Grid!D78=1,-Cost_k*F$3-Short_p*MAX(0,Floor_c-$A78)+Beta_q*((1-(((Alpha_keep*$A78+F$3-Lo_c)/Step_c)-MAX(6,MIN(INT(((Alpha_keep*$A78+F$3-Lo_c)/Step_c)+0.00000001),193))))*INDEX($D$5:$D$205,MAX(6,MIN(INT(((Alpha_keep*$A78+F$3-Lo_c)/Step_c)+0.00000001),193))+1)+(((Alpha_keep*$A78+F$3-Lo_c)/Step_c)-MAX(6,MIN(INT(((Alpha_keep*$A78+F$3-Lo_c)/Step_c)+0.00000001),193)))*INDEX($D$5:$D$205,MAX(6,MIN(INT(((Alpha_keep*$A78+F$3-Lo_c)/Step_c)+0.00000001),193))+2)),"")</f>
        <v>-315.996411271644</v>
      </c>
      <c r="G78" s="16" t="n">
        <f aca="false">IF(Grid!E78=1,-Cost_k*G$3-Short_p*MAX(0,Floor_c-$A78)+Beta_q*((1-(((Alpha_keep*$A78+G$3-Lo_c)/Step_c)-MAX(6,MIN(INT(((Alpha_keep*$A78+G$3-Lo_c)/Step_c)+0.00000001),193))))*INDEX($D$5:$D$205,MAX(6,MIN(INT(((Alpha_keep*$A78+G$3-Lo_c)/Step_c)+0.00000001),193))+1)+(((Alpha_keep*$A78+G$3-Lo_c)/Step_c)-MAX(6,MIN(INT(((Alpha_keep*$A78+G$3-Lo_c)/Step_c)+0.00000001),193)))*INDEX($D$5:$D$205,MAX(6,MIN(INT(((Alpha_keep*$A78+G$3-Lo_c)/Step_c)+0.00000001),193))+2)),"")</f>
        <v>-314.014833603302</v>
      </c>
      <c r="H78" s="16" t="n">
        <f aca="false">IF(Grid!F78=1,-Cost_k*H$3-Short_p*MAX(0,Floor_c-$A78)+Beta_q*((1-(((Alpha_keep*$A78+H$3-Lo_c)/Step_c)-MAX(6,MIN(INT(((Alpha_keep*$A78+H$3-Lo_c)/Step_c)+0.00000001),193))))*INDEX($D$5:$D$205,MAX(6,MIN(INT(((Alpha_keep*$A78+H$3-Lo_c)/Step_c)+0.00000001),193))+1)+(((Alpha_keep*$A78+H$3-Lo_c)/Step_c)-MAX(6,MIN(INT(((Alpha_keep*$A78+H$3-Lo_c)/Step_c)+0.00000001),193)))*INDEX($D$5:$D$205,MAX(6,MIN(INT(((Alpha_keep*$A78+H$3-Lo_c)/Step_c)+0.00000001),193))+2)),"")</f>
        <v>-312.080466896897</v>
      </c>
      <c r="I78" s="16" t="n">
        <f aca="false">IF(Grid!G78=1,-Cost_k*I$3-Short_p*MAX(0,Floor_c-$A78)+Beta_q*((1-(((Alpha_keep*$A78+I$3-Lo_c)/Step_c)-MAX(6,MIN(INT(((Alpha_keep*$A78+I$3-Lo_c)/Step_c)+0.00000001),193))))*INDEX($D$5:$D$205,MAX(6,MIN(INT(((Alpha_keep*$A78+I$3-Lo_c)/Step_c)+0.00000001),193))+1)+(((Alpha_keep*$A78+I$3-Lo_c)/Step_c)-MAX(6,MIN(INT(((Alpha_keep*$A78+I$3-Lo_c)/Step_c)+0.00000001),193)))*INDEX($D$5:$D$205,MAX(6,MIN(INT(((Alpha_keep*$A78+I$3-Lo_c)/Step_c)+0.00000001),193))+2)),"")</f>
        <v>-310.194295492449</v>
      </c>
      <c r="J78" s="16" t="n">
        <f aca="false">IF(Grid!H78=1,-Cost_k*J$3-Short_p*MAX(0,Floor_c-$A78)+Beta_q*((1-(((Alpha_keep*$A78+J$3-Lo_c)/Step_c)-MAX(6,MIN(INT(((Alpha_keep*$A78+J$3-Lo_c)/Step_c)+0.00000001),193))))*INDEX($D$5:$D$205,MAX(6,MIN(INT(((Alpha_keep*$A78+J$3-Lo_c)/Step_c)+0.00000001),193))+1)+(((Alpha_keep*$A78+J$3-Lo_c)/Step_c)-MAX(6,MIN(INT(((Alpha_keep*$A78+J$3-Lo_c)/Step_c)+0.00000001),193)))*INDEX($D$5:$D$205,MAX(6,MIN(INT(((Alpha_keep*$A78+J$3-Lo_c)/Step_c)+0.00000001),193))+2)),"")</f>
        <v>-308.357614098737</v>
      </c>
      <c r="K78" s="16" t="n">
        <f aca="false">IF(Grid!I78=1,-Cost_k*K$3-Short_p*MAX(0,Floor_c-$A78)+Beta_q*((1-(((Alpha_keep*$A78+K$3-Lo_c)/Step_c)-MAX(6,MIN(INT(((Alpha_keep*$A78+K$3-Lo_c)/Step_c)+0.00000001),193))))*INDEX($D$5:$D$205,MAX(6,MIN(INT(((Alpha_keep*$A78+K$3-Lo_c)/Step_c)+0.00000001),193))+1)+(((Alpha_keep*$A78+K$3-Lo_c)/Step_c)-MAX(6,MIN(INT(((Alpha_keep*$A78+K$3-Lo_c)/Step_c)+0.00000001),193)))*INDEX($D$5:$D$205,MAX(6,MIN(INT(((Alpha_keep*$A78+K$3-Lo_c)/Step_c)+0.00000001),193))+2)),"")</f>
        <v>-306.569680820631</v>
      </c>
      <c r="L78" s="16" t="n">
        <f aca="false">IF(Grid!J78=1,-Cost_k*L$3-Short_p*MAX(0,Floor_c-$A78)+Beta_q*((1-(((Alpha_keep*$A78+L$3-Lo_c)/Step_c)-MAX(6,MIN(INT(((Alpha_keep*$A78+L$3-Lo_c)/Step_c)+0.00000001),193))))*INDEX($D$5:$D$205,MAX(6,MIN(INT(((Alpha_keep*$A78+L$3-Lo_c)/Step_c)+0.00000001),193))+1)+(((Alpha_keep*$A78+L$3-Lo_c)/Step_c)-MAX(6,MIN(INT(((Alpha_keep*$A78+L$3-Lo_c)/Step_c)+0.00000001),193)))*INDEX($D$5:$D$205,MAX(6,MIN(INT(((Alpha_keep*$A78+L$3-Lo_c)/Step_c)+0.00000001),193))+2)),"")</f>
        <v>-304.832765601641</v>
      </c>
      <c r="M78" s="16" t="n">
        <f aca="false">IF(Grid!K78=1,-Cost_k*M$3-Short_p*MAX(0,Floor_c-$A78)+Beta_q*((1-(((Alpha_keep*$A78+M$3-Lo_c)/Step_c)-MAX(6,MIN(INT(((Alpha_keep*$A78+M$3-Lo_c)/Step_c)+0.00000001),193))))*INDEX($D$5:$D$205,MAX(6,MIN(INT(((Alpha_keep*$A78+M$3-Lo_c)/Step_c)+0.00000001),193))+1)+(((Alpha_keep*$A78+M$3-Lo_c)/Step_c)-MAX(6,MIN(INT(((Alpha_keep*$A78+M$3-Lo_c)/Step_c)+0.00000001),193)))*INDEX($D$5:$D$205,MAX(6,MIN(INT(((Alpha_keep*$A78+M$3-Lo_c)/Step_c)+0.00000001),193))+2)),"")</f>
        <v>-303.146936950056</v>
      </c>
      <c r="N78" s="16" t="n">
        <f aca="false">IF(Grid!L78=1,-Cost_k*N$3-Short_p*MAX(0,Floor_c-$A78)+Beta_q*((1-(((Alpha_keep*$A78+N$3-Lo_c)/Step_c)-MAX(6,MIN(INT(((Alpha_keep*$A78+N$3-Lo_c)/Step_c)+0.00000001),193))))*INDEX($D$5:$D$205,MAX(6,MIN(INT(((Alpha_keep*$A78+N$3-Lo_c)/Step_c)+0.00000001),193))+1)+(((Alpha_keep*$A78+N$3-Lo_c)/Step_c)-MAX(6,MIN(INT(((Alpha_keep*$A78+N$3-Lo_c)/Step_c)+0.00000001),193)))*INDEX($D$5:$D$205,MAX(6,MIN(INT(((Alpha_keep*$A78+N$3-Lo_c)/Step_c)+0.00000001),193))+2)),"")</f>
        <v>-301.512071149059</v>
      </c>
      <c r="O78" s="16" t="n">
        <f aca="false">IF(Grid!M78=1,-Cost_k*O$3-Short_p*MAX(0,Floor_c-$A78)+Beta_q*((1-(((Alpha_keep*$A78+O$3-Lo_c)/Step_c)-MAX(6,MIN(INT(((Alpha_keep*$A78+O$3-Lo_c)/Step_c)+0.00000001),193))))*INDEX($D$5:$D$205,MAX(6,MIN(INT(((Alpha_keep*$A78+O$3-Lo_c)/Step_c)+0.00000001),193))+1)+(((Alpha_keep*$A78+O$3-Lo_c)/Step_c)-MAX(6,MIN(INT(((Alpha_keep*$A78+O$3-Lo_c)/Step_c)+0.00000001),193)))*INDEX($D$5:$D$205,MAX(6,MIN(INT(((Alpha_keep*$A78+O$3-Lo_c)/Step_c)+0.00000001),193))+2)),"")</f>
        <v>-299.931145796214</v>
      </c>
      <c r="P78" s="11" t="n">
        <f aca="false">MAX(E78:O78)</f>
        <v>-299.931145796214</v>
      </c>
      <c r="Q78" s="12" t="n">
        <f aca="false">INDEX($E$3:$O$3,MATCH(P78,E78:O78,0))</f>
        <v>2.5</v>
      </c>
      <c r="R78" s="20" t="n">
        <v>2.5</v>
      </c>
      <c r="S78" s="14" t="n">
        <f aca="false">IF(ABS(Q78-R78)&lt;0.000000001,1,0)</f>
        <v>1</v>
      </c>
      <c r="T78" s="21" t="n">
        <f aca="false">ABS(P78-B78)</f>
        <v>0</v>
      </c>
      <c r="U78" s="16" t="n">
        <f aca="false">Alpha_keep*A78+Q78</f>
        <v>49.54375</v>
      </c>
      <c r="V78" s="14" t="n">
        <f aca="false">INDEX(GuardBlock,74,ROUND(Q78/Step_h,0)+1)</f>
        <v>1</v>
      </c>
      <c r="W78" s="22" t="n">
        <v>6.72663474503545E-029</v>
      </c>
    </row>
    <row r="79" customFormat="false" ht="15" hidden="false" customHeight="false" outlineLevel="0" collapsed="false">
      <c r="A79" s="18" t="n">
        <f aca="false">Grid!A79</f>
        <v>48.5</v>
      </c>
      <c r="B79" s="19" t="n">
        <v>-297.064227380226</v>
      </c>
      <c r="C79" s="14" t="n">
        <v>74</v>
      </c>
      <c r="D79" s="11" t="n">
        <f aca="false">IF(AND($C79&gt;=6,$C79&lt;=194),Declarations!$B$25*INDEX($B$5:$B$205,$C79+1-Declarations!$E$25)+Declarations!$B$26*INDEX($B$5:$B$205,$C79+1-Declarations!$E$26)+Declarations!$B$27*INDEX($B$5:$B$205,$C79+1-Declarations!$E$27)+Declarations!$B$28*INDEX($B$5:$B$205,$C79+1-Declarations!$E$28)+Declarations!$B$29*INDEX($B$5:$B$205,$C79+1-Declarations!$E$29),"")</f>
        <v>-297.249214506416</v>
      </c>
      <c r="E79" s="16" t="n">
        <f aca="false">IF(Grid!C79=1,-Cost_k*E$3-Short_p*MAX(0,Floor_c-$A79)+Beta_q*((1-(((Alpha_keep*$A79+E$3-Lo_c)/Step_c)-MAX(6,MIN(INT(((Alpha_keep*$A79+E$3-Lo_c)/Step_c)+0.00000001),193))))*INDEX($D$5:$D$205,MAX(6,MIN(INT(((Alpha_keep*$A79+E$3-Lo_c)/Step_c)+0.00000001),193))+1)+(((Alpha_keep*$A79+E$3-Lo_c)/Step_c)-MAX(6,MIN(INT(((Alpha_keep*$A79+E$3-Lo_c)/Step_c)+0.00000001),193)))*INDEX($D$5:$D$205,MAX(6,MIN(INT(((Alpha_keep*$A79+E$3-Lo_c)/Step_c)+0.00000001),193))+2)),"")</f>
        <v>-314.671156653294</v>
      </c>
      <c r="F79" s="16" t="n">
        <f aca="false">IF(Grid!D79=1,-Cost_k*F$3-Short_p*MAX(0,Floor_c-$A79)+Beta_q*((1-(((Alpha_keep*$A79+F$3-Lo_c)/Step_c)-MAX(6,MIN(INT(((Alpha_keep*$A79+F$3-Lo_c)/Step_c)+0.00000001),193))))*INDEX($D$5:$D$205,MAX(6,MIN(INT(((Alpha_keep*$A79+F$3-Lo_c)/Step_c)+0.00000001),193))+1)+(((Alpha_keep*$A79+F$3-Lo_c)/Step_c)-MAX(6,MIN(INT(((Alpha_keep*$A79+F$3-Lo_c)/Step_c)+0.00000001),193)))*INDEX($D$5:$D$205,MAX(6,MIN(INT(((Alpha_keep*$A79+F$3-Lo_c)/Step_c)+0.00000001),193))+2)),"")</f>
        <v>-312.688402185287</v>
      </c>
      <c r="G79" s="16" t="n">
        <f aca="false">IF(Grid!E79=1,-Cost_k*G$3-Short_p*MAX(0,Floor_c-$A79)+Beta_q*((1-(((Alpha_keep*$A79+G$3-Lo_c)/Step_c)-MAX(6,MIN(INT(((Alpha_keep*$A79+G$3-Lo_c)/Step_c)+0.00000001),193))))*INDEX($D$5:$D$205,MAX(6,MIN(INT(((Alpha_keep*$A79+G$3-Lo_c)/Step_c)+0.00000001),193))+1)+(((Alpha_keep*$A79+G$3-Lo_c)/Step_c)-MAX(6,MIN(INT(((Alpha_keep*$A79+G$3-Lo_c)/Step_c)+0.00000001),193)))*INDEX($D$5:$D$205,MAX(6,MIN(INT(((Alpha_keep*$A79+G$3-Lo_c)/Step_c)+0.00000001),193))+2)),"")</f>
        <v>-310.752838825594</v>
      </c>
      <c r="H79" s="16" t="n">
        <f aca="false">IF(Grid!F79=1,-Cost_k*H$3-Short_p*MAX(0,Floor_c-$A79)+Beta_q*((1-(((Alpha_keep*$A79+H$3-Lo_c)/Step_c)-MAX(6,MIN(INT(((Alpha_keep*$A79+H$3-Lo_c)/Step_c)+0.00000001),193))))*INDEX($D$5:$D$205,MAX(6,MIN(INT(((Alpha_keep*$A79+H$3-Lo_c)/Step_c)+0.00000001),193))+1)+(((Alpha_keep*$A79+H$3-Lo_c)/Step_c)-MAX(6,MIN(INT(((Alpha_keep*$A79+H$3-Lo_c)/Step_c)+0.00000001),193)))*INDEX($D$5:$D$205,MAX(6,MIN(INT(((Alpha_keep*$A79+H$3-Lo_c)/Step_c)+0.00000001),193))+2)),"")</f>
        <v>-308.865423743511</v>
      </c>
      <c r="I79" s="16" t="n">
        <f aca="false">IF(Grid!G79=1,-Cost_k*I$3-Short_p*MAX(0,Floor_c-$A79)+Beta_q*((1-(((Alpha_keep*$A79+I$3-Lo_c)/Step_c)-MAX(6,MIN(INT(((Alpha_keep*$A79+I$3-Lo_c)/Step_c)+0.00000001),193))))*INDEX($D$5:$D$205,MAX(6,MIN(INT(((Alpha_keep*$A79+I$3-Lo_c)/Step_c)+0.00000001),193))+1)+(((Alpha_keep*$A79+I$3-Lo_c)/Step_c)-MAX(6,MIN(INT(((Alpha_keep*$A79+I$3-Lo_c)/Step_c)+0.00000001),193)))*INDEX($D$5:$D$205,MAX(6,MIN(INT(((Alpha_keep*$A79+I$3-Lo_c)/Step_c)+0.00000001),193))+2)),"")</f>
        <v>-307.027535399976</v>
      </c>
      <c r="J79" s="16" t="n">
        <f aca="false">IF(Grid!H79=1,-Cost_k*J$3-Short_p*MAX(0,Floor_c-$A79)+Beta_q*((1-(((Alpha_keep*$A79+J$3-Lo_c)/Step_c)-MAX(6,MIN(INT(((Alpha_keep*$A79+J$3-Lo_c)/Step_c)+0.00000001),193))))*INDEX($D$5:$D$205,MAX(6,MIN(INT(((Alpha_keep*$A79+J$3-Lo_c)/Step_c)+0.00000001),193))+1)+(((Alpha_keep*$A79+J$3-Lo_c)/Step_c)-MAX(6,MIN(INT(((Alpha_keep*$A79+J$3-Lo_c)/Step_c)+0.00000001),193)))*INDEX($D$5:$D$205,MAX(6,MIN(INT(((Alpha_keep*$A79+J$3-Lo_c)/Step_c)+0.00000001),193))+2)),"")</f>
        <v>-305.238328011664</v>
      </c>
      <c r="K79" s="16" t="n">
        <f aca="false">IF(Grid!I79=1,-Cost_k*K$3-Short_p*MAX(0,Floor_c-$A79)+Beta_q*((1-(((Alpha_keep*$A79+K$3-Lo_c)/Step_c)-MAX(6,MIN(INT(((Alpha_keep*$A79+K$3-Lo_c)/Step_c)+0.00000001),193))))*INDEX($D$5:$D$205,MAX(6,MIN(INT(((Alpha_keep*$A79+K$3-Lo_c)/Step_c)+0.00000001),193))+1)+(((Alpha_keep*$A79+K$3-Lo_c)/Step_c)-MAX(6,MIN(INT(((Alpha_keep*$A79+K$3-Lo_c)/Step_c)+0.00000001),193)))*INDEX($D$5:$D$205,MAX(6,MIN(INT(((Alpha_keep*$A79+K$3-Lo_c)/Step_c)+0.00000001),193))+2)),"")</f>
        <v>-303.500131018055</v>
      </c>
      <c r="L79" s="16" t="n">
        <f aca="false">IF(Grid!J79=1,-Cost_k*L$3-Short_p*MAX(0,Floor_c-$A79)+Beta_q*((1-(((Alpha_keep*$A79+L$3-Lo_c)/Step_c)-MAX(6,MIN(INT(((Alpha_keep*$A79+L$3-Lo_c)/Step_c)+0.00000001),193))))*INDEX($D$5:$D$205,MAX(6,MIN(INT(((Alpha_keep*$A79+L$3-Lo_c)/Step_c)+0.00000001),193))+1)+(((Alpha_keep*$A79+L$3-Lo_c)/Step_c)-MAX(6,MIN(INT(((Alpha_keep*$A79+L$3-Lo_c)/Step_c)+0.00000001),193)))*INDEX($D$5:$D$205,MAX(6,MIN(INT(((Alpha_keep*$A79+L$3-Lo_c)/Step_c)+0.00000001),193))+2)),"")</f>
        <v>-301.813046937184</v>
      </c>
      <c r="M79" s="16" t="n">
        <f aca="false">IF(Grid!K79=1,-Cost_k*M$3-Short_p*MAX(0,Floor_c-$A79)+Beta_q*((1-(((Alpha_keep*$A79+M$3-Lo_c)/Step_c)-MAX(6,MIN(INT(((Alpha_keep*$A79+M$3-Lo_c)/Step_c)+0.00000001),193))))*INDEX($D$5:$D$205,MAX(6,MIN(INT(((Alpha_keep*$A79+M$3-Lo_c)/Step_c)+0.00000001),193))+1)+(((Alpha_keep*$A79+M$3-Lo_c)/Step_c)-MAX(6,MIN(INT(((Alpha_keep*$A79+M$3-Lo_c)/Step_c)+0.00000001),193)))*INDEX($D$5:$D$205,MAX(6,MIN(INT(((Alpha_keep*$A79+M$3-Lo_c)/Step_c)+0.00000001),193))+2)),"")</f>
        <v>-300.176819181314</v>
      </c>
      <c r="N79" s="16" t="n">
        <f aca="false">IF(Grid!L79=1,-Cost_k*N$3-Short_p*MAX(0,Floor_c-$A79)+Beta_q*((1-(((Alpha_keep*$A79+N$3-Lo_c)/Step_c)-MAX(6,MIN(INT(((Alpha_keep*$A79+N$3-Lo_c)/Step_c)+0.00000001),193))))*INDEX($D$5:$D$205,MAX(6,MIN(INT(((Alpha_keep*$A79+N$3-Lo_c)/Step_c)+0.00000001),193))+1)+(((Alpha_keep*$A79+N$3-Lo_c)/Step_c)-MAX(6,MIN(INT(((Alpha_keep*$A79+N$3-Lo_c)/Step_c)+0.00000001),193)))*INDEX($D$5:$D$205,MAX(6,MIN(INT(((Alpha_keep*$A79+N$3-Lo_c)/Step_c)+0.00000001),193))+2)),"")</f>
        <v>-298.594608694562</v>
      </c>
      <c r="O79" s="16" t="n">
        <f aca="false">IF(Grid!M79=1,-Cost_k*O$3-Short_p*MAX(0,Floor_c-$A79)+Beta_q*((1-(((Alpha_keep*$A79+O$3-Lo_c)/Step_c)-MAX(6,MIN(INT(((Alpha_keep*$A79+O$3-Lo_c)/Step_c)+0.00000001),193))))*INDEX($D$5:$D$205,MAX(6,MIN(INT(((Alpha_keep*$A79+O$3-Lo_c)/Step_c)+0.00000001),193))+1)+(((Alpha_keep*$A79+O$3-Lo_c)/Step_c)-MAX(6,MIN(INT(((Alpha_keep*$A79+O$3-Lo_c)/Step_c)+0.00000001),193)))*INDEX($D$5:$D$205,MAX(6,MIN(INT(((Alpha_keep*$A79+O$3-Lo_c)/Step_c)+0.00000001),193))+2)),"")</f>
        <v>-297.064227380226</v>
      </c>
      <c r="P79" s="11" t="n">
        <f aca="false">MAX(E79:O79)</f>
        <v>-297.064227380226</v>
      </c>
      <c r="Q79" s="12" t="n">
        <f aca="false">INDEX($E$3:$O$3,MATCH(P79,E79:O79,0))</f>
        <v>2.5</v>
      </c>
      <c r="R79" s="20" t="n">
        <v>2.5</v>
      </c>
      <c r="S79" s="14" t="n">
        <f aca="false">IF(ABS(Q79-R79)&lt;0.000000001,1,0)</f>
        <v>1</v>
      </c>
      <c r="T79" s="21" t="n">
        <f aca="false">ABS(P79-B79)</f>
        <v>0</v>
      </c>
      <c r="U79" s="16" t="n">
        <f aca="false">Alpha_keep*A79+Q79</f>
        <v>49.7875</v>
      </c>
      <c r="V79" s="14" t="n">
        <f aca="false">INDEX(GuardBlock,75,ROUND(Q79/Step_h,0)+1)</f>
        <v>1</v>
      </c>
      <c r="W79" s="22" t="n">
        <v>2.30715561640872E-026</v>
      </c>
    </row>
    <row r="80" customFormat="false" ht="15" hidden="false" customHeight="false" outlineLevel="0" collapsed="false">
      <c r="A80" s="18" t="n">
        <f aca="false">Grid!A80</f>
        <v>48.75</v>
      </c>
      <c r="B80" s="19" t="n">
        <v>-294.249147996714</v>
      </c>
      <c r="C80" s="14" t="n">
        <v>75</v>
      </c>
      <c r="D80" s="11" t="n">
        <f aca="false">IF(AND($C80&gt;=6,$C80&lt;=194),Declarations!$B$25*INDEX($B$5:$B$205,$C80+1-Declarations!$E$25)+Declarations!$B$26*INDEX($B$5:$B$205,$C80+1-Declarations!$E$26)+Declarations!$B$27*INDEX($B$5:$B$205,$C80+1-Declarations!$E$27)+Declarations!$B$28*INDEX($B$5:$B$205,$C80+1-Declarations!$E$28)+Declarations!$B$29*INDEX($B$5:$B$205,$C80+1-Declarations!$E$29),"")</f>
        <v>-294.437113384256</v>
      </c>
      <c r="E80" s="16" t="n">
        <f aca="false">IF(Grid!C80=1,-Cost_k*E$3-Short_p*MAX(0,Floor_c-$A80)+Beta_q*((1-(((Alpha_keep*$A80+E$3-Lo_c)/Step_c)-MAX(6,MIN(INT(((Alpha_keep*$A80+E$3-Lo_c)/Step_c)+0.00000001),193))))*INDEX($D$5:$D$205,MAX(6,MIN(INT(((Alpha_keep*$A80+E$3-Lo_c)/Step_c)+0.00000001),193))+1)+(((Alpha_keep*$A80+E$3-Lo_c)/Step_c)-MAX(6,MIN(INT(((Alpha_keep*$A80+E$3-Lo_c)/Step_c)+0.00000001),193)))*INDEX($D$5:$D$205,MAX(6,MIN(INT(((Alpha_keep*$A80+E$3-Lo_c)/Step_c)+0.00000001),193))+2)),"")</f>
        <v>-311.361970767272</v>
      </c>
      <c r="F80" s="16" t="n">
        <f aca="false">IF(Grid!D80=1,-Cost_k*F$3-Short_p*MAX(0,Floor_c-$A80)+Beta_q*((1-(((Alpha_keep*$A80+F$3-Lo_c)/Step_c)-MAX(6,MIN(INT(((Alpha_keep*$A80+F$3-Lo_c)/Step_c)+0.00000001),193))))*INDEX($D$5:$D$205,MAX(6,MIN(INT(((Alpha_keep*$A80+F$3-Lo_c)/Step_c)+0.00000001),193))+1)+(((Alpha_keep*$A80+F$3-Lo_c)/Step_c)-MAX(6,MIN(INT(((Alpha_keep*$A80+F$3-Lo_c)/Step_c)+0.00000001),193)))*INDEX($D$5:$D$205,MAX(6,MIN(INT(((Alpha_keep*$A80+F$3-Lo_c)/Step_c)+0.00000001),193))+2)),"")</f>
        <v>-309.425210754292</v>
      </c>
      <c r="G80" s="16" t="n">
        <f aca="false">IF(Grid!E80=1,-Cost_k*G$3-Short_p*MAX(0,Floor_c-$A80)+Beta_q*((1-(((Alpha_keep*$A80+G$3-Lo_c)/Step_c)-MAX(6,MIN(INT(((Alpha_keep*$A80+G$3-Lo_c)/Step_c)+0.00000001),193))))*INDEX($D$5:$D$205,MAX(6,MIN(INT(((Alpha_keep*$A80+G$3-Lo_c)/Step_c)+0.00000001),193))+1)+(((Alpha_keep*$A80+G$3-Lo_c)/Step_c)-MAX(6,MIN(INT(((Alpha_keep*$A80+G$3-Lo_c)/Step_c)+0.00000001),193)))*INDEX($D$5:$D$205,MAX(6,MIN(INT(((Alpha_keep*$A80+G$3-Lo_c)/Step_c)+0.00000001),193))+2)),"")</f>
        <v>-307.536551994573</v>
      </c>
      <c r="H80" s="16" t="n">
        <f aca="false">IF(Grid!F80=1,-Cost_k*H$3-Short_p*MAX(0,Floor_c-$A80)+Beta_q*((1-(((Alpha_keep*$A80+H$3-Lo_c)/Step_c)-MAX(6,MIN(INT(((Alpha_keep*$A80+H$3-Lo_c)/Step_c)+0.00000001),193))))*INDEX($D$5:$D$205,MAX(6,MIN(INT(((Alpha_keep*$A80+H$3-Lo_c)/Step_c)+0.00000001),193))+1)+(((Alpha_keep*$A80+H$3-Lo_c)/Step_c)-MAX(6,MIN(INT(((Alpha_keep*$A80+H$3-Lo_c)/Step_c)+0.00000001),193)))*INDEX($D$5:$D$205,MAX(6,MIN(INT(((Alpha_keep*$A80+H$3-Lo_c)/Step_c)+0.00000001),193))+2)),"")</f>
        <v>-305.697456701215</v>
      </c>
      <c r="I80" s="16" t="n">
        <f aca="false">IF(Grid!G80=1,-Cost_k*I$3-Short_p*MAX(0,Floor_c-$A80)+Beta_q*((1-(((Alpha_keep*$A80+I$3-Lo_c)/Step_c)-MAX(6,MIN(INT(((Alpha_keep*$A80+I$3-Lo_c)/Step_c)+0.00000001),193))))*INDEX($D$5:$D$205,MAX(6,MIN(INT(((Alpha_keep*$A80+I$3-Lo_c)/Step_c)+0.00000001),193))+1)+(((Alpha_keep*$A80+I$3-Lo_c)/Step_c)-MAX(6,MIN(INT(((Alpha_keep*$A80+I$3-Lo_c)/Step_c)+0.00000001),193)))*INDEX($D$5:$D$205,MAX(6,MIN(INT(((Alpha_keep*$A80+I$3-Lo_c)/Step_c)+0.00000001),193))+2)),"")</f>
        <v>-303.906975202697</v>
      </c>
      <c r="J80" s="16" t="n">
        <f aca="false">IF(Grid!H80=1,-Cost_k*J$3-Short_p*MAX(0,Floor_c-$A80)+Beta_q*((1-(((Alpha_keep*$A80+J$3-Lo_c)/Step_c)-MAX(6,MIN(INT(((Alpha_keep*$A80+J$3-Lo_c)/Step_c)+0.00000001),193))))*INDEX($D$5:$D$205,MAX(6,MIN(INT(((Alpha_keep*$A80+J$3-Lo_c)/Step_c)+0.00000001),193))+1)+(((Alpha_keep*$A80+J$3-Lo_c)/Step_c)-MAX(6,MIN(INT(((Alpha_keep*$A80+J$3-Lo_c)/Step_c)+0.00000001),193)))*INDEX($D$5:$D$205,MAX(6,MIN(INT(((Alpha_keep*$A80+J$3-Lo_c)/Step_c)+0.00000001),193))+2)),"")</f>
        <v>-302.16749643447</v>
      </c>
      <c r="K80" s="16" t="n">
        <f aca="false">IF(Grid!I80=1,-Cost_k*K$3-Short_p*MAX(0,Floor_c-$A80)+Beta_q*((1-(((Alpha_keep*$A80+K$3-Lo_c)/Step_c)-MAX(6,MIN(INT(((Alpha_keep*$A80+K$3-Lo_c)/Step_c)+0.00000001),193))))*INDEX($D$5:$D$205,MAX(6,MIN(INT(((Alpha_keep*$A80+K$3-Lo_c)/Step_c)+0.00000001),193))+1)+(((Alpha_keep*$A80+K$3-Lo_c)/Step_c)-MAX(6,MIN(INT(((Alpha_keep*$A80+K$3-Lo_c)/Step_c)+0.00000001),193)))*INDEX($D$5:$D$205,MAX(6,MIN(INT(((Alpha_keep*$A80+K$3-Lo_c)/Step_c)+0.00000001),193))+2)),"")</f>
        <v>-300.479156924311</v>
      </c>
      <c r="L80" s="16" t="n">
        <f aca="false">IF(Grid!J80=1,-Cost_k*L$3-Short_p*MAX(0,Floor_c-$A80)+Beta_q*((1-(((Alpha_keep*$A80+L$3-Lo_c)/Step_c)-MAX(6,MIN(INT(((Alpha_keep*$A80+L$3-Lo_c)/Step_c)+0.00000001),193))))*INDEX($D$5:$D$205,MAX(6,MIN(INT(((Alpha_keep*$A80+L$3-Lo_c)/Step_c)+0.00000001),193))+1)+(((Alpha_keep*$A80+L$3-Lo_c)/Step_c)-MAX(6,MIN(INT(((Alpha_keep*$A80+L$3-Lo_c)/Step_c)+0.00000001),193)))*INDEX($D$5:$D$205,MAX(6,MIN(INT(((Alpha_keep*$A80+L$3-Lo_c)/Step_c)+0.00000001),193))+2)),"")</f>
        <v>-298.841567213568</v>
      </c>
      <c r="M80" s="16" t="n">
        <f aca="false">IF(Grid!K80=1,-Cost_k*M$3-Short_p*MAX(0,Floor_c-$A80)+Beta_q*((1-(((Alpha_keep*$A80+M$3-Lo_c)/Step_c)-MAX(6,MIN(INT(((Alpha_keep*$A80+M$3-Lo_c)/Step_c)+0.00000001),193))))*INDEX($D$5:$D$205,MAX(6,MIN(INT(((Alpha_keep*$A80+M$3-Lo_c)/Step_c)+0.00000001),193))+1)+(((Alpha_keep*$A80+M$3-Lo_c)/Step_c)-MAX(6,MIN(INT(((Alpha_keep*$A80+M$3-Lo_c)/Step_c)+0.00000001),193)))*INDEX($D$5:$D$205,MAX(6,MIN(INT(((Alpha_keep*$A80+M$3-Lo_c)/Step_c)+0.00000001),193))+2)),"")</f>
        <v>-297.25807159291</v>
      </c>
      <c r="N80" s="16" t="n">
        <f aca="false">IF(Grid!L80=1,-Cost_k*N$3-Short_p*MAX(0,Floor_c-$A80)+Beta_q*((1-(((Alpha_keep*$A80+N$3-Lo_c)/Step_c)-MAX(6,MIN(INT(((Alpha_keep*$A80+N$3-Lo_c)/Step_c)+0.00000001),193))))*INDEX($D$5:$D$205,MAX(6,MIN(INT(((Alpha_keep*$A80+N$3-Lo_c)/Step_c)+0.00000001),193))+1)+(((Alpha_keep*$A80+N$3-Lo_c)/Step_c)-MAX(6,MIN(INT(((Alpha_keep*$A80+N$3-Lo_c)/Step_c)+0.00000001),193)))*INDEX($D$5:$D$205,MAX(6,MIN(INT(((Alpha_keep*$A80+N$3-Lo_c)/Step_c)+0.00000001),193))+2)),"")</f>
        <v>-295.726334508644</v>
      </c>
      <c r="O80" s="16" t="n">
        <f aca="false">IF(Grid!M80=1,-Cost_k*O$3-Short_p*MAX(0,Floor_c-$A80)+Beta_q*((1-(((Alpha_keep*$A80+O$3-Lo_c)/Step_c)-MAX(6,MIN(INT(((Alpha_keep*$A80+O$3-Lo_c)/Step_c)+0.00000001),193))))*INDEX($D$5:$D$205,MAX(6,MIN(INT(((Alpha_keep*$A80+O$3-Lo_c)/Step_c)+0.00000001),193))+1)+(((Alpha_keep*$A80+O$3-Lo_c)/Step_c)-MAX(6,MIN(INT(((Alpha_keep*$A80+O$3-Lo_c)/Step_c)+0.00000001),193)))*INDEX($D$5:$D$205,MAX(6,MIN(INT(((Alpha_keep*$A80+O$3-Lo_c)/Step_c)+0.00000001),193))+2)),"")</f>
        <v>-294.249147996714</v>
      </c>
      <c r="P80" s="11" t="n">
        <f aca="false">MAX(E80:O80)</f>
        <v>-294.249147996714</v>
      </c>
      <c r="Q80" s="12" t="n">
        <f aca="false">INDEX($E$3:$O$3,MATCH(P80,E80:O80,0))</f>
        <v>2.5</v>
      </c>
      <c r="R80" s="20" t="n">
        <v>2.5</v>
      </c>
      <c r="S80" s="14" t="n">
        <f aca="false">IF(ABS(Q80-R80)&lt;0.000000001,1,0)</f>
        <v>1</v>
      </c>
      <c r="T80" s="21" t="n">
        <f aca="false">ABS(P80-B80)</f>
        <v>0</v>
      </c>
      <c r="U80" s="16" t="n">
        <f aca="false">Alpha_keep*A80+Q80</f>
        <v>50.03125</v>
      </c>
      <c r="V80" s="14" t="n">
        <f aca="false">INDEX(GuardBlock,76,ROUND(Q80/Step_h,0)+1)</f>
        <v>1</v>
      </c>
      <c r="W80" s="22" t="n">
        <v>1.47829411938241E-024</v>
      </c>
    </row>
    <row r="81" customFormat="false" ht="15" hidden="false" customHeight="false" outlineLevel="0" collapsed="false">
      <c r="A81" s="18" t="n">
        <f aca="false">Grid!A81</f>
        <v>49</v>
      </c>
      <c r="B81" s="19" t="n">
        <v>-291.48756834447</v>
      </c>
      <c r="C81" s="14" t="n">
        <v>76</v>
      </c>
      <c r="D81" s="11" t="n">
        <f aca="false">IF(AND($C81&gt;=6,$C81&lt;=194),Declarations!$B$25*INDEX($B$5:$B$205,$C81+1-Declarations!$E$25)+Declarations!$B$26*INDEX($B$5:$B$205,$C81+1-Declarations!$E$26)+Declarations!$B$27*INDEX($B$5:$B$205,$C81+1-Declarations!$E$27)+Declarations!$B$28*INDEX($B$5:$B$205,$C81+1-Declarations!$E$28)+Declarations!$B$29*INDEX($B$5:$B$205,$C81+1-Declarations!$E$29),"")</f>
        <v>-291.677519579402</v>
      </c>
      <c r="E81" s="16" t="n">
        <f aca="false">IF(Grid!C81=1,-Cost_k*E$3-Short_p*MAX(0,Floor_c-$A81)+Beta_q*((1-(((Alpha_keep*$A81+E$3-Lo_c)/Step_c)-MAX(6,MIN(INT(((Alpha_keep*$A81+E$3-Lo_c)/Step_c)+0.00000001),193))))*INDEX($D$5:$D$205,MAX(6,MIN(INT(((Alpha_keep*$A81+E$3-Lo_c)/Step_c)+0.00000001),193))+1)+(((Alpha_keep*$A81+E$3-Lo_c)/Step_c)-MAX(6,MIN(INT(((Alpha_keep*$A81+E$3-Lo_c)/Step_c)+0.00000001),193)))*INDEX($D$5:$D$205,MAX(6,MIN(INT(((Alpha_keep*$A81+E$3-Lo_c)/Step_c)+0.00000001),193))+2)),"")</f>
        <v>-308.097582682989</v>
      </c>
      <c r="F81" s="16" t="n">
        <f aca="false">IF(Grid!D81=1,-Cost_k*F$3-Short_p*MAX(0,Floor_c-$A81)+Beta_q*((1-(((Alpha_keep*$A81+F$3-Lo_c)/Step_c)-MAX(6,MIN(INT(((Alpha_keep*$A81+F$3-Lo_c)/Step_c)+0.00000001),193))))*INDEX($D$5:$D$205,MAX(6,MIN(INT(((Alpha_keep*$A81+F$3-Lo_c)/Step_c)+0.00000001),193))+1)+(((Alpha_keep*$A81+F$3-Lo_c)/Step_c)-MAX(6,MIN(INT(((Alpha_keep*$A81+F$3-Lo_c)/Step_c)+0.00000001),193)))*INDEX($D$5:$D$205,MAX(6,MIN(INT(((Alpha_keep*$A81+F$3-Lo_c)/Step_c)+0.00000001),193))+2)),"")</f>
        <v>-306.207680245635</v>
      </c>
      <c r="G81" s="16" t="n">
        <f aca="false">IF(Grid!E81=1,-Cost_k*G$3-Short_p*MAX(0,Floor_c-$A81)+Beta_q*((1-(((Alpha_keep*$A81+G$3-Lo_c)/Step_c)-MAX(6,MIN(INT(((Alpha_keep*$A81+G$3-Lo_c)/Step_c)+0.00000001),193))))*INDEX($D$5:$D$205,MAX(6,MIN(INT(((Alpha_keep*$A81+G$3-Lo_c)/Step_c)+0.00000001),193))+1)+(((Alpha_keep*$A81+G$3-Lo_c)/Step_c)-MAX(6,MIN(INT(((Alpha_keep*$A81+G$3-Lo_c)/Step_c)+0.00000001),193)))*INDEX($D$5:$D$205,MAX(6,MIN(INT(((Alpha_keep*$A81+G$3-Lo_c)/Step_c)+0.00000001),193))+2)),"")</f>
        <v>-304.367378002453</v>
      </c>
      <c r="H81" s="16" t="n">
        <f aca="false">IF(Grid!F81=1,-Cost_k*H$3-Short_p*MAX(0,Floor_c-$A81)+Beta_q*((1-(((Alpha_keep*$A81+H$3-Lo_c)/Step_c)-MAX(6,MIN(INT(((Alpha_keep*$A81+H$3-Lo_c)/Step_c)+0.00000001),193))))*INDEX($D$5:$D$205,MAX(6,MIN(INT(((Alpha_keep*$A81+H$3-Lo_c)/Step_c)+0.00000001),193))+1)+(((Alpha_keep*$A81+H$3-Lo_c)/Step_c)-MAX(6,MIN(INT(((Alpha_keep*$A81+H$3-Lo_c)/Step_c)+0.00000001),193)))*INDEX($D$5:$D$205,MAX(6,MIN(INT(((Alpha_keep*$A81+H$3-Lo_c)/Step_c)+0.00000001),193))+2)),"")</f>
        <v>-302.575622393729</v>
      </c>
      <c r="I81" s="16" t="n">
        <f aca="false">IF(Grid!G81=1,-Cost_k*I$3-Short_p*MAX(0,Floor_c-$A81)+Beta_q*((1-(((Alpha_keep*$A81+I$3-Lo_c)/Step_c)-MAX(6,MIN(INT(((Alpha_keep*$A81+I$3-Lo_c)/Step_c)+0.00000001),193))))*INDEX($D$5:$D$205,MAX(6,MIN(INT(((Alpha_keep*$A81+I$3-Lo_c)/Step_c)+0.00000001),193))+1)+(((Alpha_keep*$A81+I$3-Lo_c)/Step_c)-MAX(6,MIN(INT(((Alpha_keep*$A81+I$3-Lo_c)/Step_c)+0.00000001),193)))*INDEX($D$5:$D$205,MAX(6,MIN(INT(((Alpha_keep*$A81+I$3-Lo_c)/Step_c)+0.00000001),193))+2)),"")</f>
        <v>-300.834861850885</v>
      </c>
      <c r="J81" s="16" t="n">
        <f aca="false">IF(Grid!H81=1,-Cost_k*J$3-Short_p*MAX(0,Floor_c-$A81)+Beta_q*((1-(((Alpha_keep*$A81+J$3-Lo_c)/Step_c)-MAX(6,MIN(INT(((Alpha_keep*$A81+J$3-Lo_c)/Step_c)+0.00000001),193))))*INDEX($D$5:$D$205,MAX(6,MIN(INT(((Alpha_keep*$A81+J$3-Lo_c)/Step_c)+0.00000001),193))+1)+(((Alpha_keep*$A81+J$3-Lo_c)/Step_c)-MAX(6,MIN(INT(((Alpha_keep*$A81+J$3-Lo_c)/Step_c)+0.00000001),193)))*INDEX($D$5:$D$205,MAX(6,MIN(INT(((Alpha_keep*$A81+J$3-Lo_c)/Step_c)+0.00000001),193))+2)),"")</f>
        <v>-299.145266911439</v>
      </c>
      <c r="K81" s="16" t="n">
        <f aca="false">IF(Grid!I81=1,-Cost_k*K$3-Short_p*MAX(0,Floor_c-$A81)+Beta_q*((1-(((Alpha_keep*$A81+K$3-Lo_c)/Step_c)-MAX(6,MIN(INT(((Alpha_keep*$A81+K$3-Lo_c)/Step_c)+0.00000001),193))))*INDEX($D$5:$D$205,MAX(6,MIN(INT(((Alpha_keep*$A81+K$3-Lo_c)/Step_c)+0.00000001),193))+1)+(((Alpha_keep*$A81+K$3-Lo_c)/Step_c)-MAX(6,MIN(INT(((Alpha_keep*$A81+K$3-Lo_c)/Step_c)+0.00000001),193)))*INDEX($D$5:$D$205,MAX(6,MIN(INT(((Alpha_keep*$A81+K$3-Lo_c)/Step_c)+0.00000001),193))+2)),"")</f>
        <v>-297.506315245823</v>
      </c>
      <c r="L81" s="16" t="n">
        <f aca="false">IF(Grid!J81=1,-Cost_k*L$3-Short_p*MAX(0,Floor_c-$A81)+Beta_q*((1-(((Alpha_keep*$A81+L$3-Lo_c)/Step_c)-MAX(6,MIN(INT(((Alpha_keep*$A81+L$3-Lo_c)/Step_c)+0.00000001),193))))*INDEX($D$5:$D$205,MAX(6,MIN(INT(((Alpha_keep*$A81+L$3-Lo_c)/Step_c)+0.00000001),193))+1)+(((Alpha_keep*$A81+L$3-Lo_c)/Step_c)-MAX(6,MIN(INT(((Alpha_keep*$A81+L$3-Lo_c)/Step_c)+0.00000001),193)))*INDEX($D$5:$D$205,MAX(6,MIN(INT(((Alpha_keep*$A81+L$3-Lo_c)/Step_c)+0.00000001),193))+2)),"")</f>
        <v>-295.921534491258</v>
      </c>
      <c r="M81" s="16" t="n">
        <f aca="false">IF(Grid!K81=1,-Cost_k*M$3-Short_p*MAX(0,Floor_c-$A81)+Beta_q*((1-(((Alpha_keep*$A81+M$3-Lo_c)/Step_c)-MAX(6,MIN(INT(((Alpha_keep*$A81+M$3-Lo_c)/Step_c)+0.00000001),193))))*INDEX($D$5:$D$205,MAX(6,MIN(INT(((Alpha_keep*$A81+M$3-Lo_c)/Step_c)+0.00000001),193))+1)+(((Alpha_keep*$A81+M$3-Lo_c)/Step_c)-MAX(6,MIN(INT(((Alpha_keep*$A81+M$3-Lo_c)/Step_c)+0.00000001),193)))*INDEX($D$5:$D$205,MAX(6,MIN(INT(((Alpha_keep*$A81+M$3-Lo_c)/Step_c)+0.00000001),193))+2)),"")</f>
        <v>-294.388441637062</v>
      </c>
      <c r="N81" s="16" t="n">
        <f aca="false">IF(Grid!L81=1,-Cost_k*N$3-Short_p*MAX(0,Floor_c-$A81)+Beta_q*((1-(((Alpha_keep*$A81+N$3-Lo_c)/Step_c)-MAX(6,MIN(INT(((Alpha_keep*$A81+N$3-Lo_c)/Step_c)+0.00000001),193))))*INDEX($D$5:$D$205,MAX(6,MIN(INT(((Alpha_keep*$A81+N$3-Lo_c)/Step_c)+0.00000001),193))+1)+(((Alpha_keep*$A81+N$3-Lo_c)/Step_c)-MAX(6,MIN(INT(((Alpha_keep*$A81+N$3-Lo_c)/Step_c)+0.00000001),193)))*INDEX($D$5:$D$205,MAX(6,MIN(INT(((Alpha_keep*$A81+N$3-Lo_c)/Step_c)+0.00000001),193))+2)),"")</f>
        <v>-292.909835400175</v>
      </c>
      <c r="O81" s="16" t="n">
        <f aca="false">IF(Grid!M81=1,-Cost_k*O$3-Short_p*MAX(0,Floor_c-$A81)+Beta_q*((1-(((Alpha_keep*$A81+O$3-Lo_c)/Step_c)-MAX(6,MIN(INT(((Alpha_keep*$A81+O$3-Lo_c)/Step_c)+0.00000001),193))))*INDEX($D$5:$D$205,MAX(6,MIN(INT(((Alpha_keep*$A81+O$3-Lo_c)/Step_c)+0.00000001),193))+1)+(((Alpha_keep*$A81+O$3-Lo_c)/Step_c)-MAX(6,MIN(INT(((Alpha_keep*$A81+O$3-Lo_c)/Step_c)+0.00000001),193)))*INDEX($D$5:$D$205,MAX(6,MIN(INT(((Alpha_keep*$A81+O$3-Lo_c)/Step_c)+0.00000001),193))+2)),"")</f>
        <v>-291.48756834447</v>
      </c>
      <c r="P81" s="11" t="n">
        <f aca="false">MAX(E81:O81)</f>
        <v>-291.48756834447</v>
      </c>
      <c r="Q81" s="12" t="n">
        <f aca="false">INDEX($E$3:$O$3,MATCH(P81,E81:O81,0))</f>
        <v>2.5</v>
      </c>
      <c r="R81" s="20" t="n">
        <v>2.5</v>
      </c>
      <c r="S81" s="14" t="n">
        <f aca="false">IF(ABS(Q81-R81)&lt;0.000000001,1,0)</f>
        <v>1</v>
      </c>
      <c r="T81" s="21" t="n">
        <f aca="false">ABS(P81-B81)</f>
        <v>0</v>
      </c>
      <c r="U81" s="16" t="n">
        <f aca="false">Alpha_keep*A81+Q81</f>
        <v>50.275</v>
      </c>
      <c r="V81" s="14" t="n">
        <f aca="false">INDEX(GuardBlock,77,ROUND(Q81/Step_h,0)+1)</f>
        <v>1</v>
      </c>
      <c r="W81" s="22" t="n">
        <v>4.72464740856035E-023</v>
      </c>
    </row>
    <row r="82" customFormat="false" ht="15" hidden="false" customHeight="false" outlineLevel="0" collapsed="false">
      <c r="A82" s="18" t="n">
        <f aca="false">Grid!A82</f>
        <v>49.25</v>
      </c>
      <c r="B82" s="19" t="n">
        <v>-288.776183719556</v>
      </c>
      <c r="C82" s="14" t="n">
        <v>77</v>
      </c>
      <c r="D82" s="11" t="n">
        <f aca="false">IF(AND($C82&gt;=6,$C82&lt;=194),Declarations!$B$25*INDEX($B$5:$B$205,$C82+1-Declarations!$E$25)+Declarations!$B$26*INDEX($B$5:$B$205,$C82+1-Declarations!$E$26)+Declarations!$B$27*INDEX($B$5:$B$205,$C82+1-Declarations!$E$27)+Declarations!$B$28*INDEX($B$5:$B$205,$C82+1-Declarations!$E$28)+Declarations!$B$29*INDEX($B$5:$B$205,$C82+1-Declarations!$E$29),"")</f>
        <v>-288.969353867296</v>
      </c>
      <c r="E82" s="16" t="n">
        <f aca="false">IF(Grid!C82=1,-Cost_k*E$3-Short_p*MAX(0,Floor_c-$A82)+Beta_q*((1-(((Alpha_keep*$A82+E$3-Lo_c)/Step_c)-MAX(6,MIN(INT(((Alpha_keep*$A82+E$3-Lo_c)/Step_c)+0.00000001),193))))*INDEX($D$5:$D$205,MAX(6,MIN(INT(((Alpha_keep*$A82+E$3-Lo_c)/Step_c)+0.00000001),193))+1)+(((Alpha_keep*$A82+E$3-Lo_c)/Step_c)-MAX(6,MIN(INT(((Alpha_keep*$A82+E$3-Lo_c)/Step_c)+0.00000001),193)))*INDEX($D$5:$D$205,MAX(6,MIN(INT(((Alpha_keep*$A82+E$3-Lo_c)/Step_c)+0.00000001),193))+2)),"")</f>
        <v>-304.878808496697</v>
      </c>
      <c r="F82" s="16" t="n">
        <f aca="false">IF(Grid!D82=1,-Cost_k*F$3-Short_p*MAX(0,Floor_c-$A82)+Beta_q*((1-(((Alpha_keep*$A82+F$3-Lo_c)/Step_c)-MAX(6,MIN(INT(((Alpha_keep*$A82+F$3-Lo_c)/Step_c)+0.00000001),193))))*INDEX($D$5:$D$205,MAX(6,MIN(INT(((Alpha_keep*$A82+F$3-Lo_c)/Step_c)+0.00000001),193))+1)+(((Alpha_keep*$A82+F$3-Lo_c)/Step_c)-MAX(6,MIN(INT(((Alpha_keep*$A82+F$3-Lo_c)/Step_c)+0.00000001),193)))*INDEX($D$5:$D$205,MAX(6,MIN(INT(((Alpha_keep*$A82+F$3-Lo_c)/Step_c)+0.00000001),193))+2)),"")</f>
        <v>-303.037299303692</v>
      </c>
      <c r="G82" s="16" t="n">
        <f aca="false">IF(Grid!E82=1,-Cost_k*G$3-Short_p*MAX(0,Floor_c-$A82)+Beta_q*((1-(((Alpha_keep*$A82+G$3-Lo_c)/Step_c)-MAX(6,MIN(INT(((Alpha_keep*$A82+G$3-Lo_c)/Step_c)+0.00000001),193))))*INDEX($D$5:$D$205,MAX(6,MIN(INT(((Alpha_keep*$A82+G$3-Lo_c)/Step_c)+0.00000001),193))+1)+(((Alpha_keep*$A82+G$3-Lo_c)/Step_c)-MAX(6,MIN(INT(((Alpha_keep*$A82+G$3-Lo_c)/Step_c)+0.00000001),193)))*INDEX($D$5:$D$205,MAX(6,MIN(INT(((Alpha_keep*$A82+G$3-Lo_c)/Step_c)+0.00000001),193))+2)),"")</f>
        <v>-301.244269584762</v>
      </c>
      <c r="H82" s="16" t="n">
        <f aca="false">IF(Grid!F82=1,-Cost_k*H$3-Short_p*MAX(0,Floor_c-$A82)+Beta_q*((1-(((Alpha_keep*$A82+H$3-Lo_c)/Step_c)-MAX(6,MIN(INT(((Alpha_keep*$A82+H$3-Lo_c)/Step_c)+0.00000001),193))))*INDEX($D$5:$D$205,MAX(6,MIN(INT(((Alpha_keep*$A82+H$3-Lo_c)/Step_c)+0.00000001),193))+1)+(((Alpha_keep*$A82+H$3-Lo_c)/Step_c)-MAX(6,MIN(INT(((Alpha_keep*$A82+H$3-Lo_c)/Step_c)+0.00000001),193)))*INDEX($D$5:$D$205,MAX(6,MIN(INT(((Alpha_keep*$A82+H$3-Lo_c)/Step_c)+0.00000001),193))+2)),"")</f>
        <v>-299.5022272673</v>
      </c>
      <c r="I82" s="16" t="n">
        <f aca="false">IF(Grid!G82=1,-Cost_k*I$3-Short_p*MAX(0,Floor_c-$A82)+Beta_q*((1-(((Alpha_keep*$A82+I$3-Lo_c)/Step_c)-MAX(6,MIN(INT(((Alpha_keep*$A82+I$3-Lo_c)/Step_c)+0.00000001),193))))*INDEX($D$5:$D$205,MAX(6,MIN(INT(((Alpha_keep*$A82+I$3-Lo_c)/Step_c)+0.00000001),193))+1)+(((Alpha_keep*$A82+I$3-Lo_c)/Step_c)-MAX(6,MIN(INT(((Alpha_keep*$A82+I$3-Lo_c)/Step_c)+0.00000001),193)))*INDEX($D$5:$D$205,MAX(6,MIN(INT(((Alpha_keep*$A82+I$3-Lo_c)/Step_c)+0.00000001),193))+2)),"")</f>
        <v>-297.811376898567</v>
      </c>
      <c r="J82" s="16" t="n">
        <f aca="false">IF(Grid!H82=1,-Cost_k*J$3-Short_p*MAX(0,Floor_c-$A82)+Beta_q*((1-(((Alpha_keep*$A82+J$3-Lo_c)/Step_c)-MAX(6,MIN(INT(((Alpha_keep*$A82+J$3-Lo_c)/Step_c)+0.00000001),193))))*INDEX($D$5:$D$205,MAX(6,MIN(INT(((Alpha_keep*$A82+J$3-Lo_c)/Step_c)+0.00000001),193))+1)+(((Alpha_keep*$A82+J$3-Lo_c)/Step_c)-MAX(6,MIN(INT(((Alpha_keep*$A82+J$3-Lo_c)/Step_c)+0.00000001),193)))*INDEX($D$5:$D$205,MAX(6,MIN(INT(((Alpha_keep*$A82+J$3-Lo_c)/Step_c)+0.00000001),193))+2)),"")</f>
        <v>-296.171063278078</v>
      </c>
      <c r="K82" s="16" t="n">
        <f aca="false">IF(Grid!I82=1,-Cost_k*K$3-Short_p*MAX(0,Floor_c-$A82)+Beta_q*((1-(((Alpha_keep*$A82+K$3-Lo_c)/Step_c)-MAX(6,MIN(INT(((Alpha_keep*$A82+K$3-Lo_c)/Step_c)+0.00000001),193))))*INDEX($D$5:$D$205,MAX(6,MIN(INT(((Alpha_keep*$A82+K$3-Lo_c)/Step_c)+0.00000001),193))+1)+(((Alpha_keep*$A82+K$3-Lo_c)/Step_c)-MAX(6,MIN(INT(((Alpha_keep*$A82+K$3-Lo_c)/Step_c)+0.00000001),193)))*INDEX($D$5:$D$205,MAX(6,MIN(INT(((Alpha_keep*$A82+K$3-Lo_c)/Step_c)+0.00000001),193))+2)),"")</f>
        <v>-294.584997389606</v>
      </c>
      <c r="L82" s="16" t="n">
        <f aca="false">IF(Grid!J82=1,-Cost_k*L$3-Short_p*MAX(0,Floor_c-$A82)+Beta_q*((1-(((Alpha_keep*$A82+L$3-Lo_c)/Step_c)-MAX(6,MIN(INT(((Alpha_keep*$A82+L$3-Lo_c)/Step_c)+0.00000001),193))))*INDEX($D$5:$D$205,MAX(6,MIN(INT(((Alpha_keep*$A82+L$3-Lo_c)/Step_c)+0.00000001),193))+1)+(((Alpha_keep*$A82+L$3-Lo_c)/Step_c)-MAX(6,MIN(INT(((Alpha_keep*$A82+L$3-Lo_c)/Step_c)+0.00000001),193)))*INDEX($D$5:$D$205,MAX(6,MIN(INT(((Alpha_keep*$A82+L$3-Lo_c)/Step_c)+0.00000001),193))+2)),"")</f>
        <v>-293.05054876548</v>
      </c>
      <c r="M82" s="16" t="n">
        <f aca="false">IF(Grid!K82=1,-Cost_k*M$3-Short_p*MAX(0,Floor_c-$A82)+Beta_q*((1-(((Alpha_keep*$A82+M$3-Lo_c)/Step_c)-MAX(6,MIN(INT(((Alpha_keep*$A82+M$3-Lo_c)/Step_c)+0.00000001),193))))*INDEX($D$5:$D$205,MAX(6,MIN(INT(((Alpha_keep*$A82+M$3-Lo_c)/Step_c)+0.00000001),193))+1)+(((Alpha_keep*$A82+M$3-Lo_c)/Step_c)-MAX(6,MIN(INT(((Alpha_keep*$A82+M$3-Lo_c)/Step_c)+0.00000001),193)))*INDEX($D$5:$D$205,MAX(6,MIN(INT(((Alpha_keep*$A82+M$3-Lo_c)/Step_c)+0.00000001),193))+2)),"")</f>
        <v>-291.570522803635</v>
      </c>
      <c r="N82" s="16" t="n">
        <f aca="false">IF(Grid!L82=1,-Cost_k*N$3-Short_p*MAX(0,Floor_c-$A82)+Beta_q*((1-(((Alpha_keep*$A82+N$3-Lo_c)/Step_c)-MAX(6,MIN(INT(((Alpha_keep*$A82+N$3-Lo_c)/Step_c)+0.00000001),193))))*INDEX($D$5:$D$205,MAX(6,MIN(INT(((Alpha_keep*$A82+N$3-Lo_c)/Step_c)+0.00000001),193))+1)+(((Alpha_keep*$A82+N$3-Lo_c)/Step_c)-MAX(6,MIN(INT(((Alpha_keep*$A82+N$3-Lo_c)/Step_c)+0.00000001),193)))*INDEX($D$5:$D$205,MAX(6,MIN(INT(((Alpha_keep*$A82+N$3-Lo_c)/Step_c)+0.00000001),193))+2)),"")</f>
        <v>-290.146948477252</v>
      </c>
      <c r="O82" s="16" t="n">
        <f aca="false">IF(Grid!M82=1,-Cost_k*O$3-Short_p*MAX(0,Floor_c-$A82)+Beta_q*((1-(((Alpha_keep*$A82+O$3-Lo_c)/Step_c)-MAX(6,MIN(INT(((Alpha_keep*$A82+O$3-Lo_c)/Step_c)+0.00000001),193))))*INDEX($D$5:$D$205,MAX(6,MIN(INT(((Alpha_keep*$A82+O$3-Lo_c)/Step_c)+0.00000001),193))+1)+(((Alpha_keep*$A82+O$3-Lo_c)/Step_c)-MAX(6,MIN(INT(((Alpha_keep*$A82+O$3-Lo_c)/Step_c)+0.00000001),193)))*INDEX($D$5:$D$205,MAX(6,MIN(INT(((Alpha_keep*$A82+O$3-Lo_c)/Step_c)+0.00000001),193))+2)),"")</f>
        <v>-288.776183719556</v>
      </c>
      <c r="P82" s="11" t="n">
        <f aca="false">MAX(E82:O82)</f>
        <v>-288.776183719556</v>
      </c>
      <c r="Q82" s="12" t="n">
        <f aca="false">INDEX($E$3:$O$3,MATCH(P82,E82:O82,0))</f>
        <v>2.5</v>
      </c>
      <c r="R82" s="20" t="n">
        <v>2.5</v>
      </c>
      <c r="S82" s="14" t="n">
        <f aca="false">IF(ABS(Q82-R82)&lt;0.000000001,1,0)</f>
        <v>1</v>
      </c>
      <c r="T82" s="21" t="n">
        <f aca="false">ABS(P82-B82)</f>
        <v>0</v>
      </c>
      <c r="U82" s="16" t="n">
        <f aca="false">Alpha_keep*A82+Q82</f>
        <v>50.51875</v>
      </c>
      <c r="V82" s="14" t="n">
        <f aca="false">INDEX(GuardBlock,78,ROUND(Q82/Step_h,0)+1)</f>
        <v>1</v>
      </c>
      <c r="W82" s="22" t="n">
        <v>1.13302749751505E-021</v>
      </c>
    </row>
    <row r="83" customFormat="false" ht="15" hidden="false" customHeight="false" outlineLevel="0" collapsed="false">
      <c r="A83" s="18" t="n">
        <f aca="false">Grid!A83</f>
        <v>49.5</v>
      </c>
      <c r="B83" s="19" t="n">
        <v>-286.120857231582</v>
      </c>
      <c r="C83" s="14" t="n">
        <v>78</v>
      </c>
      <c r="D83" s="11" t="n">
        <f aca="false">IF(AND($C83&gt;=6,$C83&lt;=194),Declarations!$B$25*INDEX($B$5:$B$205,$C83+1-Declarations!$E$25)+Declarations!$B$26*INDEX($B$5:$B$205,$C83+1-Declarations!$E$26)+Declarations!$B$27*INDEX($B$5:$B$205,$C83+1-Declarations!$E$27)+Declarations!$B$28*INDEX($B$5:$B$205,$C83+1-Declarations!$E$28)+Declarations!$B$29*INDEX($B$5:$B$205,$C83+1-Declarations!$E$29),"")</f>
        <v>-286.316980020358</v>
      </c>
      <c r="E83" s="16" t="n">
        <f aca="false">IF(Grid!C83=1,-Cost_k*E$3-Short_p*MAX(0,Floor_c-$A83)+Beta_q*((1-(((Alpha_keep*$A83+E$3-Lo_c)/Step_c)-MAX(6,MIN(INT(((Alpha_keep*$A83+E$3-Lo_c)/Step_c)+0.00000001),193))))*INDEX($D$5:$D$205,MAX(6,MIN(INT(((Alpha_keep*$A83+E$3-Lo_c)/Step_c)+0.00000001),193))+1)+(((Alpha_keep*$A83+E$3-Lo_c)/Step_c)-MAX(6,MIN(INT(((Alpha_keep*$A83+E$3-Lo_c)/Step_c)+0.00000001),193)))*INDEX($D$5:$D$205,MAX(6,MIN(INT(((Alpha_keep*$A83+E$3-Lo_c)/Step_c)+0.00000001),193))+2)),"")</f>
        <v>-301.707220604931</v>
      </c>
      <c r="F83" s="16" t="n">
        <f aca="false">IF(Grid!D83=1,-Cost_k*F$3-Short_p*MAX(0,Floor_c-$A83)+Beta_q*((1-(((Alpha_keep*$A83+F$3-Lo_c)/Step_c)-MAX(6,MIN(INT(((Alpha_keep*$A83+F$3-Lo_c)/Step_c)+0.00000001),193))))*INDEX($D$5:$D$205,MAX(6,MIN(INT(((Alpha_keep*$A83+F$3-Lo_c)/Step_c)+0.00000001),193))+1)+(((Alpha_keep*$A83+F$3-Lo_c)/Step_c)-MAX(6,MIN(INT(((Alpha_keep*$A83+F$3-Lo_c)/Step_c)+0.00000001),193)))*INDEX($D$5:$D$205,MAX(6,MIN(INT(((Alpha_keep*$A83+F$3-Lo_c)/Step_c)+0.00000001),193))+2)),"")</f>
        <v>-299.912916775795</v>
      </c>
      <c r="G83" s="16" t="n">
        <f aca="false">IF(Grid!E83=1,-Cost_k*G$3-Short_p*MAX(0,Floor_c-$A83)+Beta_q*((1-(((Alpha_keep*$A83+G$3-Lo_c)/Step_c)-MAX(6,MIN(INT(((Alpha_keep*$A83+G$3-Lo_c)/Step_c)+0.00000001),193))))*INDEX($D$5:$D$205,MAX(6,MIN(INT(((Alpha_keep*$A83+G$3-Lo_c)/Step_c)+0.00000001),193))+1)+(((Alpha_keep*$A83+G$3-Lo_c)/Step_c)-MAX(6,MIN(INT(((Alpha_keep*$A83+G$3-Lo_c)/Step_c)+0.00000001),193)))*INDEX($D$5:$D$205,MAX(6,MIN(INT(((Alpha_keep*$A83+G$3-Lo_c)/Step_c)+0.00000001),193))+2)),"")</f>
        <v>-298.169592683715</v>
      </c>
      <c r="H83" s="16" t="n">
        <f aca="false">IF(Grid!F83=1,-Cost_k*H$3-Short_p*MAX(0,Floor_c-$A83)+Beta_q*((1-(((Alpha_keep*$A83+H$3-Lo_c)/Step_c)-MAX(6,MIN(INT(((Alpha_keep*$A83+H$3-Lo_c)/Step_c)+0.00000001),193))))*INDEX($D$5:$D$205,MAX(6,MIN(INT(((Alpha_keep*$A83+H$3-Lo_c)/Step_c)+0.00000001),193))+1)+(((Alpha_keep*$A83+H$3-Lo_c)/Step_c)-MAX(6,MIN(INT(((Alpha_keep*$A83+H$3-Lo_c)/Step_c)+0.00000001),193)))*INDEX($D$5:$D$205,MAX(6,MIN(INT(((Alpha_keep*$A83+H$3-Lo_c)/Step_c)+0.00000001),193))+2)),"")</f>
        <v>-296.477486885694</v>
      </c>
      <c r="I83" s="16" t="n">
        <f aca="false">IF(Grid!G83=1,-Cost_k*I$3-Short_p*MAX(0,Floor_c-$A83)+Beta_q*((1-(((Alpha_keep*$A83+I$3-Lo_c)/Step_c)-MAX(6,MIN(INT(((Alpha_keep*$A83+I$3-Lo_c)/Step_c)+0.00000001),193))))*INDEX($D$5:$D$205,MAX(6,MIN(INT(((Alpha_keep*$A83+I$3-Lo_c)/Step_c)+0.00000001),193))+1)+(((Alpha_keep*$A83+I$3-Lo_c)/Step_c)-MAX(6,MIN(INT(((Alpha_keep*$A83+I$3-Lo_c)/Step_c)+0.00000001),193)))*INDEX($D$5:$D$205,MAX(6,MIN(INT(((Alpha_keep*$A83+I$3-Lo_c)/Step_c)+0.00000001),193))+2)),"")</f>
        <v>-294.835811310333</v>
      </c>
      <c r="J83" s="16" t="n">
        <f aca="false">IF(Grid!H83=1,-Cost_k*J$3-Short_p*MAX(0,Floor_c-$A83)+Beta_q*((1-(((Alpha_keep*$A83+J$3-Lo_c)/Step_c)-MAX(6,MIN(INT(((Alpha_keep*$A83+J$3-Lo_c)/Step_c)+0.00000001),193))))*INDEX($D$5:$D$205,MAX(6,MIN(INT(((Alpha_keep*$A83+J$3-Lo_c)/Step_c)+0.00000001),193))+1)+(((Alpha_keep*$A83+J$3-Lo_c)/Step_c)-MAX(6,MIN(INT(((Alpha_keep*$A83+J$3-Lo_c)/Step_c)+0.00000001),193)))*INDEX($D$5:$D$205,MAX(6,MIN(INT(((Alpha_keep*$A83+J$3-Lo_c)/Step_c)+0.00000001),193))+2)),"")</f>
        <v>-293.248460287954</v>
      </c>
      <c r="K83" s="16" t="n">
        <f aca="false">IF(Grid!I83=1,-Cost_k*K$3-Short_p*MAX(0,Floor_c-$A83)+Beta_q*((1-(((Alpha_keep*$A83+K$3-Lo_c)/Step_c)-MAX(6,MIN(INT(((Alpha_keep*$A83+K$3-Lo_c)/Step_c)+0.00000001),193))))*INDEX($D$5:$D$205,MAX(6,MIN(INT(((Alpha_keep*$A83+K$3-Lo_c)/Step_c)+0.00000001),193))+1)+(((Alpha_keep*$A83+K$3-Lo_c)/Step_c)-MAX(6,MIN(INT(((Alpha_keep*$A83+K$3-Lo_c)/Step_c)+0.00000001),193)))*INDEX($D$5:$D$205,MAX(6,MIN(INT(((Alpha_keep*$A83+K$3-Lo_c)/Step_c)+0.00000001),193))+2)),"")</f>
        <v>-291.712655893898</v>
      </c>
      <c r="L83" s="16" t="n">
        <f aca="false">IF(Grid!J83=1,-Cost_k*L$3-Short_p*MAX(0,Floor_c-$A83)+Beta_q*((1-(((Alpha_keep*$A83+L$3-Lo_c)/Step_c)-MAX(6,MIN(INT(((Alpha_keep*$A83+L$3-Lo_c)/Step_c)+0.00000001),193))))*INDEX($D$5:$D$205,MAX(6,MIN(INT(((Alpha_keep*$A83+L$3-Lo_c)/Step_c)+0.00000001),193))+1)+(((Alpha_keep*$A83+L$3-Lo_c)/Step_c)-MAX(6,MIN(INT(((Alpha_keep*$A83+L$3-Lo_c)/Step_c)+0.00000001),193)))*INDEX($D$5:$D$205,MAX(6,MIN(INT(((Alpha_keep*$A83+L$3-Lo_c)/Step_c)+0.00000001),193))+2)),"")</f>
        <v>-290.231210207096</v>
      </c>
      <c r="M83" s="16" t="n">
        <f aca="false">IF(Grid!K83=1,-Cost_k*M$3-Short_p*MAX(0,Floor_c-$A83)+Beta_q*((1-(((Alpha_keep*$A83+M$3-Lo_c)/Step_c)-MAX(6,MIN(INT(((Alpha_keep*$A83+M$3-Lo_c)/Step_c)+0.00000001),193))))*INDEX($D$5:$D$205,MAX(6,MIN(INT(((Alpha_keep*$A83+M$3-Lo_c)/Step_c)+0.00000001),193))+1)+(((Alpha_keep*$A83+M$3-Lo_c)/Step_c)-MAX(6,MIN(INT(((Alpha_keep*$A83+M$3-Lo_c)/Step_c)+0.00000001),193)))*INDEX($D$5:$D$205,MAX(6,MIN(INT(((Alpha_keep*$A83+M$3-Lo_c)/Step_c)+0.00000001),193))+2)),"")</f>
        <v>-288.806328610033</v>
      </c>
      <c r="N83" s="16" t="n">
        <f aca="false">IF(Grid!L83=1,-Cost_k*N$3-Short_p*MAX(0,Floor_c-$A83)+Beta_q*((1-(((Alpha_keep*$A83+N$3-Lo_c)/Step_c)-MAX(6,MIN(INT(((Alpha_keep*$A83+N$3-Lo_c)/Step_c)+0.00000001),193))))*INDEX($D$5:$D$205,MAX(6,MIN(INT(((Alpha_keep*$A83+N$3-Lo_c)/Step_c)+0.00000001),193))+1)+(((Alpha_keep*$A83+N$3-Lo_c)/Step_c)-MAX(6,MIN(INT(((Alpha_keep*$A83+N$3-Lo_c)/Step_c)+0.00000001),193)))*INDEX($D$5:$D$205,MAX(6,MIN(INT(((Alpha_keep*$A83+N$3-Lo_c)/Step_c)+0.00000001),193))+2)),"")</f>
        <v>-287.434083667819</v>
      </c>
      <c r="O83" s="16" t="n">
        <f aca="false">IF(Grid!M83=1,-Cost_k*O$3-Short_p*MAX(0,Floor_c-$A83)+Beta_q*((1-(((Alpha_keep*$A83+O$3-Lo_c)/Step_c)-MAX(6,MIN(INT(((Alpha_keep*$A83+O$3-Lo_c)/Step_c)+0.00000001),193))))*INDEX($D$5:$D$205,MAX(6,MIN(INT(((Alpha_keep*$A83+O$3-Lo_c)/Step_c)+0.00000001),193))+1)+(((Alpha_keep*$A83+O$3-Lo_c)/Step_c)-MAX(6,MIN(INT(((Alpha_keep*$A83+O$3-Lo_c)/Step_c)+0.00000001),193)))*INDEX($D$5:$D$205,MAX(6,MIN(INT(((Alpha_keep*$A83+O$3-Lo_c)/Step_c)+0.00000001),193))+2)),"")</f>
        <v>-286.120857231583</v>
      </c>
      <c r="P83" s="11" t="n">
        <f aca="false">MAX(E83:O83)</f>
        <v>-286.120857231583</v>
      </c>
      <c r="Q83" s="12" t="n">
        <f aca="false">INDEX($E$3:$O$3,MATCH(P83,E83:O83,0))</f>
        <v>2.5</v>
      </c>
      <c r="R83" s="20" t="n">
        <v>2.5</v>
      </c>
      <c r="S83" s="14" t="n">
        <f aca="false">IF(ABS(Q83-R83)&lt;0.000000001,1,0)</f>
        <v>1</v>
      </c>
      <c r="T83" s="21" t="n">
        <f aca="false">ABS(P83-B83)</f>
        <v>0</v>
      </c>
      <c r="U83" s="16" t="n">
        <f aca="false">Alpha_keep*A83+Q83</f>
        <v>50.7625</v>
      </c>
      <c r="V83" s="14" t="n">
        <f aca="false">INDEX(GuardBlock,79,ROUND(Q83/Step_h,0)+1)</f>
        <v>1</v>
      </c>
      <c r="W83" s="22" t="n">
        <v>2.44640461080582E-020</v>
      </c>
    </row>
    <row r="84" customFormat="false" ht="15" hidden="false" customHeight="false" outlineLevel="0" collapsed="false">
      <c r="A84" s="18" t="n">
        <f aca="false">Grid!A84</f>
        <v>49.75</v>
      </c>
      <c r="B84" s="19" t="n">
        <v>-283.518244798339</v>
      </c>
      <c r="C84" s="14" t="n">
        <v>79</v>
      </c>
      <c r="D84" s="11" t="n">
        <f aca="false">IF(AND($C84&gt;=6,$C84&lt;=194),Declarations!$B$25*INDEX($B$5:$B$205,$C84+1-Declarations!$E$25)+Declarations!$B$26*INDEX($B$5:$B$205,$C84+1-Declarations!$E$26)+Declarations!$B$27*INDEX($B$5:$B$205,$C84+1-Declarations!$E$27)+Declarations!$B$28*INDEX($B$5:$B$205,$C84+1-Declarations!$E$28)+Declarations!$B$29*INDEX($B$5:$B$205,$C84+1-Declarations!$E$29),"")</f>
        <v>-283.717251102476</v>
      </c>
      <c r="E84" s="16" t="n">
        <f aca="false">IF(Grid!C84=1,-Cost_k*E$3-Short_p*MAX(0,Floor_c-$A84)+Beta_q*((1-(((Alpha_keep*$A84+E$3-Lo_c)/Step_c)-MAX(6,MIN(INT(((Alpha_keep*$A84+E$3-Lo_c)/Step_c)+0.00000001),193))))*INDEX($D$5:$D$205,MAX(6,MIN(INT(((Alpha_keep*$A84+E$3-Lo_c)/Step_c)+0.00000001),193))+1)+(((Alpha_keep*$A84+E$3-Lo_c)/Step_c)-MAX(6,MIN(INT(((Alpha_keep*$A84+E$3-Lo_c)/Step_c)+0.00000001),193)))*INDEX($D$5:$D$205,MAX(6,MIN(INT(((Alpha_keep*$A84+E$3-Lo_c)/Step_c)+0.00000001),193))+2)),"")</f>
        <v>-298.581563966828</v>
      </c>
      <c r="F84" s="16" t="n">
        <f aca="false">IF(Grid!D84=1,-Cost_k*F$3-Short_p*MAX(0,Floor_c-$A84)+Beta_q*((1-(((Alpha_keep*$A84+F$3-Lo_c)/Step_c)-MAX(6,MIN(INT(((Alpha_keep*$A84+F$3-Lo_c)/Step_c)+0.00000001),193))))*INDEX($D$5:$D$205,MAX(6,MIN(INT(((Alpha_keep*$A84+F$3-Lo_c)/Step_c)+0.00000001),193))+1)+(((Alpha_keep*$A84+F$3-Lo_c)/Step_c)-MAX(6,MIN(INT(((Alpha_keep*$A84+F$3-Lo_c)/Step_c)+0.00000001),193)))*INDEX($D$5:$D$205,MAX(6,MIN(INT(((Alpha_keep*$A84+F$3-Lo_c)/Step_c)+0.00000001),193))+2)),"")</f>
        <v>-296.83695810013</v>
      </c>
      <c r="G84" s="16" t="n">
        <f aca="false">IF(Grid!E84=1,-Cost_k*G$3-Short_p*MAX(0,Floor_c-$A84)+Beta_q*((1-(((Alpha_keep*$A84+G$3-Lo_c)/Step_c)-MAX(6,MIN(INT(((Alpha_keep*$A84+G$3-Lo_c)/Step_c)+0.00000001),193))))*INDEX($D$5:$D$205,MAX(6,MIN(INT(((Alpha_keep*$A84+G$3-Lo_c)/Step_c)+0.00000001),193))+1)+(((Alpha_keep*$A84+G$3-Lo_c)/Step_c)-MAX(6,MIN(INT(((Alpha_keep*$A84+G$3-Lo_c)/Step_c)+0.00000001),193)))*INDEX($D$5:$D$205,MAX(6,MIN(INT(((Alpha_keep*$A84+G$3-Lo_c)/Step_c)+0.00000001),193))+2)),"")</f>
        <v>-295.143596872822</v>
      </c>
      <c r="H84" s="16" t="n">
        <f aca="false">IF(Grid!F84=1,-Cost_k*H$3-Short_p*MAX(0,Floor_c-$A84)+Beta_q*((1-(((Alpha_keep*$A84+H$3-Lo_c)/Step_c)-MAX(6,MIN(INT(((Alpha_keep*$A84+H$3-Lo_c)/Step_c)+0.00000001),193))))*INDEX($D$5:$D$205,MAX(6,MIN(INT(((Alpha_keep*$A84+H$3-Lo_c)/Step_c)+0.00000001),193))+1)+(((Alpha_keep*$A84+H$3-Lo_c)/Step_c)-MAX(6,MIN(INT(((Alpha_keep*$A84+H$3-Lo_c)/Step_c)+0.00000001),193)))*INDEX($D$5:$D$205,MAX(6,MIN(INT(((Alpha_keep*$A84+H$3-Lo_c)/Step_c)+0.00000001),193))+2)),"")</f>
        <v>-293.500559342588</v>
      </c>
      <c r="I84" s="16" t="n">
        <f aca="false">IF(Grid!G84=1,-Cost_k*I$3-Short_p*MAX(0,Floor_c-$A84)+Beta_q*((1-(((Alpha_keep*$A84+I$3-Lo_c)/Step_c)-MAX(6,MIN(INT(((Alpha_keep*$A84+I$3-Lo_c)/Step_c)+0.00000001),193))))*INDEX($D$5:$D$205,MAX(6,MIN(INT(((Alpha_keep*$A84+I$3-Lo_c)/Step_c)+0.00000001),193))+1)+(((Alpha_keep*$A84+I$3-Lo_c)/Step_c)-MAX(6,MIN(INT(((Alpha_keep*$A84+I$3-Lo_c)/Step_c)+0.00000001),193)))*INDEX($D$5:$D$205,MAX(6,MIN(INT(((Alpha_keep*$A84+I$3-Lo_c)/Step_c)+0.00000001),193))+2)),"")</f>
        <v>-291.911923186301</v>
      </c>
      <c r="J84" s="16" t="n">
        <f aca="false">IF(Grid!H84=1,-Cost_k*J$3-Short_p*MAX(0,Floor_c-$A84)+Beta_q*((1-(((Alpha_keep*$A84+J$3-Lo_c)/Step_c)-MAX(6,MIN(INT(((Alpha_keep*$A84+J$3-Lo_c)/Step_c)+0.00000001),193))))*INDEX($D$5:$D$205,MAX(6,MIN(INT(((Alpha_keep*$A84+J$3-Lo_c)/Step_c)+0.00000001),193))+1)+(((Alpha_keep*$A84+J$3-Lo_c)/Step_c)-MAX(6,MIN(INT(((Alpha_keep*$A84+J$3-Lo_c)/Step_c)+0.00000001),193)))*INDEX($D$5:$D$205,MAX(6,MIN(INT(((Alpha_keep*$A84+J$3-Lo_c)/Step_c)+0.00000001),193))+2)),"")</f>
        <v>-290.374763022316</v>
      </c>
      <c r="K84" s="16" t="n">
        <f aca="false">IF(Grid!I84=1,-Cost_k*K$3-Short_p*MAX(0,Floor_c-$A84)+Beta_q*((1-(((Alpha_keep*$A84+K$3-Lo_c)/Step_c)-MAX(6,MIN(INT(((Alpha_keep*$A84+K$3-Lo_c)/Step_c)+0.00000001),193))))*INDEX($D$5:$D$205,MAX(6,MIN(INT(((Alpha_keep*$A84+K$3-Lo_c)/Step_c)+0.00000001),193))+1)+(((Alpha_keep*$A84+K$3-Lo_c)/Step_c)-MAX(6,MIN(INT(((Alpha_keep*$A84+K$3-Lo_c)/Step_c)+0.00000001),193)))*INDEX($D$5:$D$205,MAX(6,MIN(INT(((Alpha_keep*$A84+K$3-Lo_c)/Step_c)+0.00000001),193))+2)),"")</f>
        <v>-288.891897610556</v>
      </c>
      <c r="L84" s="16" t="n">
        <f aca="false">IF(Grid!J84=1,-Cost_k*L$3-Short_p*MAX(0,Floor_c-$A84)+Beta_q*((1-(((Alpha_keep*$A84+L$3-Lo_c)/Step_c)-MAX(6,MIN(INT(((Alpha_keep*$A84+L$3-Lo_c)/Step_c)+0.00000001),193))))*INDEX($D$5:$D$205,MAX(6,MIN(INT(((Alpha_keep*$A84+L$3-Lo_c)/Step_c)+0.00000001),193))+1)+(((Alpha_keep*$A84+L$3-Lo_c)/Step_c)-MAX(6,MIN(INT(((Alpha_keep*$A84+L$3-Lo_c)/Step_c)+0.00000001),193)))*INDEX($D$5:$D$205,MAX(6,MIN(INT(((Alpha_keep*$A84+L$3-Lo_c)/Step_c)+0.00000001),193))+2)),"")</f>
        <v>-287.465708742814</v>
      </c>
      <c r="M84" s="16" t="n">
        <f aca="false">IF(Grid!K84=1,-Cost_k*M$3-Short_p*MAX(0,Floor_c-$A84)+Beta_q*((1-(((Alpha_keep*$A84+M$3-Lo_c)/Step_c)-MAX(6,MIN(INT(((Alpha_keep*$A84+M$3-Lo_c)/Step_c)+0.00000001),193))))*INDEX($D$5:$D$205,MAX(6,MIN(INT(((Alpha_keep*$A84+M$3-Lo_c)/Step_c)+0.00000001),193))+1)+(((Alpha_keep*$A84+M$3-Lo_c)/Step_c)-MAX(6,MIN(INT(((Alpha_keep*$A84+M$3-Lo_c)/Step_c)+0.00000001),193)))*INDEX($D$5:$D$205,MAX(6,MIN(INT(((Alpha_keep*$A84+M$3-Lo_c)/Step_c)+0.00000001),193))+2)),"")</f>
        <v>-286.091983616083</v>
      </c>
      <c r="N84" s="16" t="n">
        <f aca="false">IF(Grid!L84=1,-Cost_k*N$3-Short_p*MAX(0,Floor_c-$A84)+Beta_q*((1-(((Alpha_keep*$A84+N$3-Lo_c)/Step_c)-MAX(6,MIN(INT(((Alpha_keep*$A84+N$3-Lo_c)/Step_c)+0.00000001),193))))*INDEX($D$5:$D$205,MAX(6,MIN(INT(((Alpha_keep*$A84+N$3-Lo_c)/Step_c)+0.00000001),193))+1)+(((Alpha_keep*$A84+N$3-Lo_c)/Step_c)-MAX(6,MIN(INT(((Alpha_keep*$A84+N$3-Lo_c)/Step_c)+0.00000001),193)))*INDEX($D$5:$D$205,MAX(6,MIN(INT(((Alpha_keep*$A84+N$3-Lo_c)/Step_c)+0.00000001),193))+2)),"")</f>
        <v>-284.777371432696</v>
      </c>
      <c r="O84" s="16" t="n">
        <f aca="false">IF(Grid!M84=1,-Cost_k*O$3-Short_p*MAX(0,Floor_c-$A84)+Beta_q*((1-(((Alpha_keep*$A84+O$3-Lo_c)/Step_c)-MAX(6,MIN(INT(((Alpha_keep*$A84+O$3-Lo_c)/Step_c)+0.00000001),193))))*INDEX($D$5:$D$205,MAX(6,MIN(INT(((Alpha_keep*$A84+O$3-Lo_c)/Step_c)+0.00000001),193))+1)+(((Alpha_keep*$A84+O$3-Lo_c)/Step_c)-MAX(6,MIN(INT(((Alpha_keep*$A84+O$3-Lo_c)/Step_c)+0.00000001),193)))*INDEX($D$5:$D$205,MAX(6,MIN(INT(((Alpha_keep*$A84+O$3-Lo_c)/Step_c)+0.00000001),193))+2)),"")</f>
        <v>-283.518244798339</v>
      </c>
      <c r="P84" s="11" t="n">
        <f aca="false">MAX(E84:O84)</f>
        <v>-283.518244798339</v>
      </c>
      <c r="Q84" s="12" t="n">
        <f aca="false">INDEX($E$3:$O$3,MATCH(P84,E84:O84,0))</f>
        <v>2.5</v>
      </c>
      <c r="R84" s="20" t="n">
        <v>2.5</v>
      </c>
      <c r="S84" s="14" t="n">
        <f aca="false">IF(ABS(Q84-R84)&lt;0.000000001,1,0)</f>
        <v>1</v>
      </c>
      <c r="T84" s="21" t="n">
        <f aca="false">ABS(P84-B84)</f>
        <v>0</v>
      </c>
      <c r="U84" s="16" t="n">
        <f aca="false">Alpha_keep*A84+Q84</f>
        <v>51.00625</v>
      </c>
      <c r="V84" s="14" t="n">
        <f aca="false">INDEX(GuardBlock,80,ROUND(Q84/Step_h,0)+1)</f>
        <v>1</v>
      </c>
      <c r="W84" s="22" t="n">
        <v>5.04229961994974E-019</v>
      </c>
    </row>
    <row r="85" customFormat="false" ht="15" hidden="false" customHeight="false" outlineLevel="0" collapsed="false">
      <c r="A85" s="18" t="n">
        <f aca="false">Grid!A85</f>
        <v>50</v>
      </c>
      <c r="B85" s="19" t="n">
        <v>-280.970405952097</v>
      </c>
      <c r="C85" s="14" t="n">
        <v>80</v>
      </c>
      <c r="D85" s="11" t="n">
        <f aca="false">IF(AND($C85&gt;=6,$C85&lt;=194),Declarations!$B$25*INDEX($B$5:$B$205,$C85+1-Declarations!$E$25)+Declarations!$B$26*INDEX($B$5:$B$205,$C85+1-Declarations!$E$26)+Declarations!$B$27*INDEX($B$5:$B$205,$C85+1-Declarations!$E$27)+Declarations!$B$28*INDEX($B$5:$B$205,$C85+1-Declarations!$E$28)+Declarations!$B$29*INDEX($B$5:$B$205,$C85+1-Declarations!$E$29),"")</f>
        <v>-281.173060686376</v>
      </c>
      <c r="E85" s="16" t="n">
        <f aca="false">IF(Grid!C85=1,-Cost_k*E$3-Short_p*MAX(0,Floor_c-$A85)+Beta_q*((1-(((Alpha_keep*$A85+E$3-Lo_c)/Step_c)-MAX(6,MIN(INT(((Alpha_keep*$A85+E$3-Lo_c)/Step_c)+0.00000001),193))))*INDEX($D$5:$D$205,MAX(6,MIN(INT(((Alpha_keep*$A85+E$3-Lo_c)/Step_c)+0.00000001),193))+1)+(((Alpha_keep*$A85+E$3-Lo_c)/Step_c)-MAX(6,MIN(INT(((Alpha_keep*$A85+E$3-Lo_c)/Step_c)+0.00000001),193)))*INDEX($D$5:$D$205,MAX(6,MIN(INT(((Alpha_keep*$A85+E$3-Lo_c)/Step_c)+0.00000001),193))+2)),"")</f>
        <v>-295.504323516545</v>
      </c>
      <c r="F85" s="16" t="n">
        <f aca="false">IF(Grid!D85=1,-Cost_k*F$3-Short_p*MAX(0,Floor_c-$A85)+Beta_q*((1-(((Alpha_keep*$A85+F$3-Lo_c)/Step_c)-MAX(6,MIN(INT(((Alpha_keep*$A85+F$3-Lo_c)/Step_c)+0.00000001),193))))*INDEX($D$5:$D$205,MAX(6,MIN(INT(((Alpha_keep*$A85+F$3-Lo_c)/Step_c)+0.00000001),193))+1)+(((Alpha_keep*$A85+F$3-Lo_c)/Step_c)-MAX(6,MIN(INT(((Alpha_keep*$A85+F$3-Lo_c)/Step_c)+0.00000001),193)))*INDEX($D$5:$D$205,MAX(6,MIN(INT(((Alpha_keep*$A85+F$3-Lo_c)/Step_c)+0.00000001),193))+2)),"")</f>
        <v>-293.80970685995</v>
      </c>
      <c r="G85" s="16" t="n">
        <f aca="false">IF(Grid!E85=1,-Cost_k*G$3-Short_p*MAX(0,Floor_c-$A85)+Beta_q*((1-(((Alpha_keep*$A85+G$3-Lo_c)/Step_c)-MAX(6,MIN(INT(((Alpha_keep*$A85+G$3-Lo_c)/Step_c)+0.00000001),193))))*INDEX($D$5:$D$205,MAX(6,MIN(INT(((Alpha_keep*$A85+G$3-Lo_c)/Step_c)+0.00000001),193))+1)+(((Alpha_keep*$A85+G$3-Lo_c)/Step_c)-MAX(6,MIN(INT(((Alpha_keep*$A85+G$3-Lo_c)/Step_c)+0.00000001),193)))*INDEX($D$5:$D$205,MAX(6,MIN(INT(((Alpha_keep*$A85+G$3-Lo_c)/Step_c)+0.00000001),193))+2)),"")</f>
        <v>-292.165307374843</v>
      </c>
      <c r="H85" s="16" t="n">
        <f aca="false">IF(Grid!F85=1,-Cost_k*H$3-Short_p*MAX(0,Floor_c-$A85)+Beta_q*((1-(((Alpha_keep*$A85+H$3-Lo_c)/Step_c)-MAX(6,MIN(INT(((Alpha_keep*$A85+H$3-Lo_c)/Step_c)+0.00000001),193))))*INDEX($D$5:$D$205,MAX(6,MIN(INT(((Alpha_keep*$A85+H$3-Lo_c)/Step_c)+0.00000001),193))+1)+(((Alpha_keep*$A85+H$3-Lo_c)/Step_c)-MAX(6,MIN(INT(((Alpha_keep*$A85+H$3-Lo_c)/Step_c)+0.00000001),193)))*INDEX($D$5:$D$205,MAX(6,MIN(INT(((Alpha_keep*$A85+H$3-Lo_c)/Step_c)+0.00000001),193))+2)),"")</f>
        <v>-290.575386084649</v>
      </c>
      <c r="I85" s="16" t="n">
        <f aca="false">IF(Grid!G85=1,-Cost_k*I$3-Short_p*MAX(0,Floor_c-$A85)+Beta_q*((1-(((Alpha_keep*$A85+I$3-Lo_c)/Step_c)-MAX(6,MIN(INT(((Alpha_keep*$A85+I$3-Lo_c)/Step_c)+0.00000001),193))))*INDEX($D$5:$D$205,MAX(6,MIN(INT(((Alpha_keep*$A85+I$3-Lo_c)/Step_c)+0.00000001),193))+1)+(((Alpha_keep*$A85+I$3-Lo_c)/Step_c)-MAX(6,MIN(INT(((Alpha_keep*$A85+I$3-Lo_c)/Step_c)+0.00000001),193)))*INDEX($D$5:$D$205,MAX(6,MIN(INT(((Alpha_keep*$A85+I$3-Lo_c)/Step_c)+0.00000001),193))+2)),"")</f>
        <v>-289.036870150734</v>
      </c>
      <c r="J85" s="16" t="n">
        <f aca="false">IF(Grid!H85=1,-Cost_k*J$3-Short_p*MAX(0,Floor_c-$A85)+Beta_q*((1-(((Alpha_keep*$A85+J$3-Lo_c)/Step_c)-MAX(6,MIN(INT(((Alpha_keep*$A85+J$3-Lo_c)/Step_c)+0.00000001),193))))*INDEX($D$5:$D$205,MAX(6,MIN(INT(((Alpha_keep*$A85+J$3-Lo_c)/Step_c)+0.00000001),193))+1)+(((Alpha_keep*$A85+J$3-Lo_c)/Step_c)-MAX(6,MIN(INT(((Alpha_keep*$A85+J$3-Lo_c)/Step_c)+0.00000001),193)))*INDEX($D$5:$D$205,MAX(6,MIN(INT(((Alpha_keep*$A85+J$3-Lo_c)/Step_c)+0.00000001),193))+2)),"")</f>
        <v>-287.552585014017</v>
      </c>
      <c r="K85" s="16" t="n">
        <f aca="false">IF(Grid!I85=1,-Cost_k*K$3-Short_p*MAX(0,Floor_c-$A85)+Beta_q*((1-(((Alpha_keep*$A85+K$3-Lo_c)/Step_c)-MAX(6,MIN(INT(((Alpha_keep*$A85+K$3-Lo_c)/Step_c)+0.00000001),193))))*INDEX($D$5:$D$205,MAX(6,MIN(INT(((Alpha_keep*$A85+K$3-Lo_c)/Step_c)+0.00000001),193))+1)+(((Alpha_keep*$A85+K$3-Lo_c)/Step_c)-MAX(6,MIN(INT(((Alpha_keep*$A85+K$3-Lo_c)/Step_c)+0.00000001),193)))*INDEX($D$5:$D$205,MAX(6,MIN(INT(((Alpha_keep*$A85+K$3-Lo_c)/Step_c)+0.00000001),193))+2)),"")</f>
        <v>-286.125088875595</v>
      </c>
      <c r="L85" s="16" t="n">
        <f aca="false">IF(Grid!J85=1,-Cost_k*L$3-Short_p*MAX(0,Floor_c-$A85)+Beta_q*((1-(((Alpha_keep*$A85+L$3-Lo_c)/Step_c)-MAX(6,MIN(INT(((Alpha_keep*$A85+L$3-Lo_c)/Step_c)+0.00000001),193))))*INDEX($D$5:$D$205,MAX(6,MIN(INT(((Alpha_keep*$A85+L$3-Lo_c)/Step_c)+0.00000001),193))+1)+(((Alpha_keep*$A85+L$3-Lo_c)/Step_c)-MAX(6,MIN(INT(((Alpha_keep*$A85+L$3-Lo_c)/Step_c)+0.00000001),193)))*INDEX($D$5:$D$205,MAX(6,MIN(INT(((Alpha_keep*$A85+L$3-Lo_c)/Step_c)+0.00000001),193))+2)),"")</f>
        <v>-284.749883564346</v>
      </c>
      <c r="M85" s="16" t="n">
        <f aca="false">IF(Grid!K85=1,-Cost_k*M$3-Short_p*MAX(0,Floor_c-$A85)+Beta_q*((1-(((Alpha_keep*$A85+M$3-Lo_c)/Step_c)-MAX(6,MIN(INT(((Alpha_keep*$A85+M$3-Lo_c)/Step_c)+0.00000001),193))))*INDEX($D$5:$D$205,MAX(6,MIN(INT(((Alpha_keep*$A85+M$3-Lo_c)/Step_c)+0.00000001),193))+1)+(((Alpha_keep*$A85+M$3-Lo_c)/Step_c)-MAX(6,MIN(INT(((Alpha_keep*$A85+M$3-Lo_c)/Step_c)+0.00000001),193)))*INDEX($D$5:$D$205,MAX(6,MIN(INT(((Alpha_keep*$A85+M$3-Lo_c)/Step_c)+0.00000001),193))+2)),"")</f>
        <v>-283.43388563381</v>
      </c>
      <c r="N85" s="16" t="n">
        <f aca="false">IF(Grid!L85=1,-Cost_k*N$3-Short_p*MAX(0,Floor_c-$A85)+Beta_q*((1-(((Alpha_keep*$A85+N$3-Lo_c)/Step_c)-MAX(6,MIN(INT(((Alpha_keep*$A85+N$3-Lo_c)/Step_c)+0.00000001),193))))*INDEX($D$5:$D$205,MAX(6,MIN(INT(((Alpha_keep*$A85+N$3-Lo_c)/Step_c)+0.00000001),193))+1)+(((Alpha_keep*$A85+N$3-Lo_c)/Step_c)-MAX(6,MIN(INT(((Alpha_keep*$A85+N$3-Lo_c)/Step_c)+0.00000001),193)))*INDEX($D$5:$D$205,MAX(6,MIN(INT(((Alpha_keep*$A85+N$3-Lo_c)/Step_c)+0.00000001),193))+2)),"")</f>
        <v>-282.173317589268</v>
      </c>
      <c r="O85" s="16" t="n">
        <f aca="false">IF(Grid!M85=1,-Cost_k*O$3-Short_p*MAX(0,Floor_c-$A85)+Beta_q*((1-(((Alpha_keep*$A85+O$3-Lo_c)/Step_c)-MAX(6,MIN(INT(((Alpha_keep*$A85+O$3-Lo_c)/Step_c)+0.00000001),193))))*INDEX($D$5:$D$205,MAX(6,MIN(INT(((Alpha_keep*$A85+O$3-Lo_c)/Step_c)+0.00000001),193))+1)+(((Alpha_keep*$A85+O$3-Lo_c)/Step_c)-MAX(6,MIN(INT(((Alpha_keep*$A85+O$3-Lo_c)/Step_c)+0.00000001),193)))*INDEX($D$5:$D$205,MAX(6,MIN(INT(((Alpha_keep*$A85+O$3-Lo_c)/Step_c)+0.00000001),193))+2)),"")</f>
        <v>-280.970405952097</v>
      </c>
      <c r="P85" s="11" t="n">
        <f aca="false">MAX(E85:O85)</f>
        <v>-280.970405952097</v>
      </c>
      <c r="Q85" s="12" t="n">
        <f aca="false">INDEX($E$3:$O$3,MATCH(P85,E85:O85,0))</f>
        <v>2.5</v>
      </c>
      <c r="R85" s="20" t="n">
        <v>2.5</v>
      </c>
      <c r="S85" s="14" t="n">
        <f aca="false">IF(ABS(Q85-R85)&lt;0.000000001,1,0)</f>
        <v>1</v>
      </c>
      <c r="T85" s="21" t="n">
        <f aca="false">ABS(P85-B85)</f>
        <v>0</v>
      </c>
      <c r="U85" s="16" t="n">
        <f aca="false">Alpha_keep*A85+Q85</f>
        <v>51.25</v>
      </c>
      <c r="V85" s="14" t="n">
        <f aca="false">INDEX(GuardBlock,81,ROUND(Q85/Step_h,0)+1)</f>
        <v>1</v>
      </c>
      <c r="W85" s="22" t="n">
        <v>7.62441038383325E-018</v>
      </c>
    </row>
    <row r="86" customFormat="false" ht="15" hidden="false" customHeight="false" outlineLevel="0" collapsed="false">
      <c r="A86" s="18" t="n">
        <f aca="false">Grid!A86</f>
        <v>50.25</v>
      </c>
      <c r="B86" s="19" t="n">
        <v>-278.482974267941</v>
      </c>
      <c r="C86" s="14" t="n">
        <v>81</v>
      </c>
      <c r="D86" s="11" t="n">
        <f aca="false">IF(AND($C86&gt;=6,$C86&lt;=194),Declarations!$B$25*INDEX($B$5:$B$205,$C86+1-Declarations!$E$25)+Declarations!$B$26*INDEX($B$5:$B$205,$C86+1-Declarations!$E$26)+Declarations!$B$27*INDEX($B$5:$B$205,$C86+1-Declarations!$E$27)+Declarations!$B$28*INDEX($B$5:$B$205,$C86+1-Declarations!$E$28)+Declarations!$B$29*INDEX($B$5:$B$205,$C86+1-Declarations!$E$29),"")</f>
        <v>-278.687028660818</v>
      </c>
      <c r="E86" s="16" t="n">
        <f aca="false">IF(Grid!C86=1,-Cost_k*E$3-Short_p*MAX(0,Floor_c-$A86)+Beta_q*((1-(((Alpha_keep*$A86+E$3-Lo_c)/Step_c)-MAX(6,MIN(INT(((Alpha_keep*$A86+E$3-Lo_c)/Step_c)+0.00000001),193))))*INDEX($D$5:$D$205,MAX(6,MIN(INT(((Alpha_keep*$A86+E$3-Lo_c)/Step_c)+0.00000001),193))+1)+(((Alpha_keep*$A86+E$3-Lo_c)/Step_c)-MAX(6,MIN(INT(((Alpha_keep*$A86+E$3-Lo_c)/Step_c)+0.00000001),193)))*INDEX($D$5:$D$205,MAX(6,MIN(INT(((Alpha_keep*$A86+E$3-Lo_c)/Step_c)+0.00000001),193))+2)),"")</f>
        <v>-292.477072276365</v>
      </c>
      <c r="F86" s="16" t="n">
        <f aca="false">IF(Grid!D86=1,-Cost_k*F$3-Short_p*MAX(0,Floor_c-$A86)+Beta_q*((1-(((Alpha_keep*$A86+F$3-Lo_c)/Step_c)-MAX(6,MIN(INT(((Alpha_keep*$A86+F$3-Lo_c)/Step_c)+0.00000001),193))))*INDEX($D$5:$D$205,MAX(6,MIN(INT(((Alpha_keep*$A86+F$3-Lo_c)/Step_c)+0.00000001),193))+1)+(((Alpha_keep*$A86+F$3-Lo_c)/Step_c)-MAX(6,MIN(INT(((Alpha_keep*$A86+F$3-Lo_c)/Step_c)+0.00000001),193)))*INDEX($D$5:$D$205,MAX(6,MIN(INT(((Alpha_keep*$A86+F$3-Lo_c)/Step_c)+0.00000001),193))+2)),"")</f>
        <v>-290.83141736197</v>
      </c>
      <c r="G86" s="16" t="n">
        <f aca="false">IF(Grid!E86=1,-Cost_k*G$3-Short_p*MAX(0,Floor_c-$A86)+Beta_q*((1-(((Alpha_keep*$A86+G$3-Lo_c)/Step_c)-MAX(6,MIN(INT(((Alpha_keep*$A86+G$3-Lo_c)/Step_c)+0.00000001),193))))*INDEX($D$5:$D$205,MAX(6,MIN(INT(((Alpha_keep*$A86+G$3-Lo_c)/Step_c)+0.00000001),193))+1)+(((Alpha_keep*$A86+G$3-Lo_c)/Step_c)-MAX(6,MIN(INT(((Alpha_keep*$A86+G$3-Lo_c)/Step_c)+0.00000001),193)))*INDEX($D$5:$D$205,MAX(6,MIN(INT(((Alpha_keep*$A86+G$3-Lo_c)/Step_c)+0.00000001),193))+2)),"")</f>
        <v>-289.240134116904</v>
      </c>
      <c r="H86" s="16" t="n">
        <f aca="false">IF(Grid!F86=1,-Cost_k*H$3-Short_p*MAX(0,Floor_c-$A86)+Beta_q*((1-(((Alpha_keep*$A86+H$3-Lo_c)/Step_c)-MAX(6,MIN(INT(((Alpha_keep*$A86+H$3-Lo_c)/Step_c)+0.00000001),193))))*INDEX($D$5:$D$205,MAX(6,MIN(INT(((Alpha_keep*$A86+H$3-Lo_c)/Step_c)+0.00000001),193))+1)+(((Alpha_keep*$A86+H$3-Lo_c)/Step_c)-MAX(6,MIN(INT(((Alpha_keep*$A86+H$3-Lo_c)/Step_c)+0.00000001),193)))*INDEX($D$5:$D$205,MAX(6,MIN(INT(((Alpha_keep*$A86+H$3-Lo_c)/Step_c)+0.00000001),193))+2)),"")</f>
        <v>-287.700333049081</v>
      </c>
      <c r="I86" s="16" t="n">
        <f aca="false">IF(Grid!G86=1,-Cost_k*I$3-Short_p*MAX(0,Floor_c-$A86)+Beta_q*((1-(((Alpha_keep*$A86+I$3-Lo_c)/Step_c)-MAX(6,MIN(INT(((Alpha_keep*$A86+I$3-Lo_c)/Step_c)+0.00000001),193))))*INDEX($D$5:$D$205,MAX(6,MIN(INT(((Alpha_keep*$A86+I$3-Lo_c)/Step_c)+0.00000001),193))+1)+(((Alpha_keep*$A86+I$3-Lo_c)/Step_c)-MAX(6,MIN(INT(((Alpha_keep*$A86+I$3-Lo_c)/Step_c)+0.00000001),193)))*INDEX($D$5:$D$205,MAX(6,MIN(INT(((Alpha_keep*$A86+I$3-Lo_c)/Step_c)+0.00000001),193))+2)),"")</f>
        <v>-286.214692142435</v>
      </c>
      <c r="J86" s="16" t="n">
        <f aca="false">IF(Grid!H86=1,-Cost_k*J$3-Short_p*MAX(0,Floor_c-$A86)+Beta_q*((1-(((Alpha_keep*$A86+J$3-Lo_c)/Step_c)-MAX(6,MIN(INT(((Alpha_keep*$A86+J$3-Lo_c)/Step_c)+0.00000001),193))))*INDEX($D$5:$D$205,MAX(6,MIN(INT(((Alpha_keep*$A86+J$3-Lo_c)/Step_c)+0.00000001),193))+1)+(((Alpha_keep*$A86+J$3-Lo_c)/Step_c)-MAX(6,MIN(INT(((Alpha_keep*$A86+J$3-Lo_c)/Step_c)+0.00000001),193)))*INDEX($D$5:$D$205,MAX(6,MIN(INT(((Alpha_keep*$A86+J$3-Lo_c)/Step_c)+0.00000001),193))+2)),"")</f>
        <v>-284.785776279056</v>
      </c>
      <c r="K86" s="16" t="n">
        <f aca="false">IF(Grid!I86=1,-Cost_k*K$3-Short_p*MAX(0,Floor_c-$A86)+Beta_q*((1-(((Alpha_keep*$A86+K$3-Lo_c)/Step_c)-MAX(6,MIN(INT(((Alpha_keep*$A86+K$3-Lo_c)/Step_c)+0.00000001),193))))*INDEX($D$5:$D$205,MAX(6,MIN(INT(((Alpha_keep*$A86+K$3-Lo_c)/Step_c)+0.00000001),193))+1)+(((Alpha_keep*$A86+K$3-Lo_c)/Step_c)-MAX(6,MIN(INT(((Alpha_keep*$A86+K$3-Lo_c)/Step_c)+0.00000001),193)))*INDEX($D$5:$D$205,MAX(6,MIN(INT(((Alpha_keep*$A86+K$3-Lo_c)/Step_c)+0.00000001),193))+2)),"")</f>
        <v>-283.409263697127</v>
      </c>
      <c r="L86" s="16" t="n">
        <f aca="false">IF(Grid!J86=1,-Cost_k*L$3-Short_p*MAX(0,Floor_c-$A86)+Beta_q*((1-(((Alpha_keep*$A86+L$3-Lo_c)/Step_c)-MAX(6,MIN(INT(((Alpha_keep*$A86+L$3-Lo_c)/Step_c)+0.00000001),193))))*INDEX($D$5:$D$205,MAX(6,MIN(INT(((Alpha_keep*$A86+L$3-Lo_c)/Step_c)+0.00000001),193))+1)+(((Alpha_keep*$A86+L$3-Lo_c)/Step_c)-MAX(6,MIN(INT(((Alpha_keep*$A86+L$3-Lo_c)/Step_c)+0.00000001),193)))*INDEX($D$5:$D$205,MAX(6,MIN(INT(((Alpha_keep*$A86+L$3-Lo_c)/Step_c)+0.00000001),193))+2)),"")</f>
        <v>-282.091785582073</v>
      </c>
      <c r="M86" s="16" t="n">
        <f aca="false">IF(Grid!K86=1,-Cost_k*M$3-Short_p*MAX(0,Floor_c-$A86)+Beta_q*((1-(((Alpha_keep*$A86+M$3-Lo_c)/Step_c)-MAX(6,MIN(INT(((Alpha_keep*$A86+M$3-Lo_c)/Step_c)+0.00000001),193))))*INDEX($D$5:$D$205,MAX(6,MIN(INT(((Alpha_keep*$A86+M$3-Lo_c)/Step_c)+0.00000001),193))+1)+(((Alpha_keep*$A86+M$3-Lo_c)/Step_c)-MAX(6,MIN(INT(((Alpha_keep*$A86+M$3-Lo_c)/Step_c)+0.00000001),193)))*INDEX($D$5:$D$205,MAX(6,MIN(INT(((Alpha_keep*$A86+M$3-Lo_c)/Step_c)+0.00000001),193))+2)),"")</f>
        <v>-280.829831790381</v>
      </c>
      <c r="N86" s="16" t="n">
        <f aca="false">IF(Grid!L86=1,-Cost_k*N$3-Short_p*MAX(0,Floor_c-$A86)+Beta_q*((1-(((Alpha_keep*$A86+N$3-Lo_c)/Step_c)-MAX(6,MIN(INT(((Alpha_keep*$A86+N$3-Lo_c)/Step_c)+0.00000001),193))))*INDEX($D$5:$D$205,MAX(6,MIN(INT(((Alpha_keep*$A86+N$3-Lo_c)/Step_c)+0.00000001),193))+1)+(((Alpha_keep*$A86+N$3-Lo_c)/Step_c)-MAX(6,MIN(INT(((Alpha_keep*$A86+N$3-Lo_c)/Step_c)+0.00000001),193)))*INDEX($D$5:$D$205,MAX(6,MIN(INT(((Alpha_keep*$A86+N$3-Lo_c)/Step_c)+0.00000001),193))+2)),"")</f>
        <v>-279.625478743026</v>
      </c>
      <c r="O86" s="16" t="n">
        <f aca="false">IF(Grid!M86=1,-Cost_k*O$3-Short_p*MAX(0,Floor_c-$A86)+Beta_q*((1-(((Alpha_keep*$A86+O$3-Lo_c)/Step_c)-MAX(6,MIN(INT(((Alpha_keep*$A86+O$3-Lo_c)/Step_c)+0.00000001),193))))*INDEX($D$5:$D$205,MAX(6,MIN(INT(((Alpha_keep*$A86+O$3-Lo_c)/Step_c)+0.00000001),193))+1)+(((Alpha_keep*$A86+O$3-Lo_c)/Step_c)-MAX(6,MIN(INT(((Alpha_keep*$A86+O$3-Lo_c)/Step_c)+0.00000001),193)))*INDEX($D$5:$D$205,MAX(6,MIN(INT(((Alpha_keep*$A86+O$3-Lo_c)/Step_c)+0.00000001),193))+2)),"")</f>
        <v>-278.482974267941</v>
      </c>
      <c r="P86" s="11" t="n">
        <f aca="false">MAX(E86:O86)</f>
        <v>-278.482974267941</v>
      </c>
      <c r="Q86" s="12" t="n">
        <f aca="false">INDEX($E$3:$O$3,MATCH(P86,E86:O86,0))</f>
        <v>2.5</v>
      </c>
      <c r="R86" s="20" t="n">
        <v>2.5</v>
      </c>
      <c r="S86" s="14" t="n">
        <f aca="false">IF(ABS(Q86-R86)&lt;0.000000001,1,0)</f>
        <v>1</v>
      </c>
      <c r="T86" s="21" t="n">
        <f aca="false">ABS(P86-B86)</f>
        <v>0</v>
      </c>
      <c r="U86" s="16" t="n">
        <f aca="false">Alpha_keep*A86+Q86</f>
        <v>51.49375</v>
      </c>
      <c r="V86" s="14" t="n">
        <f aca="false">INDEX(GuardBlock,82,ROUND(Q86/Step_h,0)+1)</f>
        <v>1</v>
      </c>
      <c r="W86" s="22" t="n">
        <v>9.84708687983899E-017</v>
      </c>
    </row>
    <row r="87" customFormat="false" ht="15" hidden="false" customHeight="false" outlineLevel="0" collapsed="false">
      <c r="A87" s="18" t="n">
        <f aca="false">Grid!A87</f>
        <v>50.5</v>
      </c>
      <c r="B87" s="19" t="n">
        <v>-276.046476412738</v>
      </c>
      <c r="C87" s="14" t="n">
        <v>82</v>
      </c>
      <c r="D87" s="11" t="n">
        <f aca="false">IF(AND($C87&gt;=6,$C87&lt;=194),Declarations!$B$25*INDEX($B$5:$B$205,$C87+1-Declarations!$E$25)+Declarations!$B$26*INDEX($B$5:$B$205,$C87+1-Declarations!$E$26)+Declarations!$B$27*INDEX($B$5:$B$205,$C87+1-Declarations!$E$27)+Declarations!$B$28*INDEX($B$5:$B$205,$C87+1-Declarations!$E$28)+Declarations!$B$29*INDEX($B$5:$B$205,$C87+1-Declarations!$E$29),"")</f>
        <v>-276.254548387182</v>
      </c>
      <c r="E87" s="16" t="n">
        <f aca="false">IF(Grid!C87=1,-Cost_k*E$3-Short_p*MAX(0,Floor_c-$A87)+Beta_q*((1-(((Alpha_keep*$A87+E$3-Lo_c)/Step_c)-MAX(6,MIN(INT(((Alpha_keep*$A87+E$3-Lo_c)/Step_c)+0.00000001),193))))*INDEX($D$5:$D$205,MAX(6,MIN(INT(((Alpha_keep*$A87+E$3-Lo_c)/Step_c)+0.00000001),193))+1)+(((Alpha_keep*$A87+E$3-Lo_c)/Step_c)-MAX(6,MIN(INT(((Alpha_keep*$A87+E$3-Lo_c)/Step_c)+0.00000001),193)))*INDEX($D$5:$D$205,MAX(6,MIN(INT(((Alpha_keep*$A87+E$3-Lo_c)/Step_c)+0.00000001),193))+2)),"")</f>
        <v>-289.497527349098</v>
      </c>
      <c r="F87" s="16" t="n">
        <f aca="false">IF(Grid!D87=1,-Cost_k*F$3-Short_p*MAX(0,Floor_c-$A87)+Beta_q*((1-(((Alpha_keep*$A87+F$3-Lo_c)/Step_c)-MAX(6,MIN(INT(((Alpha_keep*$A87+F$3-Lo_c)/Step_c)+0.00000001),193))))*INDEX($D$5:$D$205,MAX(6,MIN(INT(((Alpha_keep*$A87+F$3-Lo_c)/Step_c)+0.00000001),193))+1)+(((Alpha_keep*$A87+F$3-Lo_c)/Step_c)-MAX(6,MIN(INT(((Alpha_keep*$A87+F$3-Lo_c)/Step_c)+0.00000001),193)))*INDEX($D$5:$D$205,MAX(6,MIN(INT(((Alpha_keep*$A87+F$3-Lo_c)/Step_c)+0.00000001),193))+2)),"")</f>
        <v>-287.904882149159</v>
      </c>
      <c r="G87" s="16" t="n">
        <f aca="false">IF(Grid!E87=1,-Cost_k*G$3-Short_p*MAX(0,Floor_c-$A87)+Beta_q*((1-(((Alpha_keep*$A87+G$3-Lo_c)/Step_c)-MAX(6,MIN(INT(((Alpha_keep*$A87+G$3-Lo_c)/Step_c)+0.00000001),193))))*INDEX($D$5:$D$205,MAX(6,MIN(INT(((Alpha_keep*$A87+G$3-Lo_c)/Step_c)+0.00000001),193))+1)+(((Alpha_keep*$A87+G$3-Lo_c)/Step_c)-MAX(6,MIN(INT(((Alpha_keep*$A87+G$3-Lo_c)/Step_c)+0.00000001),193)))*INDEX($D$5:$D$205,MAX(6,MIN(INT(((Alpha_keep*$A87+G$3-Lo_c)/Step_c)+0.00000001),193))+2)),"")</f>
        <v>-286.363795947429</v>
      </c>
      <c r="H87" s="16" t="n">
        <f aca="false">IF(Grid!F87=1,-Cost_k*H$3-Short_p*MAX(0,Floor_c-$A87)+Beta_q*((1-(((Alpha_keep*$A87+H$3-Lo_c)/Step_c)-MAX(6,MIN(INT(((Alpha_keep*$A87+H$3-Lo_c)/Step_c)+0.00000001),193))))*INDEX($D$5:$D$205,MAX(6,MIN(INT(((Alpha_keep*$A87+H$3-Lo_c)/Step_c)+0.00000001),193))+1)+(((Alpha_keep*$A87+H$3-Lo_c)/Step_c)-MAX(6,MIN(INT(((Alpha_keep*$A87+H$3-Lo_c)/Step_c)+0.00000001),193)))*INDEX($D$5:$D$205,MAX(6,MIN(INT(((Alpha_keep*$A87+H$3-Lo_c)/Step_c)+0.00000001),193))+2)),"")</f>
        <v>-284.876799270853</v>
      </c>
      <c r="I87" s="16" t="n">
        <f aca="false">IF(Grid!G87=1,-Cost_k*I$3-Short_p*MAX(0,Floor_c-$A87)+Beta_q*((1-(((Alpha_keep*$A87+I$3-Lo_c)/Step_c)-MAX(6,MIN(INT(((Alpha_keep*$A87+I$3-Lo_c)/Step_c)+0.00000001),193))))*INDEX($D$5:$D$205,MAX(6,MIN(INT(((Alpha_keep*$A87+I$3-Lo_c)/Step_c)+0.00000001),193))+1)+(((Alpha_keep*$A87+I$3-Lo_c)/Step_c)-MAX(6,MIN(INT(((Alpha_keep*$A87+I$3-Lo_c)/Step_c)+0.00000001),193)))*INDEX($D$5:$D$205,MAX(6,MIN(INT(((Alpha_keep*$A87+I$3-Lo_c)/Step_c)+0.00000001),193))+2)),"")</f>
        <v>-283.446463682517</v>
      </c>
      <c r="J87" s="16" t="n">
        <f aca="false">IF(Grid!H87=1,-Cost_k*J$3-Short_p*MAX(0,Floor_c-$A87)+Beta_q*((1-(((Alpha_keep*$A87+J$3-Lo_c)/Step_c)-MAX(6,MIN(INT(((Alpha_keep*$A87+J$3-Lo_c)/Step_c)+0.00000001),193))))*INDEX($D$5:$D$205,MAX(6,MIN(INT(((Alpha_keep*$A87+J$3-Lo_c)/Step_c)+0.00000001),193))+1)+(((Alpha_keep*$A87+J$3-Lo_c)/Step_c)-MAX(6,MIN(INT(((Alpha_keep*$A87+J$3-Lo_c)/Step_c)+0.00000001),193)))*INDEX($D$5:$D$205,MAX(6,MIN(INT(((Alpha_keep*$A87+J$3-Lo_c)/Step_c)+0.00000001),193))+2)),"")</f>
        <v>-282.068643829909</v>
      </c>
      <c r="K87" s="16" t="n">
        <f aca="false">IF(Grid!I87=1,-Cost_k*K$3-Short_p*MAX(0,Floor_c-$A87)+Beta_q*((1-(((Alpha_keep*$A87+K$3-Lo_c)/Step_c)-MAX(6,MIN(INT(((Alpha_keep*$A87+K$3-Lo_c)/Step_c)+0.00000001),193))))*INDEX($D$5:$D$205,MAX(6,MIN(INT(((Alpha_keep*$A87+K$3-Lo_c)/Step_c)+0.00000001),193))+1)+(((Alpha_keep*$A87+K$3-Lo_c)/Step_c)-MAX(6,MIN(INT(((Alpha_keep*$A87+K$3-Lo_c)/Step_c)+0.00000001),193)))*INDEX($D$5:$D$205,MAX(6,MIN(INT(((Alpha_keep*$A87+K$3-Lo_c)/Step_c)+0.00000001),193))+2)),"")</f>
        <v>-280.749685530336</v>
      </c>
      <c r="L87" s="16" t="n">
        <f aca="false">IF(Grid!J87=1,-Cost_k*L$3-Short_p*MAX(0,Floor_c-$A87)+Beta_q*((1-(((Alpha_keep*$A87+L$3-Lo_c)/Step_c)-MAX(6,MIN(INT(((Alpha_keep*$A87+L$3-Lo_c)/Step_c)+0.00000001),193))))*INDEX($D$5:$D$205,MAX(6,MIN(INT(((Alpha_keep*$A87+L$3-Lo_c)/Step_c)+0.00000001),193))+1)+(((Alpha_keep*$A87+L$3-Lo_c)/Step_c)-MAX(6,MIN(INT(((Alpha_keep*$A87+L$3-Lo_c)/Step_c)+0.00000001),193)))*INDEX($D$5:$D$205,MAX(6,MIN(INT(((Alpha_keep*$A87+L$3-Lo_c)/Step_c)+0.00000001),193))+2)),"")</f>
        <v>-279.486345991495</v>
      </c>
      <c r="M87" s="16" t="n">
        <f aca="false">IF(Grid!K87=1,-Cost_k*M$3-Short_p*MAX(0,Floor_c-$A87)+Beta_q*((1-(((Alpha_keep*$A87+M$3-Lo_c)/Step_c)-MAX(6,MIN(INT(((Alpha_keep*$A87+M$3-Lo_c)/Step_c)+0.00000001),193))))*INDEX($D$5:$D$205,MAX(6,MIN(INT(((Alpha_keep*$A87+M$3-Lo_c)/Step_c)+0.00000001),193))+1)+(((Alpha_keep*$A87+M$3-Lo_c)/Step_c)-MAX(6,MIN(INT(((Alpha_keep*$A87+M$3-Lo_c)/Step_c)+0.00000001),193)))*INDEX($D$5:$D$205,MAX(6,MIN(INT(((Alpha_keep*$A87+M$3-Lo_c)/Step_c)+0.00000001),193))+2)),"")</f>
        <v>-278.280551533955</v>
      </c>
      <c r="N87" s="16" t="n">
        <f aca="false">IF(Grid!L87=1,-Cost_k*N$3-Short_p*MAX(0,Floor_c-$A87)+Beta_q*((1-(((Alpha_keep*$A87+N$3-Lo_c)/Step_c)-MAX(6,MIN(INT(((Alpha_keep*$A87+N$3-Lo_c)/Step_c)+0.00000001),193))))*INDEX($D$5:$D$205,MAX(6,MIN(INT(((Alpha_keep*$A87+N$3-Lo_c)/Step_c)+0.00000001),193))+1)+(((Alpha_keep*$A87+N$3-Lo_c)/Step_c)-MAX(6,MIN(INT(((Alpha_keep*$A87+N$3-Lo_c)/Step_c)+0.00000001),193)))*INDEX($D$5:$D$205,MAX(6,MIN(INT(((Alpha_keep*$A87+N$3-Lo_c)/Step_c)+0.00000001),193))+2)),"")</f>
        <v>-277.136498157278</v>
      </c>
      <c r="O87" s="16" t="n">
        <f aca="false">IF(Grid!M87=1,-Cost_k*O$3-Short_p*MAX(0,Floor_c-$A87)+Beta_q*((1-(((Alpha_keep*$A87+O$3-Lo_c)/Step_c)-MAX(6,MIN(INT(((Alpha_keep*$A87+O$3-Lo_c)/Step_c)+0.00000001),193))))*INDEX($D$5:$D$205,MAX(6,MIN(INT(((Alpha_keep*$A87+O$3-Lo_c)/Step_c)+0.00000001),193))+1)+(((Alpha_keep*$A87+O$3-Lo_c)/Step_c)-MAX(6,MIN(INT(((Alpha_keep*$A87+O$3-Lo_c)/Step_c)+0.00000001),193)))*INDEX($D$5:$D$205,MAX(6,MIN(INT(((Alpha_keep*$A87+O$3-Lo_c)/Step_c)+0.00000001),193))+2)),"")</f>
        <v>-276.046476412738</v>
      </c>
      <c r="P87" s="11" t="n">
        <f aca="false">MAX(E87:O87)</f>
        <v>-276.046476412738</v>
      </c>
      <c r="Q87" s="12" t="n">
        <f aca="false">INDEX($E$3:$O$3,MATCH(P87,E87:O87,0))</f>
        <v>2.5</v>
      </c>
      <c r="R87" s="20" t="n">
        <v>2.5</v>
      </c>
      <c r="S87" s="14" t="n">
        <f aca="false">IF(ABS(Q87-R87)&lt;0.000000001,1,0)</f>
        <v>1</v>
      </c>
      <c r="T87" s="21" t="n">
        <f aca="false">ABS(P87-B87)</f>
        <v>0</v>
      </c>
      <c r="U87" s="16" t="n">
        <f aca="false">Alpha_keep*A87+Q87</f>
        <v>51.7375</v>
      </c>
      <c r="V87" s="14" t="n">
        <f aca="false">INDEX(GuardBlock,83,ROUND(Q87/Step_h,0)+1)</f>
        <v>1</v>
      </c>
      <c r="W87" s="22" t="n">
        <v>1.12922684425712E-015</v>
      </c>
    </row>
    <row r="88" customFormat="false" ht="15" hidden="false" customHeight="false" outlineLevel="0" collapsed="false">
      <c r="A88" s="18" t="n">
        <f aca="false">Grid!A88</f>
        <v>50.75</v>
      </c>
      <c r="B88" s="19" t="n">
        <v>-273.67198984528</v>
      </c>
      <c r="C88" s="14" t="n">
        <v>83</v>
      </c>
      <c r="D88" s="11" t="n">
        <f aca="false">IF(AND($C88&gt;=6,$C88&lt;=194),Declarations!$B$25*INDEX($B$5:$B$205,$C88+1-Declarations!$E$25)+Declarations!$B$26*INDEX($B$5:$B$205,$C88+1-Declarations!$E$26)+Declarations!$B$27*INDEX($B$5:$B$205,$C88+1-Declarations!$E$27)+Declarations!$B$28*INDEX($B$5:$B$205,$C88+1-Declarations!$E$28)+Declarations!$B$29*INDEX($B$5:$B$205,$C88+1-Declarations!$E$29),"")</f>
        <v>-273.882703202628</v>
      </c>
      <c r="E88" s="16" t="n">
        <f aca="false">IF(Grid!C88=1,-Cost_k*E$3-Short_p*MAX(0,Floor_c-$A88)+Beta_q*((1-(((Alpha_keep*$A88+E$3-Lo_c)/Step_c)-MAX(6,MIN(INT(((Alpha_keep*$A88+E$3-Lo_c)/Step_c)+0.00000001),193))))*INDEX($D$5:$D$205,MAX(6,MIN(INT(((Alpha_keep*$A88+E$3-Lo_c)/Step_c)+0.00000001),193))+1)+(((Alpha_keep*$A88+E$3-Lo_c)/Step_c)-MAX(6,MIN(INT(((Alpha_keep*$A88+E$3-Lo_c)/Step_c)+0.00000001),193)))*INDEX($D$5:$D$205,MAX(6,MIN(INT(((Alpha_keep*$A88+E$3-Lo_c)/Step_c)+0.00000001),193))+2)),"")</f>
        <v>-286.569630181414</v>
      </c>
      <c r="F88" s="16" t="n">
        <f aca="false">IF(Grid!D88=1,-Cost_k*F$3-Short_p*MAX(0,Floor_c-$A88)+Beta_q*((1-(((Alpha_keep*$A88+F$3-Lo_c)/Step_c)-MAX(6,MIN(INT(((Alpha_keep*$A88+F$3-Lo_c)/Step_c)+0.00000001),193))))*INDEX($D$5:$D$205,MAX(6,MIN(INT(((Alpha_keep*$A88+F$3-Lo_c)/Step_c)+0.00000001),193))+1)+(((Alpha_keep*$A88+F$3-Lo_c)/Step_c)-MAX(6,MIN(INT(((Alpha_keep*$A88+F$3-Lo_c)/Step_c)+0.00000001),193)))*INDEX($D$5:$D$205,MAX(6,MIN(INT(((Alpha_keep*$A88+F$3-Lo_c)/Step_c)+0.00000001),193))+2)),"")</f>
        <v>-285.027258845777</v>
      </c>
      <c r="G88" s="16" t="n">
        <f aca="false">IF(Grid!E88=1,-Cost_k*G$3-Short_p*MAX(0,Floor_c-$A88)+Beta_q*((1-(((Alpha_keep*$A88+G$3-Lo_c)/Step_c)-MAX(6,MIN(INT(((Alpha_keep*$A88+G$3-Lo_c)/Step_c)+0.00000001),193))))*INDEX($D$5:$D$205,MAX(6,MIN(INT(((Alpha_keep*$A88+G$3-Lo_c)/Step_c)+0.00000001),193))+1)+(((Alpha_keep*$A88+G$3-Lo_c)/Step_c)-MAX(6,MIN(INT(((Alpha_keep*$A88+G$3-Lo_c)/Step_c)+0.00000001),193)))*INDEX($D$5:$D$205,MAX(6,MIN(INT(((Alpha_keep*$A88+G$3-Lo_c)/Step_c)+0.00000001),193))+2)),"")</f>
        <v>-283.538906399271</v>
      </c>
      <c r="H88" s="16" t="n">
        <f aca="false">IF(Grid!F88=1,-Cost_k*H$3-Short_p*MAX(0,Floor_c-$A88)+Beta_q*((1-(((Alpha_keep*$A88+H$3-Lo_c)/Step_c)-MAX(6,MIN(INT(((Alpha_keep*$A88+H$3-Lo_c)/Step_c)+0.00000001),193))))*INDEX($D$5:$D$205,MAX(6,MIN(INT(((Alpha_keep*$A88+H$3-Lo_c)/Step_c)+0.00000001),193))+1)+(((Alpha_keep*$A88+H$3-Lo_c)/Step_c)-MAX(6,MIN(INT(((Alpha_keep*$A88+H$3-Lo_c)/Step_c)+0.00000001),193)))*INDEX($D$5:$D$205,MAX(6,MIN(INT(((Alpha_keep*$A88+H$3-Lo_c)/Step_c)+0.00000001),193))+2)),"")</f>
        <v>-282.107151085977</v>
      </c>
      <c r="I88" s="16" t="n">
        <f aca="false">IF(Grid!G88=1,-Cost_k*I$3-Short_p*MAX(0,Floor_c-$A88)+Beta_q*((1-(((Alpha_keep*$A88+I$3-Lo_c)/Step_c)-MAX(6,MIN(INT(((Alpha_keep*$A88+I$3-Lo_c)/Step_c)+0.00000001),193))))*INDEX($D$5:$D$205,MAX(6,MIN(INT(((Alpha_keep*$A88+I$3-Lo_c)/Step_c)+0.00000001),193))+1)+(((Alpha_keep*$A88+I$3-Lo_c)/Step_c)-MAX(6,MIN(INT(((Alpha_keep*$A88+I$3-Lo_c)/Step_c)+0.00000001),193)))*INDEX($D$5:$D$205,MAX(6,MIN(INT(((Alpha_keep*$A88+I$3-Lo_c)/Step_c)+0.00000001),193))+2)),"")</f>
        <v>-280.72802396269</v>
      </c>
      <c r="J88" s="16" t="n">
        <f aca="false">IF(Grid!H88=1,-Cost_k*J$3-Short_p*MAX(0,Floor_c-$A88)+Beta_q*((1-(((Alpha_keep*$A88+J$3-Lo_c)/Step_c)-MAX(6,MIN(INT(((Alpha_keep*$A88+J$3-Lo_c)/Step_c)+0.00000001),193))))*INDEX($D$5:$D$205,MAX(6,MIN(INT(((Alpha_keep*$A88+J$3-Lo_c)/Step_c)+0.00000001),193))+1)+(((Alpha_keep*$A88+J$3-Lo_c)/Step_c)-MAX(6,MIN(INT(((Alpha_keep*$A88+J$3-Lo_c)/Step_c)+0.00000001),193)))*INDEX($D$5:$D$205,MAX(6,MIN(INT(((Alpha_keep*$A88+J$3-Lo_c)/Step_c)+0.00000001),193))+2)),"")</f>
        <v>-279.4075854786</v>
      </c>
      <c r="K88" s="16" t="n">
        <f aca="false">IF(Grid!I88=1,-Cost_k*K$3-Short_p*MAX(0,Floor_c-$A88)+Beta_q*((1-(((Alpha_keep*$A88+K$3-Lo_c)/Step_c)-MAX(6,MIN(INT(((Alpha_keep*$A88+K$3-Lo_c)/Step_c)+0.00000001),193))))*INDEX($D$5:$D$205,MAX(6,MIN(INT(((Alpha_keep*$A88+K$3-Lo_c)/Step_c)+0.00000001),193))+1)+(((Alpha_keep*$A88+K$3-Lo_c)/Step_c)-MAX(6,MIN(INT(((Alpha_keep*$A88+K$3-Lo_c)/Step_c)+0.00000001),193)))*INDEX($D$5:$D$205,MAX(6,MIN(INT(((Alpha_keep*$A88+K$3-Lo_c)/Step_c)+0.00000001),193))+2)),"")</f>
        <v>-278.142860192609</v>
      </c>
      <c r="L88" s="16" t="n">
        <f aca="false">IF(Grid!J88=1,-Cost_k*L$3-Short_p*MAX(0,Floor_c-$A88)+Beta_q*((1-(((Alpha_keep*$A88+L$3-Lo_c)/Step_c)-MAX(6,MIN(INT(((Alpha_keep*$A88+L$3-Lo_c)/Step_c)+0.00000001),193))))*INDEX($D$5:$D$205,MAX(6,MIN(INT(((Alpha_keep*$A88+L$3-Lo_c)/Step_c)+0.00000001),193))+1)+(((Alpha_keep*$A88+L$3-Lo_c)/Step_c)-MAX(6,MIN(INT(((Alpha_keep*$A88+L$3-Lo_c)/Step_c)+0.00000001),193)))*INDEX($D$5:$D$205,MAX(6,MIN(INT(((Alpha_keep*$A88+L$3-Lo_c)/Step_c)+0.00000001),193))+2)),"")</f>
        <v>-276.935624324884</v>
      </c>
      <c r="M88" s="16" t="n">
        <f aca="false">IF(Grid!K88=1,-Cost_k*M$3-Short_p*MAX(0,Floor_c-$A88)+Beta_q*((1-(((Alpha_keep*$A88+M$3-Lo_c)/Step_c)-MAX(6,MIN(INT(((Alpha_keep*$A88+M$3-Lo_c)/Step_c)+0.00000001),193))))*INDEX($D$5:$D$205,MAX(6,MIN(INT(((Alpha_keep*$A88+M$3-Lo_c)/Step_c)+0.00000001),193))+1)+(((Alpha_keep*$A88+M$3-Lo_c)/Step_c)-MAX(6,MIN(INT(((Alpha_keep*$A88+M$3-Lo_c)/Step_c)+0.00000001),193)))*INDEX($D$5:$D$205,MAX(6,MIN(INT(((Alpha_keep*$A88+M$3-Lo_c)/Step_c)+0.00000001),193))+2)),"")</f>
        <v>-275.790022046615</v>
      </c>
      <c r="N88" s="16" t="n">
        <f aca="false">IF(Grid!L88=1,-Cost_k*N$3-Short_p*MAX(0,Floor_c-$A88)+Beta_q*((1-(((Alpha_keep*$A88+N$3-Lo_c)/Step_c)-MAX(6,MIN(INT(((Alpha_keep*$A88+N$3-Lo_c)/Step_c)+0.00000001),193))))*INDEX($D$5:$D$205,MAX(6,MIN(INT(((Alpha_keep*$A88+N$3-Lo_c)/Step_c)+0.00000001),193))+1)+(((Alpha_keep*$A88+N$3-Lo_c)/Step_c)-MAX(6,MIN(INT(((Alpha_keep*$A88+N$3-Lo_c)/Step_c)+0.00000001),193)))*INDEX($D$5:$D$205,MAX(6,MIN(INT(((Alpha_keep*$A88+N$3-Lo_c)/Step_c)+0.00000001),193))+2)),"")</f>
        <v>-274.698659938156</v>
      </c>
      <c r="O88" s="16" t="n">
        <f aca="false">IF(Grid!M88=1,-Cost_k*O$3-Short_p*MAX(0,Floor_c-$A88)+Beta_q*((1-(((Alpha_keep*$A88+O$3-Lo_c)/Step_c)-MAX(6,MIN(INT(((Alpha_keep*$A88+O$3-Lo_c)/Step_c)+0.00000001),193))))*INDEX($D$5:$D$205,MAX(6,MIN(INT(((Alpha_keep*$A88+O$3-Lo_c)/Step_c)+0.00000001),193))+1)+(((Alpha_keep*$A88+O$3-Lo_c)/Step_c)-MAX(6,MIN(INT(((Alpha_keep*$A88+O$3-Lo_c)/Step_c)+0.00000001),193)))*INDEX($D$5:$D$205,MAX(6,MIN(INT(((Alpha_keep*$A88+O$3-Lo_c)/Step_c)+0.00000001),193))+2)),"")</f>
        <v>-273.67198984528</v>
      </c>
      <c r="P88" s="11" t="n">
        <f aca="false">MAX(E88:O88)</f>
        <v>-273.67198984528</v>
      </c>
      <c r="Q88" s="12" t="n">
        <f aca="false">INDEX($E$3:$O$3,MATCH(P88,E88:O88,0))</f>
        <v>2.5</v>
      </c>
      <c r="R88" s="20" t="n">
        <v>2.5</v>
      </c>
      <c r="S88" s="14" t="n">
        <f aca="false">IF(ABS(Q88-R88)&lt;0.000000001,1,0)</f>
        <v>1</v>
      </c>
      <c r="T88" s="21" t="n">
        <f aca="false">ABS(P88-B88)</f>
        <v>0</v>
      </c>
      <c r="U88" s="16" t="n">
        <f aca="false">Alpha_keep*A88+Q88</f>
        <v>51.98125</v>
      </c>
      <c r="V88" s="14" t="n">
        <f aca="false">INDEX(GuardBlock,84,ROUND(Q88/Step_h,0)+1)</f>
        <v>1</v>
      </c>
      <c r="W88" s="22" t="n">
        <v>1.19328504806538E-014</v>
      </c>
    </row>
    <row r="89" customFormat="false" ht="15" hidden="false" customHeight="false" outlineLevel="0" collapsed="false">
      <c r="A89" s="18" t="n">
        <f aca="false">Grid!A89</f>
        <v>51</v>
      </c>
      <c r="B89" s="19" t="n">
        <v>-271.355215915917</v>
      </c>
      <c r="C89" s="14" t="n">
        <v>84</v>
      </c>
      <c r="D89" s="11" t="n">
        <f aca="false">IF(AND($C89&gt;=6,$C89&lt;=194),Declarations!$B$25*INDEX($B$5:$B$205,$C89+1-Declarations!$E$25)+Declarations!$B$26*INDEX($B$5:$B$205,$C89+1-Declarations!$E$26)+Declarations!$B$27*INDEX($B$5:$B$205,$C89+1-Declarations!$E$27)+Declarations!$B$28*INDEX($B$5:$B$205,$C89+1-Declarations!$E$28)+Declarations!$B$29*INDEX($B$5:$B$205,$C89+1-Declarations!$E$29),"")</f>
        <v>-271.567624523106</v>
      </c>
      <c r="E89" s="16" t="n">
        <f aca="false">IF(Grid!C89=1,-Cost_k*E$3-Short_p*MAX(0,Floor_c-$A89)+Beta_q*((1-(((Alpha_keep*$A89+E$3-Lo_c)/Step_c)-MAX(6,MIN(INT(((Alpha_keep*$A89+E$3-Lo_c)/Step_c)+0.00000001),193))))*INDEX($D$5:$D$205,MAX(6,MIN(INT(((Alpha_keep*$A89+E$3-Lo_c)/Step_c)+0.00000001),193))+1)+(((Alpha_keep*$A89+E$3-Lo_c)/Step_c)-MAX(6,MIN(INT(((Alpha_keep*$A89+E$3-Lo_c)/Step_c)+0.00000001),193)))*INDEX($D$5:$D$205,MAX(6,MIN(INT(((Alpha_keep*$A89+E$3-Lo_c)/Step_c)+0.00000001),193))+2)),"")</f>
        <v>-283.690721744125</v>
      </c>
      <c r="F89" s="16" t="n">
        <f aca="false">IF(Grid!D89=1,-Cost_k*F$3-Short_p*MAX(0,Floor_c-$A89)+Beta_q*((1-(((Alpha_keep*$A89+F$3-Lo_c)/Step_c)-MAX(6,MIN(INT(((Alpha_keep*$A89+F$3-Lo_c)/Step_c)+0.00000001),193))))*INDEX($D$5:$D$205,MAX(6,MIN(INT(((Alpha_keep*$A89+F$3-Lo_c)/Step_c)+0.00000001),193))+1)+(((Alpha_keep*$A89+F$3-Lo_c)/Step_c)-MAX(6,MIN(INT(((Alpha_keep*$A89+F$3-Lo_c)/Step_c)+0.00000001),193)))*INDEX($D$5:$D$205,MAX(6,MIN(INT(((Alpha_keep*$A89+F$3-Lo_c)/Step_c)+0.00000001),193))+2)),"")</f>
        <v>-282.201013527688</v>
      </c>
      <c r="G89" s="16" t="n">
        <f aca="false">IF(Grid!E89=1,-Cost_k*G$3-Short_p*MAX(0,Floor_c-$A89)+Beta_q*((1-(((Alpha_keep*$A89+G$3-Lo_c)/Step_c)-MAX(6,MIN(INT(((Alpha_keep*$A89+G$3-Lo_c)/Step_c)+0.00000001),193))))*INDEX($D$5:$D$205,MAX(6,MIN(INT(((Alpha_keep*$A89+G$3-Lo_c)/Step_c)+0.00000001),193))+1)+(((Alpha_keep*$A89+G$3-Lo_c)/Step_c)-MAX(6,MIN(INT(((Alpha_keep*$A89+G$3-Lo_c)/Step_c)+0.00000001),193)))*INDEX($D$5:$D$205,MAX(6,MIN(INT(((Alpha_keep*$A89+G$3-Lo_c)/Step_c)+0.00000001),193))+2)),"")</f>
        <v>-280.767838489437</v>
      </c>
      <c r="H89" s="16" t="n">
        <f aca="false">IF(Grid!F89=1,-Cost_k*H$3-Short_p*MAX(0,Floor_c-$A89)+Beta_q*((1-(((Alpha_keep*$A89+H$3-Lo_c)/Step_c)-MAX(6,MIN(INT(((Alpha_keep*$A89+H$3-Lo_c)/Step_c)+0.00000001),193))))*INDEX($D$5:$D$205,MAX(6,MIN(INT(((Alpha_keep*$A89+H$3-Lo_c)/Step_c)+0.00000001),193))+1)+(((Alpha_keep*$A89+H$3-Lo_c)/Step_c)-MAX(6,MIN(INT(((Alpha_keep*$A89+H$3-Lo_c)/Step_c)+0.00000001),193)))*INDEX($D$5:$D$205,MAX(6,MIN(INT(((Alpha_keep*$A89+H$3-Lo_c)/Step_c)+0.00000001),193))+2)),"")</f>
        <v>-279.387404095471</v>
      </c>
      <c r="I89" s="16" t="n">
        <f aca="false">IF(Grid!G89=1,-Cost_k*I$3-Short_p*MAX(0,Floor_c-$A89)+Beta_q*((1-(((Alpha_keep*$A89+I$3-Lo_c)/Step_c)-MAX(6,MIN(INT(((Alpha_keep*$A89+I$3-Lo_c)/Step_c)+0.00000001),193))))*INDEX($D$5:$D$205,MAX(6,MIN(INT(((Alpha_keep*$A89+I$3-Lo_c)/Step_c)+0.00000001),193))+1)+(((Alpha_keep*$A89+I$3-Lo_c)/Step_c)-MAX(6,MIN(INT(((Alpha_keep*$A89+I$3-Lo_c)/Step_c)+0.00000001),193)))*INDEX($D$5:$D$205,MAX(6,MIN(INT(((Alpha_keep*$A89+I$3-Lo_c)/Step_c)+0.00000001),193))+2)),"")</f>
        <v>-278.065485426863</v>
      </c>
      <c r="J89" s="16" t="n">
        <f aca="false">IF(Grid!H89=1,-Cost_k*J$3-Short_p*MAX(0,Floor_c-$A89)+Beta_q*((1-(((Alpha_keep*$A89+J$3-Lo_c)/Step_c)-MAX(6,MIN(INT(((Alpha_keep*$A89+J$3-Lo_c)/Step_c)+0.00000001),193))))*INDEX($D$5:$D$205,MAX(6,MIN(INT(((Alpha_keep*$A89+J$3-Lo_c)/Step_c)+0.00000001),193))+1)+(((Alpha_keep*$A89+J$3-Lo_c)/Step_c)-MAX(6,MIN(INT(((Alpha_keep*$A89+J$3-Lo_c)/Step_c)+0.00000001),193)))*INDEX($D$5:$D$205,MAX(6,MIN(INT(((Alpha_keep*$A89+J$3-Lo_c)/Step_c)+0.00000001),193))+2)),"")</f>
        <v>-276.799374393722</v>
      </c>
      <c r="K89" s="16" t="n">
        <f aca="false">IF(Grid!I89=1,-Cost_k*K$3-Short_p*MAX(0,Floor_c-$A89)+Beta_q*((1-(((Alpha_keep*$A89+K$3-Lo_c)/Step_c)-MAX(6,MIN(INT(((Alpha_keep*$A89+K$3-Lo_c)/Step_c)+0.00000001),193))))*INDEX($D$5:$D$205,MAX(6,MIN(INT(((Alpha_keep*$A89+K$3-Lo_c)/Step_c)+0.00000001),193))+1)+(((Alpha_keep*$A89+K$3-Lo_c)/Step_c)-MAX(6,MIN(INT(((Alpha_keep*$A89+K$3-Lo_c)/Step_c)+0.00000001),193)))*INDEX($D$5:$D$205,MAX(6,MIN(INT(((Alpha_keep*$A89+K$3-Lo_c)/Step_c)+0.00000001),193))+2)),"")</f>
        <v>-275.590697115814</v>
      </c>
      <c r="L89" s="16" t="n">
        <f aca="false">IF(Grid!J89=1,-Cost_k*L$3-Short_p*MAX(0,Floor_c-$A89)+Beta_q*((1-(((Alpha_keep*$A89+L$3-Lo_c)/Step_c)-MAX(6,MIN(INT(((Alpha_keep*$A89+L$3-Lo_c)/Step_c)+0.00000001),193))))*INDEX($D$5:$D$205,MAX(6,MIN(INT(((Alpha_keep*$A89+L$3-Lo_c)/Step_c)+0.00000001),193))+1)+(((Alpha_keep*$A89+L$3-Lo_c)/Step_c)-MAX(6,MIN(INT(((Alpha_keep*$A89+L$3-Lo_c)/Step_c)+0.00000001),193)))*INDEX($D$5:$D$205,MAX(6,MIN(INT(((Alpha_keep*$A89+L$3-Lo_c)/Step_c)+0.00000001),193))+2)),"")</f>
        <v>-274.443545935953</v>
      </c>
      <c r="M89" s="16" t="n">
        <f aca="false">IF(Grid!K89=1,-Cost_k*M$3-Short_p*MAX(0,Floor_c-$A89)+Beta_q*((1-(((Alpha_keep*$A89+M$3-Lo_c)/Step_c)-MAX(6,MIN(INT(((Alpha_keep*$A89+M$3-Lo_c)/Step_c)+0.00000001),193))))*INDEX($D$5:$D$205,MAX(6,MIN(INT(((Alpha_keep*$A89+M$3-Lo_c)/Step_c)+0.00000001),193))+1)+(((Alpha_keep*$A89+M$3-Lo_c)/Step_c)-MAX(6,MIN(INT(((Alpha_keep*$A89+M$3-Lo_c)/Step_c)+0.00000001),193)))*INDEX($D$5:$D$205,MAX(6,MIN(INT(((Alpha_keep*$A89+M$3-Lo_c)/Step_c)+0.00000001),193))+2)),"")</f>
        <v>-273.350843463573</v>
      </c>
      <c r="N89" s="16" t="n">
        <f aca="false">IF(Grid!L89=1,-Cost_k*N$3-Short_p*MAX(0,Floor_c-$A89)+Beta_q*((1-(((Alpha_keep*$A89+N$3-Lo_c)/Step_c)-MAX(6,MIN(INT(((Alpha_keep*$A89+N$3-Lo_c)/Step_c)+0.00000001),193))))*INDEX($D$5:$D$205,MAX(6,MIN(INT(((Alpha_keep*$A89+N$3-Lo_c)/Step_c)+0.00000001),193))+1)+(((Alpha_keep*$A89+N$3-Lo_c)/Step_c)-MAX(6,MIN(INT(((Alpha_keep*$A89+N$3-Lo_c)/Step_c)+0.00000001),193)))*INDEX($D$5:$D$205,MAX(6,MIN(INT(((Alpha_keep*$A89+N$3-Lo_c)/Step_c)+0.00000001),193))+2)),"")</f>
        <v>-272.322533616</v>
      </c>
      <c r="O89" s="16" t="n">
        <f aca="false">IF(Grid!M89=1,-Cost_k*O$3-Short_p*MAX(0,Floor_c-$A89)+Beta_q*((1-(((Alpha_keep*$A89+O$3-Lo_c)/Step_c)-MAX(6,MIN(INT(((Alpha_keep*$A89+O$3-Lo_c)/Step_c)+0.00000001),193))))*INDEX($D$5:$D$205,MAX(6,MIN(INT(((Alpha_keep*$A89+O$3-Lo_c)/Step_c)+0.00000001),193))+1)+(((Alpha_keep*$A89+O$3-Lo_c)/Step_c)-MAX(6,MIN(INT(((Alpha_keep*$A89+O$3-Lo_c)/Step_c)+0.00000001),193)))*INDEX($D$5:$D$205,MAX(6,MIN(INT(((Alpha_keep*$A89+O$3-Lo_c)/Step_c)+0.00000001),193))+2)),"")</f>
        <v>-271.355215915917</v>
      </c>
      <c r="P89" s="11" t="n">
        <f aca="false">MAX(E89:O89)</f>
        <v>-271.355215915917</v>
      </c>
      <c r="Q89" s="12" t="n">
        <f aca="false">INDEX($E$3:$O$3,MATCH(P89,E89:O89,0))</f>
        <v>2.5</v>
      </c>
      <c r="R89" s="20" t="n">
        <v>2.5</v>
      </c>
      <c r="S89" s="14" t="n">
        <f aca="false">IF(ABS(Q89-R89)&lt;0.000000001,1,0)</f>
        <v>1</v>
      </c>
      <c r="T89" s="21" t="n">
        <f aca="false">ABS(P89-B89)</f>
        <v>0</v>
      </c>
      <c r="U89" s="16" t="n">
        <f aca="false">Alpha_keep*A89+Q89</f>
        <v>52.225</v>
      </c>
      <c r="V89" s="14" t="n">
        <f aca="false">INDEX(GuardBlock,85,ROUND(Q89/Step_h,0)+1)</f>
        <v>1</v>
      </c>
      <c r="W89" s="22" t="n">
        <v>1.15072224253957E-013</v>
      </c>
    </row>
    <row r="90" customFormat="false" ht="15" hidden="false" customHeight="false" outlineLevel="0" collapsed="false">
      <c r="A90" s="18" t="n">
        <f aca="false">Grid!A90</f>
        <v>51.25</v>
      </c>
      <c r="B90" s="19" t="n">
        <v>-269.095249241087</v>
      </c>
      <c r="C90" s="14" t="n">
        <v>85</v>
      </c>
      <c r="D90" s="11" t="n">
        <f aca="false">IF(AND($C90&gt;=6,$C90&lt;=194),Declarations!$B$25*INDEX($B$5:$B$205,$C90+1-Declarations!$E$25)+Declarations!$B$26*INDEX($B$5:$B$205,$C90+1-Declarations!$E$26)+Declarations!$B$27*INDEX($B$5:$B$205,$C90+1-Declarations!$E$27)+Declarations!$B$28*INDEX($B$5:$B$205,$C90+1-Declarations!$E$28)+Declarations!$B$29*INDEX($B$5:$B$205,$C90+1-Declarations!$E$29),"")</f>
        <v>-269.311592559636</v>
      </c>
      <c r="E90" s="16" t="n">
        <f aca="false">IF(Grid!C90=1,-Cost_k*E$3-Short_p*MAX(0,Floor_c-$A90)+Beta_q*((1-(((Alpha_keep*$A90+E$3-Lo_c)/Step_c)-MAX(6,MIN(INT(((Alpha_keep*$A90+E$3-Lo_c)/Step_c)+0.00000001),193))))*INDEX($D$5:$D$205,MAX(6,MIN(INT(((Alpha_keep*$A90+E$3-Lo_c)/Step_c)+0.00000001),193))+1)+(((Alpha_keep*$A90+E$3-Lo_c)/Step_c)-MAX(6,MIN(INT(((Alpha_keep*$A90+E$3-Lo_c)/Step_c)+0.00000001),193)))*INDEX($D$5:$D$205,MAX(6,MIN(INT(((Alpha_keep*$A90+E$3-Lo_c)/Step_c)+0.00000001),193))+2)),"")</f>
        <v>-280.863120656106</v>
      </c>
      <c r="F90" s="16" t="n">
        <f aca="false">IF(Grid!D90=1,-Cost_k*F$3-Short_p*MAX(0,Floor_c-$A90)+Beta_q*((1-(((Alpha_keep*$A90+F$3-Lo_c)/Step_c)-MAX(6,MIN(INT(((Alpha_keep*$A90+F$3-Lo_c)/Step_c)+0.00000001),193))))*INDEX($D$5:$D$205,MAX(6,MIN(INT(((Alpha_keep*$A90+F$3-Lo_c)/Step_c)+0.00000001),193))+1)+(((Alpha_keep*$A90+F$3-Lo_c)/Step_c)-MAX(6,MIN(INT(((Alpha_keep*$A90+F$3-Lo_c)/Step_c)+0.00000001),193)))*INDEX($D$5:$D$205,MAX(6,MIN(INT(((Alpha_keep*$A90+F$3-Lo_c)/Step_c)+0.00000001),193))+2)),"")</f>
        <v>-279.428525892898</v>
      </c>
      <c r="G90" s="16" t="n">
        <f aca="false">IF(Grid!E90=1,-Cost_k*G$3-Short_p*MAX(0,Floor_c-$A90)+Beta_q*((1-(((Alpha_keep*$A90+G$3-Lo_c)/Step_c)-MAX(6,MIN(INT(((Alpha_keep*$A90+G$3-Lo_c)/Step_c)+0.00000001),193))))*INDEX($D$5:$D$205,MAX(6,MIN(INT(((Alpha_keep*$A90+G$3-Lo_c)/Step_c)+0.00000001),193))+1)+(((Alpha_keep*$A90+G$3-Lo_c)/Step_c)-MAX(6,MIN(INT(((Alpha_keep*$A90+G$3-Lo_c)/Step_c)+0.00000001),193)))*INDEX($D$5:$D$205,MAX(6,MIN(INT(((Alpha_keep*$A90+G$3-Lo_c)/Step_c)+0.00000001),193))+2)),"")</f>
        <v>-278.046784228252</v>
      </c>
      <c r="H90" s="16" t="n">
        <f aca="false">IF(Grid!F90=1,-Cost_k*H$3-Short_p*MAX(0,Floor_c-$A90)+Beta_q*((1-(((Alpha_keep*$A90+H$3-Lo_c)/Step_c)-MAX(6,MIN(INT(((Alpha_keep*$A90+H$3-Lo_c)/Step_c)+0.00000001),193))))*INDEX($D$5:$D$205,MAX(6,MIN(INT(((Alpha_keep*$A90+H$3-Lo_c)/Step_c)+0.00000001),193))+1)+(((Alpha_keep*$A90+H$3-Lo_c)/Step_c)-MAX(6,MIN(INT(((Alpha_keep*$A90+H$3-Lo_c)/Step_c)+0.00000001),193)))*INDEX($D$5:$D$205,MAX(6,MIN(INT(((Alpha_keep*$A90+H$3-Lo_c)/Step_c)+0.00000001),193))+2)),"")</f>
        <v>-276.723385375127</v>
      </c>
      <c r="I90" s="16" t="n">
        <f aca="false">IF(Grid!G90=1,-Cost_k*I$3-Short_p*MAX(0,Floor_c-$A90)+Beta_q*((1-(((Alpha_keep*$A90+I$3-Lo_c)/Step_c)-MAX(6,MIN(INT(((Alpha_keep*$A90+I$3-Lo_c)/Step_c)+0.00000001),193))))*INDEX($D$5:$D$205,MAX(6,MIN(INT(((Alpha_keep*$A90+I$3-Lo_c)/Step_c)+0.00000001),193))+1)+(((Alpha_keep*$A90+I$3-Lo_c)/Step_c)-MAX(6,MIN(INT(((Alpha_keep*$A90+I$3-Lo_c)/Step_c)+0.00000001),193)))*INDEX($D$5:$D$205,MAX(6,MIN(INT(((Alpha_keep*$A90+I$3-Lo_c)/Step_c)+0.00000001),193))+2)),"")</f>
        <v>-275.455888594836</v>
      </c>
      <c r="J90" s="16" t="n">
        <f aca="false">IF(Grid!H90=1,-Cost_k*J$3-Short_p*MAX(0,Floor_c-$A90)+Beta_q*((1-(((Alpha_keep*$A90+J$3-Lo_c)/Step_c)-MAX(6,MIN(INT(((Alpha_keep*$A90+J$3-Lo_c)/Step_c)+0.00000001),193))))*INDEX($D$5:$D$205,MAX(6,MIN(INT(((Alpha_keep*$A90+J$3-Lo_c)/Step_c)+0.00000001),193))+1)+(((Alpha_keep*$A90+J$3-Lo_c)/Step_c)-MAX(6,MIN(INT(((Alpha_keep*$A90+J$3-Lo_c)/Step_c)+0.00000001),193)))*INDEX($D$5:$D$205,MAX(6,MIN(INT(((Alpha_keep*$A90+J$3-Lo_c)/Step_c)+0.00000001),193))+2)),"")</f>
        <v>-274.245769906743</v>
      </c>
      <c r="K90" s="16" t="n">
        <f aca="false">IF(Grid!I90=1,-Cost_k*K$3-Short_p*MAX(0,Floor_c-$A90)+Beta_q*((1-(((Alpha_keep*$A90+K$3-Lo_c)/Step_c)-MAX(6,MIN(INT(((Alpha_keep*$A90+K$3-Lo_c)/Step_c)+0.00000001),193))))*INDEX($D$5:$D$205,MAX(6,MIN(INT(((Alpha_keep*$A90+K$3-Lo_c)/Step_c)+0.00000001),193))+1)+(((Alpha_keep*$A90+K$3-Lo_c)/Step_c)-MAX(6,MIN(INT(((Alpha_keep*$A90+K$3-Lo_c)/Step_c)+0.00000001),193)))*INDEX($D$5:$D$205,MAX(6,MIN(INT(((Alpha_keep*$A90+K$3-Lo_c)/Step_c)+0.00000001),193))+2)),"")</f>
        <v>-273.09706982529</v>
      </c>
      <c r="L90" s="16" t="n">
        <f aca="false">IF(Grid!J90=1,-Cost_k*L$3-Short_p*MAX(0,Floor_c-$A90)+Beta_q*((1-(((Alpha_keep*$A90+L$3-Lo_c)/Step_c)-MAX(6,MIN(INT(((Alpha_keep*$A90+L$3-Lo_c)/Step_c)+0.00000001),193))))*INDEX($D$5:$D$205,MAX(6,MIN(INT(((Alpha_keep*$A90+L$3-Lo_c)/Step_c)+0.00000001),193))+1)+(((Alpha_keep*$A90+L$3-Lo_c)/Step_c)-MAX(6,MIN(INT(((Alpha_keep*$A90+L$3-Lo_c)/Step_c)+0.00000001),193)))*INDEX($D$5:$D$205,MAX(6,MIN(INT(((Alpha_keep*$A90+L$3-Lo_c)/Step_c)+0.00000001),193))+2)),"")</f>
        <v>-272.003026988991</v>
      </c>
      <c r="M90" s="16" t="n">
        <f aca="false">IF(Grid!K90=1,-Cost_k*M$3-Short_p*MAX(0,Floor_c-$A90)+Beta_q*((1-(((Alpha_keep*$A90+M$3-Lo_c)/Step_c)-MAX(6,MIN(INT(((Alpha_keep*$A90+M$3-Lo_c)/Step_c)+0.00000001),193))))*INDEX($D$5:$D$205,MAX(6,MIN(INT(((Alpha_keep*$A90+M$3-Lo_c)/Step_c)+0.00000001),193))+1)+(((Alpha_keep*$A90+M$3-Lo_c)/Step_c)-MAX(6,MIN(INT(((Alpha_keep*$A90+M$3-Lo_c)/Step_c)+0.00000001),193)))*INDEX($D$5:$D$205,MAX(6,MIN(INT(((Alpha_keep*$A90+M$3-Lo_c)/Step_c)+0.00000001),193))+2)),"")</f>
        <v>-270.973077386719</v>
      </c>
      <c r="N90" s="16" t="n">
        <f aca="false">IF(Grid!L90=1,-Cost_k*N$3-Short_p*MAX(0,Floor_c-$A90)+Beta_q*((1-(((Alpha_keep*$A90+N$3-Lo_c)/Step_c)-MAX(6,MIN(INT(((Alpha_keep*$A90+N$3-Lo_c)/Step_c)+0.00000001),193))))*INDEX($D$5:$D$205,MAX(6,MIN(INT(((Alpha_keep*$A90+N$3-Lo_c)/Step_c)+0.00000001),193))+1)+(((Alpha_keep*$A90+N$3-Lo_c)/Step_c)-MAX(6,MIN(INT(((Alpha_keep*$A90+N$3-Lo_c)/Step_c)+0.00000001),193)))*INDEX($D$5:$D$205,MAX(6,MIN(INT(((Alpha_keep*$A90+N$3-Lo_c)/Step_c)+0.00000001),193))+2)),"")</f>
        <v>-270.004247655283</v>
      </c>
      <c r="O90" s="16" t="n">
        <f aca="false">IF(Grid!M90=1,-Cost_k*O$3-Short_p*MAX(0,Floor_c-$A90)+Beta_q*((1-(((Alpha_keep*$A90+O$3-Lo_c)/Step_c)-MAX(6,MIN(INT(((Alpha_keep*$A90+O$3-Lo_c)/Step_c)+0.00000001),193))))*INDEX($D$5:$D$205,MAX(6,MIN(INT(((Alpha_keep*$A90+O$3-Lo_c)/Step_c)+0.00000001),193))+1)+(((Alpha_keep*$A90+O$3-Lo_c)/Step_c)-MAX(6,MIN(INT(((Alpha_keep*$A90+O$3-Lo_c)/Step_c)+0.00000001),193)))*INDEX($D$5:$D$205,MAX(6,MIN(INT(((Alpha_keep*$A90+O$3-Lo_c)/Step_c)+0.00000001),193))+2)),"")</f>
        <v>-269.095249241087</v>
      </c>
      <c r="P90" s="11" t="n">
        <f aca="false">MAX(E90:O90)</f>
        <v>-269.095249241087</v>
      </c>
      <c r="Q90" s="12" t="n">
        <f aca="false">INDEX($E$3:$O$3,MATCH(P90,E90:O90,0))</f>
        <v>2.5</v>
      </c>
      <c r="R90" s="20" t="n">
        <v>2.5</v>
      </c>
      <c r="S90" s="14" t="n">
        <f aca="false">IF(ABS(Q90-R90)&lt;0.000000001,1,0)</f>
        <v>1</v>
      </c>
      <c r="T90" s="21" t="n">
        <f aca="false">ABS(P90-B90)</f>
        <v>0</v>
      </c>
      <c r="U90" s="16" t="n">
        <f aca="false">Alpha_keep*A90+Q90</f>
        <v>52.46875</v>
      </c>
      <c r="V90" s="14" t="n">
        <f aca="false">INDEX(GuardBlock,86,ROUND(Q90/Step_h,0)+1)</f>
        <v>1</v>
      </c>
      <c r="W90" s="22" t="n">
        <v>1.07588014811397E-012</v>
      </c>
    </row>
    <row r="91" customFormat="false" ht="15" hidden="false" customHeight="false" outlineLevel="0" collapsed="false">
      <c r="A91" s="18" t="n">
        <f aca="false">Grid!A91</f>
        <v>51.5</v>
      </c>
      <c r="B91" s="19" t="n">
        <v>-266.900232566976</v>
      </c>
      <c r="C91" s="14" t="n">
        <v>86</v>
      </c>
      <c r="D91" s="11" t="n">
        <f aca="false">IF(AND($C91&gt;=6,$C91&lt;=194),Declarations!$B$25*INDEX($B$5:$B$205,$C91+1-Declarations!$E$25)+Declarations!$B$26*INDEX($B$5:$B$205,$C91+1-Declarations!$E$26)+Declarations!$B$27*INDEX($B$5:$B$205,$C91+1-Declarations!$E$27)+Declarations!$B$28*INDEX($B$5:$B$205,$C91+1-Declarations!$E$28)+Declarations!$B$29*INDEX($B$5:$B$205,$C91+1-Declarations!$E$29),"")</f>
        <v>-267.1190106491</v>
      </c>
      <c r="E91" s="16" t="n">
        <f aca="false">IF(Grid!C91=1,-Cost_k*E$3-Short_p*MAX(0,Floor_c-$A91)+Beta_q*((1-(((Alpha_keep*$A91+E$3-Lo_c)/Step_c)-MAX(6,MIN(INT(((Alpha_keep*$A91+E$3-Lo_c)/Step_c)+0.00000001),193))))*INDEX($D$5:$D$205,MAX(6,MIN(INT(((Alpha_keep*$A91+E$3-Lo_c)/Step_c)+0.00000001),193))+1)+(((Alpha_keep*$A91+E$3-Lo_c)/Step_c)-MAX(6,MIN(INT(((Alpha_keep*$A91+E$3-Lo_c)/Step_c)+0.00000001),193)))*INDEX($D$5:$D$205,MAX(6,MIN(INT(((Alpha_keep*$A91+E$3-Lo_c)/Step_c)+0.00000001),193))+2)),"")</f>
        <v>-278.089213296359</v>
      </c>
      <c r="F91" s="16" t="n">
        <f aca="false">IF(Grid!D91=1,-Cost_k*F$3-Short_p*MAX(0,Floor_c-$A91)+Beta_q*((1-(((Alpha_keep*$A91+F$3-Lo_c)/Step_c)-MAX(6,MIN(INT(((Alpha_keep*$A91+F$3-Lo_c)/Step_c)+0.00000001),193))))*INDEX($D$5:$D$205,MAX(6,MIN(INT(((Alpha_keep*$A91+F$3-Lo_c)/Step_c)+0.00000001),193))+1)+(((Alpha_keep*$A91+F$3-Lo_c)/Step_c)-MAX(6,MIN(INT(((Alpha_keep*$A91+F$3-Lo_c)/Step_c)+0.00000001),193)))*INDEX($D$5:$D$205,MAX(6,MIN(INT(((Alpha_keep*$A91+F$3-Lo_c)/Step_c)+0.00000001),193))+2)),"")</f>
        <v>-276.706164361034</v>
      </c>
      <c r="G91" s="16" t="n">
        <f aca="false">IF(Grid!E91=1,-Cost_k*G$3-Short_p*MAX(0,Floor_c-$A91)+Beta_q*((1-(((Alpha_keep*$A91+G$3-Lo_c)/Step_c)-MAX(6,MIN(INT(((Alpha_keep*$A91+G$3-Lo_c)/Step_c)+0.00000001),193))))*INDEX($D$5:$D$205,MAX(6,MIN(INT(((Alpha_keep*$A91+G$3-Lo_c)/Step_c)+0.00000001),193))+1)+(((Alpha_keep*$A91+G$3-Lo_c)/Step_c)-MAX(6,MIN(INT(((Alpha_keep*$A91+G$3-Lo_c)/Step_c)+0.00000001),193)))*INDEX($D$5:$D$205,MAX(6,MIN(INT(((Alpha_keep*$A91+G$3-Lo_c)/Step_c)+0.00000001),193))+2)),"")</f>
        <v>-275.38128532339</v>
      </c>
      <c r="H91" s="16" t="n">
        <f aca="false">IF(Grid!F91=1,-Cost_k*H$3-Short_p*MAX(0,Floor_c-$A91)+Beta_q*((1-(((Alpha_keep*$A91+H$3-Lo_c)/Step_c)-MAX(6,MIN(INT(((Alpha_keep*$A91+H$3-Lo_c)/Step_c)+0.00000001),193))))*INDEX($D$5:$D$205,MAX(6,MIN(INT(((Alpha_keep*$A91+H$3-Lo_c)/Step_c)+0.00000001),193))+1)+(((Alpha_keep*$A91+H$3-Lo_c)/Step_c)-MAX(6,MIN(INT(((Alpha_keep*$A91+H$3-Lo_c)/Step_c)+0.00000001),193)))*INDEX($D$5:$D$205,MAX(6,MIN(INT(((Alpha_keep*$A91+H$3-Lo_c)/Step_c)+0.00000001),193))+2)),"")</f>
        <v>-274.112402795949</v>
      </c>
      <c r="I91" s="16" t="n">
        <f aca="false">IF(Grid!G91=1,-Cost_k*I$3-Short_p*MAX(0,Floor_c-$A91)+Beta_q*((1-(((Alpha_keep*$A91+I$3-Lo_c)/Step_c)-MAX(6,MIN(INT(((Alpha_keep*$A91+I$3-Lo_c)/Step_c)+0.00000001),193))))*INDEX($D$5:$D$205,MAX(6,MIN(INT(((Alpha_keep*$A91+I$3-Lo_c)/Step_c)+0.00000001),193))+1)+(((Alpha_keep*$A91+I$3-Lo_c)/Step_c)-MAX(6,MIN(INT(((Alpha_keep*$A91+I$3-Lo_c)/Step_c)+0.00000001),193)))*INDEX($D$5:$D$205,MAX(6,MIN(INT(((Alpha_keep*$A91+I$3-Lo_c)/Step_c)+0.00000001),193))+2)),"")</f>
        <v>-272.900842697672</v>
      </c>
      <c r="J91" s="16" t="n">
        <f aca="false">IF(Grid!H91=1,-Cost_k*J$3-Short_p*MAX(0,Floor_c-$A91)+Beta_q*((1-(((Alpha_keep*$A91+J$3-Lo_c)/Step_c)-MAX(6,MIN(INT(((Alpha_keep*$A91+J$3-Lo_c)/Step_c)+0.00000001),193))))*INDEX($D$5:$D$205,MAX(6,MIN(INT(((Alpha_keep*$A91+J$3-Lo_c)/Step_c)+0.00000001),193))+1)+(((Alpha_keep*$A91+J$3-Lo_c)/Step_c)-MAX(6,MIN(INT(((Alpha_keep*$A91+J$3-Lo_c)/Step_c)+0.00000001),193)))*INDEX($D$5:$D$205,MAX(6,MIN(INT(((Alpha_keep*$A91+J$3-Lo_c)/Step_c)+0.00000001),193))+2)),"")</f>
        <v>-271.750593714627</v>
      </c>
      <c r="K91" s="16" t="n">
        <f aca="false">IF(Grid!I91=1,-Cost_k*K$3-Short_p*MAX(0,Floor_c-$A91)+Beta_q*((1-(((Alpha_keep*$A91+K$3-Lo_c)/Step_c)-MAX(6,MIN(INT(((Alpha_keep*$A91+K$3-Lo_c)/Step_c)+0.00000001),193))))*INDEX($D$5:$D$205,MAX(6,MIN(INT(((Alpha_keep*$A91+K$3-Lo_c)/Step_c)+0.00000001),193))+1)+(((Alpha_keep*$A91+K$3-Lo_c)/Step_c)-MAX(6,MIN(INT(((Alpha_keep*$A91+K$3-Lo_c)/Step_c)+0.00000001),193)))*INDEX($D$5:$D$205,MAX(6,MIN(INT(((Alpha_keep*$A91+K$3-Lo_c)/Step_c)+0.00000001),193))+2)),"")</f>
        <v>-270.655210514408</v>
      </c>
      <c r="L91" s="16" t="n">
        <f aca="false">IF(Grid!J91=1,-Cost_k*L$3-Short_p*MAX(0,Floor_c-$A91)+Beta_q*((1-(((Alpha_keep*$A91+L$3-Lo_c)/Step_c)-MAX(6,MIN(INT(((Alpha_keep*$A91+L$3-Lo_c)/Step_c)+0.00000001),193))))*INDEX($D$5:$D$205,MAX(6,MIN(INT(((Alpha_keep*$A91+L$3-Lo_c)/Step_c)+0.00000001),193))+1)+(((Alpha_keep*$A91+L$3-Lo_c)/Step_c)-MAX(6,MIN(INT(((Alpha_keep*$A91+L$3-Lo_c)/Step_c)+0.00000001),193)))*INDEX($D$5:$D$205,MAX(6,MIN(INT(((Alpha_keep*$A91+L$3-Lo_c)/Step_c)+0.00000001),193))+2)),"")</f>
        <v>-269.623621157439</v>
      </c>
      <c r="M91" s="16" t="n">
        <f aca="false">IF(Grid!K91=1,-Cost_k*M$3-Short_p*MAX(0,Floor_c-$A91)+Beta_q*((1-(((Alpha_keep*$A91+M$3-Lo_c)/Step_c)-MAX(6,MIN(INT(((Alpha_keep*$A91+M$3-Lo_c)/Step_c)+0.00000001),193))))*INDEX($D$5:$D$205,MAX(6,MIN(INT(((Alpha_keep*$A91+M$3-Lo_c)/Step_c)+0.00000001),193))+1)+(((Alpha_keep*$A91+M$3-Lo_c)/Step_c)-MAX(6,MIN(INT(((Alpha_keep*$A91+M$3-Lo_c)/Step_c)+0.00000001),193)))*INDEX($D$5:$D$205,MAX(6,MIN(INT(((Alpha_keep*$A91+M$3-Lo_c)/Step_c)+0.00000001),193))+2)),"")</f>
        <v>-268.65327939465</v>
      </c>
      <c r="N91" s="16" t="n">
        <f aca="false">IF(Grid!L91=1,-Cost_k*N$3-Short_p*MAX(0,Floor_c-$A91)+Beta_q*((1-(((Alpha_keep*$A91+N$3-Lo_c)/Step_c)-MAX(6,MIN(INT(((Alpha_keep*$A91+N$3-Lo_c)/Step_c)+0.00000001),193))))*INDEX($D$5:$D$205,MAX(6,MIN(INT(((Alpha_keep*$A91+N$3-Lo_c)/Step_c)+0.00000001),193))+1)+(((Alpha_keep*$A91+N$3-Lo_c)/Step_c)-MAX(6,MIN(INT(((Alpha_keep*$A91+N$3-Lo_c)/Step_c)+0.00000001),193)))*INDEX($D$5:$D$205,MAX(6,MIN(INT(((Alpha_keep*$A91+N$3-Lo_c)/Step_c)+0.00000001),193))+2)),"")</f>
        <v>-267.742787518726</v>
      </c>
      <c r="O91" s="16" t="n">
        <f aca="false">IF(Grid!M91=1,-Cost_k*O$3-Short_p*MAX(0,Floor_c-$A91)+Beta_q*((1-(((Alpha_keep*$A91+O$3-Lo_c)/Step_c)-MAX(6,MIN(INT(((Alpha_keep*$A91+O$3-Lo_c)/Step_c)+0.00000001),193))))*INDEX($D$5:$D$205,MAX(6,MIN(INT(((Alpha_keep*$A91+O$3-Lo_c)/Step_c)+0.00000001),193))+1)+(((Alpha_keep*$A91+O$3-Lo_c)/Step_c)-MAX(6,MIN(INT(((Alpha_keep*$A91+O$3-Lo_c)/Step_c)+0.00000001),193)))*INDEX($D$5:$D$205,MAX(6,MIN(INT(((Alpha_keep*$A91+O$3-Lo_c)/Step_c)+0.00000001),193))+2)),"")</f>
        <v>-266.900232566976</v>
      </c>
      <c r="P91" s="11" t="n">
        <f aca="false">MAX(E91:O91)</f>
        <v>-266.900232566976</v>
      </c>
      <c r="Q91" s="12" t="n">
        <f aca="false">INDEX($E$3:$O$3,MATCH(P91,E91:O91,0))</f>
        <v>2.5</v>
      </c>
      <c r="R91" s="20" t="n">
        <v>2.5</v>
      </c>
      <c r="S91" s="14" t="n">
        <f aca="false">IF(ABS(Q91-R91)&lt;0.000000001,1,0)</f>
        <v>1</v>
      </c>
      <c r="T91" s="21" t="n">
        <f aca="false">ABS(P91-B91)</f>
        <v>0</v>
      </c>
      <c r="U91" s="16" t="n">
        <f aca="false">Alpha_keep*A91+Q91</f>
        <v>52.7125</v>
      </c>
      <c r="V91" s="14" t="n">
        <f aca="false">INDEX(GuardBlock,87,ROUND(Q91/Step_h,0)+1)</f>
        <v>1</v>
      </c>
      <c r="W91" s="22" t="n">
        <v>9.01455262259781E-012</v>
      </c>
    </row>
    <row r="92" customFormat="false" ht="15" hidden="false" customHeight="false" outlineLevel="0" collapsed="false">
      <c r="A92" s="18" t="n">
        <f aca="false">Grid!A92</f>
        <v>51.75</v>
      </c>
      <c r="B92" s="19" t="n">
        <v>-264.757389950252</v>
      </c>
      <c r="C92" s="14" t="n">
        <v>87</v>
      </c>
      <c r="D92" s="11" t="n">
        <f aca="false">IF(AND($C92&gt;=6,$C92&lt;=194),Declarations!$B$25*INDEX($B$5:$B$205,$C92+1-Declarations!$E$25)+Declarations!$B$26*INDEX($B$5:$B$205,$C92+1-Declarations!$E$26)+Declarations!$B$27*INDEX($B$5:$B$205,$C92+1-Declarations!$E$27)+Declarations!$B$28*INDEX($B$5:$B$205,$C92+1-Declarations!$E$28)+Declarations!$B$29*INDEX($B$5:$B$205,$C92+1-Declarations!$E$29),"")</f>
        <v>-264.981336140109</v>
      </c>
      <c r="E92" s="16" t="n">
        <f aca="false">IF(Grid!C92=1,-Cost_k*E$3-Short_p*MAX(0,Floor_c-$A92)+Beta_q*((1-(((Alpha_keep*$A92+E$3-Lo_c)/Step_c)-MAX(6,MIN(INT(((Alpha_keep*$A92+E$3-Lo_c)/Step_c)+0.00000001),193))))*INDEX($D$5:$D$205,MAX(6,MIN(INT(((Alpha_keep*$A92+E$3-Lo_c)/Step_c)+0.00000001),193))+1)+(((Alpha_keep*$A92+E$3-Lo_c)/Step_c)-MAX(6,MIN(INT(((Alpha_keep*$A92+E$3-Lo_c)/Step_c)+0.00000001),193)))*INDEX($D$5:$D$205,MAX(6,MIN(INT(((Alpha_keep*$A92+E$3-Lo_c)/Step_c)+0.00000001),193))+2)),"")</f>
        <v>-275.365544493815</v>
      </c>
      <c r="F92" s="16" t="n">
        <f aca="false">IF(Grid!D92=1,-Cost_k*F$3-Short_p*MAX(0,Floor_c-$A92)+Beta_q*((1-(((Alpha_keep*$A92+F$3-Lo_c)/Step_c)-MAX(6,MIN(INT(((Alpha_keep*$A92+F$3-Lo_c)/Step_c)+0.00000001),193))))*INDEX($D$5:$D$205,MAX(6,MIN(INT(((Alpha_keep*$A92+F$3-Lo_c)/Step_c)+0.00000001),193))+1)+(((Alpha_keep*$A92+F$3-Lo_c)/Step_c)-MAX(6,MIN(INT(((Alpha_keep*$A92+F$3-Lo_c)/Step_c)+0.00000001),193)))*INDEX($D$5:$D$205,MAX(6,MIN(INT(((Alpha_keep*$A92+F$3-Lo_c)/Step_c)+0.00000001),193))+2)),"")</f>
        <v>-274.039185271653</v>
      </c>
      <c r="G92" s="16" t="n">
        <f aca="false">IF(Grid!E92=1,-Cost_k*G$3-Short_p*MAX(0,Floor_c-$A92)+Beta_q*((1-(((Alpha_keep*$A92+G$3-Lo_c)/Step_c)-MAX(6,MIN(INT(((Alpha_keep*$A92+G$3-Lo_c)/Step_c)+0.00000001),193))))*INDEX($D$5:$D$205,MAX(6,MIN(INT(((Alpha_keep*$A92+G$3-Lo_c)/Step_c)+0.00000001),193))+1)+(((Alpha_keep*$A92+G$3-Lo_c)/Step_c)-MAX(6,MIN(INT(((Alpha_keep*$A92+G$3-Lo_c)/Step_c)+0.00000001),193)))*INDEX($D$5:$D$205,MAX(6,MIN(INT(((Alpha_keep*$A92+G$3-Lo_c)/Step_c)+0.00000001),193))+2)),"")</f>
        <v>-272.768916997063</v>
      </c>
      <c r="H92" s="16" t="n">
        <f aca="false">IF(Grid!F92=1,-Cost_k*H$3-Short_p*MAX(0,Floor_c-$A92)+Beta_q*((1-(((Alpha_keep*$A92+H$3-Lo_c)/Step_c)-MAX(6,MIN(INT(((Alpha_keep*$A92+H$3-Lo_c)/Step_c)+0.00000001),193))))*INDEX($D$5:$D$205,MAX(6,MIN(INT(((Alpha_keep*$A92+H$3-Lo_c)/Step_c)+0.00000001),193))+1)+(((Alpha_keep*$A92+H$3-Lo_c)/Step_c)-MAX(6,MIN(INT(((Alpha_keep*$A92+H$3-Lo_c)/Step_c)+0.00000001),193)))*INDEX($D$5:$D$205,MAX(6,MIN(INT(((Alpha_keep*$A92+H$3-Lo_c)/Step_c)+0.00000001),193))+2)),"")</f>
        <v>-271.555915488602</v>
      </c>
      <c r="I92" s="16" t="n">
        <f aca="false">IF(Grid!G92=1,-Cost_k*I$3-Short_p*MAX(0,Floor_c-$A92)+Beta_q*((1-(((Alpha_keep*$A92+I$3-Lo_c)/Step_c)-MAX(6,MIN(INT(((Alpha_keep*$A92+I$3-Lo_c)/Step_c)+0.00000001),193))))*INDEX($D$5:$D$205,MAX(6,MIN(INT(((Alpha_keep*$A92+I$3-Lo_c)/Step_c)+0.00000001),193))+1)+(((Alpha_keep*$A92+I$3-Lo_c)/Step_c)-MAX(6,MIN(INT(((Alpha_keep*$A92+I$3-Lo_c)/Step_c)+0.00000001),193)))*INDEX($D$5:$D$205,MAX(6,MIN(INT(((Alpha_keep*$A92+I$3-Lo_c)/Step_c)+0.00000001),193))+2)),"")</f>
        <v>-270.404117603965</v>
      </c>
      <c r="J92" s="16" t="n">
        <f aca="false">IF(Grid!H92=1,-Cost_k*J$3-Short_p*MAX(0,Floor_c-$A92)+Beta_q*((1-(((Alpha_keep*$A92+J$3-Lo_c)/Step_c)-MAX(6,MIN(INT(((Alpha_keep*$A92+J$3-Lo_c)/Step_c)+0.00000001),193))))*INDEX($D$5:$D$205,MAX(6,MIN(INT(((Alpha_keep*$A92+J$3-Lo_c)/Step_c)+0.00000001),193))+1)+(((Alpha_keep*$A92+J$3-Lo_c)/Step_c)-MAX(6,MIN(INT(((Alpha_keep*$A92+J$3-Lo_c)/Step_c)+0.00000001),193)))*INDEX($D$5:$D$205,MAX(6,MIN(INT(((Alpha_keep*$A92+J$3-Lo_c)/Step_c)+0.00000001),193))+2)),"")</f>
        <v>-269.307394039826</v>
      </c>
      <c r="K92" s="16" t="n">
        <f aca="false">IF(Grid!I92=1,-Cost_k*K$3-Short_p*MAX(0,Floor_c-$A92)+Beta_q*((1-(((Alpha_keep*$A92+K$3-Lo_c)/Step_c)-MAX(6,MIN(INT(((Alpha_keep*$A92+K$3-Lo_c)/Step_c)+0.00000001),193))))*INDEX($D$5:$D$205,MAX(6,MIN(INT(((Alpha_keep*$A92+K$3-Lo_c)/Step_c)+0.00000001),193))+1)+(((Alpha_keep*$A92+K$3-Lo_c)/Step_c)-MAX(6,MIN(INT(((Alpha_keep*$A92+K$3-Lo_c)/Step_c)+0.00000001),193)))*INDEX($D$5:$D$205,MAX(6,MIN(INT(((Alpha_keep*$A92+K$3-Lo_c)/Step_c)+0.00000001),193))+2)),"")</f>
        <v>-268.274164928158</v>
      </c>
      <c r="L92" s="16" t="n">
        <f aca="false">IF(Grid!J92=1,-Cost_k*L$3-Short_p*MAX(0,Floor_c-$A92)+Beta_q*((1-(((Alpha_keep*$A92+L$3-Lo_c)/Step_c)-MAX(6,MIN(INT(((Alpha_keep*$A92+L$3-Lo_c)/Step_c)+0.00000001),193))))*INDEX($D$5:$D$205,MAX(6,MIN(INT(((Alpha_keep*$A92+L$3-Lo_c)/Step_c)+0.00000001),193))+1)+(((Alpha_keep*$A92+L$3-Lo_c)/Step_c)-MAX(6,MIN(INT(((Alpha_keep*$A92+L$3-Lo_c)/Step_c)+0.00000001),193)))*INDEX($D$5:$D$205,MAX(6,MIN(INT(((Alpha_keep*$A92+L$3-Lo_c)/Step_c)+0.00000001),193))+2)),"")</f>
        <v>-267.302311134017</v>
      </c>
      <c r="M92" s="16" t="n">
        <f aca="false">IF(Grid!K92=1,-Cost_k*M$3-Short_p*MAX(0,Floor_c-$A92)+Beta_q*((1-(((Alpha_keep*$A92+M$3-Lo_c)/Step_c)-MAX(6,MIN(INT(((Alpha_keep*$A92+M$3-Lo_c)/Step_c)+0.00000001),193))))*INDEX($D$5:$D$205,MAX(6,MIN(INT(((Alpha_keep*$A92+M$3-Lo_c)/Step_c)+0.00000001),193))+1)+(((Alpha_keep*$A92+M$3-Lo_c)/Step_c)-MAX(6,MIN(INT(((Alpha_keep*$A92+M$3-Lo_c)/Step_c)+0.00000001),193)))*INDEX($D$5:$D$205,MAX(6,MIN(INT(((Alpha_keep*$A92+M$3-Lo_c)/Step_c)+0.00000001),193))+2)),"")</f>
        <v>-266.390325796365</v>
      </c>
      <c r="N92" s="16" t="n">
        <f aca="false">IF(Grid!L92=1,-Cost_k*N$3-Short_p*MAX(0,Floor_c-$A92)+Beta_q*((1-(((Alpha_keep*$A92+N$3-Lo_c)/Step_c)-MAX(6,MIN(INT(((Alpha_keep*$A92+N$3-Lo_c)/Step_c)+0.00000001),193))))*INDEX($D$5:$D$205,MAX(6,MIN(INT(((Alpha_keep*$A92+N$3-Lo_c)/Step_c)+0.00000001),193))+1)+(((Alpha_keep*$A92+N$3-Lo_c)/Step_c)-MAX(6,MIN(INT(((Alpha_keep*$A92+N$3-Lo_c)/Step_c)+0.00000001),193)))*INDEX($D$5:$D$205,MAX(6,MIN(INT(((Alpha_keep*$A92+N$3-Lo_c)/Step_c)+0.00000001),193))+2)),"")</f>
        <v>-265.546036251856</v>
      </c>
      <c r="O92" s="16" t="n">
        <f aca="false">IF(Grid!M92=1,-Cost_k*O$3-Short_p*MAX(0,Floor_c-$A92)+Beta_q*((1-(((Alpha_keep*$A92+O$3-Lo_c)/Step_c)-MAX(6,MIN(INT(((Alpha_keep*$A92+O$3-Lo_c)/Step_c)+0.00000001),193))))*INDEX($D$5:$D$205,MAX(6,MIN(INT(((Alpha_keep*$A92+O$3-Lo_c)/Step_c)+0.00000001),193))+1)+(((Alpha_keep*$A92+O$3-Lo_c)/Step_c)-MAX(6,MIN(INT(((Alpha_keep*$A92+O$3-Lo_c)/Step_c)+0.00000001),193)))*INDEX($D$5:$D$205,MAX(6,MIN(INT(((Alpha_keep*$A92+O$3-Lo_c)/Step_c)+0.00000001),193))+2)),"")</f>
        <v>-264.757389950252</v>
      </c>
      <c r="P92" s="11" t="n">
        <f aca="false">MAX(E92:O92)</f>
        <v>-264.757389950252</v>
      </c>
      <c r="Q92" s="12" t="n">
        <f aca="false">INDEX($E$3:$O$3,MATCH(P92,E92:O92,0))</f>
        <v>2.5</v>
      </c>
      <c r="R92" s="20" t="n">
        <v>2.5</v>
      </c>
      <c r="S92" s="14" t="n">
        <f aca="false">IF(ABS(Q92-R92)&lt;0.000000001,1,0)</f>
        <v>1</v>
      </c>
      <c r="T92" s="21" t="n">
        <f aca="false">ABS(P92-B92)</f>
        <v>0</v>
      </c>
      <c r="U92" s="16" t="n">
        <f aca="false">Alpha_keep*A92+Q92</f>
        <v>52.95625</v>
      </c>
      <c r="V92" s="14" t="n">
        <f aca="false">INDEX(GuardBlock,88,ROUND(Q92/Step_h,0)+1)</f>
        <v>1</v>
      </c>
      <c r="W92" s="22" t="n">
        <v>7.8657019224448E-011</v>
      </c>
    </row>
    <row r="93" customFormat="false" ht="15" hidden="false" customHeight="false" outlineLevel="0" collapsed="false">
      <c r="A93" s="18" t="n">
        <f aca="false">Grid!A93</f>
        <v>52</v>
      </c>
      <c r="B93" s="19" t="n">
        <v>-262.684659114086</v>
      </c>
      <c r="C93" s="14" t="n">
        <v>88</v>
      </c>
      <c r="D93" s="11" t="n">
        <f aca="false">IF(AND($C93&gt;=6,$C93&lt;=194),Declarations!$B$25*INDEX($B$5:$B$205,$C93+1-Declarations!$E$25)+Declarations!$B$26*INDEX($B$5:$B$205,$C93+1-Declarations!$E$26)+Declarations!$B$27*INDEX($B$5:$B$205,$C93+1-Declarations!$E$27)+Declarations!$B$28*INDEX($B$5:$B$205,$C93+1-Declarations!$E$28)+Declarations!$B$29*INDEX($B$5:$B$205,$C93+1-Declarations!$E$29),"")</f>
        <v>-262.910833440437</v>
      </c>
      <c r="E93" s="16" t="n">
        <f aca="false">IF(Grid!C93=1,-Cost_k*E$3-Short_p*MAX(0,Floor_c-$A93)+Beta_q*((1-(((Alpha_keep*$A93+E$3-Lo_c)/Step_c)-MAX(6,MIN(INT(((Alpha_keep*$A93+E$3-Lo_c)/Step_c)+0.00000001),193))))*INDEX($D$5:$D$205,MAX(6,MIN(INT(((Alpha_keep*$A93+E$3-Lo_c)/Step_c)+0.00000001),193))+1)+(((Alpha_keep*$A93+E$3-Lo_c)/Step_c)-MAX(6,MIN(INT(((Alpha_keep*$A93+E$3-Lo_c)/Step_c)+0.00000001),193)))*INDEX($D$5:$D$205,MAX(6,MIN(INT(((Alpha_keep*$A93+E$3-Lo_c)/Step_c)+0.00000001),193))+2)),"")</f>
        <v>-272.697085219917</v>
      </c>
      <c r="F93" s="16" t="n">
        <f aca="false">IF(Grid!D93=1,-Cost_k*F$3-Short_p*MAX(0,Floor_c-$A93)+Beta_q*((1-(((Alpha_keep*$A93+F$3-Lo_c)/Step_c)-MAX(6,MIN(INT(((Alpha_keep*$A93+F$3-Lo_c)/Step_c)+0.00000001),193))))*INDEX($D$5:$D$205,MAX(6,MIN(INT(((Alpha_keep*$A93+F$3-Lo_c)/Step_c)+0.00000001),193))+1)+(((Alpha_keep*$A93+F$3-Lo_c)/Step_c)-MAX(6,MIN(INT(((Alpha_keep*$A93+F$3-Lo_c)/Step_c)+0.00000001),193)))*INDEX($D$5:$D$205,MAX(6,MIN(INT(((Alpha_keep*$A93+F$3-Lo_c)/Step_c)+0.00000001),193))+2)),"")</f>
        <v>-271.425431198176</v>
      </c>
      <c r="G93" s="16" t="n">
        <f aca="false">IF(Grid!E93=1,-Cost_k*G$3-Short_p*MAX(0,Floor_c-$A93)+Beta_q*((1-(((Alpha_keep*$A93+G$3-Lo_c)/Step_c)-MAX(6,MIN(INT(((Alpha_keep*$A93+G$3-Lo_c)/Step_c)+0.00000001),193))))*INDEX($D$5:$D$205,MAX(6,MIN(INT(((Alpha_keep*$A93+G$3-Lo_c)/Step_c)+0.00000001),193))+1)+(((Alpha_keep*$A93+G$3-Lo_c)/Step_c)-MAX(6,MIN(INT(((Alpha_keep*$A93+G$3-Lo_c)/Step_c)+0.00000001),193)))*INDEX($D$5:$D$205,MAX(6,MIN(INT(((Alpha_keep*$A93+G$3-Lo_c)/Step_c)+0.00000001),193))+2)),"")</f>
        <v>-270.210988279531</v>
      </c>
      <c r="H93" s="16" t="n">
        <f aca="false">IF(Grid!F93=1,-Cost_k*H$3-Short_p*MAX(0,Floor_c-$A93)+Beta_q*((1-(((Alpha_keep*$A93+H$3-Lo_c)/Step_c)-MAX(6,MIN(INT(((Alpha_keep*$A93+H$3-Lo_c)/Step_c)+0.00000001),193))))*INDEX($D$5:$D$205,MAX(6,MIN(INT(((Alpha_keep*$A93+H$3-Lo_c)/Step_c)+0.00000001),193))+1)+(((Alpha_keep*$A93+H$3-Lo_c)/Step_c)-MAX(6,MIN(INT(((Alpha_keep*$A93+H$3-Lo_c)/Step_c)+0.00000001),193)))*INDEX($D$5:$D$205,MAX(6,MIN(INT(((Alpha_keep*$A93+H$3-Lo_c)/Step_c)+0.00000001),193))+2)),"")</f>
        <v>-269.057641493302</v>
      </c>
      <c r="I93" s="16" t="n">
        <f aca="false">IF(Grid!G93=1,-Cost_k*I$3-Short_p*MAX(0,Floor_c-$A93)+Beta_q*((1-(((Alpha_keep*$A93+I$3-Lo_c)/Step_c)-MAX(6,MIN(INT(((Alpha_keep*$A93+I$3-Lo_c)/Step_c)+0.00000001),193))))*INDEX($D$5:$D$205,MAX(6,MIN(INT(((Alpha_keep*$A93+I$3-Lo_c)/Step_c)+0.00000001),193))+1)+(((Alpha_keep*$A93+I$3-Lo_c)/Step_c)-MAX(6,MIN(INT(((Alpha_keep*$A93+I$3-Lo_c)/Step_c)+0.00000001),193)))*INDEX($D$5:$D$205,MAX(6,MIN(INT(((Alpha_keep*$A93+I$3-Lo_c)/Step_c)+0.00000001),193))+2)),"")</f>
        <v>-267.959577565243</v>
      </c>
      <c r="J93" s="16" t="n">
        <f aca="false">IF(Grid!H93=1,-Cost_k*J$3-Short_p*MAX(0,Floor_c-$A93)+Beta_q*((1-(((Alpha_keep*$A93+J$3-Lo_c)/Step_c)-MAX(6,MIN(INT(((Alpha_keep*$A93+J$3-Lo_c)/Step_c)+0.00000001),193))))*INDEX($D$5:$D$205,MAX(6,MIN(INT(((Alpha_keep*$A93+J$3-Lo_c)/Step_c)+0.00000001),193))+1)+(((Alpha_keep*$A93+J$3-Lo_c)/Step_c)-MAX(6,MIN(INT(((Alpha_keep*$A93+J$3-Lo_c)/Step_c)+0.00000001),193)))*INDEX($D$5:$D$205,MAX(6,MIN(INT(((Alpha_keep*$A93+J$3-Lo_c)/Step_c)+0.00000001),193))+2)),"")</f>
        <v>-266.924708698878</v>
      </c>
      <c r="K93" s="16" t="n">
        <f aca="false">IF(Grid!I93=1,-Cost_k*K$3-Short_p*MAX(0,Floor_c-$A93)+Beta_q*((1-(((Alpha_keep*$A93+K$3-Lo_c)/Step_c)-MAX(6,MIN(INT(((Alpha_keep*$A93+K$3-Lo_c)/Step_c)+0.00000001),193))))*INDEX($D$5:$D$205,MAX(6,MIN(INT(((Alpha_keep*$A93+K$3-Lo_c)/Step_c)+0.00000001),193))+1)+(((Alpha_keep*$A93+K$3-Lo_c)/Step_c)-MAX(6,MIN(INT(((Alpha_keep*$A93+K$3-Lo_c)/Step_c)+0.00000001),193)))*INDEX($D$5:$D$205,MAX(6,MIN(INT(((Alpha_keep*$A93+K$3-Lo_c)/Step_c)+0.00000001),193))+2)),"")</f>
        <v>-265.951342873384</v>
      </c>
      <c r="L93" s="16" t="n">
        <f aca="false">IF(Grid!J93=1,-Cost_k*L$3-Short_p*MAX(0,Floor_c-$A93)+Beta_q*((1-(((Alpha_keep*$A93+L$3-Lo_c)/Step_c)-MAX(6,MIN(INT(((Alpha_keep*$A93+L$3-Lo_c)/Step_c)+0.00000001),193))))*INDEX($D$5:$D$205,MAX(6,MIN(INT(((Alpha_keep*$A93+L$3-Lo_c)/Step_c)+0.00000001),193))+1)+(((Alpha_keep*$A93+L$3-Lo_c)/Step_c)-MAX(6,MIN(INT(((Alpha_keep*$A93+L$3-Lo_c)/Step_c)+0.00000001),193)))*INDEX($D$5:$D$205,MAX(6,MIN(INT(((Alpha_keep*$A93+L$3-Lo_c)/Step_c)+0.00000001),193))+2)),"")</f>
        <v>-265.037864074004</v>
      </c>
      <c r="M93" s="16" t="n">
        <f aca="false">IF(Grid!K93=1,-Cost_k*M$3-Short_p*MAX(0,Floor_c-$A93)+Beta_q*((1-(((Alpha_keep*$A93+M$3-Lo_c)/Step_c)-MAX(6,MIN(INT(((Alpha_keep*$A93+M$3-Lo_c)/Step_c)+0.00000001),193))))*INDEX($D$5:$D$205,MAX(6,MIN(INT(((Alpha_keep*$A93+M$3-Lo_c)/Step_c)+0.00000001),193))+1)+(((Alpha_keep*$A93+M$3-Lo_c)/Step_c)-MAX(6,MIN(INT(((Alpha_keep*$A93+M$3-Lo_c)/Step_c)+0.00000001),193)))*INDEX($D$5:$D$205,MAX(6,MIN(INT(((Alpha_keep*$A93+M$3-Lo_c)/Step_c)+0.00000001),193))+2)),"")</f>
        <v>-264.191839936736</v>
      </c>
      <c r="N93" s="16" t="n">
        <f aca="false">IF(Grid!L93=1,-Cost_k*N$3-Short_p*MAX(0,Floor_c-$A93)+Beta_q*((1-(((Alpha_keep*$A93+N$3-Lo_c)/Step_c)-MAX(6,MIN(INT(((Alpha_keep*$A93+N$3-Lo_c)/Step_c)+0.00000001),193))))*INDEX($D$5:$D$205,MAX(6,MIN(INT(((Alpha_keep*$A93+N$3-Lo_c)/Step_c)+0.00000001),193))+1)+(((Alpha_keep*$A93+N$3-Lo_c)/Step_c)-MAX(6,MIN(INT(((Alpha_keep*$A93+N$3-Lo_c)/Step_c)+0.00000001),193)))*INDEX($D$5:$D$205,MAX(6,MIN(INT(((Alpha_keep*$A93+N$3-Lo_c)/Step_c)+0.00000001),193))+2)),"")</f>
        <v>-263.401875420175</v>
      </c>
      <c r="O93" s="16" t="n">
        <f aca="false">IF(Grid!M93=1,-Cost_k*O$3-Short_p*MAX(0,Floor_c-$A93)+Beta_q*((1-(((Alpha_keep*$A93+O$3-Lo_c)/Step_c)-MAX(6,MIN(INT(((Alpha_keep*$A93+O$3-Lo_c)/Step_c)+0.00000001),193))))*INDEX($D$5:$D$205,MAX(6,MIN(INT(((Alpha_keep*$A93+O$3-Lo_c)/Step_c)+0.00000001),193))+1)+(((Alpha_keep*$A93+O$3-Lo_c)/Step_c)-MAX(6,MIN(INT(((Alpha_keep*$A93+O$3-Lo_c)/Step_c)+0.00000001),193)))*INDEX($D$5:$D$205,MAX(6,MIN(INT(((Alpha_keep*$A93+O$3-Lo_c)/Step_c)+0.00000001),193))+2)),"")</f>
        <v>-262.684659114086</v>
      </c>
      <c r="P93" s="11" t="n">
        <f aca="false">MAX(E93:O93)</f>
        <v>-262.684659114086</v>
      </c>
      <c r="Q93" s="12" t="n">
        <f aca="false">INDEX($E$3:$O$3,MATCH(P93,E93:O93,0))</f>
        <v>2.5</v>
      </c>
      <c r="R93" s="20" t="n">
        <v>2.5</v>
      </c>
      <c r="S93" s="14" t="n">
        <f aca="false">IF(ABS(Q93-R93)&lt;0.000000001,1,0)</f>
        <v>1</v>
      </c>
      <c r="T93" s="21" t="n">
        <f aca="false">ABS(P93-B93)</f>
        <v>0</v>
      </c>
      <c r="U93" s="16" t="n">
        <f aca="false">Alpha_keep*A93+Q93</f>
        <v>53.2</v>
      </c>
      <c r="V93" s="14" t="n">
        <f aca="false">INDEX(GuardBlock,89,ROUND(Q93/Step_h,0)+1)</f>
        <v>1</v>
      </c>
      <c r="W93" s="22" t="n">
        <v>5.72226789777479E-010</v>
      </c>
    </row>
    <row r="94" customFormat="false" ht="15" hidden="false" customHeight="false" outlineLevel="0" collapsed="false">
      <c r="A94" s="18" t="n">
        <f aca="false">Grid!A94</f>
        <v>52.25</v>
      </c>
      <c r="B94" s="19" t="n">
        <v>-260.675427803915</v>
      </c>
      <c r="C94" s="14" t="n">
        <v>89</v>
      </c>
      <c r="D94" s="11" t="n">
        <f aca="false">IF(AND($C94&gt;=6,$C94&lt;=194),Declarations!$B$25*INDEX($B$5:$B$205,$C94+1-Declarations!$E$25)+Declarations!$B$26*INDEX($B$5:$B$205,$C94+1-Declarations!$E$26)+Declarations!$B$27*INDEX($B$5:$B$205,$C94+1-Declarations!$E$27)+Declarations!$B$28*INDEX($B$5:$B$205,$C94+1-Declarations!$E$28)+Declarations!$B$29*INDEX($B$5:$B$205,$C94+1-Declarations!$E$29),"")</f>
        <v>-260.90227042103</v>
      </c>
      <c r="E94" s="16" t="n">
        <f aca="false">IF(Grid!C94=1,-Cost_k*E$3-Short_p*MAX(0,Floor_c-$A94)+Beta_q*((1-(((Alpha_keep*$A94+E$3-Lo_c)/Step_c)-MAX(6,MIN(INT(((Alpha_keep*$A94+E$3-Lo_c)/Step_c)+0.00000001),193))))*INDEX($D$5:$D$205,MAX(6,MIN(INT(((Alpha_keep*$A94+E$3-Lo_c)/Step_c)+0.00000001),193))+1)+(((Alpha_keep*$A94+E$3-Lo_c)/Step_c)-MAX(6,MIN(INT(((Alpha_keep*$A94+E$3-Lo_c)/Step_c)+0.00000001),193)))*INDEX($D$5:$D$205,MAX(6,MIN(INT(((Alpha_keep*$A94+E$3-Lo_c)/Step_c)+0.00000001),193))+2)),"")</f>
        <v>-270.08194539929</v>
      </c>
      <c r="F94" s="16" t="n">
        <f aca="false">IF(Grid!D94=1,-Cost_k*F$3-Short_p*MAX(0,Floor_c-$A94)+Beta_q*((1-(((Alpha_keep*$A94+F$3-Lo_c)/Step_c)-MAX(6,MIN(INT(((Alpha_keep*$A94+F$3-Lo_c)/Step_c)+0.00000001),193))))*INDEX($D$5:$D$205,MAX(6,MIN(INT(((Alpha_keep*$A94+F$3-Lo_c)/Step_c)+0.00000001),193))+1)+(((Alpha_keep*$A94+F$3-Lo_c)/Step_c)-MAX(6,MIN(INT(((Alpha_keep*$A94+F$3-Lo_c)/Step_c)+0.00000001),193)))*INDEX($D$5:$D$205,MAX(6,MIN(INT(((Alpha_keep*$A94+F$3-Lo_c)/Step_c)+0.00000001),193))+2)),"")</f>
        <v>-268.86606107046</v>
      </c>
      <c r="G94" s="16" t="n">
        <f aca="false">IF(Grid!E94=1,-Cost_k*G$3-Short_p*MAX(0,Floor_c-$A94)+Beta_q*((1-(((Alpha_keep*$A94+G$3-Lo_c)/Step_c)-MAX(6,MIN(INT(((Alpha_keep*$A94+G$3-Lo_c)/Step_c)+0.00000001),193))))*INDEX($D$5:$D$205,MAX(6,MIN(INT(((Alpha_keep*$A94+G$3-Lo_c)/Step_c)+0.00000001),193))+1)+(((Alpha_keep*$A94+G$3-Lo_c)/Step_c)-MAX(6,MIN(INT(((Alpha_keep*$A94+G$3-Lo_c)/Step_c)+0.00000001),193)))*INDEX($D$5:$D$205,MAX(6,MIN(INT(((Alpha_keep*$A94+G$3-Lo_c)/Step_c)+0.00000001),193))+2)),"")</f>
        <v>-267.711165382639</v>
      </c>
      <c r="H94" s="16" t="n">
        <f aca="false">IF(Grid!F94=1,-Cost_k*H$3-Short_p*MAX(0,Floor_c-$A94)+Beta_q*((1-(((Alpha_keep*$A94+H$3-Lo_c)/Step_c)-MAX(6,MIN(INT(((Alpha_keep*$A94+H$3-Lo_c)/Step_c)+0.00000001),193))))*INDEX($D$5:$D$205,MAX(6,MIN(INT(((Alpha_keep*$A94+H$3-Lo_c)/Step_c)+0.00000001),193))+1)+(((Alpha_keep*$A94+H$3-Lo_c)/Step_c)-MAX(6,MIN(INT(((Alpha_keep*$A94+H$3-Lo_c)/Step_c)+0.00000001),193)))*INDEX($D$5:$D$205,MAX(6,MIN(INT(((Alpha_keep*$A94+H$3-Lo_c)/Step_c)+0.00000001),193))+2)),"")</f>
        <v>-266.611761090661</v>
      </c>
      <c r="I94" s="16" t="n">
        <f aca="false">IF(Grid!G94=1,-Cost_k*I$3-Short_p*MAX(0,Floor_c-$A94)+Beta_q*((1-(((Alpha_keep*$A94+I$3-Lo_c)/Step_c)-MAX(6,MIN(INT(((Alpha_keep*$A94+I$3-Lo_c)/Step_c)+0.00000001),193))))*INDEX($D$5:$D$205,MAX(6,MIN(INT(((Alpha_keep*$A94+I$3-Lo_c)/Step_c)+0.00000001),193))+1)+(((Alpha_keep*$A94+I$3-Lo_c)/Step_c)-MAX(6,MIN(INT(((Alpha_keep*$A94+I$3-Lo_c)/Step_c)+0.00000001),193)))*INDEX($D$5:$D$205,MAX(6,MIN(INT(((Alpha_keep*$A94+I$3-Lo_c)/Step_c)+0.00000001),193))+2)),"")</f>
        <v>-265.575252469597</v>
      </c>
      <c r="J94" s="16" t="n">
        <f aca="false">IF(Grid!H94=1,-Cost_k*J$3-Short_p*MAX(0,Floor_c-$A94)+Beta_q*((1-(((Alpha_keep*$A94+J$3-Lo_c)/Step_c)-MAX(6,MIN(INT(((Alpha_keep*$A94+J$3-Lo_c)/Step_c)+0.00000001),193))))*INDEX($D$5:$D$205,MAX(6,MIN(INT(((Alpha_keep*$A94+J$3-Lo_c)/Step_c)+0.00000001),193))+1)+(((Alpha_keep*$A94+J$3-Lo_c)/Step_c)-MAX(6,MIN(INT(((Alpha_keep*$A94+J$3-Lo_c)/Step_c)+0.00000001),193)))*INDEX($D$5:$D$205,MAX(6,MIN(INT(((Alpha_keep*$A94+J$3-Lo_c)/Step_c)+0.00000001),193))+2)),"")</f>
        <v>-264.600374612751</v>
      </c>
      <c r="K94" s="16" t="n">
        <f aca="false">IF(Grid!I94=1,-Cost_k*K$3-Short_p*MAX(0,Floor_c-$A94)+Beta_q*((1-(((Alpha_keep*$A94+K$3-Lo_c)/Step_c)-MAX(6,MIN(INT(((Alpha_keep*$A94+K$3-Lo_c)/Step_c)+0.00000001),193))))*INDEX($D$5:$D$205,MAX(6,MIN(INT(((Alpha_keep*$A94+K$3-Lo_c)/Step_c)+0.00000001),193))+1)+(((Alpha_keep*$A94+K$3-Lo_c)/Step_c)-MAX(6,MIN(INT(((Alpha_keep*$A94+K$3-Lo_c)/Step_c)+0.00000001),193)))*INDEX($D$5:$D$205,MAX(6,MIN(INT(((Alpha_keep*$A94+K$3-Lo_c)/Step_c)+0.00000001),193))+2)),"")</f>
        <v>-263.685402351643</v>
      </c>
      <c r="L94" s="16" t="n">
        <f aca="false">IF(Grid!J94=1,-Cost_k*L$3-Short_p*MAX(0,Floor_c-$A94)+Beta_q*((1-(((Alpha_keep*$A94+L$3-Lo_c)/Step_c)-MAX(6,MIN(INT(((Alpha_keep*$A94+L$3-Lo_c)/Step_c)+0.00000001),193))))*INDEX($D$5:$D$205,MAX(6,MIN(INT(((Alpha_keep*$A94+L$3-Lo_c)/Step_c)+0.00000001),193))+1)+(((Alpha_keep*$A94+L$3-Lo_c)/Step_c)-MAX(6,MIN(INT(((Alpha_keep*$A94+L$3-Lo_c)/Step_c)+0.00000001),193)))*INDEX($D$5:$D$205,MAX(6,MIN(INT(((Alpha_keep*$A94+L$3-Lo_c)/Step_c)+0.00000001),193))+2)),"")</f>
        <v>-262.837643621616</v>
      </c>
      <c r="M94" s="16" t="n">
        <f aca="false">IF(Grid!K94=1,-Cost_k*M$3-Short_p*MAX(0,Floor_c-$A94)+Beta_q*((1-(((Alpha_keep*$A94+M$3-Lo_c)/Step_c)-MAX(6,MIN(INT(((Alpha_keep*$A94+M$3-Lo_c)/Step_c)+0.00000001),193))))*INDEX($D$5:$D$205,MAX(6,MIN(INT(((Alpha_keep*$A94+M$3-Lo_c)/Step_c)+0.00000001),193))+1)+(((Alpha_keep*$A94+M$3-Lo_c)/Step_c)-MAX(6,MIN(INT(((Alpha_keep*$A94+M$3-Lo_c)/Step_c)+0.00000001),193)))*INDEX($D$5:$D$205,MAX(6,MIN(INT(((Alpha_keep*$A94+M$3-Lo_c)/Step_c)+0.00000001),193))+2)),"")</f>
        <v>-262.046360890097</v>
      </c>
      <c r="N94" s="16" t="n">
        <f aca="false">IF(Grid!L94=1,-Cost_k*N$3-Short_p*MAX(0,Floor_c-$A94)+Beta_q*((1-(((Alpha_keep*$A94+N$3-Lo_c)/Step_c)-MAX(6,MIN(INT(((Alpha_keep*$A94+N$3-Lo_c)/Step_c)+0.00000001),193))))*INDEX($D$5:$D$205,MAX(6,MIN(INT(((Alpha_keep*$A94+N$3-Lo_c)/Step_c)+0.00000001),193))+1)+(((Alpha_keep*$A94+N$3-Lo_c)/Step_c)-MAX(6,MIN(INT(((Alpha_keep*$A94+N$3-Lo_c)/Step_c)+0.00000001),193)))*INDEX($D$5:$D$205,MAX(6,MIN(INT(((Alpha_keep*$A94+N$3-Lo_c)/Step_c)+0.00000001),193))+2)),"")</f>
        <v>-261.327200756171</v>
      </c>
      <c r="O94" s="16" t="n">
        <f aca="false">IF(Grid!M94=1,-Cost_k*O$3-Short_p*MAX(0,Floor_c-$A94)+Beta_q*((1-(((Alpha_keep*$A94+O$3-Lo_c)/Step_c)-MAX(6,MIN(INT(((Alpha_keep*$A94+O$3-Lo_c)/Step_c)+0.00000001),193))))*INDEX($D$5:$D$205,MAX(6,MIN(INT(((Alpha_keep*$A94+O$3-Lo_c)/Step_c)+0.00000001),193))+1)+(((Alpha_keep*$A94+O$3-Lo_c)/Step_c)-MAX(6,MIN(INT(((Alpha_keep*$A94+O$3-Lo_c)/Step_c)+0.00000001),193)))*INDEX($D$5:$D$205,MAX(6,MIN(INT(((Alpha_keep*$A94+O$3-Lo_c)/Step_c)+0.00000001),193))+2)),"")</f>
        <v>-260.675427803915</v>
      </c>
      <c r="P94" s="11" t="n">
        <f aca="false">MAX(E94:O94)</f>
        <v>-260.675427803915</v>
      </c>
      <c r="Q94" s="12" t="n">
        <f aca="false">INDEX($E$3:$O$3,MATCH(P94,E94:O94,0))</f>
        <v>2.5</v>
      </c>
      <c r="R94" s="20" t="n">
        <v>2.5</v>
      </c>
      <c r="S94" s="14" t="n">
        <f aca="false">IF(ABS(Q94-R94)&lt;0.000000001,1,0)</f>
        <v>1</v>
      </c>
      <c r="T94" s="21" t="n">
        <f aca="false">ABS(P94-B94)</f>
        <v>0</v>
      </c>
      <c r="U94" s="16" t="n">
        <f aca="false">Alpha_keep*A94+Q94</f>
        <v>53.44375</v>
      </c>
      <c r="V94" s="14" t="n">
        <f aca="false">INDEX(GuardBlock,90,ROUND(Q94/Step_h,0)+1)</f>
        <v>1</v>
      </c>
      <c r="W94" s="22" t="n">
        <v>4.91628952443947E-009</v>
      </c>
    </row>
    <row r="95" customFormat="false" ht="15" hidden="false" customHeight="false" outlineLevel="0" collapsed="false">
      <c r="A95" s="18" t="n">
        <f aca="false">Grid!A95</f>
        <v>52.5</v>
      </c>
      <c r="B95" s="19" t="n">
        <v>-258.718017198605</v>
      </c>
      <c r="C95" s="14" t="n">
        <v>90</v>
      </c>
      <c r="D95" s="11" t="n">
        <f aca="false">IF(AND($C95&gt;=6,$C95&lt;=194),Declarations!$B$25*INDEX($B$5:$B$205,$C95+1-Declarations!$E$25)+Declarations!$B$26*INDEX($B$5:$B$205,$C95+1-Declarations!$E$26)+Declarations!$B$27*INDEX($B$5:$B$205,$C95+1-Declarations!$E$27)+Declarations!$B$28*INDEX($B$5:$B$205,$C95+1-Declarations!$E$28)+Declarations!$B$29*INDEX($B$5:$B$205,$C95+1-Declarations!$E$29),"")</f>
        <v>-258.954886385609</v>
      </c>
      <c r="E95" s="16" t="n">
        <f aca="false">IF(Grid!C95=1,-Cost_k*E$3-Short_p*MAX(0,Floor_c-$A95)+Beta_q*((1-(((Alpha_keep*$A95+E$3-Lo_c)/Step_c)-MAX(6,MIN(INT(((Alpha_keep*$A95+E$3-Lo_c)/Step_c)+0.00000001),193))))*INDEX($D$5:$D$205,MAX(6,MIN(INT(((Alpha_keep*$A95+E$3-Lo_c)/Step_c)+0.00000001),193))+1)+(((Alpha_keep*$A95+E$3-Lo_c)/Step_c)-MAX(6,MIN(INT(((Alpha_keep*$A95+E$3-Lo_c)/Step_c)+0.00000001),193)))*INDEX($D$5:$D$205,MAX(6,MIN(INT(((Alpha_keep*$A95+E$3-Lo_c)/Step_c)+0.00000001),193))+2)),"")</f>
        <v>-267.521133861389</v>
      </c>
      <c r="F95" s="16" t="n">
        <f aca="false">IF(Grid!D95=1,-Cost_k*F$3-Short_p*MAX(0,Floor_c-$A95)+Beta_q*((1-(((Alpha_keep*$A95+F$3-Lo_c)/Step_c)-MAX(6,MIN(INT(((Alpha_keep*$A95+F$3-Lo_c)/Step_c)+0.00000001),193))))*INDEX($D$5:$D$205,MAX(6,MIN(INT(((Alpha_keep*$A95+F$3-Lo_c)/Step_c)+0.00000001),193))+1)+(((Alpha_keep*$A95+F$3-Lo_c)/Step_c)-MAX(6,MIN(INT(((Alpha_keep*$A95+F$3-Lo_c)/Step_c)+0.00000001),193)))*INDEX($D$5:$D$205,MAX(6,MIN(INT(((Alpha_keep*$A95+F$3-Lo_c)/Step_c)+0.00000001),193))+2)),"")</f>
        <v>-266.364689271977</v>
      </c>
      <c r="G95" s="16" t="n">
        <f aca="false">IF(Grid!E95=1,-Cost_k*G$3-Short_p*MAX(0,Floor_c-$A95)+Beta_q*((1-(((Alpha_keep*$A95+G$3-Lo_c)/Step_c)-MAX(6,MIN(INT(((Alpha_keep*$A95+G$3-Lo_c)/Step_c)+0.00000001),193))))*INDEX($D$5:$D$205,MAX(6,MIN(INT(((Alpha_keep*$A95+G$3-Lo_c)/Step_c)+0.00000001),193))+1)+(((Alpha_keep*$A95+G$3-Lo_c)/Step_c)-MAX(6,MIN(INT(((Alpha_keep*$A95+G$3-Lo_c)/Step_c)+0.00000001),193)))*INDEX($D$5:$D$205,MAX(6,MIN(INT(((Alpha_keep*$A95+G$3-Lo_c)/Step_c)+0.00000001),193))+2)),"")</f>
        <v>-265.263944616078</v>
      </c>
      <c r="H95" s="16" t="n">
        <f aca="false">IF(Grid!F95=1,-Cost_k*H$3-Short_p*MAX(0,Floor_c-$A95)+Beta_q*((1-(((Alpha_keep*$A95+H$3-Lo_c)/Step_c)-MAX(6,MIN(INT(((Alpha_keep*$A95+H$3-Lo_c)/Step_c)+0.00000001),193))))*INDEX($D$5:$D$205,MAX(6,MIN(INT(((Alpha_keep*$A95+H$3-Lo_c)/Step_c)+0.00000001),193))+1)+(((Alpha_keep*$A95+H$3-Lo_c)/Step_c)-MAX(6,MIN(INT(((Alpha_keep*$A95+H$3-Lo_c)/Step_c)+0.00000001),193)))*INDEX($D$5:$D$205,MAX(6,MIN(INT(((Alpha_keep*$A95+H$3-Lo_c)/Step_c)+0.00000001),193))+2)),"")</f>
        <v>-264.225796240317</v>
      </c>
      <c r="I95" s="16" t="n">
        <f aca="false">IF(Grid!G95=1,-Cost_k*I$3-Short_p*MAX(0,Floor_c-$A95)+Beta_q*((1-(((Alpha_keep*$A95+I$3-Lo_c)/Step_c)-MAX(6,MIN(INT(((Alpha_keep*$A95+I$3-Lo_c)/Step_c)+0.00000001),193))))*INDEX($D$5:$D$205,MAX(6,MIN(INT(((Alpha_keep*$A95+I$3-Lo_c)/Step_c)+0.00000001),193))+1)+(((Alpha_keep*$A95+I$3-Lo_c)/Step_c)-MAX(6,MIN(INT(((Alpha_keep*$A95+I$3-Lo_c)/Step_c)+0.00000001),193)))*INDEX($D$5:$D$205,MAX(6,MIN(INT(((Alpha_keep*$A95+I$3-Lo_c)/Step_c)+0.00000001),193))+2)),"")</f>
        <v>-263.249406352117</v>
      </c>
      <c r="J95" s="16" t="n">
        <f aca="false">IF(Grid!H95=1,-Cost_k*J$3-Short_p*MAX(0,Floor_c-$A95)+Beta_q*((1-(((Alpha_keep*$A95+J$3-Lo_c)/Step_c)-MAX(6,MIN(INT(((Alpha_keep*$A95+J$3-Lo_c)/Step_c)+0.00000001),193))))*INDEX($D$5:$D$205,MAX(6,MIN(INT(((Alpha_keep*$A95+J$3-Lo_c)/Step_c)+0.00000001),193))+1)+(((Alpha_keep*$A95+J$3-Lo_c)/Step_c)-MAX(6,MIN(INT(((Alpha_keep*$A95+J$3-Lo_c)/Step_c)+0.00000001),193)))*INDEX($D$5:$D$205,MAX(6,MIN(INT(((Alpha_keep*$A95+J$3-Lo_c)/Step_c)+0.00000001),193))+2)),"")</f>
        <v>-262.332940629282</v>
      </c>
      <c r="K95" s="16" t="n">
        <f aca="false">IF(Grid!I95=1,-Cost_k*K$3-Short_p*MAX(0,Floor_c-$A95)+Beta_q*((1-(((Alpha_keep*$A95+K$3-Lo_c)/Step_c)-MAX(6,MIN(INT(((Alpha_keep*$A95+K$3-Lo_c)/Step_c)+0.00000001),193))))*INDEX($D$5:$D$205,MAX(6,MIN(INT(((Alpha_keep*$A95+K$3-Lo_c)/Step_c)+0.00000001),193))+1)+(((Alpha_keep*$A95+K$3-Lo_c)/Step_c)-MAX(6,MIN(INT(((Alpha_keep*$A95+K$3-Lo_c)/Step_c)+0.00000001),193)))*INDEX($D$5:$D$205,MAX(6,MIN(INT(((Alpha_keep*$A95+K$3-Lo_c)/Step_c)+0.00000001),193))+2)),"")</f>
        <v>-261.483447306496</v>
      </c>
      <c r="L95" s="16" t="n">
        <f aca="false">IF(Grid!J95=1,-Cost_k*L$3-Short_p*MAX(0,Floor_c-$A95)+Beta_q*((1-(((Alpha_keep*$A95+L$3-Lo_c)/Step_c)-MAX(6,MIN(INT(((Alpha_keep*$A95+L$3-Lo_c)/Step_c)+0.00000001),193))))*INDEX($D$5:$D$205,MAX(6,MIN(INT(((Alpha_keep*$A95+L$3-Lo_c)/Step_c)+0.00000001),193))+1)+(((Alpha_keep*$A95+L$3-Lo_c)/Step_c)-MAX(6,MIN(INT(((Alpha_keep*$A95+L$3-Lo_c)/Step_c)+0.00000001),193)))*INDEX($D$5:$D$205,MAX(6,MIN(INT(((Alpha_keep*$A95+L$3-Lo_c)/Step_c)+0.00000001),193))+2)),"")</f>
        <v>-260.69084636002</v>
      </c>
      <c r="M95" s="16" t="n">
        <f aca="false">IF(Grid!K95=1,-Cost_k*M$3-Short_p*MAX(0,Floor_c-$A95)+Beta_q*((1-(((Alpha_keep*$A95+M$3-Lo_c)/Step_c)-MAX(6,MIN(INT(((Alpha_keep*$A95+M$3-Lo_c)/Step_c)+0.00000001),193))))*INDEX($D$5:$D$205,MAX(6,MIN(INT(((Alpha_keep*$A95+M$3-Lo_c)/Step_c)+0.00000001),193))+1)+(((Alpha_keep*$A95+M$3-Lo_c)/Step_c)-MAX(6,MIN(INT(((Alpha_keep*$A95+M$3-Lo_c)/Step_c)+0.00000001),193)))*INDEX($D$5:$D$205,MAX(6,MIN(INT(((Alpha_keep*$A95+M$3-Lo_c)/Step_c)+0.00000001),193))+2)),"")</f>
        <v>-259.969742398256</v>
      </c>
      <c r="N95" s="16" t="n">
        <f aca="false">IF(Grid!L95=1,-Cost_k*N$3-Short_p*MAX(0,Floor_c-$A95)+Beta_q*((1-(((Alpha_keep*$A95+N$3-Lo_c)/Step_c)-MAX(6,MIN(INT(((Alpha_keep*$A95+N$3-Lo_c)/Step_c)+0.00000001),193))))*INDEX($D$5:$D$205,MAX(6,MIN(INT(((Alpha_keep*$A95+N$3-Lo_c)/Step_c)+0.00000001),193))+1)+(((Alpha_keep*$A95+N$3-Lo_c)/Step_c)-MAX(6,MIN(INT(((Alpha_keep*$A95+N$3-Lo_c)/Step_c)+0.00000001),193)))*INDEX($D$5:$D$205,MAX(6,MIN(INT(((Alpha_keep*$A95+N$3-Lo_c)/Step_c)+0.00000001),193))+2)),"")</f>
        <v>-259.31636000306</v>
      </c>
      <c r="O95" s="16" t="n">
        <f aca="false">IF(Grid!M95=1,-Cost_k*O$3-Short_p*MAX(0,Floor_c-$A95)+Beta_q*((1-(((Alpha_keep*$A95+O$3-Lo_c)/Step_c)-MAX(6,MIN(INT(((Alpha_keep*$A95+O$3-Lo_c)/Step_c)+0.00000001),193))))*INDEX($D$5:$D$205,MAX(6,MIN(INT(((Alpha_keep*$A95+O$3-Lo_c)/Step_c)+0.00000001),193))+1)+(((Alpha_keep*$A95+O$3-Lo_c)/Step_c)-MAX(6,MIN(INT(((Alpha_keep*$A95+O$3-Lo_c)/Step_c)+0.00000001),193)))*INDEX($D$5:$D$205,MAX(6,MIN(INT(((Alpha_keep*$A95+O$3-Lo_c)/Step_c)+0.00000001),193))+2)),"")</f>
        <v>-258.718017198605</v>
      </c>
      <c r="P95" s="11" t="n">
        <f aca="false">MAX(E95:O95)</f>
        <v>-258.718017198605</v>
      </c>
      <c r="Q95" s="12" t="n">
        <f aca="false">INDEX($E$3:$O$3,MATCH(P95,E95:O95,0))</f>
        <v>2.5</v>
      </c>
      <c r="R95" s="20" t="n">
        <v>2.5</v>
      </c>
      <c r="S95" s="14" t="n">
        <f aca="false">IF(ABS(Q95-R95)&lt;0.000000001,1,0)</f>
        <v>1</v>
      </c>
      <c r="T95" s="21" t="n">
        <f aca="false">ABS(P95-B95)</f>
        <v>0</v>
      </c>
      <c r="U95" s="16" t="n">
        <f aca="false">Alpha_keep*A95+Q95</f>
        <v>53.6875</v>
      </c>
      <c r="V95" s="14" t="n">
        <f aca="false">INDEX(GuardBlock,91,ROUND(Q95/Step_h,0)+1)</f>
        <v>1</v>
      </c>
      <c r="W95" s="22" t="n">
        <v>3.01939078858969E-008</v>
      </c>
    </row>
    <row r="96" customFormat="false" ht="15" hidden="false" customHeight="false" outlineLevel="0" collapsed="false">
      <c r="A96" s="18" t="n">
        <f aca="false">Grid!A96</f>
        <v>52.75</v>
      </c>
      <c r="B96" s="19" t="n">
        <v>-256.836571876208</v>
      </c>
      <c r="C96" s="14" t="n">
        <v>91</v>
      </c>
      <c r="D96" s="11" t="n">
        <f aca="false">IF(AND($C96&gt;=6,$C96&lt;=194),Declarations!$B$25*INDEX($B$5:$B$205,$C96+1-Declarations!$E$25)+Declarations!$B$26*INDEX($B$5:$B$205,$C96+1-Declarations!$E$26)+Declarations!$B$27*INDEX($B$5:$B$205,$C96+1-Declarations!$E$27)+Declarations!$B$28*INDEX($B$5:$B$205,$C96+1-Declarations!$E$28)+Declarations!$B$29*INDEX($B$5:$B$205,$C96+1-Declarations!$E$29),"")</f>
        <v>-257.078559157769</v>
      </c>
      <c r="E96" s="16" t="n">
        <f aca="false">IF(Grid!C96=1,-Cost_k*E$3-Short_p*MAX(0,Floor_c-$A96)+Beta_q*((1-(((Alpha_keep*$A96+E$3-Lo_c)/Step_c)-MAX(6,MIN(INT(((Alpha_keep*$A96+E$3-Lo_c)/Step_c)+0.00000001),193))))*INDEX($D$5:$D$205,MAX(6,MIN(INT(((Alpha_keep*$A96+E$3-Lo_c)/Step_c)+0.00000001),193))+1)+(((Alpha_keep*$A96+E$3-Lo_c)/Step_c)-MAX(6,MIN(INT(((Alpha_keep*$A96+E$3-Lo_c)/Step_c)+0.00000001),193)))*INDEX($D$5:$D$205,MAX(6,MIN(INT(((Alpha_keep*$A96+E$3-Lo_c)/Step_c)+0.00000001),193))+2)),"")</f>
        <v>-265.018213161314</v>
      </c>
      <c r="F96" s="16" t="n">
        <f aca="false">IF(Grid!D96=1,-Cost_k*F$3-Short_p*MAX(0,Floor_c-$A96)+Beta_q*((1-(((Alpha_keep*$A96+F$3-Lo_c)/Step_c)-MAX(6,MIN(INT(((Alpha_keep*$A96+F$3-Lo_c)/Step_c)+0.00000001),193))))*INDEX($D$5:$D$205,MAX(6,MIN(INT(((Alpha_keep*$A96+F$3-Lo_c)/Step_c)+0.00000001),193))+1)+(((Alpha_keep*$A96+F$3-Lo_c)/Step_c)-MAX(6,MIN(INT(((Alpha_keep*$A96+F$3-Lo_c)/Step_c)+0.00000001),193)))*INDEX($D$5:$D$205,MAX(6,MIN(INT(((Alpha_keep*$A96+F$3-Lo_c)/Step_c)+0.00000001),193))+2)),"")</f>
        <v>-263.916128141496</v>
      </c>
      <c r="G96" s="16" t="n">
        <f aca="false">IF(Grid!E96=1,-Cost_k*G$3-Short_p*MAX(0,Floor_c-$A96)+Beta_q*((1-(((Alpha_keep*$A96+G$3-Lo_c)/Step_c)-MAX(6,MIN(INT(((Alpha_keep*$A96+G$3-Lo_c)/Step_c)+0.00000001),193))))*INDEX($D$5:$D$205,MAX(6,MIN(INT(((Alpha_keep*$A96+G$3-Lo_c)/Step_c)+0.00000001),193))+1)+(((Alpha_keep*$A96+G$3-Lo_c)/Step_c)-MAX(6,MIN(INT(((Alpha_keep*$A96+G$3-Lo_c)/Step_c)+0.00000001),193)))*INDEX($D$5:$D$205,MAX(6,MIN(INT(((Alpha_keep*$A96+G$3-Lo_c)/Step_c)+0.00000001),193))+2)),"")</f>
        <v>-262.876340011037</v>
      </c>
      <c r="H96" s="16" t="n">
        <f aca="false">IF(Grid!F96=1,-Cost_k*H$3-Short_p*MAX(0,Floor_c-$A96)+Beta_q*((1-(((Alpha_keep*$A96+H$3-Lo_c)/Step_c)-MAX(6,MIN(INT(((Alpha_keep*$A96+H$3-Lo_c)/Step_c)+0.00000001),193))))*INDEX($D$5:$D$205,MAX(6,MIN(INT(((Alpha_keep*$A96+H$3-Lo_c)/Step_c)+0.00000001),193))+1)+(((Alpha_keep*$A96+H$3-Lo_c)/Step_c)-MAX(6,MIN(INT(((Alpha_keep*$A96+H$3-Lo_c)/Step_c)+0.00000001),193)))*INDEX($D$5:$D$205,MAX(6,MIN(INT(((Alpha_keep*$A96+H$3-Lo_c)/Step_c)+0.00000001),193))+2)),"")</f>
        <v>-261.898438091484</v>
      </c>
      <c r="I96" s="16" t="n">
        <f aca="false">IF(Grid!G96=1,-Cost_k*I$3-Short_p*MAX(0,Floor_c-$A96)+Beta_q*((1-(((Alpha_keep*$A96+I$3-Lo_c)/Step_c)-MAX(6,MIN(INT(((Alpha_keep*$A96+I$3-Lo_c)/Step_c)+0.00000001),193))))*INDEX($D$5:$D$205,MAX(6,MIN(INT(((Alpha_keep*$A96+I$3-Lo_c)/Step_c)+0.00000001),193))+1)+(((Alpha_keep*$A96+I$3-Lo_c)/Step_c)-MAX(6,MIN(INT(((Alpha_keep*$A96+I$3-Lo_c)/Step_c)+0.00000001),193)))*INDEX($D$5:$D$205,MAX(6,MIN(INT(((Alpha_keep*$A96+I$3-Lo_c)/Step_c)+0.00000001),193))+2)),"")</f>
        <v>-260.980478906921</v>
      </c>
      <c r="J96" s="16" t="n">
        <f aca="false">IF(Grid!H96=1,-Cost_k*J$3-Short_p*MAX(0,Floor_c-$A96)+Beta_q*((1-(((Alpha_keep*$A96+J$3-Lo_c)/Step_c)-MAX(6,MIN(INT(((Alpha_keep*$A96+J$3-Lo_c)/Step_c)+0.00000001),193))))*INDEX($D$5:$D$205,MAX(6,MIN(INT(((Alpha_keep*$A96+J$3-Lo_c)/Step_c)+0.00000001),193))+1)+(((Alpha_keep*$A96+J$3-Lo_c)/Step_c)-MAX(6,MIN(INT(((Alpha_keep*$A96+J$3-Lo_c)/Step_c)+0.00000001),193)))*INDEX($D$5:$D$205,MAX(6,MIN(INT(((Alpha_keep*$A96+J$3-Lo_c)/Step_c)+0.00000001),193))+2)),"")</f>
        <v>-260.129250991376</v>
      </c>
      <c r="K96" s="16" t="n">
        <f aca="false">IF(Grid!I96=1,-Cost_k*K$3-Short_p*MAX(0,Floor_c-$A96)+Beta_q*((1-(((Alpha_keep*$A96+K$3-Lo_c)/Step_c)-MAX(6,MIN(INT(((Alpha_keep*$A96+K$3-Lo_c)/Step_c)+0.00000001),193))))*INDEX($D$5:$D$205,MAX(6,MIN(INT(((Alpha_keep*$A96+K$3-Lo_c)/Step_c)+0.00000001),193))+1)+(((Alpha_keep*$A96+K$3-Lo_c)/Step_c)-MAX(6,MIN(INT(((Alpha_keep*$A96+K$3-Lo_c)/Step_c)+0.00000001),193)))*INDEX($D$5:$D$205,MAX(6,MIN(INT(((Alpha_keep*$A96+K$3-Lo_c)/Step_c)+0.00000001),193))+2)),"")</f>
        <v>-259.335331829943</v>
      </c>
      <c r="L96" s="16" t="n">
        <f aca="false">IF(Grid!J96=1,-Cost_k*L$3-Short_p*MAX(0,Floor_c-$A96)+Beta_q*((1-(((Alpha_keep*$A96+L$3-Lo_c)/Step_c)-MAX(6,MIN(INT(((Alpha_keep*$A96+L$3-Lo_c)/Step_c)+0.00000001),193))))*INDEX($D$5:$D$205,MAX(6,MIN(INT(((Alpha_keep*$A96+L$3-Lo_c)/Step_c)+0.00000001),193))+1)+(((Alpha_keep*$A96+L$3-Lo_c)/Step_c)-MAX(6,MIN(INT(((Alpha_keep*$A96+L$3-Lo_c)/Step_c)+0.00000001),193)))*INDEX($D$5:$D$205,MAX(6,MIN(INT(((Alpha_keep*$A96+L$3-Lo_c)/Step_c)+0.00000001),193))+2)),"")</f>
        <v>-258.61228404034</v>
      </c>
      <c r="M96" s="16" t="n">
        <f aca="false">IF(Grid!K96=1,-Cost_k*M$3-Short_p*MAX(0,Floor_c-$A96)+Beta_q*((1-(((Alpha_keep*$A96+M$3-Lo_c)/Step_c)-MAX(6,MIN(INT(((Alpha_keep*$A96+M$3-Lo_c)/Step_c)+0.00000001),193))))*INDEX($D$5:$D$205,MAX(6,MIN(INT(((Alpha_keep*$A96+M$3-Lo_c)/Step_c)+0.00000001),193))+1)+(((Alpha_keep*$A96+M$3-Lo_c)/Step_c)-MAX(6,MIN(INT(((Alpha_keep*$A96+M$3-Lo_c)/Step_c)+0.00000001),193)))*INDEX($D$5:$D$205,MAX(6,MIN(INT(((Alpha_keep*$A96+M$3-Lo_c)/Step_c)+0.00000001),193))+2)),"")</f>
        <v>-257.957292202205</v>
      </c>
      <c r="N96" s="16" t="n">
        <f aca="false">IF(Grid!L96=1,-Cost_k*N$3-Short_p*MAX(0,Floor_c-$A96)+Beta_q*((1-(((Alpha_keep*$A96+N$3-Lo_c)/Step_c)-MAX(6,MIN(INT(((Alpha_keep*$A96+N$3-Lo_c)/Step_c)+0.00000001),193))))*INDEX($D$5:$D$205,MAX(6,MIN(INT(((Alpha_keep*$A96+N$3-Lo_c)/Step_c)+0.00000001),193))+1)+(((Alpha_keep*$A96+N$3-Lo_c)/Step_c)-MAX(6,MIN(INT(((Alpha_keep*$A96+N$3-Lo_c)/Step_c)+0.00000001),193)))*INDEX($D$5:$D$205,MAX(6,MIN(INT(((Alpha_keep*$A96+N$3-Lo_c)/Step_c)+0.00000001),193))+2)),"")</f>
        <v>-257.357651225705</v>
      </c>
      <c r="O96" s="16" t="n">
        <f aca="false">IF(Grid!M96=1,-Cost_k*O$3-Short_p*MAX(0,Floor_c-$A96)+Beta_q*((1-(((Alpha_keep*$A96+O$3-Lo_c)/Step_c)-MAX(6,MIN(INT(((Alpha_keep*$A96+O$3-Lo_c)/Step_c)+0.00000001),193))))*INDEX($D$5:$D$205,MAX(6,MIN(INT(((Alpha_keep*$A96+O$3-Lo_c)/Step_c)+0.00000001),193))+1)+(((Alpha_keep*$A96+O$3-Lo_c)/Step_c)-MAX(6,MIN(INT(((Alpha_keep*$A96+O$3-Lo_c)/Step_c)+0.00000001),193)))*INDEX($D$5:$D$205,MAX(6,MIN(INT(((Alpha_keep*$A96+O$3-Lo_c)/Step_c)+0.00000001),193))+2)),"")</f>
        <v>-256.836571876208</v>
      </c>
      <c r="P96" s="11" t="n">
        <f aca="false">MAX(E96:O96)</f>
        <v>-256.836571876208</v>
      </c>
      <c r="Q96" s="12" t="n">
        <f aca="false">INDEX($E$3:$O$3,MATCH(P96,E96:O96,0))</f>
        <v>2.5</v>
      </c>
      <c r="R96" s="20" t="n">
        <v>2.5</v>
      </c>
      <c r="S96" s="14" t="n">
        <f aca="false">IF(ABS(Q96-R96)&lt;0.000000001,1,0)</f>
        <v>1</v>
      </c>
      <c r="T96" s="21" t="n">
        <f aca="false">ABS(P96-B96)</f>
        <v>0</v>
      </c>
      <c r="U96" s="16" t="n">
        <f aca="false">Alpha_keep*A96+Q96</f>
        <v>53.93125</v>
      </c>
      <c r="V96" s="14" t="n">
        <f aca="false">INDEX(GuardBlock,92,ROUND(Q96/Step_h,0)+1)</f>
        <v>1</v>
      </c>
      <c r="W96" s="22" t="n">
        <v>2.72584108691625E-007</v>
      </c>
    </row>
    <row r="97" customFormat="false" ht="15" hidden="false" customHeight="false" outlineLevel="0" collapsed="false">
      <c r="A97" s="18" t="n">
        <f aca="false">Grid!A97</f>
        <v>53</v>
      </c>
      <c r="B97" s="19" t="n">
        <v>-255.017810763353</v>
      </c>
      <c r="C97" s="14" t="n">
        <v>92</v>
      </c>
      <c r="D97" s="11" t="n">
        <f aca="false">IF(AND($C97&gt;=6,$C97&lt;=194),Declarations!$B$25*INDEX($B$5:$B$205,$C97+1-Declarations!$E$25)+Declarations!$B$26*INDEX($B$5:$B$205,$C97+1-Declarations!$E$26)+Declarations!$B$27*INDEX($B$5:$B$205,$C97+1-Declarations!$E$27)+Declarations!$B$28*INDEX($B$5:$B$205,$C97+1-Declarations!$E$28)+Declarations!$B$29*INDEX($B$5:$B$205,$C97+1-Declarations!$E$29),"")</f>
        <v>-255.256232009247</v>
      </c>
      <c r="E97" s="16" t="n">
        <f aca="false">IF(Grid!C97=1,-Cost_k*E$3-Short_p*MAX(0,Floor_c-$A97)+Beta_q*((1-(((Alpha_keep*$A97+E$3-Lo_c)/Step_c)-MAX(6,MIN(INT(((Alpha_keep*$A97+E$3-Lo_c)/Step_c)+0.00000001),193))))*INDEX($D$5:$D$205,MAX(6,MIN(INT(((Alpha_keep*$A97+E$3-Lo_c)/Step_c)+0.00000001),193))+1)+(((Alpha_keep*$A97+E$3-Lo_c)/Step_c)-MAX(6,MIN(INT(((Alpha_keep*$A97+E$3-Lo_c)/Step_c)+0.00000001),193)))*INDEX($D$5:$D$205,MAX(6,MIN(INT(((Alpha_keep*$A97+E$3-Lo_c)/Step_c)+0.00000001),193))+2)),"")</f>
        <v>-262.568311666913</v>
      </c>
      <c r="F97" s="16" t="n">
        <f aca="false">IF(Grid!D97=1,-Cost_k*F$3-Short_p*MAX(0,Floor_c-$A97)+Beta_q*((1-(((Alpha_keep*$A97+F$3-Lo_c)/Step_c)-MAX(6,MIN(INT(((Alpha_keep*$A97+F$3-Lo_c)/Step_c)+0.00000001),193))))*INDEX($D$5:$D$205,MAX(6,MIN(INT(((Alpha_keep*$A97+F$3-Lo_c)/Step_c)+0.00000001),193))+1)+(((Alpha_keep*$A97+F$3-Lo_c)/Step_c)-MAX(6,MIN(INT(((Alpha_keep*$A97+F$3-Lo_c)/Step_c)+0.00000001),193)))*INDEX($D$5:$D$205,MAX(6,MIN(INT(((Alpha_keep*$A97+F$3-Lo_c)/Step_c)+0.00000001),193))+2)),"")</f>
        <v>-261.526883781756</v>
      </c>
      <c r="G97" s="16" t="n">
        <f aca="false">IF(Grid!E97=1,-Cost_k*G$3-Short_p*MAX(0,Floor_c-$A97)+Beta_q*((1-(((Alpha_keep*$A97+G$3-Lo_c)/Step_c)-MAX(6,MIN(INT(((Alpha_keep*$A97+G$3-Lo_c)/Step_c)+0.00000001),193))))*INDEX($D$5:$D$205,MAX(6,MIN(INT(((Alpha_keep*$A97+G$3-Lo_c)/Step_c)+0.00000001),193))+1)+(((Alpha_keep*$A97+G$3-Lo_c)/Step_c)-MAX(6,MIN(INT(((Alpha_keep*$A97+G$3-Lo_c)/Step_c)+0.00000001),193)))*INDEX($D$5:$D$205,MAX(6,MIN(INT(((Alpha_keep*$A97+G$3-Lo_c)/Step_c)+0.00000001),193))+2)),"")</f>
        <v>-260.547469830851</v>
      </c>
      <c r="H97" s="16" t="n">
        <f aca="false">IF(Grid!F97=1,-Cost_k*H$3-Short_p*MAX(0,Floor_c-$A97)+Beta_q*((1-(((Alpha_keep*$A97+H$3-Lo_c)/Step_c)-MAX(6,MIN(INT(((Alpha_keep*$A97+H$3-Lo_c)/Step_c)+0.00000001),193))))*INDEX($D$5:$D$205,MAX(6,MIN(INT(((Alpha_keep*$A97+H$3-Lo_c)/Step_c)+0.00000001),193))+1)+(((Alpha_keep*$A97+H$3-Lo_c)/Step_c)-MAX(6,MIN(INT(((Alpha_keep*$A97+H$3-Lo_c)/Step_c)+0.00000001),193)))*INDEX($D$5:$D$205,MAX(6,MIN(INT(((Alpha_keep*$A97+H$3-Lo_c)/Step_c)+0.00000001),193))+2)),"")</f>
        <v>-259.62801718456</v>
      </c>
      <c r="I97" s="16" t="n">
        <f aca="false">IF(Grid!G97=1,-Cost_k*I$3-Short_p*MAX(0,Floor_c-$A97)+Beta_q*((1-(((Alpha_keep*$A97+I$3-Lo_c)/Step_c)-MAX(6,MIN(INT(((Alpha_keep*$A97+I$3-Lo_c)/Step_c)+0.00000001),193))))*INDEX($D$5:$D$205,MAX(6,MIN(INT(((Alpha_keep*$A97+I$3-Lo_c)/Step_c)+0.00000001),193))+1)+(((Alpha_keep*$A97+I$3-Lo_c)/Step_c)-MAX(6,MIN(INT(((Alpha_keep*$A97+I$3-Lo_c)/Step_c)+0.00000001),193)))*INDEX($D$5:$D$205,MAX(6,MIN(INT(((Alpha_keep*$A97+I$3-Lo_c)/Step_c)+0.00000001),193))+2)),"")</f>
        <v>-258.775054676256</v>
      </c>
      <c r="J97" s="16" t="n">
        <f aca="false">IF(Grid!H97=1,-Cost_k*J$3-Short_p*MAX(0,Floor_c-$A97)+Beta_q*((1-(((Alpha_keep*$A97+J$3-Lo_c)/Step_c)-MAX(6,MIN(INT(((Alpha_keep*$A97+J$3-Lo_c)/Step_c)+0.00000001),193))))*INDEX($D$5:$D$205,MAX(6,MIN(INT(((Alpha_keep*$A97+J$3-Lo_c)/Step_c)+0.00000001),193))+1)+(((Alpha_keep*$A97+J$3-Lo_c)/Step_c)-MAX(6,MIN(INT(((Alpha_keep*$A97+J$3-Lo_c)/Step_c)+0.00000001),193)))*INDEX($D$5:$D$205,MAX(6,MIN(INT(((Alpha_keep*$A97+J$3-Lo_c)/Step_c)+0.00000001),193))+2)),"")</f>
        <v>-257.979817299865</v>
      </c>
      <c r="K97" s="16" t="n">
        <f aca="false">IF(Grid!I97=1,-Cost_k*K$3-Short_p*MAX(0,Floor_c-$A97)+Beta_q*((1-(((Alpha_keep*$A97+K$3-Lo_c)/Step_c)-MAX(6,MIN(INT(((Alpha_keep*$A97+K$3-Lo_c)/Step_c)+0.00000001),193))))*INDEX($D$5:$D$205,MAX(6,MIN(INT(((Alpha_keep*$A97+K$3-Lo_c)/Step_c)+0.00000001),193))+1)+(((Alpha_keep*$A97+K$3-Lo_c)/Step_c)-MAX(6,MIN(INT(((Alpha_keep*$A97+K$3-Lo_c)/Step_c)+0.00000001),193)))*INDEX($D$5:$D$205,MAX(6,MIN(INT(((Alpha_keep*$A97+K$3-Lo_c)/Step_c)+0.00000001),193))+2)),"")</f>
        <v>-257.254825682425</v>
      </c>
      <c r="L97" s="16" t="n">
        <f aca="false">IF(Grid!J97=1,-Cost_k*L$3-Short_p*MAX(0,Floor_c-$A97)+Beta_q*((1-(((Alpha_keep*$A97+L$3-Lo_c)/Step_c)-MAX(6,MIN(INT(((Alpha_keep*$A97+L$3-Lo_c)/Step_c)+0.00000001),193))))*INDEX($D$5:$D$205,MAX(6,MIN(INT(((Alpha_keep*$A97+L$3-Lo_c)/Step_c)+0.00000001),193))+1)+(((Alpha_keep*$A97+L$3-Lo_c)/Step_c)-MAX(6,MIN(INT(((Alpha_keep*$A97+L$3-Lo_c)/Step_c)+0.00000001),193)))*INDEX($D$5:$D$205,MAX(6,MIN(INT(((Alpha_keep*$A97+L$3-Lo_c)/Step_c)+0.00000001),193))+2)),"")</f>
        <v>-256.59822440135</v>
      </c>
      <c r="M97" s="16" t="n">
        <f aca="false">IF(Grid!K97=1,-Cost_k*M$3-Short_p*MAX(0,Floor_c-$A97)+Beta_q*((1-(((Alpha_keep*$A97+M$3-Lo_c)/Step_c)-MAX(6,MIN(INT(((Alpha_keep*$A97+M$3-Lo_c)/Step_c)+0.00000001),193))))*INDEX($D$5:$D$205,MAX(6,MIN(INT(((Alpha_keep*$A97+M$3-Lo_c)/Step_c)+0.00000001),193))+1)+(((Alpha_keep*$A97+M$3-Lo_c)/Step_c)-MAX(6,MIN(INT(((Alpha_keep*$A97+M$3-Lo_c)/Step_c)+0.00000001),193)))*INDEX($D$5:$D$205,MAX(6,MIN(INT(((Alpha_keep*$A97+M$3-Lo_c)/Step_c)+0.00000001),193))+2)),"")</f>
        <v>-255.997285252805</v>
      </c>
      <c r="N97" s="16" t="n">
        <f aca="false">IF(Grid!L97=1,-Cost_k*N$3-Short_p*MAX(0,Floor_c-$A97)+Beta_q*((1-(((Alpha_keep*$A97+N$3-Lo_c)/Step_c)-MAX(6,MIN(INT(((Alpha_keep*$A97+N$3-Lo_c)/Step_c)+0.00000001),193))))*INDEX($D$5:$D$205,MAX(6,MIN(INT(((Alpha_keep*$A97+N$3-Lo_c)/Step_c)+0.00000001),193))+1)+(((Alpha_keep*$A97+N$3-Lo_c)/Step_c)-MAX(6,MIN(INT(((Alpha_keep*$A97+N$3-Lo_c)/Step_c)+0.00000001),193)))*INDEX($D$5:$D$205,MAX(6,MIN(INT(((Alpha_keep*$A97+N$3-Lo_c)/Step_c)+0.00000001),193))+2)),"")</f>
        <v>-255.473989291773</v>
      </c>
      <c r="O97" s="16" t="n">
        <f aca="false">IF(Grid!M97=1,-Cost_k*O$3-Short_p*MAX(0,Floor_c-$A97)+Beta_q*((1-(((Alpha_keep*$A97+O$3-Lo_c)/Step_c)-MAX(6,MIN(INT(((Alpha_keep*$A97+O$3-Lo_c)/Step_c)+0.00000001),193))))*INDEX($D$5:$D$205,MAX(6,MIN(INT(((Alpha_keep*$A97+O$3-Lo_c)/Step_c)+0.00000001),193))+1)+(((Alpha_keep*$A97+O$3-Lo_c)/Step_c)-MAX(6,MIN(INT(((Alpha_keep*$A97+O$3-Lo_c)/Step_c)+0.00000001),193)))*INDEX($D$5:$D$205,MAX(6,MIN(INT(((Alpha_keep*$A97+O$3-Lo_c)/Step_c)+0.00000001),193))+2)),"")</f>
        <v>-255.017810763353</v>
      </c>
      <c r="P97" s="11" t="n">
        <f aca="false">MAX(E97:O97)</f>
        <v>-255.017810763353</v>
      </c>
      <c r="Q97" s="12" t="n">
        <f aca="false">INDEX($E$3:$O$3,MATCH(P97,E97:O97,0))</f>
        <v>2.5</v>
      </c>
      <c r="R97" s="20" t="n">
        <v>2.5</v>
      </c>
      <c r="S97" s="14" t="n">
        <f aca="false">IF(ABS(Q97-R97)&lt;0.000000001,1,0)</f>
        <v>1</v>
      </c>
      <c r="T97" s="21" t="n">
        <f aca="false">ABS(P97-B97)</f>
        <v>0</v>
      </c>
      <c r="U97" s="16" t="n">
        <f aca="false">Alpha_keep*A97+Q97</f>
        <v>54.175</v>
      </c>
      <c r="V97" s="14" t="n">
        <f aca="false">INDEX(GuardBlock,93,ROUND(Q97/Step_h,0)+1)</f>
        <v>1</v>
      </c>
      <c r="W97" s="22" t="n">
        <v>1.3332531707315E-006</v>
      </c>
    </row>
    <row r="98" customFormat="false" ht="15" hidden="false" customHeight="false" outlineLevel="0" collapsed="false">
      <c r="A98" s="18" t="n">
        <f aca="false">Grid!A98</f>
        <v>53.25</v>
      </c>
      <c r="B98" s="19" t="n">
        <v>-253.276916573638</v>
      </c>
      <c r="C98" s="14" t="n">
        <v>93</v>
      </c>
      <c r="D98" s="11" t="n">
        <f aca="false">IF(AND($C98&gt;=6,$C98&lt;=194),Declarations!$B$25*INDEX($B$5:$B$205,$C98+1-Declarations!$E$25)+Declarations!$B$26*INDEX($B$5:$B$205,$C98+1-Declarations!$E$26)+Declarations!$B$27*INDEX($B$5:$B$205,$C98+1-Declarations!$E$27)+Declarations!$B$28*INDEX($B$5:$B$205,$C98+1-Declarations!$E$28)+Declarations!$B$29*INDEX($B$5:$B$205,$C98+1-Declarations!$E$29),"")</f>
        <v>-253.513532888647</v>
      </c>
      <c r="E98" s="16" t="n">
        <f aca="false">IF(Grid!C98=1,-Cost_k*E$3-Short_p*MAX(0,Floor_c-$A98)+Beta_q*((1-(((Alpha_keep*$A98+E$3-Lo_c)/Step_c)-MAX(6,MIN(INT(((Alpha_keep*$A98+E$3-Lo_c)/Step_c)+0.00000001),193))))*INDEX($D$5:$D$205,MAX(6,MIN(INT(((Alpha_keep*$A98+E$3-Lo_c)/Step_c)+0.00000001),193))+1)+(((Alpha_keep*$A98+E$3-Lo_c)/Step_c)-MAX(6,MIN(INT(((Alpha_keep*$A98+E$3-Lo_c)/Step_c)+0.00000001),193)))*INDEX($D$5:$D$205,MAX(6,MIN(INT(((Alpha_keep*$A98+E$3-Lo_c)/Step_c)+0.00000001),193))+2)),"")</f>
        <v>-260.177427552476</v>
      </c>
      <c r="F98" s="16" t="n">
        <f aca="false">IF(Grid!D98=1,-Cost_k*F$3-Short_p*MAX(0,Floor_c-$A98)+Beta_q*((1-(((Alpha_keep*$A98+F$3-Lo_c)/Step_c)-MAX(6,MIN(INT(((Alpha_keep*$A98+F$3-Lo_c)/Step_c)+0.00000001),193))))*INDEX($D$5:$D$205,MAX(6,MIN(INT(((Alpha_keep*$A98+F$3-Lo_c)/Step_c)+0.00000001),193))+1)+(((Alpha_keep*$A98+F$3-Lo_c)/Step_c)-MAX(6,MIN(INT(((Alpha_keep*$A98+F$3-Lo_c)/Step_c)+0.00000001),193)))*INDEX($D$5:$D$205,MAX(6,MIN(INT(((Alpha_keep*$A98+F$3-Lo_c)/Step_c)+0.00000001),193))+2)),"")</f>
        <v>-259.196501570218</v>
      </c>
      <c r="G98" s="16" t="n">
        <f aca="false">IF(Grid!E98=1,-Cost_k*G$3-Short_p*MAX(0,Floor_c-$A98)+Beta_q*((1-(((Alpha_keep*$A98+G$3-Lo_c)/Step_c)-MAX(6,MIN(INT(((Alpha_keep*$A98+G$3-Lo_c)/Step_c)+0.00000001),193))))*INDEX($D$5:$D$205,MAX(6,MIN(INT(((Alpha_keep*$A98+G$3-Lo_c)/Step_c)+0.00000001),193))+1)+(((Alpha_keep*$A98+G$3-Lo_c)/Step_c)-MAX(6,MIN(INT(((Alpha_keep*$A98+G$3-Lo_c)/Step_c)+0.00000001),193)))*INDEX($D$5:$D$205,MAX(6,MIN(INT(((Alpha_keep*$A98+G$3-Lo_c)/Step_c)+0.00000001),193))+2)),"")</f>
        <v>-258.275555462198</v>
      </c>
      <c r="H98" s="16" t="n">
        <f aca="false">IF(Grid!F98=1,-Cost_k*H$3-Short_p*MAX(0,Floor_c-$A98)+Beta_q*((1-(((Alpha_keep*$A98+H$3-Lo_c)/Step_c)-MAX(6,MIN(INT(((Alpha_keep*$A98+H$3-Lo_c)/Step_c)+0.00000001),193))))*INDEX($D$5:$D$205,MAX(6,MIN(INT(((Alpha_keep*$A98+H$3-Lo_c)/Step_c)+0.00000001),193))+1)+(((Alpha_keep*$A98+H$3-Lo_c)/Step_c)-MAX(6,MIN(INT(((Alpha_keep*$A98+H$3-Lo_c)/Step_c)+0.00000001),193)))*INDEX($D$5:$D$205,MAX(6,MIN(INT(((Alpha_keep*$A98+H$3-Lo_c)/Step_c)+0.00000001),193))+2)),"")</f>
        <v>-257.420858361136</v>
      </c>
      <c r="I98" s="16" t="n">
        <f aca="false">IF(Grid!G98=1,-Cost_k*I$3-Short_p*MAX(0,Floor_c-$A98)+Beta_q*((1-(((Alpha_keep*$A98+I$3-Lo_c)/Step_c)-MAX(6,MIN(INT(((Alpha_keep*$A98+I$3-Lo_c)/Step_c)+0.00000001),193))))*INDEX($D$5:$D$205,MAX(6,MIN(INT(((Alpha_keep*$A98+I$3-Lo_c)/Step_c)+0.00000001),193))+1)+(((Alpha_keep*$A98+I$3-Lo_c)/Step_c)-MAX(6,MIN(INT(((Alpha_keep*$A98+I$3-Lo_c)/Step_c)+0.00000001),193)))*INDEX($D$5:$D$205,MAX(6,MIN(INT(((Alpha_keep*$A98+I$3-Lo_c)/Step_c)+0.00000001),193))+2)),"")</f>
        <v>-256.624302769788</v>
      </c>
      <c r="J98" s="16" t="n">
        <f aca="false">IF(Grid!H98=1,-Cost_k*J$3-Short_p*MAX(0,Floor_c-$A98)+Beta_q*((1-(((Alpha_keep*$A98+J$3-Lo_c)/Step_c)-MAX(6,MIN(INT(((Alpha_keep*$A98+J$3-Lo_c)/Step_c)+0.00000001),193))))*INDEX($D$5:$D$205,MAX(6,MIN(INT(((Alpha_keep*$A98+J$3-Lo_c)/Step_c)+0.00000001),193))+1)+(((Alpha_keep*$A98+J$3-Lo_c)/Step_c)-MAX(6,MIN(INT(((Alpha_keep*$A98+J$3-Lo_c)/Step_c)+0.00000001),193)))*INDEX($D$5:$D$205,MAX(6,MIN(INT(((Alpha_keep*$A98+J$3-Lo_c)/Step_c)+0.00000001),193))+2)),"")</f>
        <v>-255.89736732451</v>
      </c>
      <c r="K98" s="16" t="n">
        <f aca="false">IF(Grid!I98=1,-Cost_k*K$3-Short_p*MAX(0,Floor_c-$A98)+Beta_q*((1-(((Alpha_keep*$A98+K$3-Lo_c)/Step_c)-MAX(6,MIN(INT(((Alpha_keep*$A98+K$3-Lo_c)/Step_c)+0.00000001),193))))*INDEX($D$5:$D$205,MAX(6,MIN(INT(((Alpha_keep*$A98+K$3-Lo_c)/Step_c)+0.00000001),193))+1)+(((Alpha_keep*$A98+K$3-Lo_c)/Step_c)-MAX(6,MIN(INT(((Alpha_keep*$A98+K$3-Lo_c)/Step_c)+0.00000001),193)))*INDEX($D$5:$D$205,MAX(6,MIN(INT(((Alpha_keep*$A98+K$3-Lo_c)/Step_c)+0.00000001),193))+2)),"")</f>
        <v>-255.239156600495</v>
      </c>
      <c r="L98" s="16" t="n">
        <f aca="false">IF(Grid!J98=1,-Cost_k*L$3-Short_p*MAX(0,Floor_c-$A98)+Beta_q*((1-(((Alpha_keep*$A98+L$3-Lo_c)/Step_c)-MAX(6,MIN(INT(((Alpha_keep*$A98+L$3-Lo_c)/Step_c)+0.00000001),193))))*INDEX($D$5:$D$205,MAX(6,MIN(INT(((Alpha_keep*$A98+L$3-Lo_c)/Step_c)+0.00000001),193))+1)+(((Alpha_keep*$A98+L$3-Lo_c)/Step_c)-MAX(6,MIN(INT(((Alpha_keep*$A98+L$3-Lo_c)/Step_c)+0.00000001),193)))*INDEX($D$5:$D$205,MAX(6,MIN(INT(((Alpha_keep*$A98+L$3-Lo_c)/Step_c)+0.00000001),193))+2)),"")</f>
        <v>-254.636919279906</v>
      </c>
      <c r="M98" s="16" t="n">
        <f aca="false">IF(Grid!K98=1,-Cost_k*M$3-Short_p*MAX(0,Floor_c-$A98)+Beta_q*((1-(((Alpha_keep*$A98+M$3-Lo_c)/Step_c)-MAX(6,MIN(INT(((Alpha_keep*$A98+M$3-Lo_c)/Step_c)+0.00000001),193))))*INDEX($D$5:$D$205,MAX(6,MIN(INT(((Alpha_keep*$A98+M$3-Lo_c)/Step_c)+0.00000001),193))+1)+(((Alpha_keep*$A98+M$3-Lo_c)/Step_c)-MAX(6,MIN(INT(((Alpha_keep*$A98+M$3-Lo_c)/Step_c)+0.00000001),193)))*INDEX($D$5:$D$205,MAX(6,MIN(INT(((Alpha_keep*$A98+M$3-Lo_c)/Step_c)+0.00000001),193))+2)),"")</f>
        <v>-254.111406707338</v>
      </c>
      <c r="N98" s="16" t="n">
        <f aca="false">IF(Grid!L98=1,-Cost_k*N$3-Short_p*MAX(0,Floor_c-$A98)+Beta_q*((1-(((Alpha_keep*$A98+N$3-Lo_c)/Step_c)-MAX(6,MIN(INT(((Alpha_keep*$A98+N$3-Lo_c)/Step_c)+0.00000001),193))))*INDEX($D$5:$D$205,MAX(6,MIN(INT(((Alpha_keep*$A98+N$3-Lo_c)/Step_c)+0.00000001),193))+1)+(((Alpha_keep*$A98+N$3-Lo_c)/Step_c)-MAX(6,MIN(INT(((Alpha_keep*$A98+N$3-Lo_c)/Step_c)+0.00000001),193)))*INDEX($D$5:$D$205,MAX(6,MIN(INT(((Alpha_keep*$A98+N$3-Lo_c)/Step_c)+0.00000001),193))+2)),"")</f>
        <v>-253.653781104126</v>
      </c>
      <c r="O98" s="16" t="n">
        <f aca="false">IF(Grid!M98=1,-Cost_k*O$3-Short_p*MAX(0,Floor_c-$A98)+Beta_q*((1-(((Alpha_keep*$A98+O$3-Lo_c)/Step_c)-MAX(6,MIN(INT(((Alpha_keep*$A98+O$3-Lo_c)/Step_c)+0.00000001),193))))*INDEX($D$5:$D$205,MAX(6,MIN(INT(((Alpha_keep*$A98+O$3-Lo_c)/Step_c)+0.00000001),193))+1)+(((Alpha_keep*$A98+O$3-Lo_c)/Step_c)-MAX(6,MIN(INT(((Alpha_keep*$A98+O$3-Lo_c)/Step_c)+0.00000001),193)))*INDEX($D$5:$D$205,MAX(6,MIN(INT(((Alpha_keep*$A98+O$3-Lo_c)/Step_c)+0.00000001),193))+2)),"")</f>
        <v>-253.276916573638</v>
      </c>
      <c r="P98" s="11" t="n">
        <f aca="false">MAX(E98:O98)</f>
        <v>-253.276916573638</v>
      </c>
      <c r="Q98" s="12" t="n">
        <f aca="false">INDEX($E$3:$O$3,MATCH(P98,E98:O98,0))</f>
        <v>2.5</v>
      </c>
      <c r="R98" s="20" t="n">
        <v>2.5</v>
      </c>
      <c r="S98" s="14" t="n">
        <f aca="false">IF(ABS(Q98-R98)&lt;0.000000001,1,0)</f>
        <v>1</v>
      </c>
      <c r="T98" s="21" t="n">
        <f aca="false">ABS(P98-B98)</f>
        <v>0</v>
      </c>
      <c r="U98" s="16" t="n">
        <f aca="false">Alpha_keep*A98+Q98</f>
        <v>54.41875</v>
      </c>
      <c r="V98" s="14" t="n">
        <f aca="false">INDEX(GuardBlock,94,ROUND(Q98/Step_h,0)+1)</f>
        <v>1</v>
      </c>
      <c r="W98" s="22" t="n">
        <v>1.37623267383456E-005</v>
      </c>
    </row>
    <row r="99" customFormat="false" ht="15" hidden="false" customHeight="false" outlineLevel="0" collapsed="false">
      <c r="A99" s="18" t="n">
        <f aca="false">Grid!A99</f>
        <v>53.5</v>
      </c>
      <c r="B99" s="19" t="n">
        <v>-251.596316785951</v>
      </c>
      <c r="C99" s="14" t="n">
        <v>94</v>
      </c>
      <c r="D99" s="11" t="n">
        <f aca="false">IF(AND($C99&gt;=6,$C99&lt;=194),Declarations!$B$25*INDEX($B$5:$B$205,$C99+1-Declarations!$E$25)+Declarations!$B$26*INDEX($B$5:$B$205,$C99+1-Declarations!$E$26)+Declarations!$B$27*INDEX($B$5:$B$205,$C99+1-Declarations!$E$27)+Declarations!$B$28*INDEX($B$5:$B$205,$C99+1-Declarations!$E$28)+Declarations!$B$29*INDEX($B$5:$B$205,$C99+1-Declarations!$E$29),"")</f>
        <v>-251.836763869898</v>
      </c>
      <c r="E99" s="16" t="n">
        <f aca="false">IF(Grid!C99=1,-Cost_k*E$3-Short_p*MAX(0,Floor_c-$A99)+Beta_q*((1-(((Alpha_keep*$A99+E$3-Lo_c)/Step_c)-MAX(6,MIN(INT(((Alpha_keep*$A99+E$3-Lo_c)/Step_c)+0.00000001),193))))*INDEX($D$5:$D$205,MAX(6,MIN(INT(((Alpha_keep*$A99+E$3-Lo_c)/Step_c)+0.00000001),193))+1)+(((Alpha_keep*$A99+E$3-Lo_c)/Step_c)-MAX(6,MIN(INT(((Alpha_keep*$A99+E$3-Lo_c)/Step_c)+0.00000001),193)))*INDEX($D$5:$D$205,MAX(6,MIN(INT(((Alpha_keep*$A99+E$3-Lo_c)/Step_c)+0.00000001),193))+2)),"")</f>
        <v>-257.845533309585</v>
      </c>
      <c r="F99" s="16" t="n">
        <f aca="false">IF(Grid!D99=1,-Cost_k*F$3-Short_p*MAX(0,Floor_c-$A99)+Beta_q*((1-(((Alpha_keep*$A99+F$3-Lo_c)/Step_c)-MAX(6,MIN(INT(((Alpha_keep*$A99+F$3-Lo_c)/Step_c)+0.00000001),193))))*INDEX($D$5:$D$205,MAX(6,MIN(INT(((Alpha_keep*$A99+F$3-Lo_c)/Step_c)+0.00000001),193))+1)+(((Alpha_keep*$A99+F$3-Lo_c)/Step_c)-MAX(6,MIN(INT(((Alpha_keep*$A99+F$3-Lo_c)/Step_c)+0.00000001),193)))*INDEX($D$5:$D$205,MAX(6,MIN(INT(((Alpha_keep*$A99+F$3-Lo_c)/Step_c)+0.00000001),193))+2)),"")</f>
        <v>-256.923093739837</v>
      </c>
      <c r="G99" s="16" t="n">
        <f aca="false">IF(Grid!E99=1,-Cost_k*G$3-Short_p*MAX(0,Floor_c-$A99)+Beta_q*((1-(((Alpha_keep*$A99+G$3-Lo_c)/Step_c)-MAX(6,MIN(INT(((Alpha_keep*$A99+G$3-Lo_c)/Step_c)+0.00000001),193))))*INDEX($D$5:$D$205,MAX(6,MIN(INT(((Alpha_keep*$A99+G$3-Lo_c)/Step_c)+0.00000001),193))+1)+(((Alpha_keep*$A99+G$3-Lo_c)/Step_c)-MAX(6,MIN(INT(((Alpha_keep*$A99+G$3-Lo_c)/Step_c)+0.00000001),193)))*INDEX($D$5:$D$205,MAX(6,MIN(INT(((Alpha_keep*$A99+G$3-Lo_c)/Step_c)+0.00000001),193))+2)),"")</f>
        <v>-256.066662046015</v>
      </c>
      <c r="H99" s="16" t="n">
        <f aca="false">IF(Grid!F99=1,-Cost_k*H$3-Short_p*MAX(0,Floor_c-$A99)+Beta_q*((1-(((Alpha_keep*$A99+H$3-Lo_c)/Step_c)-MAX(6,MIN(INT(((Alpha_keep*$A99+H$3-Lo_c)/Step_c)+0.00000001),193))))*INDEX($D$5:$D$205,MAX(6,MIN(INT(((Alpha_keep*$A99+H$3-Lo_c)/Step_c)+0.00000001),193))+1)+(((Alpha_keep*$A99+H$3-Lo_c)/Step_c)-MAX(6,MIN(INT(((Alpha_keep*$A99+H$3-Lo_c)/Step_c)+0.00000001),193)))*INDEX($D$5:$D$205,MAX(6,MIN(INT(((Alpha_keep*$A99+H$3-Lo_c)/Step_c)+0.00000001),193))+2)),"")</f>
        <v>-255.26878823971</v>
      </c>
      <c r="I99" s="16" t="n">
        <f aca="false">IF(Grid!G99=1,-Cost_k*I$3-Short_p*MAX(0,Floor_c-$A99)+Beta_q*((1-(((Alpha_keep*$A99+I$3-Lo_c)/Step_c)-MAX(6,MIN(INT(((Alpha_keep*$A99+I$3-Lo_c)/Step_c)+0.00000001),193))))*INDEX($D$5:$D$205,MAX(6,MIN(INT(((Alpha_keep*$A99+I$3-Lo_c)/Step_c)+0.00000001),193))+1)+(((Alpha_keep*$A99+I$3-Lo_c)/Step_c)-MAX(6,MIN(INT(((Alpha_keep*$A99+I$3-Lo_c)/Step_c)+0.00000001),193)))*INDEX($D$5:$D$205,MAX(6,MIN(INT(((Alpha_keep*$A99+I$3-Lo_c)/Step_c)+0.00000001),193))+2)),"")</f>
        <v>-254.539908966594</v>
      </c>
      <c r="J99" s="16" t="n">
        <f aca="false">IF(Grid!H99=1,-Cost_k*J$3-Short_p*MAX(0,Floor_c-$A99)+Beta_q*((1-(((Alpha_keep*$A99+J$3-Lo_c)/Step_c)-MAX(6,MIN(INT(((Alpha_keep*$A99+J$3-Lo_c)/Step_c)+0.00000001),193))))*INDEX($D$5:$D$205,MAX(6,MIN(INT(((Alpha_keep*$A99+J$3-Lo_c)/Step_c)+0.00000001),193))+1)+(((Alpha_keep*$A99+J$3-Lo_c)/Step_c)-MAX(6,MIN(INT(((Alpha_keep*$A99+J$3-Lo_c)/Step_c)+0.00000001),193)))*INDEX($D$5:$D$205,MAX(6,MIN(INT(((Alpha_keep*$A99+J$3-Lo_c)/Step_c)+0.00000001),193))+2)),"")</f>
        <v>-253.88008879964</v>
      </c>
      <c r="K99" s="16" t="n">
        <f aca="false">IF(Grid!I99=1,-Cost_k*K$3-Short_p*MAX(0,Floor_c-$A99)+Beta_q*((1-(((Alpha_keep*$A99+K$3-Lo_c)/Step_c)-MAX(6,MIN(INT(((Alpha_keep*$A99+K$3-Lo_c)/Step_c)+0.00000001),193))))*INDEX($D$5:$D$205,MAX(6,MIN(INT(((Alpha_keep*$A99+K$3-Lo_c)/Step_c)+0.00000001),193))+1)+(((Alpha_keep*$A99+K$3-Lo_c)/Step_c)-MAX(6,MIN(INT(((Alpha_keep*$A99+K$3-Lo_c)/Step_c)+0.00000001),193)))*INDEX($D$5:$D$205,MAX(6,MIN(INT(((Alpha_keep*$A99+K$3-Lo_c)/Step_c)+0.00000001),193))+2)),"")</f>
        <v>-253.276553307006</v>
      </c>
      <c r="L99" s="16" t="n">
        <f aca="false">IF(Grid!J99=1,-Cost_k*L$3-Short_p*MAX(0,Floor_c-$A99)+Beta_q*((1-(((Alpha_keep*$A99+L$3-Lo_c)/Step_c)-MAX(6,MIN(INT(((Alpha_keep*$A99+L$3-Lo_c)/Step_c)+0.00000001),193))))*INDEX($D$5:$D$205,MAX(6,MIN(INT(((Alpha_keep*$A99+L$3-Lo_c)/Step_c)+0.00000001),193))+1)+(((Alpha_keep*$A99+L$3-Lo_c)/Step_c)-MAX(6,MIN(INT(((Alpha_keep*$A99+L$3-Lo_c)/Step_c)+0.00000001),193)))*INDEX($D$5:$D$205,MAX(6,MIN(INT(((Alpha_keep*$A99+L$3-Lo_c)/Step_c)+0.00000001),193))+2)),"")</f>
        <v>-252.748824122904</v>
      </c>
      <c r="M99" s="16" t="n">
        <f aca="false">IF(Grid!K99=1,-Cost_k*M$3-Short_p*MAX(0,Floor_c-$A99)+Beta_q*((1-(((Alpha_keep*$A99+M$3-Lo_c)/Step_c)-MAX(6,MIN(INT(((Alpha_keep*$A99+M$3-Lo_c)/Step_c)+0.00000001),193))))*INDEX($D$5:$D$205,MAX(6,MIN(INT(((Alpha_keep*$A99+M$3-Lo_c)/Step_c)+0.00000001),193))+1)+(((Alpha_keep*$A99+M$3-Lo_c)/Step_c)-MAX(6,MIN(INT(((Alpha_keep*$A99+M$3-Lo_c)/Step_c)+0.00000001),193)))*INDEX($D$5:$D$205,MAX(6,MIN(INT(((Alpha_keep*$A99+M$3-Lo_c)/Step_c)+0.00000001),193))+2)),"")</f>
        <v>-252.289751444898</v>
      </c>
      <c r="N99" s="16" t="n">
        <f aca="false">IF(Grid!L99=1,-Cost_k*N$3-Short_p*MAX(0,Floor_c-$A99)+Beta_q*((1-(((Alpha_keep*$A99+N$3-Lo_c)/Step_c)-MAX(6,MIN(INT(((Alpha_keep*$A99+N$3-Lo_c)/Step_c)+0.00000001),193))))*INDEX($D$5:$D$205,MAX(6,MIN(INT(((Alpha_keep*$A99+N$3-Lo_c)/Step_c)+0.00000001),193))+1)+(((Alpha_keep*$A99+N$3-Lo_c)/Step_c)-MAX(6,MIN(INT(((Alpha_keep*$A99+N$3-Lo_c)/Step_c)+0.00000001),193)))*INDEX($D$5:$D$205,MAX(6,MIN(INT(((Alpha_keep*$A99+N$3-Lo_c)/Step_c)+0.00000001),193))+2)),"")</f>
        <v>-251.910592503284</v>
      </c>
      <c r="O99" s="16" t="n">
        <f aca="false">IF(Grid!M99=1,-Cost_k*O$3-Short_p*MAX(0,Floor_c-$A99)+Beta_q*((1-(((Alpha_keep*$A99+O$3-Lo_c)/Step_c)-MAX(6,MIN(INT(((Alpha_keep*$A99+O$3-Lo_c)/Step_c)+0.00000001),193))))*INDEX($D$5:$D$205,MAX(6,MIN(INT(((Alpha_keep*$A99+O$3-Lo_c)/Step_c)+0.00000001),193))+1)+(((Alpha_keep*$A99+O$3-Lo_c)/Step_c)-MAX(6,MIN(INT(((Alpha_keep*$A99+O$3-Lo_c)/Step_c)+0.00000001),193)))*INDEX($D$5:$D$205,MAX(6,MIN(INT(((Alpha_keep*$A99+O$3-Lo_c)/Step_c)+0.00000001),193))+2)),"")</f>
        <v>-251.596316785951</v>
      </c>
      <c r="P99" s="11" t="n">
        <f aca="false">MAX(E99:O99)</f>
        <v>-251.596316785951</v>
      </c>
      <c r="Q99" s="12" t="n">
        <f aca="false">INDEX($E$3:$O$3,MATCH(P99,E99:O99,0))</f>
        <v>2.5</v>
      </c>
      <c r="R99" s="20" t="n">
        <v>2.5</v>
      </c>
      <c r="S99" s="14" t="n">
        <f aca="false">IF(ABS(Q99-R99)&lt;0.000000001,1,0)</f>
        <v>1</v>
      </c>
      <c r="T99" s="21" t="n">
        <f aca="false">ABS(P99-B99)</f>
        <v>0</v>
      </c>
      <c r="U99" s="16" t="n">
        <f aca="false">Alpha_keep*A99+Q99</f>
        <v>54.6625</v>
      </c>
      <c r="V99" s="14" t="n">
        <f aca="false">INDEX(GuardBlock,95,ROUND(Q99/Step_h,0)+1)</f>
        <v>1</v>
      </c>
      <c r="W99" s="22" t="n">
        <v>4.85236408746173E-005</v>
      </c>
    </row>
    <row r="100" customFormat="false" ht="15" hidden="false" customHeight="false" outlineLevel="0" collapsed="false">
      <c r="A100" s="18" t="n">
        <f aca="false">Grid!A100</f>
        <v>53.75</v>
      </c>
      <c r="B100" s="19" t="n">
        <v>-249.946967214853</v>
      </c>
      <c r="C100" s="14" t="n">
        <v>95</v>
      </c>
      <c r="D100" s="11" t="n">
        <f aca="false">IF(AND($C100&gt;=6,$C100&lt;=194),Declarations!$B$25*INDEX($B$5:$B$205,$C100+1-Declarations!$E$25)+Declarations!$B$26*INDEX($B$5:$B$205,$C100+1-Declarations!$E$26)+Declarations!$B$27*INDEX($B$5:$B$205,$C100+1-Declarations!$E$27)+Declarations!$B$28*INDEX($B$5:$B$205,$C100+1-Declarations!$E$28)+Declarations!$B$29*INDEX($B$5:$B$205,$C100+1-Declarations!$E$29),"")</f>
        <v>-250.213173881626</v>
      </c>
      <c r="E100" s="16" t="n">
        <f aca="false">IF(Grid!C100=1,-Cost_k*E$3-Short_p*MAX(0,Floor_c-$A100)+Beta_q*((1-(((Alpha_keep*$A100+E$3-Lo_c)/Step_c)-MAX(6,MIN(INT(((Alpha_keep*$A100+E$3-Lo_c)/Step_c)+0.00000001),193))))*INDEX($D$5:$D$205,MAX(6,MIN(INT(((Alpha_keep*$A100+E$3-Lo_c)/Step_c)+0.00000001),193))+1)+(((Alpha_keep*$A100+E$3-Lo_c)/Step_c)-MAX(6,MIN(INT(((Alpha_keep*$A100+E$3-Lo_c)/Step_c)+0.00000001),193)))*INDEX($D$5:$D$205,MAX(6,MIN(INT(((Alpha_keep*$A100+E$3-Lo_c)/Step_c)+0.00000001),193))+2)),"")</f>
        <v>-255.570632017476</v>
      </c>
      <c r="F100" s="16" t="n">
        <f aca="false">IF(Grid!D100=1,-Cost_k*F$3-Short_p*MAX(0,Floor_c-$A100)+Beta_q*((1-(((Alpha_keep*$A100+F$3-Lo_c)/Step_c)-MAX(6,MIN(INT(((Alpha_keep*$A100+F$3-Lo_c)/Step_c)+0.00000001),193))))*INDEX($D$5:$D$205,MAX(6,MIN(INT(((Alpha_keep*$A100+F$3-Lo_c)/Step_c)+0.00000001),193))+1)+(((Alpha_keep*$A100+F$3-Lo_c)/Step_c)-MAX(6,MIN(INT(((Alpha_keep*$A100+F$3-Lo_c)/Step_c)+0.00000001),193)))*INDEX($D$5:$D$205,MAX(6,MIN(INT(((Alpha_keep*$A100+F$3-Lo_c)/Step_c)+0.00000001),193))+2)),"")</f>
        <v>-254.712465730895</v>
      </c>
      <c r="G100" s="16" t="n">
        <f aca="false">IF(Grid!E100=1,-Cost_k*G$3-Short_p*MAX(0,Floor_c-$A100)+Beta_q*((1-(((Alpha_keep*$A100+G$3-Lo_c)/Step_c)-MAX(6,MIN(INT(((Alpha_keep*$A100+G$3-Lo_c)/Step_c)+0.00000001),193))))*INDEX($D$5:$D$205,MAX(6,MIN(INT(((Alpha_keep*$A100+G$3-Lo_c)/Step_c)+0.00000001),193))+1)+(((Alpha_keep*$A100+G$3-Lo_c)/Step_c)-MAX(6,MIN(INT(((Alpha_keep*$A100+G$3-Lo_c)/Step_c)+0.00000001),193)))*INDEX($D$5:$D$205,MAX(6,MIN(INT(((Alpha_keep*$A100+G$3-Lo_c)/Step_c)+0.00000001),193))+2)),"")</f>
        <v>-253.913273709633</v>
      </c>
      <c r="H100" s="16" t="n">
        <f aca="false">IF(Grid!F100=1,-Cost_k*H$3-Short_p*MAX(0,Floor_c-$A100)+Beta_q*((1-(((Alpha_keep*$A100+H$3-Lo_c)/Step_c)-MAX(6,MIN(INT(((Alpha_keep*$A100+H$3-Lo_c)/Step_c)+0.00000001),193))))*INDEX($D$5:$D$205,MAX(6,MIN(INT(((Alpha_keep*$A100+H$3-Lo_c)/Step_c)+0.00000001),193))+1)+(((Alpha_keep*$A100+H$3-Lo_c)/Step_c)-MAX(6,MIN(INT(((Alpha_keep*$A100+H$3-Lo_c)/Step_c)+0.00000001),193)))*INDEX($D$5:$D$205,MAX(6,MIN(INT(((Alpha_keep*$A100+H$3-Lo_c)/Step_c)+0.00000001),193))+2)),"")</f>
        <v>-253.182450608679</v>
      </c>
      <c r="I100" s="16" t="n">
        <f aca="false">IF(Grid!G100=1,-Cost_k*I$3-Short_p*MAX(0,Floor_c-$A100)+Beta_q*((1-(((Alpha_keep*$A100+I$3-Lo_c)/Step_c)-MAX(6,MIN(INT(((Alpha_keep*$A100+I$3-Lo_c)/Step_c)+0.00000001),193))))*INDEX($D$5:$D$205,MAX(6,MIN(INT(((Alpha_keep*$A100+I$3-Lo_c)/Step_c)+0.00000001),193))+1)+(((Alpha_keep*$A100+I$3-Lo_c)/Step_c)-MAX(6,MIN(INT(((Alpha_keep*$A100+I$3-Lo_c)/Step_c)+0.00000001),193)))*INDEX($D$5:$D$205,MAX(6,MIN(INT(((Alpha_keep*$A100+I$3-Lo_c)/Step_c)+0.00000001),193))+2)),"")</f>
        <v>-252.521020998784</v>
      </c>
      <c r="J100" s="16" t="n">
        <f aca="false">IF(Grid!H100=1,-Cost_k*J$3-Short_p*MAX(0,Floor_c-$A100)+Beta_q*((1-(((Alpha_keep*$A100+J$3-Lo_c)/Step_c)-MAX(6,MIN(INT(((Alpha_keep*$A100+J$3-Lo_c)/Step_c)+0.00000001),193))))*INDEX($D$5:$D$205,MAX(6,MIN(INT(((Alpha_keep*$A100+J$3-Lo_c)/Step_c)+0.00000001),193))+1)+(((Alpha_keep*$A100+J$3-Lo_c)/Step_c)-MAX(6,MIN(INT(((Alpha_keep*$A100+J$3-Lo_c)/Step_c)+0.00000001),193)))*INDEX($D$5:$D$205,MAX(6,MIN(INT(((Alpha_keep*$A100+J$3-Lo_c)/Step_c)+0.00000001),193))+2)),"")</f>
        <v>-251.916187334106</v>
      </c>
      <c r="K100" s="16" t="n">
        <f aca="false">IF(Grid!I100=1,-Cost_k*K$3-Short_p*MAX(0,Floor_c-$A100)+Beta_q*((1-(((Alpha_keep*$A100+K$3-Lo_c)/Step_c)-MAX(6,MIN(INT(((Alpha_keep*$A100+K$3-Lo_c)/Step_c)+0.00000001),193))))*INDEX($D$5:$D$205,MAX(6,MIN(INT(((Alpha_keep*$A100+K$3-Lo_c)/Step_c)+0.00000001),193))+1)+(((Alpha_keep*$A100+K$3-Lo_c)/Step_c)-MAX(6,MIN(INT(((Alpha_keep*$A100+K$3-Lo_c)/Step_c)+0.00000001),193)))*INDEX($D$5:$D$205,MAX(6,MIN(INT(((Alpha_keep*$A100+K$3-Lo_c)/Step_c)+0.00000001),193))+2)),"")</f>
        <v>-251.386241538469</v>
      </c>
      <c r="L100" s="16" t="n">
        <f aca="false">IF(Grid!J100=1,-Cost_k*L$3-Short_p*MAX(0,Floor_c-$A100)+Beta_q*((1-(((Alpha_keep*$A100+L$3-Lo_c)/Step_c)-MAX(6,MIN(INT(((Alpha_keep*$A100+L$3-Lo_c)/Step_c)+0.00000001),193))))*INDEX($D$5:$D$205,MAX(6,MIN(INT(((Alpha_keep*$A100+L$3-Lo_c)/Step_c)+0.00000001),193))+1)+(((Alpha_keep*$A100+L$3-Lo_c)/Step_c)-MAX(6,MIN(INT(((Alpha_keep*$A100+L$3-Lo_c)/Step_c)+0.00000001),193)))*INDEX($D$5:$D$205,MAX(6,MIN(INT(((Alpha_keep*$A100+L$3-Lo_c)/Step_c)+0.00000001),193))+2)),"")</f>
        <v>-250.925721785671</v>
      </c>
      <c r="M100" s="16" t="n">
        <f aca="false">IF(Grid!K100=1,-Cost_k*M$3-Short_p*MAX(0,Floor_c-$A100)+Beta_q*((1-(((Alpha_keep*$A100+M$3-Lo_c)/Step_c)-MAX(6,MIN(INT(((Alpha_keep*$A100+M$3-Lo_c)/Step_c)+0.00000001),193))))*INDEX($D$5:$D$205,MAX(6,MIN(INT(((Alpha_keep*$A100+M$3-Lo_c)/Step_c)+0.00000001),193))+1)+(((Alpha_keep*$A100+M$3-Lo_c)/Step_c)-MAX(6,MIN(INT(((Alpha_keep*$A100+M$3-Lo_c)/Step_c)+0.00000001),193)))*INDEX($D$5:$D$205,MAX(6,MIN(INT(((Alpha_keep*$A100+M$3-Lo_c)/Step_c)+0.00000001),193))+2)),"")</f>
        <v>-250.54426843293</v>
      </c>
      <c r="N100" s="16" t="n">
        <f aca="false">IF(Grid!L100=1,-Cost_k*N$3-Short_p*MAX(0,Floor_c-$A100)+Beta_q*((1-(((Alpha_keep*$A100+N$3-Lo_c)/Step_c)-MAX(6,MIN(INT(((Alpha_keep*$A100+N$3-Lo_c)/Step_c)+0.00000001),193))))*INDEX($D$5:$D$205,MAX(6,MIN(INT(((Alpha_keep*$A100+N$3-Lo_c)/Step_c)+0.00000001),193))+1)+(((Alpha_keep*$A100+N$3-Lo_c)/Step_c)-MAX(6,MIN(INT(((Alpha_keep*$A100+N$3-Lo_c)/Step_c)+0.00000001),193)))*INDEX($D$5:$D$205,MAX(6,MIN(INT(((Alpha_keep*$A100+N$3-Lo_c)/Step_c)+0.00000001),193))+2)),"")</f>
        <v>-250.228732659116</v>
      </c>
      <c r="O100" s="16" t="n">
        <f aca="false">IF(Grid!M100=1,-Cost_k*O$3-Short_p*MAX(0,Floor_c-$A100)+Beta_q*((1-(((Alpha_keep*$A100+O$3-Lo_c)/Step_c)-MAX(6,MIN(INT(((Alpha_keep*$A100+O$3-Lo_c)/Step_c)+0.00000001),193))))*INDEX($D$5:$D$205,MAX(6,MIN(INT(((Alpha_keep*$A100+O$3-Lo_c)/Step_c)+0.00000001),193))+1)+(((Alpha_keep*$A100+O$3-Lo_c)/Step_c)-MAX(6,MIN(INT(((Alpha_keep*$A100+O$3-Lo_c)/Step_c)+0.00000001),193)))*INDEX($D$5:$D$205,MAX(6,MIN(INT(((Alpha_keep*$A100+O$3-Lo_c)/Step_c)+0.00000001),193))+2)),"")</f>
        <v>-249.946967214853</v>
      </c>
      <c r="P100" s="11" t="n">
        <f aca="false">MAX(E100:O100)</f>
        <v>-249.946967214853</v>
      </c>
      <c r="Q100" s="12" t="n">
        <f aca="false">INDEX($E$3:$O$3,MATCH(P100,E100:O100,0))</f>
        <v>2.5</v>
      </c>
      <c r="R100" s="20" t="n">
        <v>2.5</v>
      </c>
      <c r="S100" s="14" t="n">
        <f aca="false">IF(ABS(Q100-R100)&lt;0.000000001,1,0)</f>
        <v>1</v>
      </c>
      <c r="T100" s="21" t="n">
        <f aca="false">ABS(P100-B100)</f>
        <v>0</v>
      </c>
      <c r="U100" s="16" t="n">
        <f aca="false">Alpha_keep*A100+Q100</f>
        <v>54.90625</v>
      </c>
      <c r="V100" s="14" t="n">
        <f aca="false">INDEX(GuardBlock,96,ROUND(Q100/Step_h,0)+1)</f>
        <v>1</v>
      </c>
      <c r="W100" s="22" t="n">
        <v>0.000643466991610297</v>
      </c>
    </row>
    <row r="101" customFormat="false" ht="15" hidden="false" customHeight="false" outlineLevel="0" collapsed="false">
      <c r="A101" s="18" t="n">
        <f aca="false">Grid!A101</f>
        <v>54</v>
      </c>
      <c r="B101" s="19" t="n">
        <v>-248.425113714654</v>
      </c>
      <c r="C101" s="14" t="n">
        <v>96</v>
      </c>
      <c r="D101" s="11" t="n">
        <f aca="false">IF(AND($C101&gt;=6,$C101&lt;=194),Declarations!$B$25*INDEX($B$5:$B$205,$C101+1-Declarations!$E$25)+Declarations!$B$26*INDEX($B$5:$B$205,$C101+1-Declarations!$E$26)+Declarations!$B$27*INDEX($B$5:$B$205,$C101+1-Declarations!$E$27)+Declarations!$B$28*INDEX($B$5:$B$205,$C101+1-Declarations!$E$28)+Declarations!$B$29*INDEX($B$5:$B$205,$C101+1-Declarations!$E$29),"")</f>
        <v>-248.680386381999</v>
      </c>
      <c r="E101" s="16" t="n">
        <f aca="false">IF(Grid!C101=1,-Cost_k*E$3-Short_p*MAX(0,Floor_c-$A101)+Beta_q*((1-(((Alpha_keep*$A101+E$3-Lo_c)/Step_c)-MAX(6,MIN(INT(((Alpha_keep*$A101+E$3-Lo_c)/Step_c)+0.00000001),193))))*INDEX($D$5:$D$205,MAX(6,MIN(INT(((Alpha_keep*$A101+E$3-Lo_c)/Step_c)+0.00000001),193))+1)+(((Alpha_keep*$A101+E$3-Lo_c)/Step_c)-MAX(6,MIN(INT(((Alpha_keep*$A101+E$3-Lo_c)/Step_c)+0.00000001),193)))*INDEX($D$5:$D$205,MAX(6,MIN(INT(((Alpha_keep*$A101+E$3-Lo_c)/Step_c)+0.00000001),193))+2)),"")</f>
        <v>-253.358269415775</v>
      </c>
      <c r="F101" s="16" t="n">
        <f aca="false">IF(Grid!D101=1,-Cost_k*F$3-Short_p*MAX(0,Floor_c-$A101)+Beta_q*((1-(((Alpha_keep*$A101+F$3-Lo_c)/Step_c)-MAX(6,MIN(INT(((Alpha_keep*$A101+F$3-Lo_c)/Step_c)+0.00000001),193))))*INDEX($D$5:$D$205,MAX(6,MIN(INT(((Alpha_keep*$A101+F$3-Lo_c)/Step_c)+0.00000001),193))+1)+(((Alpha_keep*$A101+F$3-Lo_c)/Step_c)-MAX(6,MIN(INT(((Alpha_keep*$A101+F$3-Lo_c)/Step_c)+0.00000001),193)))*INDEX($D$5:$D$205,MAX(6,MIN(INT(((Alpha_keep*$A101+F$3-Lo_c)/Step_c)+0.00000001),193))+2)),"")</f>
        <v>-252.557759179555</v>
      </c>
      <c r="G101" s="16" t="n">
        <f aca="false">IF(Grid!E101=1,-Cost_k*G$3-Short_p*MAX(0,Floor_c-$A101)+Beta_q*((1-(((Alpha_keep*$A101+G$3-Lo_c)/Step_c)-MAX(6,MIN(INT(((Alpha_keep*$A101+G$3-Lo_c)/Step_c)+0.00000001),193))))*INDEX($D$5:$D$205,MAX(6,MIN(INT(((Alpha_keep*$A101+G$3-Lo_c)/Step_c)+0.00000001),193))+1)+(((Alpha_keep*$A101+G$3-Lo_c)/Step_c)-MAX(6,MIN(INT(((Alpha_keep*$A101+G$3-Lo_c)/Step_c)+0.00000001),193)))*INDEX($D$5:$D$205,MAX(6,MIN(INT(((Alpha_keep*$A101+G$3-Lo_c)/Step_c)+0.00000001),193))+2)),"")</f>
        <v>-251.824992250763</v>
      </c>
      <c r="H101" s="16" t="n">
        <f aca="false">IF(Grid!F101=1,-Cost_k*H$3-Short_p*MAX(0,Floor_c-$A101)+Beta_q*((1-(((Alpha_keep*$A101+H$3-Lo_c)/Step_c)-MAX(6,MIN(INT(((Alpha_keep*$A101+H$3-Lo_c)/Step_c)+0.00000001),193))))*INDEX($D$5:$D$205,MAX(6,MIN(INT(((Alpha_keep*$A101+H$3-Lo_c)/Step_c)+0.00000001),193))+1)+(((Alpha_keep*$A101+H$3-Lo_c)/Step_c)-MAX(6,MIN(INT(((Alpha_keep*$A101+H$3-Lo_c)/Step_c)+0.00000001),193)))*INDEX($D$5:$D$205,MAX(6,MIN(INT(((Alpha_keep*$A101+H$3-Lo_c)/Step_c)+0.00000001),193))+2)),"")</f>
        <v>-251.161953197929</v>
      </c>
      <c r="I101" s="16" t="n">
        <f aca="false">IF(Grid!G101=1,-Cost_k*I$3-Short_p*MAX(0,Floor_c-$A101)+Beta_q*((1-(((Alpha_keep*$A101+I$3-Lo_c)/Step_c)-MAX(6,MIN(INT(((Alpha_keep*$A101+I$3-Lo_c)/Step_c)+0.00000001),193))))*INDEX($D$5:$D$205,MAX(6,MIN(INT(((Alpha_keep*$A101+I$3-Lo_c)/Step_c)+0.00000001),193))+1)+(((Alpha_keep*$A101+I$3-Lo_c)/Step_c)-MAX(6,MIN(INT(((Alpha_keep*$A101+I$3-Lo_c)/Step_c)+0.00000001),193)))*INDEX($D$5:$D$205,MAX(6,MIN(INT(((Alpha_keep*$A101+I$3-Lo_c)/Step_c)+0.00000001),193))+2)),"")</f>
        <v>-250.555821361206</v>
      </c>
      <c r="J101" s="16" t="n">
        <f aca="false">IF(Grid!H101=1,-Cost_k*J$3-Short_p*MAX(0,Floor_c-$A101)+Beta_q*((1-(((Alpha_keep*$A101+J$3-Lo_c)/Step_c)-MAX(6,MIN(INT(((Alpha_keep*$A101+J$3-Lo_c)/Step_c)+0.00000001),193))))*INDEX($D$5:$D$205,MAX(6,MIN(INT(((Alpha_keep*$A101+J$3-Lo_c)/Step_c)+0.00000001),193))+1)+(((Alpha_keep*$A101+J$3-Lo_c)/Step_c)-MAX(6,MIN(INT(((Alpha_keep*$A101+J$3-Lo_c)/Step_c)+0.00000001),193)))*INDEX($D$5:$D$205,MAX(6,MIN(INT(((Alpha_keep*$A101+J$3-Lo_c)/Step_c)+0.00000001),193))+2)),"")</f>
        <v>-250.023658954035</v>
      </c>
      <c r="K101" s="16" t="n">
        <f aca="false">IF(Grid!I101=1,-Cost_k*K$3-Short_p*MAX(0,Floor_c-$A101)+Beta_q*((1-(((Alpha_keep*$A101+K$3-Lo_c)/Step_c)-MAX(6,MIN(INT(((Alpha_keep*$A101+K$3-Lo_c)/Step_c)+0.00000001),193))))*INDEX($D$5:$D$205,MAX(6,MIN(INT(((Alpha_keep*$A101+K$3-Lo_c)/Step_c)+0.00000001),193))+1)+(((Alpha_keep*$A101+K$3-Lo_c)/Step_c)-MAX(6,MIN(INT(((Alpha_keep*$A101+K$3-Lo_c)/Step_c)+0.00000001),193)))*INDEX($D$5:$D$205,MAX(6,MIN(INT(((Alpha_keep*$A101+K$3-Lo_c)/Step_c)+0.00000001),193))+2)),"")</f>
        <v>-249.561692126444</v>
      </c>
      <c r="L101" s="16" t="n">
        <f aca="false">IF(Grid!J101=1,-Cost_k*L$3-Short_p*MAX(0,Floor_c-$A101)+Beta_q*((1-(((Alpha_keep*$A101+L$3-Lo_c)/Step_c)-MAX(6,MIN(INT(((Alpha_keep*$A101+L$3-Lo_c)/Step_c)+0.00000001),193))))*INDEX($D$5:$D$205,MAX(6,MIN(INT(((Alpha_keep*$A101+L$3-Lo_c)/Step_c)+0.00000001),193))+1)+(((Alpha_keep*$A101+L$3-Lo_c)/Step_c)-MAX(6,MIN(INT(((Alpha_keep*$A101+L$3-Lo_c)/Step_c)+0.00000001),193)))*INDEX($D$5:$D$205,MAX(6,MIN(INT(((Alpha_keep*$A101+L$3-Lo_c)/Step_c)+0.00000001),193))+2)),"")</f>
        <v>-249.177944362576</v>
      </c>
      <c r="M101" s="16" t="n">
        <f aca="false">IF(Grid!K101=1,-Cost_k*M$3-Short_p*MAX(0,Floor_c-$A101)+Beta_q*((1-(((Alpha_keep*$A101+M$3-Lo_c)/Step_c)-MAX(6,MIN(INT(((Alpha_keep*$A101+M$3-Lo_c)/Step_c)+0.00000001),193))))*INDEX($D$5:$D$205,MAX(6,MIN(INT(((Alpha_keep*$A101+M$3-Lo_c)/Step_c)+0.00000001),193))+1)+(((Alpha_keep*$A101+M$3-Lo_c)/Step_c)-MAX(6,MIN(INT(((Alpha_keep*$A101+M$3-Lo_c)/Step_c)+0.00000001),193)))*INDEX($D$5:$D$205,MAX(6,MIN(INT(((Alpha_keep*$A101+M$3-Lo_c)/Step_c)+0.00000001),193))+2)),"")</f>
        <v>-248.861148532281</v>
      </c>
      <c r="N101" s="16" t="n">
        <f aca="false">IF(Grid!L101=1,-Cost_k*N$3-Short_p*MAX(0,Floor_c-$A101)+Beta_q*((1-(((Alpha_keep*$A101+N$3-Lo_c)/Step_c)-MAX(6,MIN(INT(((Alpha_keep*$A101+N$3-Lo_c)/Step_c)+0.00000001),193))))*INDEX($D$5:$D$205,MAX(6,MIN(INT(((Alpha_keep*$A101+N$3-Lo_c)/Step_c)+0.00000001),193))+1)+(((Alpha_keep*$A101+N$3-Lo_c)/Step_c)-MAX(6,MIN(INT(((Alpha_keep*$A101+N$3-Lo_c)/Step_c)+0.00000001),193)))*INDEX($D$5:$D$205,MAX(6,MIN(INT(((Alpha_keep*$A101+N$3-Lo_c)/Step_c)+0.00000001),193))+2)),"")</f>
        <v>-248.578788308725</v>
      </c>
      <c r="O101" s="16" t="n">
        <f aca="false">IF(Grid!M101=1,-Cost_k*O$3-Short_p*MAX(0,Floor_c-$A101)+Beta_q*((1-(((Alpha_keep*$A101+O$3-Lo_c)/Step_c)-MAX(6,MIN(INT(((Alpha_keep*$A101+O$3-Lo_c)/Step_c)+0.00000001),193))))*INDEX($D$5:$D$205,MAX(6,MIN(INT(((Alpha_keep*$A101+O$3-Lo_c)/Step_c)+0.00000001),193))+1)+(((Alpha_keep*$A101+O$3-Lo_c)/Step_c)-MAX(6,MIN(INT(((Alpha_keep*$A101+O$3-Lo_c)/Step_c)+0.00000001),193)))*INDEX($D$5:$D$205,MAX(6,MIN(INT(((Alpha_keep*$A101+O$3-Lo_c)/Step_c)+0.00000001),193))+2)),"")</f>
        <v>-248.425113714654</v>
      </c>
      <c r="P101" s="11" t="n">
        <f aca="false">MAX(E101:O101)</f>
        <v>-248.425113714654</v>
      </c>
      <c r="Q101" s="12" t="n">
        <f aca="false">INDEX($E$3:$O$3,MATCH(P101,E101:O101,0))</f>
        <v>2.5</v>
      </c>
      <c r="R101" s="20" t="n">
        <v>2.5</v>
      </c>
      <c r="S101" s="14" t="n">
        <f aca="false">IF(ABS(Q101-R101)&lt;0.000000001,1,0)</f>
        <v>1</v>
      </c>
      <c r="T101" s="21" t="n">
        <f aca="false">ABS(P101-B101)</f>
        <v>0</v>
      </c>
      <c r="U101" s="16" t="n">
        <f aca="false">Alpha_keep*A101+Q101</f>
        <v>55.15</v>
      </c>
      <c r="V101" s="14" t="n">
        <f aca="false">INDEX(GuardBlock,97,ROUND(Q101/Step_h,0)+1)</f>
        <v>1</v>
      </c>
      <c r="W101" s="22" t="n">
        <v>0.00136642035595933</v>
      </c>
    </row>
    <row r="102" customFormat="false" ht="15" hidden="false" customHeight="false" outlineLevel="0" collapsed="false">
      <c r="A102" s="18" t="n">
        <f aca="false">Grid!A102</f>
        <v>54.25</v>
      </c>
      <c r="B102" s="19" t="n">
        <v>-246.986311552073</v>
      </c>
      <c r="C102" s="14" t="n">
        <v>97</v>
      </c>
      <c r="D102" s="11" t="n">
        <f aca="false">IF(AND($C102&gt;=6,$C102&lt;=194),Declarations!$B$25*INDEX($B$5:$B$205,$C102+1-Declarations!$E$25)+Declarations!$B$26*INDEX($B$5:$B$205,$C102+1-Declarations!$E$26)+Declarations!$B$27*INDEX($B$5:$B$205,$C102+1-Declarations!$E$27)+Declarations!$B$28*INDEX($B$5:$B$205,$C102+1-Declarations!$E$28)+Declarations!$B$29*INDEX($B$5:$B$205,$C102+1-Declarations!$E$29),"")</f>
        <v>-247.206877646546</v>
      </c>
      <c r="E102" s="16" t="n">
        <f aca="false">IF(Grid!C102=1,-Cost_k*E$3-Short_p*MAX(0,Floor_c-$A102)+Beta_q*((1-(((Alpha_keep*$A102+E$3-Lo_c)/Step_c)-MAX(6,MIN(INT(((Alpha_keep*$A102+E$3-Lo_c)/Step_c)+0.00000001),193))))*INDEX($D$5:$D$205,MAX(6,MIN(INT(((Alpha_keep*$A102+E$3-Lo_c)/Step_c)+0.00000001),193))+1)+(((Alpha_keep*$A102+E$3-Lo_c)/Step_c)-MAX(6,MIN(INT(((Alpha_keep*$A102+E$3-Lo_c)/Step_c)+0.00000001),193)))*INDEX($D$5:$D$205,MAX(6,MIN(INT(((Alpha_keep*$A102+E$3-Lo_c)/Step_c)+0.00000001),193))+2)),"")</f>
        <v>-251.202244649478</v>
      </c>
      <c r="F102" s="16" t="n">
        <f aca="false">IF(Grid!D102=1,-Cost_k*F$3-Short_p*MAX(0,Floor_c-$A102)+Beta_q*((1-(((Alpha_keep*$A102+F$3-Lo_c)/Step_c)-MAX(6,MIN(INT(((Alpha_keep*$A102+F$3-Lo_c)/Step_c)+0.00000001),193))))*INDEX($D$5:$D$205,MAX(6,MIN(INT(((Alpha_keep*$A102+F$3-Lo_c)/Step_c)+0.00000001),193))+1)+(((Alpha_keep*$A102+F$3-Lo_c)/Step_c)-MAX(6,MIN(INT(((Alpha_keep*$A102+F$3-Lo_c)/Step_c)+0.00000001),193)))*INDEX($D$5:$D$205,MAX(6,MIN(INT(((Alpha_keep*$A102+F$3-Lo_c)/Step_c)+0.00000001),193))+2)),"")</f>
        <v>-250.467533892848</v>
      </c>
      <c r="G102" s="16" t="n">
        <f aca="false">IF(Grid!E102=1,-Cost_k*G$3-Short_p*MAX(0,Floor_c-$A102)+Beta_q*((1-(((Alpha_keep*$A102+G$3-Lo_c)/Step_c)-MAX(6,MIN(INT(((Alpha_keep*$A102+G$3-Lo_c)/Step_c)+0.00000001),193))))*INDEX($D$5:$D$205,MAX(6,MIN(INT(((Alpha_keep*$A102+G$3-Lo_c)/Step_c)+0.00000001),193))+1)+(((Alpha_keep*$A102+G$3-Lo_c)/Step_c)-MAX(6,MIN(INT(((Alpha_keep*$A102+G$3-Lo_c)/Step_c)+0.00000001),193)))*INDEX($D$5:$D$205,MAX(6,MIN(INT(((Alpha_keep*$A102+G$3-Lo_c)/Step_c)+0.00000001),193))+2)),"")</f>
        <v>-249.802885397075</v>
      </c>
      <c r="H102" s="16" t="n">
        <f aca="false">IF(Grid!F102=1,-Cost_k*H$3-Short_p*MAX(0,Floor_c-$A102)+Beta_q*((1-(((Alpha_keep*$A102+H$3-Lo_c)/Step_c)-MAX(6,MIN(INT(((Alpha_keep*$A102+H$3-Lo_c)/Step_c)+0.00000001),193))))*INDEX($D$5:$D$205,MAX(6,MIN(INT(((Alpha_keep*$A102+H$3-Lo_c)/Step_c)+0.00000001),193))+1)+(((Alpha_keep*$A102+H$3-Lo_c)/Step_c)-MAX(6,MIN(INT(((Alpha_keep*$A102+H$3-Lo_c)/Step_c)+0.00000001),193)))*INDEX($D$5:$D$205,MAX(6,MIN(INT(((Alpha_keep*$A102+H$3-Lo_c)/Step_c)+0.00000001),193))+2)),"")</f>
        <v>-249.195455388306</v>
      </c>
      <c r="I102" s="16" t="n">
        <f aca="false">IF(Grid!G102=1,-Cost_k*I$3-Short_p*MAX(0,Floor_c-$A102)+Beta_q*((1-(((Alpha_keep*$A102+I$3-Lo_c)/Step_c)-MAX(6,MIN(INT(((Alpha_keep*$A102+I$3-Lo_c)/Step_c)+0.00000001),193))))*INDEX($D$5:$D$205,MAX(6,MIN(INT(((Alpha_keep*$A102+I$3-Lo_c)/Step_c)+0.00000001),193))+1)+(((Alpha_keep*$A102+I$3-Lo_c)/Step_c)-MAX(6,MIN(INT(((Alpha_keep*$A102+I$3-Lo_c)/Step_c)+0.00000001),193)))*INDEX($D$5:$D$205,MAX(6,MIN(INT(((Alpha_keep*$A102+I$3-Lo_c)/Step_c)+0.00000001),193))+2)),"")</f>
        <v>-248.6610763696</v>
      </c>
      <c r="J102" s="16" t="n">
        <f aca="false">IF(Grid!H102=1,-Cost_k*J$3-Short_p*MAX(0,Floor_c-$A102)+Beta_q*((1-(((Alpha_keep*$A102+J$3-Lo_c)/Step_c)-MAX(6,MIN(INT(((Alpha_keep*$A102+J$3-Lo_c)/Step_c)+0.00000001),193))))*INDEX($D$5:$D$205,MAX(6,MIN(INT(((Alpha_keep*$A102+J$3-Lo_c)/Step_c)+0.00000001),193))+1)+(((Alpha_keep*$A102+J$3-Lo_c)/Step_c)-MAX(6,MIN(INT(((Alpha_keep*$A102+J$3-Lo_c)/Step_c)+0.00000001),193)))*INDEX($D$5:$D$205,MAX(6,MIN(INT(((Alpha_keep*$A102+J$3-Lo_c)/Step_c)+0.00000001),193))+2)),"")</f>
        <v>-248.197662467216</v>
      </c>
      <c r="K102" s="16" t="n">
        <f aca="false">IF(Grid!I102=1,-Cost_k*K$3-Short_p*MAX(0,Floor_c-$A102)+Beta_q*((1-(((Alpha_keep*$A102+K$3-Lo_c)/Step_c)-MAX(6,MIN(INT(((Alpha_keep*$A102+K$3-Lo_c)/Step_c)+0.00000001),193))))*INDEX($D$5:$D$205,MAX(6,MIN(INT(((Alpha_keep*$A102+K$3-Lo_c)/Step_c)+0.00000001),193))+1)+(((Alpha_keep*$A102+K$3-Lo_c)/Step_c)-MAX(6,MIN(INT(((Alpha_keep*$A102+K$3-Lo_c)/Step_c)+0.00000001),193)))*INDEX($D$5:$D$205,MAX(6,MIN(INT(((Alpha_keep*$A102+K$3-Lo_c)/Step_c)+0.00000001),193))+2)),"")</f>
        <v>-247.811620292222</v>
      </c>
      <c r="L102" s="16" t="n">
        <f aca="false">IF(Grid!J102=1,-Cost_k*L$3-Short_p*MAX(0,Floor_c-$A102)+Beta_q*((1-(((Alpha_keep*$A102+L$3-Lo_c)/Step_c)-MAX(6,MIN(INT(((Alpha_keep*$A102+L$3-Lo_c)/Step_c)+0.00000001),193))))*INDEX($D$5:$D$205,MAX(6,MIN(INT(((Alpha_keep*$A102+L$3-Lo_c)/Step_c)+0.00000001),193))+1)+(((Alpha_keep*$A102+L$3-Lo_c)/Step_c)-MAX(6,MIN(INT(((Alpha_keep*$A102+L$3-Lo_c)/Step_c)+0.00000001),193)))*INDEX($D$5:$D$205,MAX(6,MIN(INT(((Alpha_keep*$A102+L$3-Lo_c)/Step_c)+0.00000001),193))+2)),"")</f>
        <v>-247.493564405446</v>
      </c>
      <c r="M102" s="16" t="n">
        <f aca="false">IF(Grid!K102=1,-Cost_k*M$3-Short_p*MAX(0,Floor_c-$A102)+Beta_q*((1-(((Alpha_keep*$A102+M$3-Lo_c)/Step_c)-MAX(6,MIN(INT(((Alpha_keep*$A102+M$3-Lo_c)/Step_c)+0.00000001),193))))*INDEX($D$5:$D$205,MAX(6,MIN(INT(((Alpha_keep*$A102+M$3-Lo_c)/Step_c)+0.00000001),193))+1)+(((Alpha_keep*$A102+M$3-Lo_c)/Step_c)-MAX(6,MIN(INT(((Alpha_keep*$A102+M$3-Lo_c)/Step_c)+0.00000001),193)))*INDEX($D$5:$D$205,MAX(6,MIN(INT(((Alpha_keep*$A102+M$3-Lo_c)/Step_c)+0.00000001),193))+2)),"")</f>
        <v>-247.210609402596</v>
      </c>
      <c r="N102" s="16" t="n">
        <f aca="false">IF(Grid!L102=1,-Cost_k*N$3-Short_p*MAX(0,Floor_c-$A102)+Beta_q*((1-(((Alpha_keep*$A102+N$3-Lo_c)/Step_c)-MAX(6,MIN(INT(((Alpha_keep*$A102+N$3-Lo_c)/Step_c)+0.00000001),193))))*INDEX($D$5:$D$205,MAX(6,MIN(INT(((Alpha_keep*$A102+N$3-Lo_c)/Step_c)+0.00000001),193))+1)+(((Alpha_keep*$A102+N$3-Lo_c)/Step_c)-MAX(6,MIN(INT(((Alpha_keep*$A102+N$3-Lo_c)/Step_c)+0.00000001),193)))*INDEX($D$5:$D$205,MAX(6,MIN(INT(((Alpha_keep*$A102+N$3-Lo_c)/Step_c)+0.00000001),193))+2)),"")</f>
        <v>-247.051969426826</v>
      </c>
      <c r="O102" s="16" t="n">
        <f aca="false">IF(Grid!M102=1,-Cost_k*O$3-Short_p*MAX(0,Floor_c-$A102)+Beta_q*((1-(((Alpha_keep*$A102+O$3-Lo_c)/Step_c)-MAX(6,MIN(INT(((Alpha_keep*$A102+O$3-Lo_c)/Step_c)+0.00000001),193))))*INDEX($D$5:$D$205,MAX(6,MIN(INT(((Alpha_keep*$A102+O$3-Lo_c)/Step_c)+0.00000001),193))+1)+(((Alpha_keep*$A102+O$3-Lo_c)/Step_c)-MAX(6,MIN(INT(((Alpha_keep*$A102+O$3-Lo_c)/Step_c)+0.00000001),193)))*INDEX($D$5:$D$205,MAX(6,MIN(INT(((Alpha_keep*$A102+O$3-Lo_c)/Step_c)+0.00000001),193))+2)),"")</f>
        <v>-246.986311552073</v>
      </c>
      <c r="P102" s="11" t="n">
        <f aca="false">MAX(E102:O102)</f>
        <v>-246.986311552073</v>
      </c>
      <c r="Q102" s="12" t="n">
        <f aca="false">INDEX($E$3:$O$3,MATCH(P102,E102:O102,0))</f>
        <v>2.5</v>
      </c>
      <c r="R102" s="20" t="n">
        <v>2.5</v>
      </c>
      <c r="S102" s="14" t="n">
        <f aca="false">IF(ABS(Q102-R102)&lt;0.000000001,1,0)</f>
        <v>1</v>
      </c>
      <c r="T102" s="21" t="n">
        <f aca="false">ABS(P102-B102)</f>
        <v>0</v>
      </c>
      <c r="U102" s="16" t="n">
        <f aca="false">Alpha_keep*A102+Q102</f>
        <v>55.39375</v>
      </c>
      <c r="V102" s="14" t="n">
        <f aca="false">INDEX(GuardBlock,98,ROUND(Q102/Step_h,0)+1)</f>
        <v>1</v>
      </c>
      <c r="W102" s="22" t="n">
        <v>0.0281021634377975</v>
      </c>
    </row>
    <row r="103" customFormat="false" ht="15" hidden="false" customHeight="false" outlineLevel="0" collapsed="false">
      <c r="A103" s="18" t="n">
        <f aca="false">Grid!A103</f>
        <v>54.5</v>
      </c>
      <c r="B103" s="19" t="n">
        <v>-245.556719909359</v>
      </c>
      <c r="C103" s="14" t="n">
        <v>98</v>
      </c>
      <c r="D103" s="11" t="n">
        <f aca="false">IF(AND($C103&gt;=6,$C103&lt;=194),Declarations!$B$25*INDEX($B$5:$B$205,$C103+1-Declarations!$E$25)+Declarations!$B$26*INDEX($B$5:$B$205,$C103+1-Declarations!$E$26)+Declarations!$B$27*INDEX($B$5:$B$205,$C103+1-Declarations!$E$27)+Declarations!$B$28*INDEX($B$5:$B$205,$C103+1-Declarations!$E$28)+Declarations!$B$29*INDEX($B$5:$B$205,$C103+1-Declarations!$E$29),"")</f>
        <v>-245.82735842482</v>
      </c>
      <c r="E103" s="16" t="n">
        <f aca="false">IF(Grid!C103=1,-Cost_k*E$3-Short_p*MAX(0,Floor_c-$A103)+Beta_q*((1-(((Alpha_keep*$A103+E$3-Lo_c)/Step_c)-MAX(6,MIN(INT(((Alpha_keep*$A103+E$3-Lo_c)/Step_c)+0.00000001),193))))*INDEX($D$5:$D$205,MAX(6,MIN(INT(((Alpha_keep*$A103+E$3-Lo_c)/Step_c)+0.00000001),193))+1)+(((Alpha_keep*$A103+E$3-Lo_c)/Step_c)-MAX(6,MIN(INT(((Alpha_keep*$A103+E$3-Lo_c)/Step_c)+0.00000001),193)))*INDEX($D$5:$D$205,MAX(6,MIN(INT(((Alpha_keep*$A103+E$3-Lo_c)/Step_c)+0.00000001),193))+2)),"")</f>
        <v>-249.110075534933</v>
      </c>
      <c r="F103" s="16" t="n">
        <f aca="false">IF(Grid!D103=1,-Cost_k*F$3-Short_p*MAX(0,Floor_c-$A103)+Beta_q*((1-(((Alpha_keep*$A103+F$3-Lo_c)/Step_c)-MAX(6,MIN(INT(((Alpha_keep*$A103+F$3-Lo_c)/Step_c)+0.00000001),193))))*INDEX($D$5:$D$205,MAX(6,MIN(INT(((Alpha_keep*$A103+F$3-Lo_c)/Step_c)+0.00000001),193))+1)+(((Alpha_keep*$A103+F$3-Lo_c)/Step_c)-MAX(6,MIN(INT(((Alpha_keep*$A103+F$3-Lo_c)/Step_c)+0.00000001),193)))*INDEX($D$5:$D$205,MAX(6,MIN(INT(((Alpha_keep*$A103+F$3-Lo_c)/Step_c)+0.00000001),193))+2)),"")</f>
        <v>-248.44381759622</v>
      </c>
      <c r="G103" s="16" t="n">
        <f aca="false">IF(Grid!E103=1,-Cost_k*G$3-Short_p*MAX(0,Floor_c-$A103)+Beta_q*((1-(((Alpha_keep*$A103+G$3-Lo_c)/Step_c)-MAX(6,MIN(INT(((Alpha_keep*$A103+G$3-Lo_c)/Step_c)+0.00000001),193))))*INDEX($D$5:$D$205,MAX(6,MIN(INT(((Alpha_keep*$A103+G$3-Lo_c)/Step_c)+0.00000001),193))+1)+(((Alpha_keep*$A103+G$3-Lo_c)/Step_c)-MAX(6,MIN(INT(((Alpha_keep*$A103+G$3-Lo_c)/Step_c)+0.00000001),193)))*INDEX($D$5:$D$205,MAX(6,MIN(INT(((Alpha_keep*$A103+G$3-Lo_c)/Step_c)+0.00000001),193))+2)),"")</f>
        <v>-247.835089415406</v>
      </c>
      <c r="H103" s="16" t="n">
        <f aca="false">IF(Grid!F103=1,-Cost_k*H$3-Short_p*MAX(0,Floor_c-$A103)+Beta_q*((1-(((Alpha_keep*$A103+H$3-Lo_c)/Step_c)-MAX(6,MIN(INT(((Alpha_keep*$A103+H$3-Lo_c)/Step_c)+0.00000001),193))))*INDEX($D$5:$D$205,MAX(6,MIN(INT(((Alpha_keep*$A103+H$3-Lo_c)/Step_c)+0.00000001),193))+1)+(((Alpha_keep*$A103+H$3-Lo_c)/Step_c)-MAX(6,MIN(INT(((Alpha_keep*$A103+H$3-Lo_c)/Step_c)+0.00000001),193)))*INDEX($D$5:$D$205,MAX(6,MIN(INT(((Alpha_keep*$A103+H$3-Lo_c)/Step_c)+0.00000001),193))+2)),"")</f>
        <v>-247.298493785165</v>
      </c>
      <c r="I103" s="16" t="n">
        <f aca="false">IF(Grid!G103=1,-Cost_k*I$3-Short_p*MAX(0,Floor_c-$A103)+Beta_q*((1-(((Alpha_keep*$A103+I$3-Lo_c)/Step_c)-MAX(6,MIN(INT(((Alpha_keep*$A103+I$3-Lo_c)/Step_c)+0.00000001),193))))*INDEX($D$5:$D$205,MAX(6,MIN(INT(((Alpha_keep*$A103+I$3-Lo_c)/Step_c)+0.00000001),193))+1)+(((Alpha_keep*$A103+I$3-Lo_c)/Step_c)-MAX(6,MIN(INT(((Alpha_keep*$A103+I$3-Lo_c)/Step_c)+0.00000001),193)))*INDEX($D$5:$D$205,MAX(6,MIN(INT(((Alpha_keep*$A103+I$3-Lo_c)/Step_c)+0.00000001),193))+2)),"")</f>
        <v>-246.833632807989</v>
      </c>
      <c r="J103" s="16" t="n">
        <f aca="false">IF(Grid!H103=1,-Cost_k*J$3-Short_p*MAX(0,Floor_c-$A103)+Beta_q*((1-(((Alpha_keep*$A103+J$3-Lo_c)/Step_c)-MAX(6,MIN(INT(((Alpha_keep*$A103+J$3-Lo_c)/Step_c)+0.00000001),193))))*INDEX($D$5:$D$205,MAX(6,MIN(INT(((Alpha_keep*$A103+J$3-Lo_c)/Step_c)+0.00000001),193))+1)+(((Alpha_keep*$A103+J$3-Lo_c)/Step_c)-MAX(6,MIN(INT(((Alpha_keep*$A103+J$3-Lo_c)/Step_c)+0.00000001),193)))*INDEX($D$5:$D$205,MAX(6,MIN(INT(((Alpha_keep*$A103+J$3-Lo_c)/Step_c)+0.00000001),193))+2)),"")</f>
        <v>-246.445296221868</v>
      </c>
      <c r="K103" s="16" t="n">
        <f aca="false">IF(Grid!I103=1,-Cost_k*K$3-Short_p*MAX(0,Floor_c-$A103)+Beta_q*((1-(((Alpha_keep*$A103+K$3-Lo_c)/Step_c)-MAX(6,MIN(INT(((Alpha_keep*$A103+K$3-Lo_c)/Step_c)+0.00000001),193))))*INDEX($D$5:$D$205,MAX(6,MIN(INT(((Alpha_keep*$A103+K$3-Lo_c)/Step_c)+0.00000001),193))+1)+(((Alpha_keep*$A103+K$3-Lo_c)/Step_c)-MAX(6,MIN(INT(((Alpha_keep*$A103+K$3-Lo_c)/Step_c)+0.00000001),193)))*INDEX($D$5:$D$205,MAX(6,MIN(INT(((Alpha_keep*$A103+K$3-Lo_c)/Step_c)+0.00000001),193))+2)),"")</f>
        <v>-246.125980278611</v>
      </c>
      <c r="L103" s="16" t="n">
        <f aca="false">IF(Grid!J103=1,-Cost_k*L$3-Short_p*MAX(0,Floor_c-$A103)+Beta_q*((1-(((Alpha_keep*$A103+L$3-Lo_c)/Step_c)-MAX(6,MIN(INT(((Alpha_keep*$A103+L$3-Lo_c)/Step_c)+0.00000001),193))))*INDEX($D$5:$D$205,MAX(6,MIN(INT(((Alpha_keep*$A103+L$3-Lo_c)/Step_c)+0.00000001),193))+1)+(((Alpha_keep*$A103+L$3-Lo_c)/Step_c)-MAX(6,MIN(INT(((Alpha_keep*$A103+L$3-Lo_c)/Step_c)+0.00000001),193)))*INDEX($D$5:$D$205,MAX(6,MIN(INT(((Alpha_keep*$A103+L$3-Lo_c)/Step_c)+0.00000001),193))+2)),"")</f>
        <v>-245.842430496468</v>
      </c>
      <c r="M103" s="16" t="n">
        <f aca="false">IF(Grid!K103=1,-Cost_k*M$3-Short_p*MAX(0,Floor_c-$A103)+Beta_q*((1-(((Alpha_keep*$A103+M$3-Lo_c)/Step_c)-MAX(6,MIN(INT(((Alpha_keep*$A103+M$3-Lo_c)/Step_c)+0.00000001),193))))*INDEX($D$5:$D$205,MAX(6,MIN(INT(((Alpha_keep*$A103+M$3-Lo_c)/Step_c)+0.00000001),193))+1)+(((Alpha_keep*$A103+M$3-Lo_c)/Step_c)-MAX(6,MIN(INT(((Alpha_keep*$A103+M$3-Lo_c)/Step_c)+0.00000001),193)))*INDEX($D$5:$D$205,MAX(6,MIN(INT(((Alpha_keep*$A103+M$3-Lo_c)/Step_c)+0.00000001),193))+2)),"")</f>
        <v>-245.678825138998</v>
      </c>
      <c r="N103" s="16" t="n">
        <f aca="false">IF(Grid!L103=1,-Cost_k*N$3-Short_p*MAX(0,Floor_c-$A103)+Beta_q*((1-(((Alpha_keep*$A103+N$3-Lo_c)/Step_c)-MAX(6,MIN(INT(((Alpha_keep*$A103+N$3-Lo_c)/Step_c)+0.00000001),193))))*INDEX($D$5:$D$205,MAX(6,MIN(INT(((Alpha_keep*$A103+N$3-Lo_c)/Step_c)+0.00000001),193))+1)+(((Alpha_keep*$A103+N$3-Lo_c)/Step_c)-MAX(6,MIN(INT(((Alpha_keep*$A103+N$3-Lo_c)/Step_c)+0.00000001),193)))*INDEX($D$5:$D$205,MAX(6,MIN(INT(((Alpha_keep*$A103+N$3-Lo_c)/Step_c)+0.00000001),193))+2)),"")</f>
        <v>-245.612794628935</v>
      </c>
      <c r="O103" s="16" t="n">
        <f aca="false">IF(Grid!M103=1,-Cost_k*O$3-Short_p*MAX(0,Floor_c-$A103)+Beta_q*((1-(((Alpha_keep*$A103+O$3-Lo_c)/Step_c)-MAX(6,MIN(INT(((Alpha_keep*$A103+O$3-Lo_c)/Step_c)+0.00000001),193))))*INDEX($D$5:$D$205,MAX(6,MIN(INT(((Alpha_keep*$A103+O$3-Lo_c)/Step_c)+0.00000001),193))+1)+(((Alpha_keep*$A103+O$3-Lo_c)/Step_c)-MAX(6,MIN(INT(((Alpha_keep*$A103+O$3-Lo_c)/Step_c)+0.00000001),193)))*INDEX($D$5:$D$205,MAX(6,MIN(INT(((Alpha_keep*$A103+O$3-Lo_c)/Step_c)+0.00000001),193))+2)),"")</f>
        <v>-245.556719909359</v>
      </c>
      <c r="P103" s="11" t="n">
        <f aca="false">MAX(E103:O103)</f>
        <v>-245.556719909359</v>
      </c>
      <c r="Q103" s="12" t="n">
        <f aca="false">INDEX($E$3:$O$3,MATCH(P103,E103:O103,0))</f>
        <v>2.5</v>
      </c>
      <c r="R103" s="20" t="n">
        <v>2.5</v>
      </c>
      <c r="S103" s="14" t="n">
        <f aca="false">IF(ABS(Q103-R103)&lt;0.000000001,1,0)</f>
        <v>1</v>
      </c>
      <c r="T103" s="21" t="n">
        <f aca="false">ABS(P103-B103)</f>
        <v>0</v>
      </c>
      <c r="U103" s="16" t="n">
        <f aca="false">Alpha_keep*A103+Q103</f>
        <v>55.6375</v>
      </c>
      <c r="V103" s="14" t="n">
        <f aca="false">INDEX(GuardBlock,99,ROUND(Q103/Step_h,0)+1)</f>
        <v>1</v>
      </c>
      <c r="W103" s="22" t="n">
        <v>0.022382930969906</v>
      </c>
    </row>
    <row r="104" customFormat="false" ht="15" hidden="false" customHeight="false" outlineLevel="0" collapsed="false">
      <c r="A104" s="18" t="n">
        <f aca="false">Grid!A104</f>
        <v>54.75</v>
      </c>
      <c r="B104" s="19" t="n">
        <v>-244.171578433273</v>
      </c>
      <c r="C104" s="14" t="n">
        <v>99</v>
      </c>
      <c r="D104" s="11" t="n">
        <f aca="false">IF(AND($C104&gt;=6,$C104&lt;=194),Declarations!$B$25*INDEX($B$5:$B$205,$C104+1-Declarations!$E$25)+Declarations!$B$26*INDEX($B$5:$B$205,$C104+1-Declarations!$E$26)+Declarations!$B$27*INDEX($B$5:$B$205,$C104+1-Declarations!$E$27)+Declarations!$B$28*INDEX($B$5:$B$205,$C104+1-Declarations!$E$28)+Declarations!$B$29*INDEX($B$5:$B$205,$C104+1-Declarations!$E$29),"")</f>
        <v>-244.499456846746</v>
      </c>
      <c r="E104" s="16" t="n">
        <f aca="false">IF(Grid!C104=1,-Cost_k*E$3-Short_p*MAX(0,Floor_c-$A104)+Beta_q*((1-(((Alpha_keep*$A104+E$3-Lo_c)/Step_c)-MAX(6,MIN(INT(((Alpha_keep*$A104+E$3-Lo_c)/Step_c)+0.00000001),193))))*INDEX($D$5:$D$205,MAX(6,MIN(INT(((Alpha_keep*$A104+E$3-Lo_c)/Step_c)+0.00000001),193))+1)+(((Alpha_keep*$A104+E$3-Lo_c)/Step_c)-MAX(6,MIN(INT(((Alpha_keep*$A104+E$3-Lo_c)/Step_c)+0.00000001),193)))*INDEX($D$5:$D$205,MAX(6,MIN(INT(((Alpha_keep*$A104+E$3-Lo_c)/Step_c)+0.00000001),193))+2)),"")</f>
        <v>-247.084749795365</v>
      </c>
      <c r="F104" s="16" t="n">
        <f aca="false">IF(Grid!D104=1,-Cost_k*F$3-Short_p*MAX(0,Floor_c-$A104)+Beta_q*((1-(((Alpha_keep*$A104+F$3-Lo_c)/Step_c)-MAX(6,MIN(INT(((Alpha_keep*$A104+F$3-Lo_c)/Step_c)+0.00000001),193))))*INDEX($D$5:$D$205,MAX(6,MIN(INT(((Alpha_keep*$A104+F$3-Lo_c)/Step_c)+0.00000001),193))+1)+(((Alpha_keep*$A104+F$3-Lo_c)/Step_c)-MAX(6,MIN(INT(((Alpha_keep*$A104+F$3-Lo_c)/Step_c)+0.00000001),193)))*INDEX($D$5:$D$205,MAX(6,MIN(INT(((Alpha_keep*$A104+F$3-Lo_c)/Step_c)+0.00000001),193))+2)),"")</f>
        <v>-246.474723442506</v>
      </c>
      <c r="G104" s="16" t="n">
        <f aca="false">IF(Grid!E104=1,-Cost_k*G$3-Short_p*MAX(0,Floor_c-$A104)+Beta_q*((1-(((Alpha_keep*$A104+G$3-Lo_c)/Step_c)-MAX(6,MIN(INT(((Alpha_keep*$A104+G$3-Lo_c)/Step_c)+0.00000001),193))))*INDEX($D$5:$D$205,MAX(6,MIN(INT(((Alpha_keep*$A104+G$3-Lo_c)/Step_c)+0.00000001),193))+1)+(((Alpha_keep*$A104+G$3-Lo_c)/Step_c)-MAX(6,MIN(INT(((Alpha_keep*$A104+G$3-Lo_c)/Step_c)+0.00000001),193)))*INDEX($D$5:$D$205,MAX(6,MIN(INT(((Alpha_keep*$A104+G$3-Lo_c)/Step_c)+0.00000001),193))+2)),"")</f>
        <v>-245.935911200731</v>
      </c>
      <c r="H104" s="16" t="n">
        <f aca="false">IF(Grid!F104=1,-Cost_k*H$3-Short_p*MAX(0,Floor_c-$A104)+Beta_q*((1-(((Alpha_keep*$A104+H$3-Lo_c)/Step_c)-MAX(6,MIN(INT(((Alpha_keep*$A104+H$3-Lo_c)/Step_c)+0.00000001),193))))*INDEX($D$5:$D$205,MAX(6,MIN(INT(((Alpha_keep*$A104+H$3-Lo_c)/Step_c)+0.00000001),193))+1)+(((Alpha_keep*$A104+H$3-Lo_c)/Step_c)-MAX(6,MIN(INT(((Alpha_keep*$A104+H$3-Lo_c)/Step_c)+0.00000001),193)))*INDEX($D$5:$D$205,MAX(6,MIN(INT(((Alpha_keep*$A104+H$3-Lo_c)/Step_c)+0.00000001),193))+2)),"")</f>
        <v>-245.469603148762</v>
      </c>
      <c r="I104" s="16" t="n">
        <f aca="false">IF(Grid!G104=1,-Cost_k*I$3-Short_p*MAX(0,Floor_c-$A104)+Beta_q*((1-(((Alpha_keep*$A104+I$3-Lo_c)/Step_c)-MAX(6,MIN(INT(((Alpha_keep*$A104+I$3-Lo_c)/Step_c)+0.00000001),193))))*INDEX($D$5:$D$205,MAX(6,MIN(INT(((Alpha_keep*$A104+I$3-Lo_c)/Step_c)+0.00000001),193))+1)+(((Alpha_keep*$A104+I$3-Lo_c)/Step_c)-MAX(6,MIN(INT(((Alpha_keep*$A104+I$3-Lo_c)/Step_c)+0.00000001),193)))*INDEX($D$5:$D$205,MAX(6,MIN(INT(((Alpha_keep*$A104+I$3-Lo_c)/Step_c)+0.00000001),193))+2)),"")</f>
        <v>-245.078972151514</v>
      </c>
      <c r="J104" s="16" t="n">
        <f aca="false">IF(Grid!H104=1,-Cost_k*J$3-Short_p*MAX(0,Floor_c-$A104)+Beta_q*((1-(((Alpha_keep*$A104+J$3-Lo_c)/Step_c)-MAX(6,MIN(INT(((Alpha_keep*$A104+J$3-Lo_c)/Step_c)+0.00000001),193))))*INDEX($D$5:$D$205,MAX(6,MIN(INT(((Alpha_keep*$A104+J$3-Lo_c)/Step_c)+0.00000001),193))+1)+(((Alpha_keep*$A104+J$3-Lo_c)/Step_c)-MAX(6,MIN(INT(((Alpha_keep*$A104+J$3-Lo_c)/Step_c)+0.00000001),193)))*INDEX($D$5:$D$205,MAX(6,MIN(INT(((Alpha_keep*$A104+J$3-Lo_c)/Step_c)+0.00000001),193))+2)),"")</f>
        <v>-244.758396151776</v>
      </c>
      <c r="K104" s="16" t="n">
        <f aca="false">IF(Grid!I104=1,-Cost_k*K$3-Short_p*MAX(0,Floor_c-$A104)+Beta_q*((1-(((Alpha_keep*$A104+K$3-Lo_c)/Step_c)-MAX(6,MIN(INT(((Alpha_keep*$A104+K$3-Lo_c)/Step_c)+0.00000001),193))))*INDEX($D$5:$D$205,MAX(6,MIN(INT(((Alpha_keep*$A104+K$3-Lo_c)/Step_c)+0.00000001),193))+1)+(((Alpha_keep*$A104+K$3-Lo_c)/Step_c)-MAX(6,MIN(INT(((Alpha_keep*$A104+K$3-Lo_c)/Step_c)+0.00000001),193)))*INDEX($D$5:$D$205,MAX(6,MIN(INT(((Alpha_keep*$A104+K$3-Lo_c)/Step_c)+0.00000001),193))+2)),"")</f>
        <v>-244.474251590339</v>
      </c>
      <c r="L104" s="16" t="n">
        <f aca="false">IF(Grid!J104=1,-Cost_k*L$3-Short_p*MAX(0,Floor_c-$A104)+Beta_q*((1-(((Alpha_keep*$A104+L$3-Lo_c)/Step_c)-MAX(6,MIN(INT(((Alpha_keep*$A104+L$3-Lo_c)/Step_c)+0.00000001),193))))*INDEX($D$5:$D$205,MAX(6,MIN(INT(((Alpha_keep*$A104+L$3-Lo_c)/Step_c)+0.00000001),193))+1)+(((Alpha_keep*$A104+L$3-Lo_c)/Step_c)-MAX(6,MIN(INT(((Alpha_keep*$A104+L$3-Lo_c)/Step_c)+0.00000001),193)))*INDEX($D$5:$D$205,MAX(6,MIN(INT(((Alpha_keep*$A104+L$3-Lo_c)/Step_c)+0.00000001),193))+2)),"")</f>
        <v>-244.30568085117</v>
      </c>
      <c r="M104" s="16" t="n">
        <f aca="false">IF(Grid!K104=1,-Cost_k*M$3-Short_p*MAX(0,Floor_c-$A104)+Beta_q*((1-(((Alpha_keep*$A104+M$3-Lo_c)/Step_c)-MAX(6,MIN(INT(((Alpha_keep*$A104+M$3-Lo_c)/Step_c)+0.00000001),193))))*INDEX($D$5:$D$205,MAX(6,MIN(INT(((Alpha_keep*$A104+M$3-Lo_c)/Step_c)+0.00000001),193))+1)+(((Alpha_keep*$A104+M$3-Lo_c)/Step_c)-MAX(6,MIN(INT(((Alpha_keep*$A104+M$3-Lo_c)/Step_c)+0.00000001),193)))*INDEX($D$5:$D$205,MAX(6,MIN(INT(((Alpha_keep*$A104+M$3-Lo_c)/Step_c)+0.00000001),193))+2)),"")</f>
        <v>-244.239277705797</v>
      </c>
      <c r="N104" s="16" t="n">
        <f aca="false">IF(Grid!L104=1,-Cost_k*N$3-Short_p*MAX(0,Floor_c-$A104)+Beta_q*((1-(((Alpha_keep*$A104+N$3-Lo_c)/Step_c)-MAX(6,MIN(INT(((Alpha_keep*$A104+N$3-Lo_c)/Step_c)+0.00000001),193))))*INDEX($D$5:$D$205,MAX(6,MIN(INT(((Alpha_keep*$A104+N$3-Lo_c)/Step_c)+0.00000001),193))+1)+(((Alpha_keep*$A104+N$3-Lo_c)/Step_c)-MAX(6,MIN(INT(((Alpha_keep*$A104+N$3-Lo_c)/Step_c)+0.00000001),193)))*INDEX($D$5:$D$205,MAX(6,MIN(INT(((Alpha_keep*$A104+N$3-Lo_c)/Step_c)+0.00000001),193))+2)),"")</f>
        <v>-244.183055333725</v>
      </c>
      <c r="O104" s="16" t="n">
        <f aca="false">IF(Grid!M104=1,-Cost_k*O$3-Short_p*MAX(0,Floor_c-$A104)+Beta_q*((1-(((Alpha_keep*$A104+O$3-Lo_c)/Step_c)-MAX(6,MIN(INT(((Alpha_keep*$A104+O$3-Lo_c)/Step_c)+0.00000001),193))))*INDEX($D$5:$D$205,MAX(6,MIN(INT(((Alpha_keep*$A104+O$3-Lo_c)/Step_c)+0.00000001),193))+1)+(((Alpha_keep*$A104+O$3-Lo_c)/Step_c)-MAX(6,MIN(INT(((Alpha_keep*$A104+O$3-Lo_c)/Step_c)+0.00000001),193)))*INDEX($D$5:$D$205,MAX(6,MIN(INT(((Alpha_keep*$A104+O$3-Lo_c)/Step_c)+0.00000001),193))+2)),"")</f>
        <v>-244.171578433273</v>
      </c>
      <c r="P104" s="11" t="n">
        <f aca="false">MAX(E104:O104)</f>
        <v>-244.171578433273</v>
      </c>
      <c r="Q104" s="12" t="n">
        <f aca="false">INDEX($E$3:$O$3,MATCH(P104,E104:O104,0))</f>
        <v>2.5</v>
      </c>
      <c r="R104" s="20" t="n">
        <v>2.5</v>
      </c>
      <c r="S104" s="14" t="n">
        <f aca="false">IF(ABS(Q104-R104)&lt;0.000000001,1,0)</f>
        <v>1</v>
      </c>
      <c r="T104" s="21" t="n">
        <f aca="false">ABS(P104-B104)</f>
        <v>0</v>
      </c>
      <c r="U104" s="16" t="n">
        <f aca="false">Alpha_keep*A104+Q104</f>
        <v>55.88125</v>
      </c>
      <c r="V104" s="14" t="n">
        <f aca="false">INDEX(GuardBlock,100,ROUND(Q104/Step_h,0)+1)</f>
        <v>1</v>
      </c>
      <c r="W104" s="22" t="n">
        <v>0.00564045398861356</v>
      </c>
    </row>
    <row r="105" customFormat="false" ht="15" hidden="false" customHeight="false" outlineLevel="0" collapsed="false">
      <c r="A105" s="18" t="n">
        <f aca="false">Grid!A105</f>
        <v>55</v>
      </c>
      <c r="B105" s="19" t="n">
        <v>-242.795916711249</v>
      </c>
      <c r="C105" s="14" t="n">
        <v>100</v>
      </c>
      <c r="D105" s="11" t="n">
        <f aca="false">IF(AND($C105&gt;=6,$C105&lt;=194),Declarations!$B$25*INDEX($B$5:$B$205,$C105+1-Declarations!$E$25)+Declarations!$B$26*INDEX($B$5:$B$205,$C105+1-Declarations!$E$26)+Declarations!$B$27*INDEX($B$5:$B$205,$C105+1-Declarations!$E$27)+Declarations!$B$28*INDEX($B$5:$B$205,$C105+1-Declarations!$E$28)+Declarations!$B$29*INDEX($B$5:$B$205,$C105+1-Declarations!$E$29),"")</f>
        <v>-243.195920133327</v>
      </c>
      <c r="E105" s="16" t="n">
        <f aca="false">IF(Grid!C105=1,-Cost_k*E$3-Short_p*MAX(0,Floor_c-$A105)+Beta_q*((1-(((Alpha_keep*$A105+E$3-Lo_c)/Step_c)-MAX(6,MIN(INT(((Alpha_keep*$A105+E$3-Lo_c)/Step_c)+0.00000001),193))))*INDEX($D$5:$D$205,MAX(6,MIN(INT(((Alpha_keep*$A105+E$3-Lo_c)/Step_c)+0.00000001),193))+1)+(((Alpha_keep*$A105+E$3-Lo_c)/Step_c)-MAX(6,MIN(INT(((Alpha_keep*$A105+E$3-Lo_c)/Step_c)+0.00000001),193)))*INDEX($D$5:$D$205,MAX(6,MIN(INT(((Alpha_keep*$A105+E$3-Lo_c)/Step_c)+0.00000001),193))+2)),"")</f>
        <v>-245.114357469607</v>
      </c>
      <c r="F105" s="16" t="n">
        <f aca="false">IF(Grid!D105=1,-Cost_k*F$3-Short_p*MAX(0,Floor_c-$A105)+Beta_q*((1-(((Alpha_keep*$A105+F$3-Lo_c)/Step_c)-MAX(6,MIN(INT(((Alpha_keep*$A105+F$3-Lo_c)/Step_c)+0.00000001),193))))*INDEX($D$5:$D$205,MAX(6,MIN(INT(((Alpha_keep*$A105+F$3-Lo_c)/Step_c)+0.00000001),193))+1)+(((Alpha_keep*$A105+F$3-Lo_c)/Step_c)-MAX(6,MIN(INT(((Alpha_keep*$A105+F$3-Lo_c)/Step_c)+0.00000001),193)))*INDEX($D$5:$D$205,MAX(6,MIN(INT(((Alpha_keep*$A105+F$3-Lo_c)/Step_c)+0.00000001),193))+2)),"")</f>
        <v>-244.573328616296</v>
      </c>
      <c r="G105" s="16" t="n">
        <f aca="false">IF(Grid!E105=1,-Cost_k*G$3-Short_p*MAX(0,Floor_c-$A105)+Beta_q*((1-(((Alpha_keep*$A105+G$3-Lo_c)/Step_c)-MAX(6,MIN(INT(((Alpha_keep*$A105+G$3-Lo_c)/Step_c)+0.00000001),193))))*INDEX($D$5:$D$205,MAX(6,MIN(INT(((Alpha_keep*$A105+G$3-Lo_c)/Step_c)+0.00000001),193))+1)+(((Alpha_keep*$A105+G$3-Lo_c)/Step_c)-MAX(6,MIN(INT(((Alpha_keep*$A105+G$3-Lo_c)/Step_c)+0.00000001),193)))*INDEX($D$5:$D$205,MAX(6,MIN(INT(((Alpha_keep*$A105+G$3-Lo_c)/Step_c)+0.00000001),193))+2)),"")</f>
        <v>-244.105573489535</v>
      </c>
      <c r="H105" s="16" t="n">
        <f aca="false">IF(Grid!F105=1,-Cost_k*H$3-Short_p*MAX(0,Floor_c-$A105)+Beta_q*((1-(((Alpha_keep*$A105+H$3-Lo_c)/Step_c)-MAX(6,MIN(INT(((Alpha_keep*$A105+H$3-Lo_c)/Step_c)+0.00000001),193))))*INDEX($D$5:$D$205,MAX(6,MIN(INT(((Alpha_keep*$A105+H$3-Lo_c)/Step_c)+0.00000001),193))+1)+(((Alpha_keep*$A105+H$3-Lo_c)/Step_c)-MAX(6,MIN(INT(((Alpha_keep*$A105+H$3-Lo_c)/Step_c)+0.00000001),193)))*INDEX($D$5:$D$205,MAX(6,MIN(INT(((Alpha_keep*$A105+H$3-Lo_c)/Step_c)+0.00000001),193))+2)),"")</f>
        <v>-243.71264808116</v>
      </c>
      <c r="I105" s="16" t="n">
        <f aca="false">IF(Grid!G105=1,-Cost_k*I$3-Short_p*MAX(0,Floor_c-$A105)+Beta_q*((1-(((Alpha_keep*$A105+I$3-Lo_c)/Step_c)-MAX(6,MIN(INT(((Alpha_keep*$A105+I$3-Lo_c)/Step_c)+0.00000001),193))))*INDEX($D$5:$D$205,MAX(6,MIN(INT(((Alpha_keep*$A105+I$3-Lo_c)/Step_c)+0.00000001),193))+1)+(((Alpha_keep*$A105+I$3-Lo_c)/Step_c)-MAX(6,MIN(INT(((Alpha_keep*$A105+I$3-Lo_c)/Step_c)+0.00000001),193)))*INDEX($D$5:$D$205,MAX(6,MIN(INT(((Alpha_keep*$A105+I$3-Lo_c)/Step_c)+0.00000001),193))+2)),"")</f>
        <v>-243.390812024941</v>
      </c>
      <c r="J105" s="16" t="n">
        <f aca="false">IF(Grid!H105=1,-Cost_k*J$3-Short_p*MAX(0,Floor_c-$A105)+Beta_q*((1-(((Alpha_keep*$A105+J$3-Lo_c)/Step_c)-MAX(6,MIN(INT(((Alpha_keep*$A105+J$3-Lo_c)/Step_c)+0.00000001),193))))*INDEX($D$5:$D$205,MAX(6,MIN(INT(((Alpha_keep*$A105+J$3-Lo_c)/Step_c)+0.00000001),193))+1)+(((Alpha_keep*$A105+J$3-Lo_c)/Step_c)-MAX(6,MIN(INT(((Alpha_keep*$A105+J$3-Lo_c)/Step_c)+0.00000001),193)))*INDEX($D$5:$D$205,MAX(6,MIN(INT(((Alpha_keep*$A105+J$3-Lo_c)/Step_c)+0.00000001),193))+2)),"")</f>
        <v>-243.106072684211</v>
      </c>
      <c r="K105" s="16" t="n">
        <f aca="false">IF(Grid!I105=1,-Cost_k*K$3-Short_p*MAX(0,Floor_c-$A105)+Beta_q*((1-(((Alpha_keep*$A105+K$3-Lo_c)/Step_c)-MAX(6,MIN(INT(((Alpha_keep*$A105+K$3-Lo_c)/Step_c)+0.00000001),193))))*INDEX($D$5:$D$205,MAX(6,MIN(INT(((Alpha_keep*$A105+K$3-Lo_c)/Step_c)+0.00000001),193))+1)+(((Alpha_keep*$A105+K$3-Lo_c)/Step_c)-MAX(6,MIN(INT(((Alpha_keep*$A105+K$3-Lo_c)/Step_c)+0.00000001),193)))*INDEX($D$5:$D$205,MAX(6,MIN(INT(((Alpha_keep*$A105+K$3-Lo_c)/Step_c)+0.00000001),193))+2)),"")</f>
        <v>-242.932536563342</v>
      </c>
      <c r="L105" s="16" t="n">
        <f aca="false">IF(Grid!J105=1,-Cost_k*L$3-Short_p*MAX(0,Floor_c-$A105)+Beta_q*((1-(((Alpha_keep*$A105+L$3-Lo_c)/Step_c)-MAX(6,MIN(INT(((Alpha_keep*$A105+L$3-Lo_c)/Step_c)+0.00000001),193))))*INDEX($D$5:$D$205,MAX(6,MIN(INT(((Alpha_keep*$A105+L$3-Lo_c)/Step_c)+0.00000001),193))+1)+(((Alpha_keep*$A105+L$3-Lo_c)/Step_c)-MAX(6,MIN(INT(((Alpha_keep*$A105+L$3-Lo_c)/Step_c)+0.00000001),193)))*INDEX($D$5:$D$205,MAX(6,MIN(INT(((Alpha_keep*$A105+L$3-Lo_c)/Step_c)+0.00000001),193))+2)),"")</f>
        <v>-242.865760782659</v>
      </c>
      <c r="M105" s="16" t="n">
        <f aca="false">IF(Grid!K105=1,-Cost_k*M$3-Short_p*MAX(0,Floor_c-$A105)+Beta_q*((1-(((Alpha_keep*$A105+M$3-Lo_c)/Step_c)-MAX(6,MIN(INT(((Alpha_keep*$A105+M$3-Lo_c)/Step_c)+0.00000001),193))))*INDEX($D$5:$D$205,MAX(6,MIN(INT(((Alpha_keep*$A105+M$3-Lo_c)/Step_c)+0.00000001),193))+1)+(((Alpha_keep*$A105+M$3-Lo_c)/Step_c)-MAX(6,MIN(INT(((Alpha_keep*$A105+M$3-Lo_c)/Step_c)+0.00000001),193)))*INDEX($D$5:$D$205,MAX(6,MIN(INT(((Alpha_keep*$A105+M$3-Lo_c)/Step_c)+0.00000001),193))+2)),"")</f>
        <v>-242.809390758091</v>
      </c>
      <c r="N105" s="16" t="n">
        <f aca="false">IF(Grid!L105=1,-Cost_k*N$3-Short_p*MAX(0,Floor_c-$A105)+Beta_q*((1-(((Alpha_keep*$A105+N$3-Lo_c)/Step_c)-MAX(6,MIN(INT(((Alpha_keep*$A105+N$3-Lo_c)/Step_c)+0.00000001),193))))*INDEX($D$5:$D$205,MAX(6,MIN(INT(((Alpha_keep*$A105+N$3-Lo_c)/Step_c)+0.00000001),193))+1)+(((Alpha_keep*$A105+N$3-Lo_c)/Step_c)-MAX(6,MIN(INT(((Alpha_keep*$A105+N$3-Lo_c)/Step_c)+0.00000001),193)))*INDEX($D$5:$D$205,MAX(6,MIN(INT(((Alpha_keep*$A105+N$3-Lo_c)/Step_c)+0.00000001),193))+2)),"")</f>
        <v>-242.795916711249</v>
      </c>
      <c r="O105" s="16" t="n">
        <f aca="false">IF(Grid!M105=1,-Cost_k*O$3-Short_p*MAX(0,Floor_c-$A105)+Beta_q*((1-(((Alpha_keep*$A105+O$3-Lo_c)/Step_c)-MAX(6,MIN(INT(((Alpha_keep*$A105+O$3-Lo_c)/Step_c)+0.00000001),193))))*INDEX($D$5:$D$205,MAX(6,MIN(INT(((Alpha_keep*$A105+O$3-Lo_c)/Step_c)+0.00000001),193))+1)+(((Alpha_keep*$A105+O$3-Lo_c)/Step_c)-MAX(6,MIN(INT(((Alpha_keep*$A105+O$3-Lo_c)/Step_c)+0.00000001),193)))*INDEX($D$5:$D$205,MAX(6,MIN(INT(((Alpha_keep*$A105+O$3-Lo_c)/Step_c)+0.00000001),193))+2)),"")</f>
        <v>-242.823514722432</v>
      </c>
      <c r="P105" s="11" t="n">
        <f aca="false">MAX(E105:O105)</f>
        <v>-242.795916711249</v>
      </c>
      <c r="Q105" s="12" t="n">
        <f aca="false">INDEX($E$3:$O$3,MATCH(P105,E105:O105,0))</f>
        <v>2.25</v>
      </c>
      <c r="R105" s="20" t="n">
        <v>2.25</v>
      </c>
      <c r="S105" s="14" t="n">
        <f aca="false">IF(ABS(Q105-R105)&lt;0.000000001,1,0)</f>
        <v>1</v>
      </c>
      <c r="T105" s="21" t="n">
        <f aca="false">ABS(P105-B105)</f>
        <v>0</v>
      </c>
      <c r="U105" s="16" t="n">
        <f aca="false">Alpha_keep*A105+Q105</f>
        <v>55.875</v>
      </c>
      <c r="V105" s="14" t="n">
        <f aca="false">INDEX(GuardBlock,101,ROUND(Q105/Step_h,0)+1)</f>
        <v>1</v>
      </c>
      <c r="W105" s="22" t="n">
        <v>0.112117313818254</v>
      </c>
    </row>
    <row r="106" customFormat="false" ht="15" hidden="false" customHeight="false" outlineLevel="0" collapsed="false">
      <c r="A106" s="18" t="n">
        <f aca="false">Grid!A106</f>
        <v>55.25</v>
      </c>
      <c r="B106" s="19" t="n">
        <v>-241.820254989225</v>
      </c>
      <c r="C106" s="14" t="n">
        <v>101</v>
      </c>
      <c r="D106" s="11" t="n">
        <f aca="false">IF(AND($C106&gt;=6,$C106&lt;=194),Declarations!$B$25*INDEX($B$5:$B$205,$C106+1-Declarations!$E$25)+Declarations!$B$26*INDEX($B$5:$B$205,$C106+1-Declarations!$E$26)+Declarations!$B$27*INDEX($B$5:$B$205,$C106+1-Declarations!$E$27)+Declarations!$B$28*INDEX($B$5:$B$205,$C106+1-Declarations!$E$28)+Declarations!$B$29*INDEX($B$5:$B$205,$C106+1-Declarations!$E$29),"")</f>
        <v>-242.095788034711</v>
      </c>
      <c r="E106" s="16" t="n">
        <f aca="false">IF(Grid!C106=1,-Cost_k*E$3-Short_p*MAX(0,Floor_c-$A106)+Beta_q*((1-(((Alpha_keep*$A106+E$3-Lo_c)/Step_c)-MAX(6,MIN(INT(((Alpha_keep*$A106+E$3-Lo_c)/Step_c)+0.00000001),193))))*INDEX($D$5:$D$205,MAX(6,MIN(INT(((Alpha_keep*$A106+E$3-Lo_c)/Step_c)+0.00000001),193))+1)+(((Alpha_keep*$A106+E$3-Lo_c)/Step_c)-MAX(6,MIN(INT(((Alpha_keep*$A106+E$3-Lo_c)/Step_c)+0.00000001),193)))*INDEX($D$5:$D$205,MAX(6,MIN(INT(((Alpha_keep*$A106+E$3-Lo_c)/Step_c)+0.00000001),193))+2)),"")</f>
        <v>-243.610746031861</v>
      </c>
      <c r="F106" s="16" t="n">
        <f aca="false">IF(Grid!D106=1,-Cost_k*F$3-Short_p*MAX(0,Floor_c-$A106)+Beta_q*((1-(((Alpha_keep*$A106+F$3-Lo_c)/Step_c)-MAX(6,MIN(INT(((Alpha_keep*$A106+F$3-Lo_c)/Step_c)+0.00000001),193))))*INDEX($D$5:$D$205,MAX(6,MIN(INT(((Alpha_keep*$A106+F$3-Lo_c)/Step_c)+0.00000001),193))+1)+(((Alpha_keep*$A106+F$3-Lo_c)/Step_c)-MAX(6,MIN(INT(((Alpha_keep*$A106+F$3-Lo_c)/Step_c)+0.00000001),193)))*INDEX($D$5:$D$205,MAX(6,MIN(INT(((Alpha_keep*$A106+F$3-Lo_c)/Step_c)+0.00000001),193))+2)),"")</f>
        <v>-243.141543830307</v>
      </c>
      <c r="G106" s="16" t="n">
        <f aca="false">IF(Grid!E106=1,-Cost_k*G$3-Short_p*MAX(0,Floor_c-$A106)+Beta_q*((1-(((Alpha_keep*$A106+G$3-Lo_c)/Step_c)-MAX(6,MIN(INT(((Alpha_keep*$A106+G$3-Lo_c)/Step_c)+0.00000001),193))))*INDEX($D$5:$D$205,MAX(6,MIN(INT(((Alpha_keep*$A106+G$3-Lo_c)/Step_c)+0.00000001),193))+1)+(((Alpha_keep*$A106+G$3-Lo_c)/Step_c)-MAX(6,MIN(INT(((Alpha_keep*$A106+G$3-Lo_c)/Step_c)+0.00000001),193)))*INDEX($D$5:$D$205,MAX(6,MIN(INT(((Alpha_keep*$A106+G$3-Lo_c)/Step_c)+0.00000001),193))+2)),"")</f>
        <v>-242.746324010806</v>
      </c>
      <c r="H106" s="16" t="n">
        <f aca="false">IF(Grid!F106=1,-Cost_k*H$3-Short_p*MAX(0,Floor_c-$A106)+Beta_q*((1-(((Alpha_keep*$A106+H$3-Lo_c)/Step_c)-MAX(6,MIN(INT(((Alpha_keep*$A106+H$3-Lo_c)/Step_c)+0.00000001),193))))*INDEX($D$5:$D$205,MAX(6,MIN(INT(((Alpha_keep*$A106+H$3-Lo_c)/Step_c)+0.00000001),193))+1)+(((Alpha_keep*$A106+H$3-Lo_c)/Step_c)-MAX(6,MIN(INT(((Alpha_keep*$A106+H$3-Lo_c)/Step_c)+0.00000001),193)))*INDEX($D$5:$D$205,MAX(6,MIN(INT(((Alpha_keep*$A106+H$3-Lo_c)/Step_c)+0.00000001),193))+2)),"")</f>
        <v>-242.423227898106</v>
      </c>
      <c r="I106" s="16" t="n">
        <f aca="false">IF(Grid!G106=1,-Cost_k*I$3-Short_p*MAX(0,Floor_c-$A106)+Beta_q*((1-(((Alpha_keep*$A106+I$3-Lo_c)/Step_c)-MAX(6,MIN(INT(((Alpha_keep*$A106+I$3-Lo_c)/Step_c)+0.00000001),193))))*INDEX($D$5:$D$205,MAX(6,MIN(INT(((Alpha_keep*$A106+I$3-Lo_c)/Step_c)+0.00000001),193))+1)+(((Alpha_keep*$A106+I$3-Lo_c)/Step_c)-MAX(6,MIN(INT(((Alpha_keep*$A106+I$3-Lo_c)/Step_c)+0.00000001),193)))*INDEX($D$5:$D$205,MAX(6,MIN(INT(((Alpha_keep*$A106+I$3-Lo_c)/Step_c)+0.00000001),193))+2)),"")</f>
        <v>-242.137893778082</v>
      </c>
      <c r="J106" s="16" t="n">
        <f aca="false">IF(Grid!H106=1,-Cost_k*J$3-Short_p*MAX(0,Floor_c-$A106)+Beta_q*((1-(((Alpha_keep*$A106+J$3-Lo_c)/Step_c)-MAX(6,MIN(INT(((Alpha_keep*$A106+J$3-Lo_c)/Step_c)+0.00000001),193))))*INDEX($D$5:$D$205,MAX(6,MIN(INT(((Alpha_keep*$A106+J$3-Lo_c)/Step_c)+0.00000001),193))+1)+(((Alpha_keep*$A106+J$3-Lo_c)/Step_c)-MAX(6,MIN(INT(((Alpha_keep*$A106+J$3-Lo_c)/Step_c)+0.00000001),193)))*INDEX($D$5:$D$205,MAX(6,MIN(INT(((Alpha_keep*$A106+J$3-Lo_c)/Step_c)+0.00000001),193))+2)),"")</f>
        <v>-241.959392275514</v>
      </c>
      <c r="K106" s="16" t="n">
        <f aca="false">IF(Grid!I106=1,-Cost_k*K$3-Short_p*MAX(0,Floor_c-$A106)+Beta_q*((1-(((Alpha_keep*$A106+K$3-Lo_c)/Step_c)-MAX(6,MIN(INT(((Alpha_keep*$A106+K$3-Lo_c)/Step_c)+0.00000001),193))))*INDEX($D$5:$D$205,MAX(6,MIN(INT(((Alpha_keep*$A106+K$3-Lo_c)/Step_c)+0.00000001),193))+1)+(((Alpha_keep*$A106+K$3-Lo_c)/Step_c)-MAX(6,MIN(INT(((Alpha_keep*$A106+K$3-Lo_c)/Step_c)+0.00000001),193)))*INDEX($D$5:$D$205,MAX(6,MIN(INT(((Alpha_keep*$A106+K$3-Lo_c)/Step_c)+0.00000001),193))+2)),"")</f>
        <v>-241.892243859522</v>
      </c>
      <c r="L106" s="16" t="n">
        <f aca="false">IF(Grid!J106=1,-Cost_k*L$3-Short_p*MAX(0,Floor_c-$A106)+Beta_q*((1-(((Alpha_keep*$A106+L$3-Lo_c)/Step_c)-MAX(6,MIN(INT(((Alpha_keep*$A106+L$3-Lo_c)/Step_c)+0.00000001),193))))*INDEX($D$5:$D$205,MAX(6,MIN(INT(((Alpha_keep*$A106+L$3-Lo_c)/Step_c)+0.00000001),193))+1)+(((Alpha_keep*$A106+L$3-Lo_c)/Step_c)-MAX(6,MIN(INT(((Alpha_keep*$A106+L$3-Lo_c)/Step_c)+0.00000001),193)))*INDEX($D$5:$D$205,MAX(6,MIN(INT(((Alpha_keep*$A106+L$3-Lo_c)/Step_c)+0.00000001),193))+2)),"")</f>
        <v>-241.835726182458</v>
      </c>
      <c r="M106" s="16" t="n">
        <f aca="false">IF(Grid!K106=1,-Cost_k*M$3-Short_p*MAX(0,Floor_c-$A106)+Beta_q*((1-(((Alpha_keep*$A106+M$3-Lo_c)/Step_c)-MAX(6,MIN(INT(((Alpha_keep*$A106+M$3-Lo_c)/Step_c)+0.00000001),193))))*INDEX($D$5:$D$205,MAX(6,MIN(INT(((Alpha_keep*$A106+M$3-Lo_c)/Step_c)+0.00000001),193))+1)+(((Alpha_keep*$A106+M$3-Lo_c)/Step_c)-MAX(6,MIN(INT(((Alpha_keep*$A106+M$3-Lo_c)/Step_c)+0.00000001),193)))*INDEX($D$5:$D$205,MAX(6,MIN(INT(((Alpha_keep*$A106+M$3-Lo_c)/Step_c)+0.00000001),193))+2)),"")</f>
        <v>-241.820254989225</v>
      </c>
      <c r="N106" s="16" t="n">
        <f aca="false">IF(Grid!L106=1,-Cost_k*N$3-Short_p*MAX(0,Floor_c-$A106)+Beta_q*((1-(((Alpha_keep*$A106+N$3-Lo_c)/Step_c)-MAX(6,MIN(INT(((Alpha_keep*$A106+N$3-Lo_c)/Step_c)+0.00000001),193))))*INDEX($D$5:$D$205,MAX(6,MIN(INT(((Alpha_keep*$A106+N$3-Lo_c)/Step_c)+0.00000001),193))+1)+(((Alpha_keep*$A106+N$3-Lo_c)/Step_c)-MAX(6,MIN(INT(((Alpha_keep*$A106+N$3-Lo_c)/Step_c)+0.00000001),193)))*INDEX($D$5:$D$205,MAX(6,MIN(INT(((Alpha_keep*$A106+N$3-Lo_c)/Step_c)+0.00000001),193))+2)),"")</f>
        <v>-241.847796543897</v>
      </c>
      <c r="O106" s="16" t="n">
        <f aca="false">IF(Grid!M106=1,-Cost_k*O$3-Short_p*MAX(0,Floor_c-$A106)+Beta_q*((1-(((Alpha_keep*$A106+O$3-Lo_c)/Step_c)-MAX(6,MIN(INT(((Alpha_keep*$A106+O$3-Lo_c)/Step_c)+0.00000001),193))))*INDEX($D$5:$D$205,MAX(6,MIN(INT(((Alpha_keep*$A106+O$3-Lo_c)/Step_c)+0.00000001),193))+1)+(((Alpha_keep*$A106+O$3-Lo_c)/Step_c)-MAX(6,MIN(INT(((Alpha_keep*$A106+O$3-Lo_c)/Step_c)+0.00000001),193)))*INDEX($D$5:$D$205,MAX(6,MIN(INT(((Alpha_keep*$A106+O$3-Lo_c)/Step_c)+0.00000001),193))+2)),"")</f>
        <v>-241.876876036361</v>
      </c>
      <c r="P106" s="11" t="n">
        <f aca="false">MAX(E106:O106)</f>
        <v>-241.820254989225</v>
      </c>
      <c r="Q106" s="12" t="n">
        <f aca="false">INDEX($E$3:$O$3,MATCH(P106,E106:O106,0))</f>
        <v>2</v>
      </c>
      <c r="R106" s="20" t="n">
        <v>2</v>
      </c>
      <c r="S106" s="14" t="n">
        <f aca="false">IF(ABS(Q106-R106)&lt;0.000000001,1,0)</f>
        <v>1</v>
      </c>
      <c r="T106" s="21" t="n">
        <f aca="false">ABS(P106-B106)</f>
        <v>0</v>
      </c>
      <c r="U106" s="16" t="n">
        <f aca="false">Alpha_keep*A106+Q106</f>
        <v>55.86875</v>
      </c>
      <c r="V106" s="14" t="n">
        <f aca="false">INDEX(GuardBlock,102,ROUND(Q106/Step_h,0)+1)</f>
        <v>1</v>
      </c>
      <c r="W106" s="22" t="n">
        <v>0.0856554095150627</v>
      </c>
    </row>
    <row r="107" customFormat="false" ht="15" hidden="false" customHeight="false" outlineLevel="0" collapsed="false">
      <c r="A107" s="18" t="n">
        <f aca="false">Grid!A107</f>
        <v>55.5</v>
      </c>
      <c r="B107" s="19" t="n">
        <v>-240.844593267201</v>
      </c>
      <c r="C107" s="14" t="n">
        <v>102</v>
      </c>
      <c r="D107" s="11" t="n">
        <f aca="false">IF(AND($C107&gt;=6,$C107&lt;=194),Declarations!$B$25*INDEX($B$5:$B$205,$C107+1-Declarations!$E$25)+Declarations!$B$26*INDEX($B$5:$B$205,$C107+1-Declarations!$E$26)+Declarations!$B$27*INDEX($B$5:$B$205,$C107+1-Declarations!$E$27)+Declarations!$B$28*INDEX($B$5:$B$205,$C107+1-Declarations!$E$28)+Declarations!$B$29*INDEX($B$5:$B$205,$C107+1-Declarations!$E$29),"")</f>
        <v>-241.010920772966</v>
      </c>
      <c r="E107" s="16" t="n">
        <f aca="false">IF(Grid!C107=1,-Cost_k*E$3-Short_p*MAX(0,Floor_c-$A107)+Beta_q*((1-(((Alpha_keep*$A107+E$3-Lo_c)/Step_c)-MAX(6,MIN(INT(((Alpha_keep*$A107+E$3-Lo_c)/Step_c)+0.00000001),193))))*INDEX($D$5:$D$205,MAX(6,MIN(INT(((Alpha_keep*$A107+E$3-Lo_c)/Step_c)+0.00000001),193))+1)+(((Alpha_keep*$A107+E$3-Lo_c)/Step_c)-MAX(6,MIN(INT(((Alpha_keep*$A107+E$3-Lo_c)/Step_c)+0.00000001),193)))*INDEX($D$5:$D$205,MAX(6,MIN(INT(((Alpha_keep*$A107+E$3-Lo_c)/Step_c)+0.00000001),193))+2)),"")</f>
        <v>-242.17751417108</v>
      </c>
      <c r="F107" s="16" t="n">
        <f aca="false">IF(Grid!D107=1,-Cost_k*F$3-Short_p*MAX(0,Floor_c-$A107)+Beta_q*((1-(((Alpha_keep*$A107+F$3-Lo_c)/Step_c)-MAX(6,MIN(INT(((Alpha_keep*$A107+F$3-Lo_c)/Step_c)+0.00000001),193))))*INDEX($D$5:$D$205,MAX(6,MIN(INT(((Alpha_keep*$A107+F$3-Lo_c)/Step_c)+0.00000001),193))+1)+(((Alpha_keep*$A107+F$3-Lo_c)/Step_c)-MAX(6,MIN(INT(((Alpha_keep*$A107+F$3-Lo_c)/Step_c)+0.00000001),193)))*INDEX($D$5:$D$205,MAX(6,MIN(INT(((Alpha_keep*$A107+F$3-Lo_c)/Step_c)+0.00000001),193))+2)),"")</f>
        <v>-241.779999940452</v>
      </c>
      <c r="G107" s="16" t="n">
        <f aca="false">IF(Grid!E107=1,-Cost_k*G$3-Short_p*MAX(0,Floor_c-$A107)+Beta_q*((1-(((Alpha_keep*$A107+G$3-Lo_c)/Step_c)-MAX(6,MIN(INT(((Alpha_keep*$A107+G$3-Lo_c)/Step_c)+0.00000001),193))))*INDEX($D$5:$D$205,MAX(6,MIN(INT(((Alpha_keep*$A107+G$3-Lo_c)/Step_c)+0.00000001),193))+1)+(((Alpha_keep*$A107+G$3-Lo_c)/Step_c)-MAX(6,MIN(INT(((Alpha_keep*$A107+G$3-Lo_c)/Step_c)+0.00000001),193)))*INDEX($D$5:$D$205,MAX(6,MIN(INT(((Alpha_keep*$A107+G$3-Lo_c)/Step_c)+0.00000001),193))+2)),"")</f>
        <v>-241.455643771271</v>
      </c>
      <c r="H107" s="16" t="n">
        <f aca="false">IF(Grid!F107=1,-Cost_k*H$3-Short_p*MAX(0,Floor_c-$A107)+Beta_q*((1-(((Alpha_keep*$A107+H$3-Lo_c)/Step_c)-MAX(6,MIN(INT(((Alpha_keep*$A107+H$3-Lo_c)/Step_c)+0.00000001),193))))*INDEX($D$5:$D$205,MAX(6,MIN(INT(((Alpha_keep*$A107+H$3-Lo_c)/Step_c)+0.00000001),193))+1)+(((Alpha_keep*$A107+H$3-Lo_c)/Step_c)-MAX(6,MIN(INT(((Alpha_keep*$A107+H$3-Lo_c)/Step_c)+0.00000001),193)))*INDEX($D$5:$D$205,MAX(6,MIN(INT(((Alpha_keep*$A107+H$3-Lo_c)/Step_c)+0.00000001),193))+2)),"")</f>
        <v>-241.169714871954</v>
      </c>
      <c r="I107" s="16" t="n">
        <f aca="false">IF(Grid!G107=1,-Cost_k*I$3-Short_p*MAX(0,Floor_c-$A107)+Beta_q*((1-(((Alpha_keep*$A107+I$3-Lo_c)/Step_c)-MAX(6,MIN(INT(((Alpha_keep*$A107+I$3-Lo_c)/Step_c)+0.00000001),193))))*INDEX($D$5:$D$205,MAX(6,MIN(INT(((Alpha_keep*$A107+I$3-Lo_c)/Step_c)+0.00000001),193))+1)+(((Alpha_keep*$A107+I$3-Lo_c)/Step_c)-MAX(6,MIN(INT(((Alpha_keep*$A107+I$3-Lo_c)/Step_c)+0.00000001),193)))*INDEX($D$5:$D$205,MAX(6,MIN(INT(((Alpha_keep*$A107+I$3-Lo_c)/Step_c)+0.00000001),193))+2)),"")</f>
        <v>-240.986247987686</v>
      </c>
      <c r="J107" s="16" t="n">
        <f aca="false">IF(Grid!H107=1,-Cost_k*J$3-Short_p*MAX(0,Floor_c-$A107)+Beta_q*((1-(((Alpha_keep*$A107+J$3-Lo_c)/Step_c)-MAX(6,MIN(INT(((Alpha_keep*$A107+J$3-Lo_c)/Step_c)+0.00000001),193))))*INDEX($D$5:$D$205,MAX(6,MIN(INT(((Alpha_keep*$A107+J$3-Lo_c)/Step_c)+0.00000001),193))+1)+(((Alpha_keep*$A107+J$3-Lo_c)/Step_c)-MAX(6,MIN(INT(((Alpha_keep*$A107+J$3-Lo_c)/Step_c)+0.00000001),193)))*INDEX($D$5:$D$205,MAX(6,MIN(INT(((Alpha_keep*$A107+J$3-Lo_c)/Step_c)+0.00000001),193))+2)),"")</f>
        <v>-240.918726936384</v>
      </c>
      <c r="K107" s="16" t="n">
        <f aca="false">IF(Grid!I107=1,-Cost_k*K$3-Short_p*MAX(0,Floor_c-$A107)+Beta_q*((1-(((Alpha_keep*$A107+K$3-Lo_c)/Step_c)-MAX(6,MIN(INT(((Alpha_keep*$A107+K$3-Lo_c)/Step_c)+0.00000001),193))))*INDEX($D$5:$D$205,MAX(6,MIN(INT(((Alpha_keep*$A107+K$3-Lo_c)/Step_c)+0.00000001),193))+1)+(((Alpha_keep*$A107+K$3-Lo_c)/Step_c)-MAX(6,MIN(INT(((Alpha_keep*$A107+K$3-Lo_c)/Step_c)+0.00000001),193)))*INDEX($D$5:$D$205,MAX(6,MIN(INT(((Alpha_keep*$A107+K$3-Lo_c)/Step_c)+0.00000001),193))+2)),"")</f>
        <v>-240.862061606824</v>
      </c>
      <c r="L107" s="16" t="n">
        <f aca="false">IF(Grid!J107=1,-Cost_k*L$3-Short_p*MAX(0,Floor_c-$A107)+Beta_q*((1-(((Alpha_keep*$A107+L$3-Lo_c)/Step_c)-MAX(6,MIN(INT(((Alpha_keep*$A107+L$3-Lo_c)/Step_c)+0.00000001),193))))*INDEX($D$5:$D$205,MAX(6,MIN(INT(((Alpha_keep*$A107+L$3-Lo_c)/Step_c)+0.00000001),193))+1)+(((Alpha_keep*$A107+L$3-Lo_c)/Step_c)-MAX(6,MIN(INT(((Alpha_keep*$A107+L$3-Lo_c)/Step_c)+0.00000001),193)))*INDEX($D$5:$D$205,MAX(6,MIN(INT(((Alpha_keep*$A107+L$3-Lo_c)/Step_c)+0.00000001),193))+2)),"")</f>
        <v>-240.844593267201</v>
      </c>
      <c r="M107" s="16" t="n">
        <f aca="false">IF(Grid!K107=1,-Cost_k*M$3-Short_p*MAX(0,Floor_c-$A107)+Beta_q*((1-(((Alpha_keep*$A107+M$3-Lo_c)/Step_c)-MAX(6,MIN(INT(((Alpha_keep*$A107+M$3-Lo_c)/Step_c)+0.00000001),193))))*INDEX($D$5:$D$205,MAX(6,MIN(INT(((Alpha_keep*$A107+M$3-Lo_c)/Step_c)+0.00000001),193))+1)+(((Alpha_keep*$A107+M$3-Lo_c)/Step_c)-MAX(6,MIN(INT(((Alpha_keep*$A107+M$3-Lo_c)/Step_c)+0.00000001),193)))*INDEX($D$5:$D$205,MAX(6,MIN(INT(((Alpha_keep*$A107+M$3-Lo_c)/Step_c)+0.00000001),193))+2)),"")</f>
        <v>-240.872078365362</v>
      </c>
      <c r="N107" s="16" t="n">
        <f aca="false">IF(Grid!L107=1,-Cost_k*N$3-Short_p*MAX(0,Floor_c-$A107)+Beta_q*((1-(((Alpha_keep*$A107+N$3-Lo_c)/Step_c)-MAX(6,MIN(INT(((Alpha_keep*$A107+N$3-Lo_c)/Step_c)+0.00000001),193))))*INDEX($D$5:$D$205,MAX(6,MIN(INT(((Alpha_keep*$A107+N$3-Lo_c)/Step_c)+0.00000001),193))+1)+(((Alpha_keep*$A107+N$3-Lo_c)/Step_c)-MAX(6,MIN(INT(((Alpha_keep*$A107+N$3-Lo_c)/Step_c)+0.00000001),193)))*INDEX($D$5:$D$205,MAX(6,MIN(INT(((Alpha_keep*$A107+N$3-Lo_c)/Step_c)+0.00000001),193))+2)),"")</f>
        <v>-240.901139313033</v>
      </c>
      <c r="O107" s="16" t="n">
        <f aca="false">IF(Grid!M107=1,-Cost_k*O$3-Short_p*MAX(0,Floor_c-$A107)+Beta_q*((1-(((Alpha_keep*$A107+O$3-Lo_c)/Step_c)-MAX(6,MIN(INT(((Alpha_keep*$A107+O$3-Lo_c)/Step_c)+0.00000001),193))))*INDEX($D$5:$D$205,MAX(6,MIN(INT(((Alpha_keep*$A107+O$3-Lo_c)/Step_c)+0.00000001),193))+1)+(((Alpha_keep*$A107+O$3-Lo_c)/Step_c)-MAX(6,MIN(INT(((Alpha_keep*$A107+O$3-Lo_c)/Step_c)+0.00000001),193)))*INDEX($D$5:$D$205,MAX(6,MIN(INT(((Alpha_keep*$A107+O$3-Lo_c)/Step_c)+0.00000001),193))+2)),"")</f>
        <v>-240.942212582968</v>
      </c>
      <c r="P107" s="11" t="n">
        <f aca="false">MAX(E107:O107)</f>
        <v>-240.844593267201</v>
      </c>
      <c r="Q107" s="12" t="n">
        <f aca="false">INDEX($E$3:$O$3,MATCH(P107,E107:O107,0))</f>
        <v>1.75</v>
      </c>
      <c r="R107" s="20" t="n">
        <v>1.75</v>
      </c>
      <c r="S107" s="14" t="n">
        <f aca="false">IF(ABS(Q107-R107)&lt;0.000000001,1,0)</f>
        <v>1</v>
      </c>
      <c r="T107" s="21" t="n">
        <f aca="false">ABS(P107-B107)</f>
        <v>0</v>
      </c>
      <c r="U107" s="16" t="n">
        <f aca="false">Alpha_keep*A107+Q107</f>
        <v>55.8625</v>
      </c>
      <c r="V107" s="14" t="n">
        <f aca="false">INDEX(GuardBlock,103,ROUND(Q107/Step_h,0)+1)</f>
        <v>1</v>
      </c>
      <c r="W107" s="22" t="n">
        <v>0.0142009359768492</v>
      </c>
    </row>
    <row r="108" customFormat="false" ht="15" hidden="false" customHeight="false" outlineLevel="0" collapsed="false">
      <c r="A108" s="18" t="n">
        <f aca="false">Grid!A108</f>
        <v>55.75</v>
      </c>
      <c r="B108" s="19" t="n">
        <v>-239.868931545176</v>
      </c>
      <c r="C108" s="14" t="n">
        <v>103</v>
      </c>
      <c r="D108" s="11" t="n">
        <f aca="false">IF(AND($C108&gt;=6,$C108&lt;=194),Declarations!$B$25*INDEX($B$5:$B$205,$C108+1-Declarations!$E$25)+Declarations!$B$26*INDEX($B$5:$B$205,$C108+1-Declarations!$E$26)+Declarations!$B$27*INDEX($B$5:$B$205,$C108+1-Declarations!$E$27)+Declarations!$B$28*INDEX($B$5:$B$205,$C108+1-Declarations!$E$28)+Declarations!$B$29*INDEX($B$5:$B$205,$C108+1-Declarations!$E$29),"")</f>
        <v>-239.932102028914</v>
      </c>
      <c r="E108" s="16" t="n">
        <f aca="false">IF(Grid!C108=1,-Cost_k*E$3-Short_p*MAX(0,Floor_c-$A108)+Beta_q*((1-(((Alpha_keep*$A108+E$3-Lo_c)/Step_c)-MAX(6,MIN(INT(((Alpha_keep*$A108+E$3-Lo_c)/Step_c)+0.00000001),193))))*INDEX($D$5:$D$205,MAX(6,MIN(INT(((Alpha_keep*$A108+E$3-Lo_c)/Step_c)+0.00000001),193))+1)+(((Alpha_keep*$A108+E$3-Lo_c)/Step_c)-MAX(6,MIN(INT(((Alpha_keep*$A108+E$3-Lo_c)/Step_c)+0.00000001),193)))*INDEX($D$5:$D$205,MAX(6,MIN(INT(((Alpha_keep*$A108+E$3-Lo_c)/Step_c)+0.00000001),193))+2)),"")</f>
        <v>-240.813675870098</v>
      </c>
      <c r="F108" s="16" t="n">
        <f aca="false">IF(Grid!D108=1,-Cost_k*F$3-Short_p*MAX(0,Floor_c-$A108)+Beta_q*((1-(((Alpha_keep*$A108+F$3-Lo_c)/Step_c)-MAX(6,MIN(INT(((Alpha_keep*$A108+F$3-Lo_c)/Step_c)+0.00000001),193))))*INDEX($D$5:$D$205,MAX(6,MIN(INT(((Alpha_keep*$A108+F$3-Lo_c)/Step_c)+0.00000001),193))+1)+(((Alpha_keep*$A108+F$3-Lo_c)/Step_c)-MAX(6,MIN(INT(((Alpha_keep*$A108+F$3-Lo_c)/Step_c)+0.00000001),193)))*INDEX($D$5:$D$205,MAX(6,MIN(INT(((Alpha_keep*$A108+F$3-Lo_c)/Step_c)+0.00000001),193))+2)),"")</f>
        <v>-240.488059644436</v>
      </c>
      <c r="G108" s="16" t="n">
        <f aca="false">IF(Grid!E108=1,-Cost_k*G$3-Short_p*MAX(0,Floor_c-$A108)+Beta_q*((1-(((Alpha_keep*$A108+G$3-Lo_c)/Step_c)-MAX(6,MIN(INT(((Alpha_keep*$A108+G$3-Lo_c)/Step_c)+0.00000001),193))))*INDEX($D$5:$D$205,MAX(6,MIN(INT(((Alpha_keep*$A108+G$3-Lo_c)/Step_c)+0.00000001),193))+1)+(((Alpha_keep*$A108+G$3-Lo_c)/Step_c)-MAX(6,MIN(INT(((Alpha_keep*$A108+G$3-Lo_c)/Step_c)+0.00000001),193)))*INDEX($D$5:$D$205,MAX(6,MIN(INT(((Alpha_keep*$A108+G$3-Lo_c)/Step_c)+0.00000001),193))+2)),"")</f>
        <v>-240.201535965826</v>
      </c>
      <c r="H108" s="16" t="n">
        <f aca="false">IF(Grid!F108=1,-Cost_k*H$3-Short_p*MAX(0,Floor_c-$A108)+Beta_q*((1-(((Alpha_keep*$A108+H$3-Lo_c)/Step_c)-MAX(6,MIN(INT(((Alpha_keep*$A108+H$3-Lo_c)/Step_c)+0.00000001),193))))*INDEX($D$5:$D$205,MAX(6,MIN(INT(((Alpha_keep*$A108+H$3-Lo_c)/Step_c)+0.00000001),193))+1)+(((Alpha_keep*$A108+H$3-Lo_c)/Step_c)-MAX(6,MIN(INT(((Alpha_keep*$A108+H$3-Lo_c)/Step_c)+0.00000001),193)))*INDEX($D$5:$D$205,MAX(6,MIN(INT(((Alpha_keep*$A108+H$3-Lo_c)/Step_c)+0.00000001),193))+2)),"")</f>
        <v>-240.013103699858</v>
      </c>
      <c r="I108" s="16" t="n">
        <f aca="false">IF(Grid!G108=1,-Cost_k*I$3-Short_p*MAX(0,Floor_c-$A108)+Beta_q*((1-(((Alpha_keep*$A108+I$3-Lo_c)/Step_c)-MAX(6,MIN(INT(((Alpha_keep*$A108+I$3-Lo_c)/Step_c)+0.00000001),193))))*INDEX($D$5:$D$205,MAX(6,MIN(INT(((Alpha_keep*$A108+I$3-Lo_c)/Step_c)+0.00000001),193))+1)+(((Alpha_keep*$A108+I$3-Lo_c)/Step_c)-MAX(6,MIN(INT(((Alpha_keep*$A108+I$3-Lo_c)/Step_c)+0.00000001),193)))*INDEX($D$5:$D$205,MAX(6,MIN(INT(((Alpha_keep*$A108+I$3-Lo_c)/Step_c)+0.00000001),193))+2)),"")</f>
        <v>-239.945210013246</v>
      </c>
      <c r="J108" s="16" t="n">
        <f aca="false">IF(Grid!H108=1,-Cost_k*J$3-Short_p*MAX(0,Floor_c-$A108)+Beta_q*((1-(((Alpha_keep*$A108+J$3-Lo_c)/Step_c)-MAX(6,MIN(INT(((Alpha_keep*$A108+J$3-Lo_c)/Step_c)+0.00000001),193))))*INDEX($D$5:$D$205,MAX(6,MIN(INT(((Alpha_keep*$A108+J$3-Lo_c)/Step_c)+0.00000001),193))+1)+(((Alpha_keep*$A108+J$3-Lo_c)/Step_c)-MAX(6,MIN(INT(((Alpha_keep*$A108+J$3-Lo_c)/Step_c)+0.00000001),193)))*INDEX($D$5:$D$205,MAX(6,MIN(INT(((Alpha_keep*$A108+J$3-Lo_c)/Step_c)+0.00000001),193))+2)),"")</f>
        <v>-239.88839703119</v>
      </c>
      <c r="K108" s="16" t="n">
        <f aca="false">IF(Grid!I108=1,-Cost_k*K$3-Short_p*MAX(0,Floor_c-$A108)+Beta_q*((1-(((Alpha_keep*$A108+K$3-Lo_c)/Step_c)-MAX(6,MIN(INT(((Alpha_keep*$A108+K$3-Lo_c)/Step_c)+0.00000001),193))))*INDEX($D$5:$D$205,MAX(6,MIN(INT(((Alpha_keep*$A108+K$3-Lo_c)/Step_c)+0.00000001),193))+1)+(((Alpha_keep*$A108+K$3-Lo_c)/Step_c)-MAX(6,MIN(INT(((Alpha_keep*$A108+K$3-Lo_c)/Step_c)+0.00000001),193)))*INDEX($D$5:$D$205,MAX(6,MIN(INT(((Alpha_keep*$A108+K$3-Lo_c)/Step_c)+0.00000001),193))+2)),"")</f>
        <v>-239.868931545176</v>
      </c>
      <c r="L108" s="16" t="n">
        <f aca="false">IF(Grid!J108=1,-Cost_k*L$3-Short_p*MAX(0,Floor_c-$A108)+Beta_q*((1-(((Alpha_keep*$A108+L$3-Lo_c)/Step_c)-MAX(6,MIN(INT(((Alpha_keep*$A108+L$3-Lo_c)/Step_c)+0.00000001),193))))*INDEX($D$5:$D$205,MAX(6,MIN(INT(((Alpha_keep*$A108+L$3-Lo_c)/Step_c)+0.00000001),193))+1)+(((Alpha_keep*$A108+L$3-Lo_c)/Step_c)-MAX(6,MIN(INT(((Alpha_keep*$A108+L$3-Lo_c)/Step_c)+0.00000001),193)))*INDEX($D$5:$D$205,MAX(6,MIN(INT(((Alpha_keep*$A108+L$3-Lo_c)/Step_c)+0.00000001),193))+2)),"")</f>
        <v>-239.896360186827</v>
      </c>
      <c r="M108" s="16" t="n">
        <f aca="false">IF(Grid!K108=1,-Cost_k*M$3-Short_p*MAX(0,Floor_c-$A108)+Beta_q*((1-(((Alpha_keep*$A108+M$3-Lo_c)/Step_c)-MAX(6,MIN(INT(((Alpha_keep*$A108+M$3-Lo_c)/Step_c)+0.00000001),193))))*INDEX($D$5:$D$205,MAX(6,MIN(INT(((Alpha_keep*$A108+M$3-Lo_c)/Step_c)+0.00000001),193))+1)+(((Alpha_keep*$A108+M$3-Lo_c)/Step_c)-MAX(6,MIN(INT(((Alpha_keep*$A108+M$3-Lo_c)/Step_c)+0.00000001),193)))*INDEX($D$5:$D$205,MAX(6,MIN(INT(((Alpha_keep*$A108+M$3-Lo_c)/Step_c)+0.00000001),193))+2)),"")</f>
        <v>-239.925402589705</v>
      </c>
      <c r="N108" s="16" t="n">
        <f aca="false">IF(Grid!L108=1,-Cost_k*N$3-Short_p*MAX(0,Floor_c-$A108)+Beta_q*((1-(((Alpha_keep*$A108+N$3-Lo_c)/Step_c)-MAX(6,MIN(INT(((Alpha_keep*$A108+N$3-Lo_c)/Step_c)+0.00000001),193))))*INDEX($D$5:$D$205,MAX(6,MIN(INT(((Alpha_keep*$A108+N$3-Lo_c)/Step_c)+0.00000001),193))+1)+(((Alpha_keep*$A108+N$3-Lo_c)/Step_c)-MAX(6,MIN(INT(((Alpha_keep*$A108+N$3-Lo_c)/Step_c)+0.00000001),193)))*INDEX($D$5:$D$205,MAX(6,MIN(INT(((Alpha_keep*$A108+N$3-Lo_c)/Step_c)+0.00000001),193))+2)),"")</f>
        <v>-239.965831174261</v>
      </c>
      <c r="O108" s="16" t="n">
        <f aca="false">IF(Grid!M108=1,-Cost_k*O$3-Short_p*MAX(0,Floor_c-$A108)+Beta_q*((1-(((Alpha_keep*$A108+O$3-Lo_c)/Step_c)-MAX(6,MIN(INT(((Alpha_keep*$A108+O$3-Lo_c)/Step_c)+0.00000001),193))))*INDEX($D$5:$D$205,MAX(6,MIN(INT(((Alpha_keep*$A108+O$3-Lo_c)/Step_c)+0.00000001),193))+1)+(((Alpha_keep*$A108+O$3-Lo_c)/Step_c)-MAX(6,MIN(INT(((Alpha_keep*$A108+O$3-Lo_c)/Step_c)+0.00000001),193)))*INDEX($D$5:$D$205,MAX(6,MIN(INT(((Alpha_keep*$A108+O$3-Lo_c)/Step_c)+0.00000001),193))+2)),"")</f>
        <v>-240.021247483889</v>
      </c>
      <c r="P108" s="11" t="n">
        <f aca="false">MAX(E108:O108)</f>
        <v>-239.868931545176</v>
      </c>
      <c r="Q108" s="12" t="n">
        <f aca="false">INDEX($E$3:$O$3,MATCH(P108,E108:O108,0))</f>
        <v>1.5</v>
      </c>
      <c r="R108" s="20" t="n">
        <v>1.5</v>
      </c>
      <c r="S108" s="14" t="n">
        <f aca="false">IF(ABS(Q108-R108)&lt;0.000000001,1,0)</f>
        <v>1</v>
      </c>
      <c r="T108" s="21" t="n">
        <f aca="false">ABS(P108-B108)</f>
        <v>0</v>
      </c>
      <c r="U108" s="16" t="n">
        <f aca="false">Alpha_keep*A108+Q108</f>
        <v>55.85625</v>
      </c>
      <c r="V108" s="14" t="n">
        <f aca="false">INDEX(GuardBlock,104,ROUND(Q108/Step_h,0)+1)</f>
        <v>1</v>
      </c>
      <c r="W108" s="22" t="n">
        <v>0.279299208581405</v>
      </c>
    </row>
    <row r="109" customFormat="false" ht="15" hidden="false" customHeight="false" outlineLevel="0" collapsed="false">
      <c r="A109" s="18" t="n">
        <f aca="false">Grid!A109</f>
        <v>56</v>
      </c>
      <c r="B109" s="19" t="n">
        <v>-238.893269823152</v>
      </c>
      <c r="C109" s="14" t="n">
        <v>104</v>
      </c>
      <c r="D109" s="11" t="n">
        <f aca="false">IF(AND($C109&gt;=6,$C109&lt;=194),Declarations!$B$25*INDEX($B$5:$B$205,$C109+1-Declarations!$E$25)+Declarations!$B$26*INDEX($B$5:$B$205,$C109+1-Declarations!$E$26)+Declarations!$B$27*INDEX($B$5:$B$205,$C109+1-Declarations!$E$27)+Declarations!$B$28*INDEX($B$5:$B$205,$C109+1-Declarations!$E$28)+Declarations!$B$29*INDEX($B$5:$B$205,$C109+1-Declarations!$E$29),"")</f>
        <v>-238.935095483159</v>
      </c>
      <c r="E109" s="16" t="n">
        <f aca="false">IF(Grid!C109=1,-Cost_k*E$3-Short_p*MAX(0,Floor_c-$A109)+Beta_q*((1-(((Alpha_keep*$A109+E$3-Lo_c)/Step_c)-MAX(6,MIN(INT(((Alpha_keep*$A109+E$3-Lo_c)/Step_c)+0.00000001),193))))*INDEX($D$5:$D$205,MAX(6,MIN(INT(((Alpha_keep*$A109+E$3-Lo_c)/Step_c)+0.00000001),193))+1)+(((Alpha_keep*$A109+E$3-Lo_c)/Step_c)-MAX(6,MIN(INT(((Alpha_keep*$A109+E$3-Lo_c)/Step_c)+0.00000001),193)))*INDEX($D$5:$D$205,MAX(6,MIN(INT(((Alpha_keep*$A109+E$3-Lo_c)/Step_c)+0.00000001),193))+2)),"")</f>
        <v>-239.520475517601</v>
      </c>
      <c r="F109" s="16" t="n">
        <f aca="false">IF(Grid!D109=1,-Cost_k*F$3-Short_p*MAX(0,Floor_c-$A109)+Beta_q*((1-(((Alpha_keep*$A109+F$3-Lo_c)/Step_c)-MAX(6,MIN(INT(((Alpha_keep*$A109+F$3-Lo_c)/Step_c)+0.00000001),193))))*INDEX($D$5:$D$205,MAX(6,MIN(INT(((Alpha_keep*$A109+F$3-Lo_c)/Step_c)+0.00000001),193))+1)+(((Alpha_keep*$A109+F$3-Lo_c)/Step_c)-MAX(6,MIN(INT(((Alpha_keep*$A109+F$3-Lo_c)/Step_c)+0.00000001),193)))*INDEX($D$5:$D$205,MAX(6,MIN(INT(((Alpha_keep*$A109+F$3-Lo_c)/Step_c)+0.00000001),193))+2)),"")</f>
        <v>-239.233357059697</v>
      </c>
      <c r="G109" s="16" t="n">
        <f aca="false">IF(Grid!E109=1,-Cost_k*G$3-Short_p*MAX(0,Floor_c-$A109)+Beta_q*((1-(((Alpha_keep*$A109+G$3-Lo_c)/Step_c)-MAX(6,MIN(INT(((Alpha_keep*$A109+G$3-Lo_c)/Step_c)+0.00000001),193))))*INDEX($D$5:$D$205,MAX(6,MIN(INT(((Alpha_keep*$A109+G$3-Lo_c)/Step_c)+0.00000001),193))+1)+(((Alpha_keep*$A109+G$3-Lo_c)/Step_c)-MAX(6,MIN(INT(((Alpha_keep*$A109+G$3-Lo_c)/Step_c)+0.00000001),193)))*INDEX($D$5:$D$205,MAX(6,MIN(INT(((Alpha_keep*$A109+G$3-Lo_c)/Step_c)+0.00000001),193))+2)),"")</f>
        <v>-239.03995941203</v>
      </c>
      <c r="H109" s="16" t="n">
        <f aca="false">IF(Grid!F109=1,-Cost_k*H$3-Short_p*MAX(0,Floor_c-$A109)+Beta_q*((1-(((Alpha_keep*$A109+H$3-Lo_c)/Step_c)-MAX(6,MIN(INT(((Alpha_keep*$A109+H$3-Lo_c)/Step_c)+0.00000001),193))))*INDEX($D$5:$D$205,MAX(6,MIN(INT(((Alpha_keep*$A109+H$3-Lo_c)/Step_c)+0.00000001),193))+1)+(((Alpha_keep*$A109+H$3-Lo_c)/Step_c)-MAX(6,MIN(INT(((Alpha_keep*$A109+H$3-Lo_c)/Step_c)+0.00000001),193)))*INDEX($D$5:$D$205,MAX(6,MIN(INT(((Alpha_keep*$A109+H$3-Lo_c)/Step_c)+0.00000001),193))+2)),"")</f>
        <v>-238.971693090108</v>
      </c>
      <c r="I109" s="16" t="n">
        <f aca="false">IF(Grid!G109=1,-Cost_k*I$3-Short_p*MAX(0,Floor_c-$A109)+Beta_q*((1-(((Alpha_keep*$A109+I$3-Lo_c)/Step_c)-MAX(6,MIN(INT(((Alpha_keep*$A109+I$3-Lo_c)/Step_c)+0.00000001),193))))*INDEX($D$5:$D$205,MAX(6,MIN(INT(((Alpha_keep*$A109+I$3-Lo_c)/Step_c)+0.00000001),193))+1)+(((Alpha_keep*$A109+I$3-Lo_c)/Step_c)-MAX(6,MIN(INT(((Alpha_keep*$A109+I$3-Lo_c)/Step_c)+0.00000001),193)))*INDEX($D$5:$D$205,MAX(6,MIN(INT(((Alpha_keep*$A109+I$3-Lo_c)/Step_c)+0.00000001),193))+2)),"")</f>
        <v>-238.914732455556</v>
      </c>
      <c r="J109" s="16" t="n">
        <f aca="false">IF(Grid!H109=1,-Cost_k*J$3-Short_p*MAX(0,Floor_c-$A109)+Beta_q*((1-(((Alpha_keep*$A109+J$3-Lo_c)/Step_c)-MAX(6,MIN(INT(((Alpha_keep*$A109+J$3-Lo_c)/Step_c)+0.00000001),193))))*INDEX($D$5:$D$205,MAX(6,MIN(INT(((Alpha_keep*$A109+J$3-Lo_c)/Step_c)+0.00000001),193))+1)+(((Alpha_keep*$A109+J$3-Lo_c)/Step_c)-MAX(6,MIN(INT(((Alpha_keep*$A109+J$3-Lo_c)/Step_c)+0.00000001),193)))*INDEX($D$5:$D$205,MAX(6,MIN(INT(((Alpha_keep*$A109+J$3-Lo_c)/Step_c)+0.00000001),193))+2)),"")</f>
        <v>-238.893269823152</v>
      </c>
      <c r="K109" s="16" t="n">
        <f aca="false">IF(Grid!I109=1,-Cost_k*K$3-Short_p*MAX(0,Floor_c-$A109)+Beta_q*((1-(((Alpha_keep*$A109+K$3-Lo_c)/Step_c)-MAX(6,MIN(INT(((Alpha_keep*$A109+K$3-Lo_c)/Step_c)+0.00000001),193))))*INDEX($D$5:$D$205,MAX(6,MIN(INT(((Alpha_keep*$A109+K$3-Lo_c)/Step_c)+0.00000001),193))+1)+(((Alpha_keep*$A109+K$3-Lo_c)/Step_c)-MAX(6,MIN(INT(((Alpha_keep*$A109+K$3-Lo_c)/Step_c)+0.00000001),193)))*INDEX($D$5:$D$205,MAX(6,MIN(INT(((Alpha_keep*$A109+K$3-Lo_c)/Step_c)+0.00000001),193))+2)),"")</f>
        <v>-238.920642008291</v>
      </c>
      <c r="L109" s="16" t="n">
        <f aca="false">IF(Grid!J109=1,-Cost_k*L$3-Short_p*MAX(0,Floor_c-$A109)+Beta_q*((1-(((Alpha_keep*$A109+L$3-Lo_c)/Step_c)-MAX(6,MIN(INT(((Alpha_keep*$A109+L$3-Lo_c)/Step_c)+0.00000001),193))))*INDEX($D$5:$D$205,MAX(6,MIN(INT(((Alpha_keep*$A109+L$3-Lo_c)/Step_c)+0.00000001),193))+1)+(((Alpha_keep*$A109+L$3-Lo_c)/Step_c)-MAX(6,MIN(INT(((Alpha_keep*$A109+L$3-Lo_c)/Step_c)+0.00000001),193)))*INDEX($D$5:$D$205,MAX(6,MIN(INT(((Alpha_keep*$A109+L$3-Lo_c)/Step_c)+0.00000001),193))+2)),"")</f>
        <v>-238.949665866378</v>
      </c>
      <c r="M109" s="16" t="n">
        <f aca="false">IF(Grid!K109=1,-Cost_k*M$3-Short_p*MAX(0,Floor_c-$A109)+Beta_q*((1-(((Alpha_keep*$A109+M$3-Lo_c)/Step_c)-MAX(6,MIN(INT(((Alpha_keep*$A109+M$3-Lo_c)/Step_c)+0.00000001),193))))*INDEX($D$5:$D$205,MAX(6,MIN(INT(((Alpha_keep*$A109+M$3-Lo_c)/Step_c)+0.00000001),193))+1)+(((Alpha_keep*$A109+M$3-Lo_c)/Step_c)-MAX(6,MIN(INT(((Alpha_keep*$A109+M$3-Lo_c)/Step_c)+0.00000001),193)))*INDEX($D$5:$D$205,MAX(6,MIN(INT(((Alpha_keep*$A109+M$3-Lo_c)/Step_c)+0.00000001),193))+2)),"")</f>
        <v>-238.989449765554</v>
      </c>
      <c r="N109" s="16" t="n">
        <f aca="false">IF(Grid!L109=1,-Cost_k*N$3-Short_p*MAX(0,Floor_c-$A109)+Beta_q*((1-(((Alpha_keep*$A109+N$3-Lo_c)/Step_c)-MAX(6,MIN(INT(((Alpha_keep*$A109+N$3-Lo_c)/Step_c)+0.00000001),193))))*INDEX($D$5:$D$205,MAX(6,MIN(INT(((Alpha_keep*$A109+N$3-Lo_c)/Step_c)+0.00000001),193))+1)+(((Alpha_keep*$A109+N$3-Lo_c)/Step_c)-MAX(6,MIN(INT(((Alpha_keep*$A109+N$3-Lo_c)/Step_c)+0.00000001),193)))*INDEX($D$5:$D$205,MAX(6,MIN(INT(((Alpha_keep*$A109+N$3-Lo_c)/Step_c)+0.00000001),193))+2)),"")</f>
        <v>-239.044856665691</v>
      </c>
      <c r="O109" s="16" t="n">
        <f aca="false">IF(Grid!M109=1,-Cost_k*O$3-Short_p*MAX(0,Floor_c-$A109)+Beta_q*((1-(((Alpha_keep*$A109+O$3-Lo_c)/Step_c)-MAX(6,MIN(INT(((Alpha_keep*$A109+O$3-Lo_c)/Step_c)+0.00000001),193))))*INDEX($D$5:$D$205,MAX(6,MIN(INT(((Alpha_keep*$A109+O$3-Lo_c)/Step_c)+0.00000001),193))+1)+(((Alpha_keep*$A109+O$3-Lo_c)/Step_c)-MAX(6,MIN(INT(((Alpha_keep*$A109+O$3-Lo_c)/Step_c)+0.00000001),193)))*INDEX($D$5:$D$205,MAX(6,MIN(INT(((Alpha_keep*$A109+O$3-Lo_c)/Step_c)+0.00000001),193))+2)),"")</f>
        <v>-239.100999899215</v>
      </c>
      <c r="P109" s="11" t="n">
        <f aca="false">MAX(E109:O109)</f>
        <v>-238.893269823152</v>
      </c>
      <c r="Q109" s="12" t="n">
        <f aca="false">INDEX($E$3:$O$3,MATCH(P109,E109:O109,0))</f>
        <v>1.25</v>
      </c>
      <c r="R109" s="20" t="n">
        <v>1.25</v>
      </c>
      <c r="S109" s="14" t="n">
        <f aca="false">IF(ABS(Q109-R109)&lt;0.000000001,1,0)</f>
        <v>1</v>
      </c>
      <c r="T109" s="21" t="n">
        <f aca="false">ABS(P109-B109)</f>
        <v>0</v>
      </c>
      <c r="U109" s="16" t="n">
        <f aca="false">Alpha_keep*A109+Q109</f>
        <v>55.85</v>
      </c>
      <c r="V109" s="14" t="n">
        <f aca="false">INDEX(GuardBlock,105,ROUND(Q109/Step_h,0)+1)</f>
        <v>1</v>
      </c>
      <c r="W109" s="22" t="n">
        <v>0.200725300796826</v>
      </c>
    </row>
    <row r="110" customFormat="false" ht="15" hidden="false" customHeight="false" outlineLevel="0" collapsed="false">
      <c r="A110" s="18" t="n">
        <f aca="false">Grid!A110</f>
        <v>56.25</v>
      </c>
      <c r="B110" s="19" t="n">
        <v>-237.917608101128</v>
      </c>
      <c r="C110" s="14" t="n">
        <v>105</v>
      </c>
      <c r="D110" s="11" t="n">
        <f aca="false">IF(AND($C110&gt;=6,$C110&lt;=194),Declarations!$B$25*INDEX($B$5:$B$205,$C110+1-Declarations!$E$25)+Declarations!$B$26*INDEX($B$5:$B$205,$C110+1-Declarations!$E$26)+Declarations!$B$27*INDEX($B$5:$B$205,$C110+1-Declarations!$E$27)+Declarations!$B$28*INDEX($B$5:$B$205,$C110+1-Declarations!$E$28)+Declarations!$B$29*INDEX($B$5:$B$205,$C110+1-Declarations!$E$29),"")</f>
        <v>-237.940401652833</v>
      </c>
      <c r="E110" s="16" t="n">
        <f aca="false">IF(Grid!C110=1,-Cost_k*E$3-Short_p*MAX(0,Floor_c-$A110)+Beta_q*((1-(((Alpha_keep*$A110+E$3-Lo_c)/Step_c)-MAX(6,MIN(INT(((Alpha_keep*$A110+E$3-Lo_c)/Step_c)+0.00000001),193))))*INDEX($D$5:$D$205,MAX(6,MIN(INT(((Alpha_keep*$A110+E$3-Lo_c)/Step_c)+0.00000001),193))+1)+(((Alpha_keep*$A110+E$3-Lo_c)/Step_c)-MAX(6,MIN(INT(((Alpha_keep*$A110+E$3-Lo_c)/Step_c)+0.00000001),193)))*INDEX($D$5:$D$205,MAX(6,MIN(INT(((Alpha_keep*$A110+E$3-Lo_c)/Step_c)+0.00000001),193))+2)),"")</f>
        <v>-238.265178153569</v>
      </c>
      <c r="F110" s="16" t="n">
        <f aca="false">IF(Grid!D110=1,-Cost_k*F$3-Short_p*MAX(0,Floor_c-$A110)+Beta_q*((1-(((Alpha_keep*$A110+F$3-Lo_c)/Step_c)-MAX(6,MIN(INT(((Alpha_keep*$A110+F$3-Lo_c)/Step_c)+0.00000001),193))))*INDEX($D$5:$D$205,MAX(6,MIN(INT(((Alpha_keep*$A110+F$3-Lo_c)/Step_c)+0.00000001),193))+1)+(((Alpha_keep*$A110+F$3-Lo_c)/Step_c)-MAX(6,MIN(INT(((Alpha_keep*$A110+F$3-Lo_c)/Step_c)+0.00000001),193)))*INDEX($D$5:$D$205,MAX(6,MIN(INT(((Alpha_keep*$A110+F$3-Lo_c)/Step_c)+0.00000001),193))+2)),"")</f>
        <v>-238.066815124201</v>
      </c>
      <c r="G110" s="16" t="n">
        <f aca="false">IF(Grid!E110=1,-Cost_k*G$3-Short_p*MAX(0,Floor_c-$A110)+Beta_q*((1-(((Alpha_keep*$A110+G$3-Lo_c)/Step_c)-MAX(6,MIN(INT(((Alpha_keep*$A110+G$3-Lo_c)/Step_c)+0.00000001),193))))*INDEX($D$5:$D$205,MAX(6,MIN(INT(((Alpha_keep*$A110+G$3-Lo_c)/Step_c)+0.00000001),193))+1)+(((Alpha_keep*$A110+G$3-Lo_c)/Step_c)-MAX(6,MIN(INT(((Alpha_keep*$A110+G$3-Lo_c)/Step_c)+0.00000001),193)))*INDEX($D$5:$D$205,MAX(6,MIN(INT(((Alpha_keep*$A110+G$3-Lo_c)/Step_c)+0.00000001),193))+2)),"")</f>
        <v>-237.99817616697</v>
      </c>
      <c r="H110" s="16" t="n">
        <f aca="false">IF(Grid!F110=1,-Cost_k*H$3-Short_p*MAX(0,Floor_c-$A110)+Beta_q*((1-(((Alpha_keep*$A110+H$3-Lo_c)/Step_c)-MAX(6,MIN(INT(((Alpha_keep*$A110+H$3-Lo_c)/Step_c)+0.00000001),193))))*INDEX($D$5:$D$205,MAX(6,MIN(INT(((Alpha_keep*$A110+H$3-Lo_c)/Step_c)+0.00000001),193))+1)+(((Alpha_keep*$A110+H$3-Lo_c)/Step_c)-MAX(6,MIN(INT(((Alpha_keep*$A110+H$3-Lo_c)/Step_c)+0.00000001),193)))*INDEX($D$5:$D$205,MAX(6,MIN(INT(((Alpha_keep*$A110+H$3-Lo_c)/Step_c)+0.00000001),193))+2)),"")</f>
        <v>-237.941067879923</v>
      </c>
      <c r="I110" s="16" t="n">
        <f aca="false">IF(Grid!G110=1,-Cost_k*I$3-Short_p*MAX(0,Floor_c-$A110)+Beta_q*((1-(((Alpha_keep*$A110+I$3-Lo_c)/Step_c)-MAX(6,MIN(INT(((Alpha_keep*$A110+I$3-Lo_c)/Step_c)+0.00000001),193))))*INDEX($D$5:$D$205,MAX(6,MIN(INT(((Alpha_keep*$A110+I$3-Lo_c)/Step_c)+0.00000001),193))+1)+(((Alpha_keep*$A110+I$3-Lo_c)/Step_c)-MAX(6,MIN(INT(((Alpha_keep*$A110+I$3-Lo_c)/Step_c)+0.00000001),193)))*INDEX($D$5:$D$205,MAX(6,MIN(INT(((Alpha_keep*$A110+I$3-Lo_c)/Step_c)+0.00000001),193))+2)),"")</f>
        <v>-237.917608101128</v>
      </c>
      <c r="J110" s="16" t="n">
        <f aca="false">IF(Grid!H110=1,-Cost_k*J$3-Short_p*MAX(0,Floor_c-$A110)+Beta_q*((1-(((Alpha_keep*$A110+J$3-Lo_c)/Step_c)-MAX(6,MIN(INT(((Alpha_keep*$A110+J$3-Lo_c)/Step_c)+0.00000001),193))))*INDEX($D$5:$D$205,MAX(6,MIN(INT(((Alpha_keep*$A110+J$3-Lo_c)/Step_c)+0.00000001),193))+1)+(((Alpha_keep*$A110+J$3-Lo_c)/Step_c)-MAX(6,MIN(INT(((Alpha_keep*$A110+J$3-Lo_c)/Step_c)+0.00000001),193)))*INDEX($D$5:$D$205,MAX(6,MIN(INT(((Alpha_keep*$A110+J$3-Lo_c)/Step_c)+0.00000001),193))+2)),"")</f>
        <v>-237.944923829756</v>
      </c>
      <c r="K110" s="16" t="n">
        <f aca="false">IF(Grid!I110=1,-Cost_k*K$3-Short_p*MAX(0,Floor_c-$A110)+Beta_q*((1-(((Alpha_keep*$A110+K$3-Lo_c)/Step_c)-MAX(6,MIN(INT(((Alpha_keep*$A110+K$3-Lo_c)/Step_c)+0.00000001),193))))*INDEX($D$5:$D$205,MAX(6,MIN(INT(((Alpha_keep*$A110+K$3-Lo_c)/Step_c)+0.00000001),193))+1)+(((Alpha_keep*$A110+K$3-Lo_c)/Step_c)-MAX(6,MIN(INT(((Alpha_keep*$A110+K$3-Lo_c)/Step_c)+0.00000001),193)))*INDEX($D$5:$D$205,MAX(6,MIN(INT(((Alpha_keep*$A110+K$3-Lo_c)/Step_c)+0.00000001),193))+2)),"")</f>
        <v>-237.97392914305</v>
      </c>
      <c r="L110" s="16" t="n">
        <f aca="false">IF(Grid!J110=1,-Cost_k*L$3-Short_p*MAX(0,Floor_c-$A110)+Beta_q*((1-(((Alpha_keep*$A110+L$3-Lo_c)/Step_c)-MAX(6,MIN(INT(((Alpha_keep*$A110+L$3-Lo_c)/Step_c)+0.00000001),193))))*INDEX($D$5:$D$205,MAX(6,MIN(INT(((Alpha_keep*$A110+L$3-Lo_c)/Step_c)+0.00000001),193))+1)+(((Alpha_keep*$A110+L$3-Lo_c)/Step_c)-MAX(6,MIN(INT(((Alpha_keep*$A110+L$3-Lo_c)/Step_c)+0.00000001),193)))*INDEX($D$5:$D$205,MAX(6,MIN(INT(((Alpha_keep*$A110+L$3-Lo_c)/Step_c)+0.00000001),193))+2)),"")</f>
        <v>-238.013068356848</v>
      </c>
      <c r="M110" s="16" t="n">
        <f aca="false">IF(Grid!K110=1,-Cost_k*M$3-Short_p*MAX(0,Floor_c-$A110)+Beta_q*((1-(((Alpha_keep*$A110+M$3-Lo_c)/Step_c)-MAX(6,MIN(INT(((Alpha_keep*$A110+M$3-Lo_c)/Step_c)+0.00000001),193))))*INDEX($D$5:$D$205,MAX(6,MIN(INT(((Alpha_keep*$A110+M$3-Lo_c)/Step_c)+0.00000001),193))+1)+(((Alpha_keep*$A110+M$3-Lo_c)/Step_c)-MAX(6,MIN(INT(((Alpha_keep*$A110+M$3-Lo_c)/Step_c)+0.00000001),193)))*INDEX($D$5:$D$205,MAX(6,MIN(INT(((Alpha_keep*$A110+M$3-Lo_c)/Step_c)+0.00000001),193))+2)),"")</f>
        <v>-238.068465847492</v>
      </c>
      <c r="N110" s="16" t="n">
        <f aca="false">IF(Grid!L110=1,-Cost_k*N$3-Short_p*MAX(0,Floor_c-$A110)+Beta_q*((1-(((Alpha_keep*$A110+N$3-Lo_c)/Step_c)-MAX(6,MIN(INT(((Alpha_keep*$A110+N$3-Lo_c)/Step_c)+0.00000001),193))))*INDEX($D$5:$D$205,MAX(6,MIN(INT(((Alpha_keep*$A110+N$3-Lo_c)/Step_c)+0.00000001),193))+1)+(((Alpha_keep*$A110+N$3-Lo_c)/Step_c)-MAX(6,MIN(INT(((Alpha_keep*$A110+N$3-Lo_c)/Step_c)+0.00000001),193)))*INDEX($D$5:$D$205,MAX(6,MIN(INT(((Alpha_keep*$A110+N$3-Lo_c)/Step_c)+0.00000001),193))+2)),"")</f>
        <v>-238.124577174417</v>
      </c>
      <c r="O110" s="16" t="n">
        <f aca="false">IF(Grid!M110=1,-Cost_k*O$3-Short_p*MAX(0,Floor_c-$A110)+Beta_q*((1-(((Alpha_keep*$A110+O$3-Lo_c)/Step_c)-MAX(6,MIN(INT(((Alpha_keep*$A110+O$3-Lo_c)/Step_c)+0.00000001),193))))*INDEX($D$5:$D$205,MAX(6,MIN(INT(((Alpha_keep*$A110+O$3-Lo_c)/Step_c)+0.00000001),193))+1)+(((Alpha_keep*$A110+O$3-Lo_c)/Step_c)-MAX(6,MIN(INT(((Alpha_keep*$A110+O$3-Lo_c)/Step_c)+0.00000001),193)))*INDEX($D$5:$D$205,MAX(6,MIN(INT(((Alpha_keep*$A110+O$3-Lo_c)/Step_c)+0.00000001),193))+2)),"")</f>
        <v>-238.188183856529</v>
      </c>
      <c r="P110" s="11" t="n">
        <f aca="false">MAX(E110:O110)</f>
        <v>-237.917608101128</v>
      </c>
      <c r="Q110" s="12" t="n">
        <f aca="false">INDEX($E$3:$O$3,MATCH(P110,E110:O110,0))</f>
        <v>1</v>
      </c>
      <c r="R110" s="20" t="n">
        <v>1</v>
      </c>
      <c r="S110" s="14" t="n">
        <f aca="false">IF(ABS(Q110-R110)&lt;0.000000001,1,0)</f>
        <v>1</v>
      </c>
      <c r="T110" s="21" t="n">
        <f aca="false">ABS(P110-B110)</f>
        <v>0</v>
      </c>
      <c r="U110" s="16" t="n">
        <f aca="false">Alpha_keep*A110+Q110</f>
        <v>55.84375</v>
      </c>
      <c r="V110" s="14" t="n">
        <f aca="false">INDEX(GuardBlock,106,ROUND(Q110/Step_h,0)+1)</f>
        <v>1</v>
      </c>
      <c r="W110" s="22" t="n">
        <v>0.007836871395353</v>
      </c>
    </row>
    <row r="111" customFormat="false" ht="15" hidden="false" customHeight="false" outlineLevel="0" collapsed="false">
      <c r="A111" s="18" t="n">
        <f aca="false">Grid!A111</f>
        <v>56.5</v>
      </c>
      <c r="B111" s="19" t="n">
        <v>-236.941946379104</v>
      </c>
      <c r="C111" s="14" t="n">
        <v>106</v>
      </c>
      <c r="D111" s="11" t="n">
        <f aca="false">IF(AND($C111&gt;=6,$C111&lt;=194),Declarations!$B$25*INDEX($B$5:$B$205,$C111+1-Declarations!$E$25)+Declarations!$B$26*INDEX($B$5:$B$205,$C111+1-Declarations!$E$26)+Declarations!$B$27*INDEX($B$5:$B$205,$C111+1-Declarations!$E$27)+Declarations!$B$28*INDEX($B$5:$B$205,$C111+1-Declarations!$E$28)+Declarations!$B$29*INDEX($B$5:$B$205,$C111+1-Declarations!$E$29),"")</f>
        <v>-236.946467501551</v>
      </c>
      <c r="E111" s="16" t="n">
        <f aca="false">IF(Grid!C111=1,-Cost_k*E$3-Short_p*MAX(0,Floor_c-$A111)+Beta_q*((1-(((Alpha_keep*$A111+E$3-Lo_c)/Step_c)-MAX(6,MIN(INT(((Alpha_keep*$A111+E$3-Lo_c)/Step_c)+0.00000001),193))))*INDEX($D$5:$D$205,MAX(6,MIN(INT(((Alpha_keep*$A111+E$3-Lo_c)/Step_c)+0.00000001),193))+1)+(((Alpha_keep*$A111+E$3-Lo_c)/Step_c)-MAX(6,MIN(INT(((Alpha_keep*$A111+E$3-Lo_c)/Step_c)+0.00000001),193)))*INDEX($D$5:$D$205,MAX(6,MIN(INT(((Alpha_keep*$A111+E$3-Lo_c)/Step_c)+0.00000001),193))+2)),"")</f>
        <v>-237.093670836373</v>
      </c>
      <c r="F111" s="16" t="n">
        <f aca="false">IF(Grid!D111=1,-Cost_k*F$3-Short_p*MAX(0,Floor_c-$A111)+Beta_q*((1-(((Alpha_keep*$A111+F$3-Lo_c)/Step_c)-MAX(6,MIN(INT(((Alpha_keep*$A111+F$3-Lo_c)/Step_c)+0.00000001),193))))*INDEX($D$5:$D$205,MAX(6,MIN(INT(((Alpha_keep*$A111+F$3-Lo_c)/Step_c)+0.00000001),193))+1)+(((Alpha_keep*$A111+F$3-Lo_c)/Step_c)-MAX(6,MIN(INT(((Alpha_keep*$A111+F$3-Lo_c)/Step_c)+0.00000001),193)))*INDEX($D$5:$D$205,MAX(6,MIN(INT(((Alpha_keep*$A111+F$3-Lo_c)/Step_c)+0.00000001),193))+2)),"")</f>
        <v>-237.024659243833</v>
      </c>
      <c r="G111" s="16" t="n">
        <f aca="false">IF(Grid!E111=1,-Cost_k*G$3-Short_p*MAX(0,Floor_c-$A111)+Beta_q*((1-(((Alpha_keep*$A111+G$3-Lo_c)/Step_c)-MAX(6,MIN(INT(((Alpha_keep*$A111+G$3-Lo_c)/Step_c)+0.00000001),193))))*INDEX($D$5:$D$205,MAX(6,MIN(INT(((Alpha_keep*$A111+G$3-Lo_c)/Step_c)+0.00000001),193))+1)+(((Alpha_keep*$A111+G$3-Lo_c)/Step_c)-MAX(6,MIN(INT(((Alpha_keep*$A111+G$3-Lo_c)/Step_c)+0.00000001),193)))*INDEX($D$5:$D$205,MAX(6,MIN(INT(((Alpha_keep*$A111+G$3-Lo_c)/Step_c)+0.00000001),193))+2)),"")</f>
        <v>-236.967403304289</v>
      </c>
      <c r="H111" s="16" t="n">
        <f aca="false">IF(Grid!F111=1,-Cost_k*H$3-Short_p*MAX(0,Floor_c-$A111)+Beta_q*((1-(((Alpha_keep*$A111+H$3-Lo_c)/Step_c)-MAX(6,MIN(INT(((Alpha_keep*$A111+H$3-Lo_c)/Step_c)+0.00000001),193))))*INDEX($D$5:$D$205,MAX(6,MIN(INT(((Alpha_keep*$A111+H$3-Lo_c)/Step_c)+0.00000001),193))+1)+(((Alpha_keep*$A111+H$3-Lo_c)/Step_c)-MAX(6,MIN(INT(((Alpha_keep*$A111+H$3-Lo_c)/Step_c)+0.00000001),193)))*INDEX($D$5:$D$205,MAX(6,MIN(INT(((Alpha_keep*$A111+H$3-Lo_c)/Step_c)+0.00000001),193))+2)),"")</f>
        <v>-236.941946379104</v>
      </c>
      <c r="I111" s="16" t="n">
        <f aca="false">IF(Grid!G111=1,-Cost_k*I$3-Short_p*MAX(0,Floor_c-$A111)+Beta_q*((1-(((Alpha_keep*$A111+I$3-Lo_c)/Step_c)-MAX(6,MIN(INT(((Alpha_keep*$A111+I$3-Lo_c)/Step_c)+0.00000001),193))))*INDEX($D$5:$D$205,MAX(6,MIN(INT(((Alpha_keep*$A111+I$3-Lo_c)/Step_c)+0.00000001),193))+1)+(((Alpha_keep*$A111+I$3-Lo_c)/Step_c)-MAX(6,MIN(INT(((Alpha_keep*$A111+I$3-Lo_c)/Step_c)+0.00000001),193)))*INDEX($D$5:$D$205,MAX(6,MIN(INT(((Alpha_keep*$A111+I$3-Lo_c)/Step_c)+0.00000001),193))+2)),"")</f>
        <v>-236.969205651221</v>
      </c>
      <c r="J111" s="16" t="n">
        <f aca="false">IF(Grid!H111=1,-Cost_k*J$3-Short_p*MAX(0,Floor_c-$A111)+Beta_q*((1-(((Alpha_keep*$A111+J$3-Lo_c)/Step_c)-MAX(6,MIN(INT(((Alpha_keep*$A111+J$3-Lo_c)/Step_c)+0.00000001),193))))*INDEX($D$5:$D$205,MAX(6,MIN(INT(((Alpha_keep*$A111+J$3-Lo_c)/Step_c)+0.00000001),193))+1)+(((Alpha_keep*$A111+J$3-Lo_c)/Step_c)-MAX(6,MIN(INT(((Alpha_keep*$A111+J$3-Lo_c)/Step_c)+0.00000001),193)))*INDEX($D$5:$D$205,MAX(6,MIN(INT(((Alpha_keep*$A111+J$3-Lo_c)/Step_c)+0.00000001),193))+2)),"")</f>
        <v>-236.998192419722</v>
      </c>
      <c r="K111" s="16" t="n">
        <f aca="false">IF(Grid!I111=1,-Cost_k*K$3-Short_p*MAX(0,Floor_c-$A111)+Beta_q*((1-(((Alpha_keep*$A111+K$3-Lo_c)/Step_c)-MAX(6,MIN(INT(((Alpha_keep*$A111+K$3-Lo_c)/Step_c)+0.00000001),193))))*INDEX($D$5:$D$205,MAX(6,MIN(INT(((Alpha_keep*$A111+K$3-Lo_c)/Step_c)+0.00000001),193))+1)+(((Alpha_keep*$A111+K$3-Lo_c)/Step_c)-MAX(6,MIN(INT(((Alpha_keep*$A111+K$3-Lo_c)/Step_c)+0.00000001),193)))*INDEX($D$5:$D$205,MAX(6,MIN(INT(((Alpha_keep*$A111+K$3-Lo_c)/Step_c)+0.00000001),193))+2)),"")</f>
        <v>-237.036686948141</v>
      </c>
      <c r="L111" s="16" t="n">
        <f aca="false">IF(Grid!J111=1,-Cost_k*L$3-Short_p*MAX(0,Floor_c-$A111)+Beta_q*((1-(((Alpha_keep*$A111+L$3-Lo_c)/Step_c)-MAX(6,MIN(INT(((Alpha_keep*$A111+L$3-Lo_c)/Step_c)+0.00000001),193))))*INDEX($D$5:$D$205,MAX(6,MIN(INT(((Alpha_keep*$A111+L$3-Lo_c)/Step_c)+0.00000001),193))+1)+(((Alpha_keep*$A111+L$3-Lo_c)/Step_c)-MAX(6,MIN(INT(((Alpha_keep*$A111+L$3-Lo_c)/Step_c)+0.00000001),193)))*INDEX($D$5:$D$205,MAX(6,MIN(INT(((Alpha_keep*$A111+L$3-Lo_c)/Step_c)+0.00000001),193))+2)),"")</f>
        <v>-237.092075029294</v>
      </c>
      <c r="M111" s="16" t="n">
        <f aca="false">IF(Grid!K111=1,-Cost_k*M$3-Short_p*MAX(0,Floor_c-$A111)+Beta_q*((1-(((Alpha_keep*$A111+M$3-Lo_c)/Step_c)-MAX(6,MIN(INT(((Alpha_keep*$A111+M$3-Lo_c)/Step_c)+0.00000001),193))))*INDEX($D$5:$D$205,MAX(6,MIN(INT(((Alpha_keep*$A111+M$3-Lo_c)/Step_c)+0.00000001),193))+1)+(((Alpha_keep*$A111+M$3-Lo_c)/Step_c)-MAX(6,MIN(INT(((Alpha_keep*$A111+M$3-Lo_c)/Step_c)+0.00000001),193)))*INDEX($D$5:$D$205,MAX(6,MIN(INT(((Alpha_keep*$A111+M$3-Lo_c)/Step_c)+0.00000001),193))+2)),"")</f>
        <v>-237.148154449619</v>
      </c>
      <c r="N111" s="16" t="n">
        <f aca="false">IF(Grid!L111=1,-Cost_k*N$3-Short_p*MAX(0,Floor_c-$A111)+Beta_q*((1-(((Alpha_keep*$A111+N$3-Lo_c)/Step_c)-MAX(6,MIN(INT(((Alpha_keep*$A111+N$3-Lo_c)/Step_c)+0.00000001),193))))*INDEX($D$5:$D$205,MAX(6,MIN(INT(((Alpha_keep*$A111+N$3-Lo_c)/Step_c)+0.00000001),193))+1)+(((Alpha_keep*$A111+N$3-Lo_c)/Step_c)-MAX(6,MIN(INT(((Alpha_keep*$A111+N$3-Lo_c)/Step_c)+0.00000001),193)))*INDEX($D$5:$D$205,MAX(6,MIN(INT(((Alpha_keep*$A111+N$3-Lo_c)/Step_c)+0.00000001),193))+2)),"")</f>
        <v>-237.211314619051</v>
      </c>
      <c r="O111" s="16" t="n">
        <f aca="false">IF(Grid!M111=1,-Cost_k*O$3-Short_p*MAX(0,Floor_c-$A111)+Beta_q*((1-(((Alpha_keep*$A111+O$3-Lo_c)/Step_c)-MAX(6,MIN(INT(((Alpha_keep*$A111+O$3-Lo_c)/Step_c)+0.00000001),193))))*INDEX($D$5:$D$205,MAX(6,MIN(INT(((Alpha_keep*$A111+O$3-Lo_c)/Step_c)+0.00000001),193))+1)+(((Alpha_keep*$A111+O$3-Lo_c)/Step_c)-MAX(6,MIN(INT(((Alpha_keep*$A111+O$3-Lo_c)/Step_c)+0.00000001),193)))*INDEX($D$5:$D$205,MAX(6,MIN(INT(((Alpha_keep*$A111+O$3-Lo_c)/Step_c)+0.00000001),193))+2)),"")</f>
        <v>-237.286446204966</v>
      </c>
      <c r="P111" s="11" t="n">
        <f aca="false">MAX(E111:O111)</f>
        <v>-236.941946379104</v>
      </c>
      <c r="Q111" s="12" t="n">
        <f aca="false">INDEX($E$3:$O$3,MATCH(P111,E111:O111,0))</f>
        <v>0.75</v>
      </c>
      <c r="R111" s="20" t="n">
        <v>0.75</v>
      </c>
      <c r="S111" s="14" t="n">
        <f aca="false">IF(ABS(Q111-R111)&lt;0.000000001,1,0)</f>
        <v>1</v>
      </c>
      <c r="T111" s="21" t="n">
        <f aca="false">ABS(P111-B111)</f>
        <v>0</v>
      </c>
      <c r="U111" s="16" t="n">
        <f aca="false">Alpha_keep*A111+Q111</f>
        <v>55.8375</v>
      </c>
      <c r="V111" s="14" t="n">
        <f aca="false">INDEX(GuardBlock,107,ROUND(Q111/Step_h,0)+1)</f>
        <v>1</v>
      </c>
      <c r="W111" s="22" t="n">
        <v>0.111716480883835</v>
      </c>
    </row>
    <row r="112" customFormat="false" ht="15" hidden="false" customHeight="false" outlineLevel="0" collapsed="false">
      <c r="A112" s="18" t="n">
        <f aca="false">Grid!A112</f>
        <v>56.75</v>
      </c>
      <c r="B112" s="19" t="n">
        <v>-235.96628465708</v>
      </c>
      <c r="C112" s="14" t="n">
        <v>107</v>
      </c>
      <c r="D112" s="11" t="n">
        <f aca="false">IF(AND($C112&gt;=6,$C112&lt;=194),Declarations!$B$25*INDEX($B$5:$B$205,$C112+1-Declarations!$E$25)+Declarations!$B$26*INDEX($B$5:$B$205,$C112+1-Declarations!$E$26)+Declarations!$B$27*INDEX($B$5:$B$205,$C112+1-Declarations!$E$27)+Declarations!$B$28*INDEX($B$5:$B$205,$C112+1-Declarations!$E$28)+Declarations!$B$29*INDEX($B$5:$B$205,$C112+1-Declarations!$E$29),"")</f>
        <v>-235.978942595143</v>
      </c>
      <c r="E112" s="16" t="n">
        <f aca="false">IF(Grid!C112=1,-Cost_k*E$3-Short_p*MAX(0,Floor_c-$A112)+Beta_q*((1-(((Alpha_keep*$A112+E$3-Lo_c)/Step_c)-MAX(6,MIN(INT(((Alpha_keep*$A112+E$3-Lo_c)/Step_c)+0.00000001),193))))*INDEX($D$5:$D$205,MAX(6,MIN(INT(((Alpha_keep*$A112+E$3-Lo_c)/Step_c)+0.00000001),193))+1)+(((Alpha_keep*$A112+E$3-Lo_c)/Step_c)-MAX(6,MIN(INT(((Alpha_keep*$A112+E$3-Lo_c)/Step_c)+0.00000001),193)))*INDEX($D$5:$D$205,MAX(6,MIN(INT(((Alpha_keep*$A112+E$3-Lo_c)/Step_c)+0.00000001),193))+2)),"")</f>
        <v>-236.051142320695</v>
      </c>
      <c r="F112" s="16" t="n">
        <f aca="false">IF(Grid!D112=1,-Cost_k*F$3-Short_p*MAX(0,Floor_c-$A112)+Beta_q*((1-(((Alpha_keep*$A112+F$3-Lo_c)/Step_c)-MAX(6,MIN(INT(((Alpha_keep*$A112+F$3-Lo_c)/Step_c)+0.00000001),193))))*INDEX($D$5:$D$205,MAX(6,MIN(INT(((Alpha_keep*$A112+F$3-Lo_c)/Step_c)+0.00000001),193))+1)+(((Alpha_keep*$A112+F$3-Lo_c)/Step_c)-MAX(6,MIN(INT(((Alpha_keep*$A112+F$3-Lo_c)/Step_c)+0.00000001),193)))*INDEX($D$5:$D$205,MAX(6,MIN(INT(((Alpha_keep*$A112+F$3-Lo_c)/Step_c)+0.00000001),193))+2)),"")</f>
        <v>-235.993738728655</v>
      </c>
      <c r="G112" s="16" t="n">
        <f aca="false">IF(Grid!E112=1,-Cost_k*G$3-Short_p*MAX(0,Floor_c-$A112)+Beta_q*((1-(((Alpha_keep*$A112+G$3-Lo_c)/Step_c)-MAX(6,MIN(INT(((Alpha_keep*$A112+G$3-Lo_c)/Step_c)+0.00000001),193))))*INDEX($D$5:$D$205,MAX(6,MIN(INT(((Alpha_keep*$A112+G$3-Lo_c)/Step_c)+0.00000001),193))+1)+(((Alpha_keep*$A112+G$3-Lo_c)/Step_c)-MAX(6,MIN(INT(((Alpha_keep*$A112+G$3-Lo_c)/Step_c)+0.00000001),193)))*INDEX($D$5:$D$205,MAX(6,MIN(INT(((Alpha_keep*$A112+G$3-Lo_c)/Step_c)+0.00000001),193))+2)),"")</f>
        <v>-235.96628465708</v>
      </c>
      <c r="H112" s="16" t="n">
        <f aca="false">IF(Grid!F112=1,-Cost_k*H$3-Short_p*MAX(0,Floor_c-$A112)+Beta_q*((1-(((Alpha_keep*$A112+H$3-Lo_c)/Step_c)-MAX(6,MIN(INT(((Alpha_keep*$A112+H$3-Lo_c)/Step_c)+0.00000001),193))))*INDEX($D$5:$D$205,MAX(6,MIN(INT(((Alpha_keep*$A112+H$3-Lo_c)/Step_c)+0.00000001),193))+1)+(((Alpha_keep*$A112+H$3-Lo_c)/Step_c)-MAX(6,MIN(INT(((Alpha_keep*$A112+H$3-Lo_c)/Step_c)+0.00000001),193)))*INDEX($D$5:$D$205,MAX(6,MIN(INT(((Alpha_keep*$A112+H$3-Lo_c)/Step_c)+0.00000001),193))+2)),"")</f>
        <v>-235.993487472686</v>
      </c>
      <c r="I112" s="16" t="n">
        <f aca="false">IF(Grid!G112=1,-Cost_k*I$3-Short_p*MAX(0,Floor_c-$A112)+Beta_q*((1-(((Alpha_keep*$A112+I$3-Lo_c)/Step_c)-MAX(6,MIN(INT(((Alpha_keep*$A112+I$3-Lo_c)/Step_c)+0.00000001),193))))*INDEX($D$5:$D$205,MAX(6,MIN(INT(((Alpha_keep*$A112+I$3-Lo_c)/Step_c)+0.00000001),193))+1)+(((Alpha_keep*$A112+I$3-Lo_c)/Step_c)-MAX(6,MIN(INT(((Alpha_keep*$A112+I$3-Lo_c)/Step_c)+0.00000001),193)))*INDEX($D$5:$D$205,MAX(6,MIN(INT(((Alpha_keep*$A112+I$3-Lo_c)/Step_c)+0.00000001),193))+2)),"")</f>
        <v>-236.022455696394</v>
      </c>
      <c r="J112" s="16" t="n">
        <f aca="false">IF(Grid!H112=1,-Cost_k*J$3-Short_p*MAX(0,Floor_c-$A112)+Beta_q*((1-(((Alpha_keep*$A112+J$3-Lo_c)/Step_c)-MAX(6,MIN(INT(((Alpha_keep*$A112+J$3-Lo_c)/Step_c)+0.00000001),193))))*INDEX($D$5:$D$205,MAX(6,MIN(INT(((Alpha_keep*$A112+J$3-Lo_c)/Step_c)+0.00000001),193))+1)+(((Alpha_keep*$A112+J$3-Lo_c)/Step_c)-MAX(6,MIN(INT(((Alpha_keep*$A112+J$3-Lo_c)/Step_c)+0.00000001),193)))*INDEX($D$5:$D$205,MAX(6,MIN(INT(((Alpha_keep*$A112+J$3-Lo_c)/Step_c)+0.00000001),193))+2)),"")</f>
        <v>-236.060305539434</v>
      </c>
      <c r="K112" s="16" t="n">
        <f aca="false">IF(Grid!I112=1,-Cost_k*K$3-Short_p*MAX(0,Floor_c-$A112)+Beta_q*((1-(((Alpha_keep*$A112+K$3-Lo_c)/Step_c)-MAX(6,MIN(INT(((Alpha_keep*$A112+K$3-Lo_c)/Step_c)+0.00000001),193))))*INDEX($D$5:$D$205,MAX(6,MIN(INT(((Alpha_keep*$A112+K$3-Lo_c)/Step_c)+0.00000001),193))+1)+(((Alpha_keep*$A112+K$3-Lo_c)/Step_c)-MAX(6,MIN(INT(((Alpha_keep*$A112+K$3-Lo_c)/Step_c)+0.00000001),193)))*INDEX($D$5:$D$205,MAX(6,MIN(INT(((Alpha_keep*$A112+K$3-Lo_c)/Step_c)+0.00000001),193))+2)),"")</f>
        <v>-236.115684211096</v>
      </c>
      <c r="L112" s="16" t="n">
        <f aca="false">IF(Grid!J112=1,-Cost_k*L$3-Short_p*MAX(0,Floor_c-$A112)+Beta_q*((1-(((Alpha_keep*$A112+L$3-Lo_c)/Step_c)-MAX(6,MIN(INT(((Alpha_keep*$A112+L$3-Lo_c)/Step_c)+0.00000001),193))))*INDEX($D$5:$D$205,MAX(6,MIN(INT(((Alpha_keep*$A112+L$3-Lo_c)/Step_c)+0.00000001),193))+1)+(((Alpha_keep*$A112+L$3-Lo_c)/Step_c)-MAX(6,MIN(INT(((Alpha_keep*$A112+L$3-Lo_c)/Step_c)+0.00000001),193)))*INDEX($D$5:$D$205,MAX(6,MIN(INT(((Alpha_keep*$A112+L$3-Lo_c)/Step_c)+0.00000001),193))+2)),"")</f>
        <v>-236.171731724822</v>
      </c>
      <c r="M112" s="16" t="n">
        <f aca="false">IF(Grid!K112=1,-Cost_k*M$3-Short_p*MAX(0,Floor_c-$A112)+Beta_q*((1-(((Alpha_keep*$A112+M$3-Lo_c)/Step_c)-MAX(6,MIN(INT(((Alpha_keep*$A112+M$3-Lo_c)/Step_c)+0.00000001),193))))*INDEX($D$5:$D$205,MAX(6,MIN(INT(((Alpha_keep*$A112+M$3-Lo_c)/Step_c)+0.00000001),193))+1)+(((Alpha_keep*$A112+M$3-Lo_c)/Step_c)-MAX(6,MIN(INT(((Alpha_keep*$A112+M$3-Lo_c)/Step_c)+0.00000001),193)))*INDEX($D$5:$D$205,MAX(6,MIN(INT(((Alpha_keep*$A112+M$3-Lo_c)/Step_c)+0.00000001),193))+2)),"")</f>
        <v>-236.234445381574</v>
      </c>
      <c r="N112" s="16" t="n">
        <f aca="false">IF(Grid!L112=1,-Cost_k*N$3-Short_p*MAX(0,Floor_c-$A112)+Beta_q*((1-(((Alpha_keep*$A112+N$3-Lo_c)/Step_c)-MAX(6,MIN(INT(((Alpha_keep*$A112+N$3-Lo_c)/Step_c)+0.00000001),193))))*INDEX($D$5:$D$205,MAX(6,MIN(INT(((Alpha_keep*$A112+N$3-Lo_c)/Step_c)+0.00000001),193))+1)+(((Alpha_keep*$A112+N$3-Lo_c)/Step_c)-MAX(6,MIN(INT(((Alpha_keep*$A112+N$3-Lo_c)/Step_c)+0.00000001),193)))*INDEX($D$5:$D$205,MAX(6,MIN(INT(((Alpha_keep*$A112+N$3-Lo_c)/Step_c)+0.00000001),193))+2)),"")</f>
        <v>-236.309551104145</v>
      </c>
      <c r="O112" s="16" t="n">
        <f aca="false">IF(Grid!M112=1,-Cost_k*O$3-Short_p*MAX(0,Floor_c-$A112)+Beta_q*((1-(((Alpha_keep*$A112+O$3-Lo_c)/Step_c)-MAX(6,MIN(INT(((Alpha_keep*$A112+O$3-Lo_c)/Step_c)+0.00000001),193))))*INDEX($D$5:$D$205,MAX(6,MIN(INT(((Alpha_keep*$A112+O$3-Lo_c)/Step_c)+0.00000001),193))+1)+(((Alpha_keep*$A112+O$3-Lo_c)/Step_c)-MAX(6,MIN(INT(((Alpha_keep*$A112+O$3-Lo_c)/Step_c)+0.00000001),193)))*INDEX($D$5:$D$205,MAX(6,MIN(INT(((Alpha_keep*$A112+O$3-Lo_c)/Step_c)+0.00000001),193))+2)),"")</f>
        <v>-236.386537243439</v>
      </c>
      <c r="P112" s="11" t="n">
        <f aca="false">MAX(E112:O112)</f>
        <v>-235.96628465708</v>
      </c>
      <c r="Q112" s="12" t="n">
        <f aca="false">INDEX($E$3:$O$3,MATCH(P112,E112:O112,0))</f>
        <v>0.5</v>
      </c>
      <c r="R112" s="20" t="n">
        <v>0.5</v>
      </c>
      <c r="S112" s="14" t="n">
        <f aca="false">IF(ABS(Q112-R112)&lt;0.000000001,1,0)</f>
        <v>1</v>
      </c>
      <c r="T112" s="21" t="n">
        <f aca="false">ABS(P112-B112)</f>
        <v>0</v>
      </c>
      <c r="U112" s="16" t="n">
        <f aca="false">Alpha_keep*A112+Q112</f>
        <v>55.83125</v>
      </c>
      <c r="V112" s="14" t="n">
        <f aca="false">INDEX(GuardBlock,108,ROUND(Q112/Step_h,0)+1)</f>
        <v>1</v>
      </c>
      <c r="W112" s="22" t="n">
        <v>0.0799069613029606</v>
      </c>
    </row>
    <row r="113" customFormat="false" ht="15" hidden="false" customHeight="false" outlineLevel="0" collapsed="false">
      <c r="A113" s="18" t="n">
        <f aca="false">Grid!A113</f>
        <v>57</v>
      </c>
      <c r="B113" s="19" t="n">
        <v>-234.990622935056</v>
      </c>
      <c r="C113" s="14" t="n">
        <v>108</v>
      </c>
      <c r="D113" s="11" t="n">
        <f aca="false">IF(AND($C113&gt;=6,$C113&lt;=194),Declarations!$B$25*INDEX($B$5:$B$205,$C113+1-Declarations!$E$25)+Declarations!$B$26*INDEX($B$5:$B$205,$C113+1-Declarations!$E$26)+Declarations!$B$27*INDEX($B$5:$B$205,$C113+1-Declarations!$E$27)+Declarations!$B$28*INDEX($B$5:$B$205,$C113+1-Declarations!$E$28)+Declarations!$B$29*INDEX($B$5:$B$205,$C113+1-Declarations!$E$29),"")</f>
        <v>-235.011803144292</v>
      </c>
      <c r="E113" s="16" t="n">
        <f aca="false">IF(Grid!C113=1,-Cost_k*E$3-Short_p*MAX(0,Floor_c-$A113)+Beta_q*((1-(((Alpha_keep*$A113+E$3-Lo_c)/Step_c)-MAX(6,MIN(INT(((Alpha_keep*$A113+E$3-Lo_c)/Step_c)+0.00000001),193))))*INDEX($D$5:$D$205,MAX(6,MIN(INT(((Alpha_keep*$A113+E$3-Lo_c)/Step_c)+0.00000001),193))+1)+(((Alpha_keep*$A113+E$3-Lo_c)/Step_c)-MAX(6,MIN(INT(((Alpha_keep*$A113+E$3-Lo_c)/Step_c)+0.00000001),193)))*INDEX($D$5:$D$205,MAX(6,MIN(INT(((Alpha_keep*$A113+E$3-Lo_c)/Step_c)+0.00000001),193))+2)),"")</f>
        <v>-235.020074153021</v>
      </c>
      <c r="F113" s="16" t="n">
        <f aca="false">IF(Grid!D113=1,-Cost_k*F$3-Short_p*MAX(0,Floor_c-$A113)+Beta_q*((1-(((Alpha_keep*$A113+F$3-Lo_c)/Step_c)-MAX(6,MIN(INT(((Alpha_keep*$A113+F$3-Lo_c)/Step_c)+0.00000001),193))))*INDEX($D$5:$D$205,MAX(6,MIN(INT(((Alpha_keep*$A113+F$3-Lo_c)/Step_c)+0.00000001),193))+1)+(((Alpha_keep*$A113+F$3-Lo_c)/Step_c)-MAX(6,MIN(INT(((Alpha_keep*$A113+F$3-Lo_c)/Step_c)+0.00000001),193)))*INDEX($D$5:$D$205,MAX(6,MIN(INT(((Alpha_keep*$A113+F$3-Lo_c)/Step_c)+0.00000001),193))+2)),"")</f>
        <v>-234.990622935056</v>
      </c>
      <c r="G113" s="16" t="n">
        <f aca="false">IF(Grid!E113=1,-Cost_k*G$3-Short_p*MAX(0,Floor_c-$A113)+Beta_q*((1-(((Alpha_keep*$A113+G$3-Lo_c)/Step_c)-MAX(6,MIN(INT(((Alpha_keep*$A113+G$3-Lo_c)/Step_c)+0.00000001),193))))*INDEX($D$5:$D$205,MAX(6,MIN(INT(((Alpha_keep*$A113+G$3-Lo_c)/Step_c)+0.00000001),193))+1)+(((Alpha_keep*$A113+G$3-Lo_c)/Step_c)-MAX(6,MIN(INT(((Alpha_keep*$A113+G$3-Lo_c)/Step_c)+0.00000001),193)))*INDEX($D$5:$D$205,MAX(6,MIN(INT(((Alpha_keep*$A113+G$3-Lo_c)/Step_c)+0.00000001),193))+2)),"")</f>
        <v>-235.017769294151</v>
      </c>
      <c r="H113" s="16" t="n">
        <f aca="false">IF(Grid!F113=1,-Cost_k*H$3-Short_p*MAX(0,Floor_c-$A113)+Beta_q*((1-(((Alpha_keep*$A113+H$3-Lo_c)/Step_c)-MAX(6,MIN(INT(((Alpha_keep*$A113+H$3-Lo_c)/Step_c)+0.00000001),193))))*INDEX($D$5:$D$205,MAX(6,MIN(INT(((Alpha_keep*$A113+H$3-Lo_c)/Step_c)+0.00000001),193))+1)+(((Alpha_keep*$A113+H$3-Lo_c)/Step_c)-MAX(6,MIN(INT(((Alpha_keep*$A113+H$3-Lo_c)/Step_c)+0.00000001),193)))*INDEX($D$5:$D$205,MAX(6,MIN(INT(((Alpha_keep*$A113+H$3-Lo_c)/Step_c)+0.00000001),193))+2)),"")</f>
        <v>-235.046718973067</v>
      </c>
      <c r="I113" s="16" t="n">
        <f aca="false">IF(Grid!G113=1,-Cost_k*I$3-Short_p*MAX(0,Floor_c-$A113)+Beta_q*((1-(((Alpha_keep*$A113+I$3-Lo_c)/Step_c)-MAX(6,MIN(INT(((Alpha_keep*$A113+I$3-Lo_c)/Step_c)+0.00000001),193))))*INDEX($D$5:$D$205,MAX(6,MIN(INT(((Alpha_keep*$A113+I$3-Lo_c)/Step_c)+0.00000001),193))+1)+(((Alpha_keep*$A113+I$3-Lo_c)/Step_c)-MAX(6,MIN(INT(((Alpha_keep*$A113+I$3-Lo_c)/Step_c)+0.00000001),193)))*INDEX($D$5:$D$205,MAX(6,MIN(INT(((Alpha_keep*$A113+I$3-Lo_c)/Step_c)+0.00000001),193))+2)),"")</f>
        <v>-235.083924130727</v>
      </c>
      <c r="J113" s="16" t="n">
        <f aca="false">IF(Grid!H113=1,-Cost_k*J$3-Short_p*MAX(0,Floor_c-$A113)+Beta_q*((1-(((Alpha_keep*$A113+J$3-Lo_c)/Step_c)-MAX(6,MIN(INT(((Alpha_keep*$A113+J$3-Lo_c)/Step_c)+0.00000001),193))))*INDEX($D$5:$D$205,MAX(6,MIN(INT(((Alpha_keep*$A113+J$3-Lo_c)/Step_c)+0.00000001),193))+1)+(((Alpha_keep*$A113+J$3-Lo_c)/Step_c)-MAX(6,MIN(INT(((Alpha_keep*$A113+J$3-Lo_c)/Step_c)+0.00000001),193)))*INDEX($D$5:$D$205,MAX(6,MIN(INT(((Alpha_keep*$A113+J$3-Lo_c)/Step_c)+0.00000001),193))+2)),"")</f>
        <v>-235.139293392898</v>
      </c>
      <c r="K113" s="16" t="n">
        <f aca="false">IF(Grid!I113=1,-Cost_k*K$3-Short_p*MAX(0,Floor_c-$A113)+Beta_q*((1-(((Alpha_keep*$A113+K$3-Lo_c)/Step_c)-MAX(6,MIN(INT(((Alpha_keep*$A113+K$3-Lo_c)/Step_c)+0.00000001),193))))*INDEX($D$5:$D$205,MAX(6,MIN(INT(((Alpha_keep*$A113+K$3-Lo_c)/Step_c)+0.00000001),193))+1)+(((Alpha_keep*$A113+K$3-Lo_c)/Step_c)-MAX(6,MIN(INT(((Alpha_keep*$A113+K$3-Lo_c)/Step_c)+0.00000001),193)))*INDEX($D$5:$D$205,MAX(6,MIN(INT(((Alpha_keep*$A113+K$3-Lo_c)/Step_c)+0.00000001),193))+2)),"")</f>
        <v>-235.195309000024</v>
      </c>
      <c r="L113" s="16" t="n">
        <f aca="false">IF(Grid!J113=1,-Cost_k*L$3-Short_p*MAX(0,Floor_c-$A113)+Beta_q*((1-(((Alpha_keep*$A113+L$3-Lo_c)/Step_c)-MAX(6,MIN(INT(((Alpha_keep*$A113+L$3-Lo_c)/Step_c)+0.00000001),193))))*INDEX($D$5:$D$205,MAX(6,MIN(INT(((Alpha_keep*$A113+L$3-Lo_c)/Step_c)+0.00000001),193))+1)+(((Alpha_keep*$A113+L$3-Lo_c)/Step_c)-MAX(6,MIN(INT(((Alpha_keep*$A113+L$3-Lo_c)/Step_c)+0.00000001),193)))*INDEX($D$5:$D$205,MAX(6,MIN(INT(((Alpha_keep*$A113+L$3-Lo_c)/Step_c)+0.00000001),193))+2)),"")</f>
        <v>-235.257576144096</v>
      </c>
      <c r="M113" s="16" t="n">
        <f aca="false">IF(Grid!K113=1,-Cost_k*M$3-Short_p*MAX(0,Floor_c-$A113)+Beta_q*((1-(((Alpha_keep*$A113+M$3-Lo_c)/Step_c)-MAX(6,MIN(INT(((Alpha_keep*$A113+M$3-Lo_c)/Step_c)+0.00000001),193))))*INDEX($D$5:$D$205,MAX(6,MIN(INT(((Alpha_keep*$A113+M$3-Lo_c)/Step_c)+0.00000001),193))+1)+(((Alpha_keep*$A113+M$3-Lo_c)/Step_c)-MAX(6,MIN(INT(((Alpha_keep*$A113+M$3-Lo_c)/Step_c)+0.00000001),193)))*INDEX($D$5:$D$205,MAX(6,MIN(INT(((Alpha_keep*$A113+M$3-Lo_c)/Step_c)+0.00000001),193))+2)),"")</f>
        <v>-235.332656003324</v>
      </c>
      <c r="N113" s="16" t="n">
        <f aca="false">IF(Grid!L113=1,-Cost_k*N$3-Short_p*MAX(0,Floor_c-$A113)+Beta_q*((1-(((Alpha_keep*$A113+N$3-Lo_c)/Step_c)-MAX(6,MIN(INT(((Alpha_keep*$A113+N$3-Lo_c)/Step_c)+0.00000001),193))))*INDEX($D$5:$D$205,MAX(6,MIN(INT(((Alpha_keep*$A113+N$3-Lo_c)/Step_c)+0.00000001),193))+1)+(((Alpha_keep*$A113+N$3-Lo_c)/Step_c)-MAX(6,MIN(INT(((Alpha_keep*$A113+N$3-Lo_c)/Step_c)+0.00000001),193)))*INDEX($D$5:$D$205,MAX(6,MIN(INT(((Alpha_keep*$A113+N$3-Lo_c)/Step_c)+0.00000001),193))+2)),"")</f>
        <v>-235.409551211354</v>
      </c>
      <c r="O113" s="16" t="n">
        <f aca="false">IF(Grid!M113=1,-Cost_k*O$3-Short_p*MAX(0,Floor_c-$A113)+Beta_q*((1-(((Alpha_keep*$A113+O$3-Lo_c)/Step_c)-MAX(6,MIN(INT(((Alpha_keep*$A113+O$3-Lo_c)/Step_c)+0.00000001),193))))*INDEX($D$5:$D$205,MAX(6,MIN(INT(((Alpha_keep*$A113+O$3-Lo_c)/Step_c)+0.00000001),193))+1)+(((Alpha_keep*$A113+O$3-Lo_c)/Step_c)-MAX(6,MIN(INT(((Alpha_keep*$A113+O$3-Lo_c)/Step_c)+0.00000001),193)))*INDEX($D$5:$D$205,MAX(6,MIN(INT(((Alpha_keep*$A113+O$3-Lo_c)/Step_c)+0.00000001),193))+2)),"")</f>
        <v>-235.494665156994</v>
      </c>
      <c r="P113" s="11" t="n">
        <f aca="false">MAX(E113:O113)</f>
        <v>-234.990622935056</v>
      </c>
      <c r="Q113" s="12" t="n">
        <f aca="false">INDEX($E$3:$O$3,MATCH(P113,E113:O113,0))</f>
        <v>0.25</v>
      </c>
      <c r="R113" s="20" t="n">
        <v>0.25</v>
      </c>
      <c r="S113" s="14" t="n">
        <f aca="false">IF(ABS(Q113-R113)&lt;0.000000001,1,0)</f>
        <v>1</v>
      </c>
      <c r="T113" s="21" t="n">
        <f aca="false">ABS(P113-B113)</f>
        <v>0</v>
      </c>
      <c r="U113" s="16" t="n">
        <f aca="false">Alpha_keep*A113+Q113</f>
        <v>55.825</v>
      </c>
      <c r="V113" s="14" t="n">
        <f aca="false">INDEX(GuardBlock,109,ROUND(Q113/Step_h,0)+1)</f>
        <v>1</v>
      </c>
      <c r="W113" s="22" t="n">
        <v>0.00234236227891898</v>
      </c>
    </row>
    <row r="114" customFormat="false" ht="15" hidden="false" customHeight="false" outlineLevel="0" collapsed="false">
      <c r="A114" s="18" t="n">
        <f aca="false">Grid!A114</f>
        <v>57.25</v>
      </c>
      <c r="B114" s="19" t="n">
        <v>-234.014961213032</v>
      </c>
      <c r="C114" s="14" t="n">
        <v>109</v>
      </c>
      <c r="D114" s="11" t="n">
        <f aca="false">IF(AND($C114&gt;=6,$C114&lt;=194),Declarations!$B$25*INDEX($B$5:$B$205,$C114+1-Declarations!$E$25)+Declarations!$B$26*INDEX($B$5:$B$205,$C114+1-Declarations!$E$26)+Declarations!$B$27*INDEX($B$5:$B$205,$C114+1-Declarations!$E$27)+Declarations!$B$28*INDEX($B$5:$B$205,$C114+1-Declarations!$E$28)+Declarations!$B$29*INDEX($B$5:$B$205,$C114+1-Declarations!$E$29),"")</f>
        <v>-234.045970732863</v>
      </c>
      <c r="E114" s="16" t="n">
        <f aca="false">IF(Grid!C114=1,-Cost_k*E$3-Short_p*MAX(0,Floor_c-$A114)+Beta_q*((1-(((Alpha_keep*$A114+E$3-Lo_c)/Step_c)-MAX(6,MIN(INT(((Alpha_keep*$A114+E$3-Lo_c)/Step_c)+0.00000001),193))))*INDEX($D$5:$D$205,MAX(6,MIN(INT(((Alpha_keep*$A114+E$3-Lo_c)/Step_c)+0.00000001),193))+1)+(((Alpha_keep*$A114+E$3-Lo_c)/Step_c)-MAX(6,MIN(INT(((Alpha_keep*$A114+E$3-Lo_c)/Step_c)+0.00000001),193)))*INDEX($D$5:$D$205,MAX(6,MIN(INT(((Alpha_keep*$A114+E$3-Lo_c)/Step_c)+0.00000001),193))+2)),"")</f>
        <v>-234.014961213032</v>
      </c>
      <c r="F114" s="16" t="n">
        <f aca="false">IF(Grid!D114=1,-Cost_k*F$3-Short_p*MAX(0,Floor_c-$A114)+Beta_q*((1-(((Alpha_keep*$A114+F$3-Lo_c)/Step_c)-MAX(6,MIN(INT(((Alpha_keep*$A114+F$3-Lo_c)/Step_c)+0.00000001),193))))*INDEX($D$5:$D$205,MAX(6,MIN(INT(((Alpha_keep*$A114+F$3-Lo_c)/Step_c)+0.00000001),193))+1)+(((Alpha_keep*$A114+F$3-Lo_c)/Step_c)-MAX(6,MIN(INT(((Alpha_keep*$A114+F$3-Lo_c)/Step_c)+0.00000001),193)))*INDEX($D$5:$D$205,MAX(6,MIN(INT(((Alpha_keep*$A114+F$3-Lo_c)/Step_c)+0.00000001),193))+2)),"")</f>
        <v>-234.042051115616</v>
      </c>
      <c r="G114" s="16" t="n">
        <f aca="false">IF(Grid!E114=1,-Cost_k*G$3-Short_p*MAX(0,Floor_c-$A114)+Beta_q*((1-(((Alpha_keep*$A114+G$3-Lo_c)/Step_c)-MAX(6,MIN(INT(((Alpha_keep*$A114+G$3-Lo_c)/Step_c)+0.00000001),193))))*INDEX($D$5:$D$205,MAX(6,MIN(INT(((Alpha_keep*$A114+G$3-Lo_c)/Step_c)+0.00000001),193))+1)+(((Alpha_keep*$A114+G$3-Lo_c)/Step_c)-MAX(6,MIN(INT(((Alpha_keep*$A114+G$3-Lo_c)/Step_c)+0.00000001),193)))*INDEX($D$5:$D$205,MAX(6,MIN(INT(((Alpha_keep*$A114+G$3-Lo_c)/Step_c)+0.00000001),193))+2)),"")</f>
        <v>-234.070982249739</v>
      </c>
      <c r="H114" s="16" t="n">
        <f aca="false">IF(Grid!F114=1,-Cost_k*H$3-Short_p*MAX(0,Floor_c-$A114)+Beta_q*((1-(((Alpha_keep*$A114+H$3-Lo_c)/Step_c)-MAX(6,MIN(INT(((Alpha_keep*$A114+H$3-Lo_c)/Step_c)+0.00000001),193))))*INDEX($D$5:$D$205,MAX(6,MIN(INT(((Alpha_keep*$A114+H$3-Lo_c)/Step_c)+0.00000001),193))+1)+(((Alpha_keep*$A114+H$3-Lo_c)/Step_c)-MAX(6,MIN(INT(((Alpha_keep*$A114+H$3-Lo_c)/Step_c)+0.00000001),193)))*INDEX($D$5:$D$205,MAX(6,MIN(INT(((Alpha_keep*$A114+H$3-Lo_c)/Step_c)+0.00000001),193))+2)),"")</f>
        <v>-234.10754272202</v>
      </c>
      <c r="I114" s="16" t="n">
        <f aca="false">IF(Grid!G114=1,-Cost_k*I$3-Short_p*MAX(0,Floor_c-$A114)+Beta_q*((1-(((Alpha_keep*$A114+I$3-Lo_c)/Step_c)-MAX(6,MIN(INT(((Alpha_keep*$A114+I$3-Lo_c)/Step_c)+0.00000001),193))))*INDEX($D$5:$D$205,MAX(6,MIN(INT(((Alpha_keep*$A114+I$3-Lo_c)/Step_c)+0.00000001),193))+1)+(((Alpha_keep*$A114+I$3-Lo_c)/Step_c)-MAX(6,MIN(INT(((Alpha_keep*$A114+I$3-Lo_c)/Step_c)+0.00000001),193)))*INDEX($D$5:$D$205,MAX(6,MIN(INT(((Alpha_keep*$A114+I$3-Lo_c)/Step_c)+0.00000001),193))+2)),"")</f>
        <v>-234.1629025747</v>
      </c>
      <c r="J114" s="16" t="n">
        <f aca="false">IF(Grid!H114=1,-Cost_k*J$3-Short_p*MAX(0,Floor_c-$A114)+Beta_q*((1-(((Alpha_keep*$A114+J$3-Lo_c)/Step_c)-MAX(6,MIN(INT(((Alpha_keep*$A114+J$3-Lo_c)/Step_c)+0.00000001),193))))*INDEX($D$5:$D$205,MAX(6,MIN(INT(((Alpha_keep*$A114+J$3-Lo_c)/Step_c)+0.00000001),193))+1)+(((Alpha_keep*$A114+J$3-Lo_c)/Step_c)-MAX(6,MIN(INT(((Alpha_keep*$A114+J$3-Lo_c)/Step_c)+0.00000001),193)))*INDEX($D$5:$D$205,MAX(6,MIN(INT(((Alpha_keep*$A114+J$3-Lo_c)/Step_c)+0.00000001),193))+2)),"")</f>
        <v>-234.218886275226</v>
      </c>
      <c r="K114" s="16" t="n">
        <f aca="false">IF(Grid!I114=1,-Cost_k*K$3-Short_p*MAX(0,Floor_c-$A114)+Beta_q*((1-(((Alpha_keep*$A114+K$3-Lo_c)/Step_c)-MAX(6,MIN(INT(((Alpha_keep*$A114+K$3-Lo_c)/Step_c)+0.00000001),193))))*INDEX($D$5:$D$205,MAX(6,MIN(INT(((Alpha_keep*$A114+K$3-Lo_c)/Step_c)+0.00000001),193))+1)+(((Alpha_keep*$A114+K$3-Lo_c)/Step_c)-MAX(6,MIN(INT(((Alpha_keep*$A114+K$3-Lo_c)/Step_c)+0.00000001),193)))*INDEX($D$5:$D$205,MAX(6,MIN(INT(((Alpha_keep*$A114+K$3-Lo_c)/Step_c)+0.00000001),193))+2)),"")</f>
        <v>-234.280706906619</v>
      </c>
      <c r="L114" s="16" t="n">
        <f aca="false">IF(Grid!J114=1,-Cost_k*L$3-Short_p*MAX(0,Floor_c-$A114)+Beta_q*((1-(((Alpha_keep*$A114+L$3-Lo_c)/Step_c)-MAX(6,MIN(INT(((Alpha_keep*$A114+L$3-Lo_c)/Step_c)+0.00000001),193))))*INDEX($D$5:$D$205,MAX(6,MIN(INT(((Alpha_keep*$A114+L$3-Lo_c)/Step_c)+0.00000001),193))+1)+(((Alpha_keep*$A114+L$3-Lo_c)/Step_c)-MAX(6,MIN(INT(((Alpha_keep*$A114+L$3-Lo_c)/Step_c)+0.00000001),193)))*INDEX($D$5:$D$205,MAX(6,MIN(INT(((Alpha_keep*$A114+L$3-Lo_c)/Step_c)+0.00000001),193))+2)),"")</f>
        <v>-234.355760902502</v>
      </c>
      <c r="M114" s="16" t="n">
        <f aca="false">IF(Grid!K114=1,-Cost_k*M$3-Short_p*MAX(0,Floor_c-$A114)+Beta_q*((1-(((Alpha_keep*$A114+M$3-Lo_c)/Step_c)-MAX(6,MIN(INT(((Alpha_keep*$A114+M$3-Lo_c)/Step_c)+0.00000001),193))))*INDEX($D$5:$D$205,MAX(6,MIN(INT(((Alpha_keep*$A114+M$3-Lo_c)/Step_c)+0.00000001),193))+1)+(((Alpha_keep*$A114+M$3-Lo_c)/Step_c)-MAX(6,MIN(INT(((Alpha_keep*$A114+M$3-Lo_c)/Step_c)+0.00000001),193)))*INDEX($D$5:$D$205,MAX(6,MIN(INT(((Alpha_keep*$A114+M$3-Lo_c)/Step_c)+0.00000001),193))+2)),"")</f>
        <v>-234.432565179268</v>
      </c>
      <c r="N114" s="16" t="n">
        <f aca="false">IF(Grid!L114=1,-Cost_k*N$3-Short_p*MAX(0,Floor_c-$A114)+Beta_q*((1-(((Alpha_keep*$A114+N$3-Lo_c)/Step_c)-MAX(6,MIN(INT(((Alpha_keep*$A114+N$3-Lo_c)/Step_c)+0.00000001),193))))*INDEX($D$5:$D$205,MAX(6,MIN(INT(((Alpha_keep*$A114+N$3-Lo_c)/Step_c)+0.00000001),193))+1)+(((Alpha_keep*$A114+N$3-Lo_c)/Step_c)-MAX(6,MIN(INT(((Alpha_keep*$A114+N$3-Lo_c)/Step_c)+0.00000001),193)))*INDEX($D$5:$D$205,MAX(6,MIN(INT(((Alpha_keep*$A114+N$3-Lo_c)/Step_c)+0.00000001),193))+2)),"")</f>
        <v>-234.517206403057</v>
      </c>
      <c r="O114" s="16" t="n">
        <f aca="false">IF(Grid!M114=1,-Cost_k*O$3-Short_p*MAX(0,Floor_c-$A114)+Beta_q*((1-(((Alpha_keep*$A114+O$3-Lo_c)/Step_c)-MAX(6,MIN(INT(((Alpha_keep*$A114+O$3-Lo_c)/Step_c)+0.00000001),193))))*INDEX($D$5:$D$205,MAX(6,MIN(INT(((Alpha_keep*$A114+O$3-Lo_c)/Step_c)+0.00000001),193))+1)+(((Alpha_keep*$A114+O$3-Lo_c)/Step_c)-MAX(6,MIN(INT(((Alpha_keep*$A114+O$3-Lo_c)/Step_c)+0.00000001),193)))*INDEX($D$5:$D$205,MAX(6,MIN(INT(((Alpha_keep*$A114+O$3-Lo_c)/Step_c)+0.00000001),193))+2)),"")</f>
        <v>-234.61579385302</v>
      </c>
      <c r="P114" s="11" t="n">
        <f aca="false">MAX(E114:O114)</f>
        <v>-234.014961213032</v>
      </c>
      <c r="Q114" s="12" t="n">
        <f aca="false">INDEX($E$3:$O$3,MATCH(P114,E114:O114,0))</f>
        <v>0</v>
      </c>
      <c r="R114" s="20" t="n">
        <v>0</v>
      </c>
      <c r="S114" s="14" t="n">
        <f aca="false">IF(ABS(Q114-R114)&lt;0.000000001,1,0)</f>
        <v>1</v>
      </c>
      <c r="T114" s="21" t="n">
        <f aca="false">ABS(P114-B114)</f>
        <v>0</v>
      </c>
      <c r="U114" s="16" t="n">
        <f aca="false">Alpha_keep*A114+Q114</f>
        <v>55.81875</v>
      </c>
      <c r="V114" s="14" t="n">
        <f aca="false">INDEX(GuardBlock,110,ROUND(Q114/Step_h,0)+1)</f>
        <v>1</v>
      </c>
      <c r="W114" s="22" t="n">
        <v>0.0279217909847293</v>
      </c>
    </row>
    <row r="115" customFormat="false" ht="15" hidden="false" customHeight="false" outlineLevel="0" collapsed="false">
      <c r="A115" s="18" t="n">
        <f aca="false">Grid!A115</f>
        <v>57.5</v>
      </c>
      <c r="B115" s="19" t="n">
        <v>-233.066332937081</v>
      </c>
      <c r="C115" s="14" t="n">
        <v>110</v>
      </c>
      <c r="D115" s="11" t="n">
        <f aca="false">IF(AND($C115&gt;=6,$C115&lt;=194),Declarations!$B$25*INDEX($B$5:$B$205,$C115+1-Declarations!$E$25)+Declarations!$B$26*INDEX($B$5:$B$205,$C115+1-Declarations!$E$26)+Declarations!$B$27*INDEX($B$5:$B$205,$C115+1-Declarations!$E$27)+Declarations!$B$28*INDEX($B$5:$B$205,$C115+1-Declarations!$E$28)+Declarations!$B$29*INDEX($B$5:$B$205,$C115+1-Declarations!$E$29),"")</f>
        <v>-233.098429511333</v>
      </c>
      <c r="E115" s="16" t="n">
        <f aca="false">IF(Grid!C115=1,-Cost_k*E$3-Short_p*MAX(0,Floor_c-$A115)+Beta_q*((1-(((Alpha_keep*$A115+E$3-Lo_c)/Step_c)-MAX(6,MIN(INT(((Alpha_keep*$A115+E$3-Lo_c)/Step_c)+0.00000001),193))))*INDEX($D$5:$D$205,MAX(6,MIN(INT(((Alpha_keep*$A115+E$3-Lo_c)/Step_c)+0.00000001),193))+1)+(((Alpha_keep*$A115+E$3-Lo_c)/Step_c)-MAX(6,MIN(INT(((Alpha_keep*$A115+E$3-Lo_c)/Step_c)+0.00000001),193)))*INDEX($D$5:$D$205,MAX(6,MIN(INT(((Alpha_keep*$A115+E$3-Lo_c)/Step_c)+0.00000001),193))+2)),"")</f>
        <v>-233.066332937081</v>
      </c>
      <c r="F115" s="16" t="n">
        <f aca="false">IF(Grid!D115=1,-Cost_k*F$3-Short_p*MAX(0,Floor_c-$A115)+Beta_q*((1-(((Alpha_keep*$A115+F$3-Lo_c)/Step_c)-MAX(6,MIN(INT(((Alpha_keep*$A115+F$3-Lo_c)/Step_c)+0.00000001),193))))*INDEX($D$5:$D$205,MAX(6,MIN(INT(((Alpha_keep*$A115+F$3-Lo_c)/Step_c)+0.00000001),193))+1)+(((Alpha_keep*$A115+F$3-Lo_c)/Step_c)-MAX(6,MIN(INT(((Alpha_keep*$A115+F$3-Lo_c)/Step_c)+0.00000001),193)))*INDEX($D$5:$D$205,MAX(6,MIN(INT(((Alpha_keep*$A115+F$3-Lo_c)/Step_c)+0.00000001),193))+2)),"")</f>
        <v>-233.095245526411</v>
      </c>
      <c r="G115" s="16" t="n">
        <f aca="false">IF(Grid!E115=1,-Cost_k*G$3-Short_p*MAX(0,Floor_c-$A115)+Beta_q*((1-(((Alpha_keep*$A115+G$3-Lo_c)/Step_c)-MAX(6,MIN(INT(((Alpha_keep*$A115+G$3-Lo_c)/Step_c)+0.00000001),193))))*INDEX($D$5:$D$205,MAX(6,MIN(INT(((Alpha_keep*$A115+G$3-Lo_c)/Step_c)+0.00000001),193))+1)+(((Alpha_keep*$A115+G$3-Lo_c)/Step_c)-MAX(6,MIN(INT(((Alpha_keep*$A115+G$3-Lo_c)/Step_c)+0.00000001),193)))*INDEX($D$5:$D$205,MAX(6,MIN(INT(((Alpha_keep*$A115+G$3-Lo_c)/Step_c)+0.00000001),193))+2)),"")</f>
        <v>-233.131161313313</v>
      </c>
      <c r="H115" s="16" t="n">
        <f aca="false">IF(Grid!F115=1,-Cost_k*H$3-Short_p*MAX(0,Floor_c-$A115)+Beta_q*((1-(((Alpha_keep*$A115+H$3-Lo_c)/Step_c)-MAX(6,MIN(INT(((Alpha_keep*$A115+H$3-Lo_c)/Step_c)+0.00000001),193))))*INDEX($D$5:$D$205,MAX(6,MIN(INT(((Alpha_keep*$A115+H$3-Lo_c)/Step_c)+0.00000001),193))+1)+(((Alpha_keep*$A115+H$3-Lo_c)/Step_c)-MAX(6,MIN(INT(((Alpha_keep*$A115+H$3-Lo_c)/Step_c)+0.00000001),193)))*INDEX($D$5:$D$205,MAX(6,MIN(INT(((Alpha_keep*$A115+H$3-Lo_c)/Step_c)+0.00000001),193))+2)),"")</f>
        <v>-233.186511756501</v>
      </c>
      <c r="I115" s="16" t="n">
        <f aca="false">IF(Grid!G115=1,-Cost_k*I$3-Short_p*MAX(0,Floor_c-$A115)+Beta_q*((1-(((Alpha_keep*$A115+I$3-Lo_c)/Step_c)-MAX(6,MIN(INT(((Alpha_keep*$A115+I$3-Lo_c)/Step_c)+0.00000001),193))))*INDEX($D$5:$D$205,MAX(6,MIN(INT(((Alpha_keep*$A115+I$3-Lo_c)/Step_c)+0.00000001),193))+1)+(((Alpha_keep*$A115+I$3-Lo_c)/Step_c)-MAX(6,MIN(INT(((Alpha_keep*$A115+I$3-Lo_c)/Step_c)+0.00000001),193)))*INDEX($D$5:$D$205,MAX(6,MIN(INT(((Alpha_keep*$A115+I$3-Lo_c)/Step_c)+0.00000001),193))+2)),"")</f>
        <v>-233.242463550428</v>
      </c>
      <c r="J115" s="16" t="n">
        <f aca="false">IF(Grid!H115=1,-Cost_k*J$3-Short_p*MAX(0,Floor_c-$A115)+Beta_q*((1-(((Alpha_keep*$A115+J$3-Lo_c)/Step_c)-MAX(6,MIN(INT(((Alpha_keep*$A115+J$3-Lo_c)/Step_c)+0.00000001),193))))*INDEX($D$5:$D$205,MAX(6,MIN(INT(((Alpha_keep*$A115+J$3-Lo_c)/Step_c)+0.00000001),193))+1)+(((Alpha_keep*$A115+J$3-Lo_c)/Step_c)-MAX(6,MIN(INT(((Alpha_keep*$A115+J$3-Lo_c)/Step_c)+0.00000001),193)))*INDEX($D$5:$D$205,MAX(6,MIN(INT(((Alpha_keep*$A115+J$3-Lo_c)/Step_c)+0.00000001),193))+2)),"")</f>
        <v>-233.303837669141</v>
      </c>
      <c r="K115" s="16" t="n">
        <f aca="false">IF(Grid!I115=1,-Cost_k*K$3-Short_p*MAX(0,Floor_c-$A115)+Beta_q*((1-(((Alpha_keep*$A115+K$3-Lo_c)/Step_c)-MAX(6,MIN(INT(((Alpha_keep*$A115+K$3-Lo_c)/Step_c)+0.00000001),193))))*INDEX($D$5:$D$205,MAX(6,MIN(INT(((Alpha_keep*$A115+K$3-Lo_c)/Step_c)+0.00000001),193))+1)+(((Alpha_keep*$A115+K$3-Lo_c)/Step_c)-MAX(6,MIN(INT(((Alpha_keep*$A115+K$3-Lo_c)/Step_c)+0.00000001),193)))*INDEX($D$5:$D$205,MAX(6,MIN(INT(((Alpha_keep*$A115+K$3-Lo_c)/Step_c)+0.00000001),193))+2)),"")</f>
        <v>-233.378865801681</v>
      </c>
      <c r="L115" s="16" t="n">
        <f aca="false">IF(Grid!J115=1,-Cost_k*L$3-Short_p*MAX(0,Floor_c-$A115)+Beta_q*((1-(((Alpha_keep*$A115+L$3-Lo_c)/Step_c)-MAX(6,MIN(INT(((Alpha_keep*$A115+L$3-Lo_c)/Step_c)+0.00000001),193))))*INDEX($D$5:$D$205,MAX(6,MIN(INT(((Alpha_keep*$A115+L$3-Lo_c)/Step_c)+0.00000001),193))+1)+(((Alpha_keep*$A115+L$3-Lo_c)/Step_c)-MAX(6,MIN(INT(((Alpha_keep*$A115+L$3-Lo_c)/Step_c)+0.00000001),193)))*INDEX($D$5:$D$205,MAX(6,MIN(INT(((Alpha_keep*$A115+L$3-Lo_c)/Step_c)+0.00000001),193))+2)),"")</f>
        <v>-233.455579147182</v>
      </c>
      <c r="M115" s="16" t="n">
        <f aca="false">IF(Grid!K115=1,-Cost_k*M$3-Short_p*MAX(0,Floor_c-$A115)+Beta_q*((1-(((Alpha_keep*$A115+M$3-Lo_c)/Step_c)-MAX(6,MIN(INT(((Alpha_keep*$A115+M$3-Lo_c)/Step_c)+0.00000001),193))))*INDEX($D$5:$D$205,MAX(6,MIN(INT(((Alpha_keep*$A115+M$3-Lo_c)/Step_c)+0.00000001),193))+1)+(((Alpha_keep*$A115+M$3-Lo_c)/Step_c)-MAX(6,MIN(INT(((Alpha_keep*$A115+M$3-Lo_c)/Step_c)+0.00000001),193)))*INDEX($D$5:$D$205,MAX(6,MIN(INT(((Alpha_keep*$A115+M$3-Lo_c)/Step_c)+0.00000001),193))+2)),"")</f>
        <v>-233.539747649121</v>
      </c>
      <c r="N115" s="16" t="n">
        <f aca="false">IF(Grid!L115=1,-Cost_k*N$3-Short_p*MAX(0,Floor_c-$A115)+Beta_q*((1-(((Alpha_keep*$A115+N$3-Lo_c)/Step_c)-MAX(6,MIN(INT(((Alpha_keep*$A115+N$3-Lo_c)/Step_c)+0.00000001),193))))*INDEX($D$5:$D$205,MAX(6,MIN(INT(((Alpha_keep*$A115+N$3-Lo_c)/Step_c)+0.00000001),193))+1)+(((Alpha_keep*$A115+N$3-Lo_c)/Step_c)-MAX(6,MIN(INT(((Alpha_keep*$A115+N$3-Lo_c)/Step_c)+0.00000001),193)))*INDEX($D$5:$D$205,MAX(6,MIN(INT(((Alpha_keep*$A115+N$3-Lo_c)/Step_c)+0.00000001),193))+2)),"")</f>
        <v>-233.638313527038</v>
      </c>
      <c r="O115" s="16" t="n">
        <f aca="false">IF(Grid!M115=1,-Cost_k*O$3-Short_p*MAX(0,Floor_c-$A115)+Beta_q*((1-(((Alpha_keep*$A115+O$3-Lo_c)/Step_c)-MAX(6,MIN(INT(((Alpha_keep*$A115+O$3-Lo_c)/Step_c)+0.00000001),193))))*INDEX($D$5:$D$205,MAX(6,MIN(INT(((Alpha_keep*$A115+O$3-Lo_c)/Step_c)+0.00000001),193))+1)+(((Alpha_keep*$A115+O$3-Lo_c)/Step_c)-MAX(6,MIN(INT(((Alpha_keep*$A115+O$3-Lo_c)/Step_c)+0.00000001),193)))*INDEX($D$5:$D$205,MAX(6,MIN(INT(((Alpha_keep*$A115+O$3-Lo_c)/Step_c)+0.00000001),193))+2)),"")</f>
        <v>-233.738456809033</v>
      </c>
      <c r="P115" s="11" t="n">
        <f aca="false">MAX(E115:O115)</f>
        <v>-233.066332937081</v>
      </c>
      <c r="Q115" s="12" t="n">
        <f aca="false">INDEX($E$3:$O$3,MATCH(P115,E115:O115,0))</f>
        <v>0</v>
      </c>
      <c r="R115" s="20" t="n">
        <v>0</v>
      </c>
      <c r="S115" s="14" t="n">
        <f aca="false">IF(ABS(Q115-R115)&lt;0.000000001,1,0)</f>
        <v>1</v>
      </c>
      <c r="T115" s="21" t="n">
        <f aca="false">ABS(P115-B115)</f>
        <v>0</v>
      </c>
      <c r="U115" s="16" t="n">
        <f aca="false">Alpha_keep*A115+Q115</f>
        <v>56.0625</v>
      </c>
      <c r="V115" s="14" t="n">
        <f aca="false">INDEX(GuardBlock,111,ROUND(Q115/Step_h,0)+1)</f>
        <v>1</v>
      </c>
      <c r="W115" s="22" t="n">
        <v>0.019817246678389</v>
      </c>
    </row>
    <row r="116" customFormat="false" ht="15" hidden="false" customHeight="false" outlineLevel="0" collapsed="false">
      <c r="A116" s="18" t="n">
        <f aca="false">Grid!A116</f>
        <v>57.75</v>
      </c>
      <c r="B116" s="19" t="n">
        <v>-232.119508803083</v>
      </c>
      <c r="C116" s="14" t="n">
        <v>111</v>
      </c>
      <c r="D116" s="11" t="n">
        <f aca="false">IF(AND($C116&gt;=6,$C116&lt;=194),Declarations!$B$25*INDEX($B$5:$B$205,$C116+1-Declarations!$E$25)+Declarations!$B$26*INDEX($B$5:$B$205,$C116+1-Declarations!$E$26)+Declarations!$B$27*INDEX($B$5:$B$205,$C116+1-Declarations!$E$27)+Declarations!$B$28*INDEX($B$5:$B$205,$C116+1-Declarations!$E$28)+Declarations!$B$29*INDEX($B$5:$B$205,$C116+1-Declarations!$E$29),"")</f>
        <v>-232.151947769985</v>
      </c>
      <c r="E116" s="16" t="n">
        <f aca="false">IF(Grid!C116=1,-Cost_k*E$3-Short_p*MAX(0,Floor_c-$A116)+Beta_q*((1-(((Alpha_keep*$A116+E$3-Lo_c)/Step_c)-MAX(6,MIN(INT(((Alpha_keep*$A116+E$3-Lo_c)/Step_c)+0.00000001),193))))*INDEX($D$5:$D$205,MAX(6,MIN(INT(((Alpha_keep*$A116+E$3-Lo_c)/Step_c)+0.00000001),193))+1)+(((Alpha_keep*$A116+E$3-Lo_c)/Step_c)-MAX(6,MIN(INT(((Alpha_keep*$A116+E$3-Lo_c)/Step_c)+0.00000001),193)))*INDEX($D$5:$D$205,MAX(6,MIN(INT(((Alpha_keep*$A116+E$3-Lo_c)/Step_c)+0.00000001),193))+2)),"")</f>
        <v>-232.119508803083</v>
      </c>
      <c r="F116" s="16" t="n">
        <f aca="false">IF(Grid!D116=1,-Cost_k*F$3-Short_p*MAX(0,Floor_c-$A116)+Beta_q*((1-(((Alpha_keep*$A116+F$3-Lo_c)/Step_c)-MAX(6,MIN(INT(((Alpha_keep*$A116+F$3-Lo_c)/Step_c)+0.00000001),193))))*INDEX($D$5:$D$205,MAX(6,MIN(INT(((Alpha_keep*$A116+F$3-Lo_c)/Step_c)+0.00000001),193))+1)+(((Alpha_keep*$A116+F$3-Lo_c)/Step_c)-MAX(6,MIN(INT(((Alpha_keep*$A116+F$3-Lo_c)/Step_c)+0.00000001),193)))*INDEX($D$5:$D$205,MAX(6,MIN(INT(((Alpha_keep*$A116+F$3-Lo_c)/Step_c)+0.00000001),193))+2)),"")</f>
        <v>-232.154779904606</v>
      </c>
      <c r="G116" s="16" t="n">
        <f aca="false">IF(Grid!E116=1,-Cost_k*G$3-Short_p*MAX(0,Floor_c-$A116)+Beta_q*((1-(((Alpha_keep*$A116+G$3-Lo_c)/Step_c)-MAX(6,MIN(INT(((Alpha_keep*$A116+G$3-Lo_c)/Step_c)+0.00000001),193))))*INDEX($D$5:$D$205,MAX(6,MIN(INT(((Alpha_keep*$A116+G$3-Lo_c)/Step_c)+0.00000001),193))+1)+(((Alpha_keep*$A116+G$3-Lo_c)/Step_c)-MAX(6,MIN(INT(((Alpha_keep*$A116+G$3-Lo_c)/Step_c)+0.00000001),193)))*INDEX($D$5:$D$205,MAX(6,MIN(INT(((Alpha_keep*$A116+G$3-Lo_c)/Step_c)+0.00000001),193))+2)),"")</f>
        <v>-232.210120938303</v>
      </c>
      <c r="H116" s="16" t="n">
        <f aca="false">IF(Grid!F116=1,-Cost_k*H$3-Short_p*MAX(0,Floor_c-$A116)+Beta_q*((1-(((Alpha_keep*$A116+H$3-Lo_c)/Step_c)-MAX(6,MIN(INT(((Alpha_keep*$A116+H$3-Lo_c)/Step_c)+0.00000001),193))))*INDEX($D$5:$D$205,MAX(6,MIN(INT(((Alpha_keep*$A116+H$3-Lo_c)/Step_c)+0.00000001),193))+1)+(((Alpha_keep*$A116+H$3-Lo_c)/Step_c)-MAX(6,MIN(INT(((Alpha_keep*$A116+H$3-Lo_c)/Step_c)+0.00000001),193)))*INDEX($D$5:$D$205,MAX(6,MIN(INT(((Alpha_keep*$A116+H$3-Lo_c)/Step_c)+0.00000001),193))+2)),"")</f>
        <v>-232.26604082563</v>
      </c>
      <c r="I116" s="16" t="n">
        <f aca="false">IF(Grid!G116=1,-Cost_k*I$3-Short_p*MAX(0,Floor_c-$A116)+Beta_q*((1-(((Alpha_keep*$A116+I$3-Lo_c)/Step_c)-MAX(6,MIN(INT(((Alpha_keep*$A116+I$3-Lo_c)/Step_c)+0.00000001),193))))*INDEX($D$5:$D$205,MAX(6,MIN(INT(((Alpha_keep*$A116+I$3-Lo_c)/Step_c)+0.00000001),193))+1)+(((Alpha_keep*$A116+I$3-Lo_c)/Step_c)-MAX(6,MIN(INT(((Alpha_keep*$A116+I$3-Lo_c)/Step_c)+0.00000001),193)))*INDEX($D$5:$D$205,MAX(6,MIN(INT(((Alpha_keep*$A116+I$3-Lo_c)/Step_c)+0.00000001),193))+2)),"")</f>
        <v>-232.326968431664</v>
      </c>
      <c r="J116" s="16" t="n">
        <f aca="false">IF(Grid!H116=1,-Cost_k*J$3-Short_p*MAX(0,Floor_c-$A116)+Beta_q*((1-(((Alpha_keep*$A116+J$3-Lo_c)/Step_c)-MAX(6,MIN(INT(((Alpha_keep*$A116+J$3-Lo_c)/Step_c)+0.00000001),193))))*INDEX($D$5:$D$205,MAX(6,MIN(INT(((Alpha_keep*$A116+J$3-Lo_c)/Step_c)+0.00000001),193))+1)+(((Alpha_keep*$A116+J$3-Lo_c)/Step_c)-MAX(6,MIN(INT(((Alpha_keep*$A116+J$3-Lo_c)/Step_c)+0.00000001),193)))*INDEX($D$5:$D$205,MAX(6,MIN(INT(((Alpha_keep*$A116+J$3-Lo_c)/Step_c)+0.00000001),193))+2)),"")</f>
        <v>-232.401970700859</v>
      </c>
      <c r="K116" s="16" t="n">
        <f aca="false">IF(Grid!I116=1,-Cost_k*K$3-Short_p*MAX(0,Floor_c-$A116)+Beta_q*((1-(((Alpha_keep*$A116+K$3-Lo_c)/Step_c)-MAX(6,MIN(INT(((Alpha_keep*$A116+K$3-Lo_c)/Step_c)+0.00000001),193))))*INDEX($D$5:$D$205,MAX(6,MIN(INT(((Alpha_keep*$A116+K$3-Lo_c)/Step_c)+0.00000001),193))+1)+(((Alpha_keep*$A116+K$3-Lo_c)/Step_c)-MAX(6,MIN(INT(((Alpha_keep*$A116+K$3-Lo_c)/Step_c)+0.00000001),193)))*INDEX($D$5:$D$205,MAX(6,MIN(INT(((Alpha_keep*$A116+K$3-Lo_c)/Step_c)+0.00000001),193))+2)),"")</f>
        <v>-232.478593115096</v>
      </c>
      <c r="L116" s="16" t="n">
        <f aca="false">IF(Grid!J116=1,-Cost_k*L$3-Short_p*MAX(0,Floor_c-$A116)+Beta_q*((1-(((Alpha_keep*$A116+L$3-Lo_c)/Step_c)-MAX(6,MIN(INT(((Alpha_keep*$A116+L$3-Lo_c)/Step_c)+0.00000001),193))))*INDEX($D$5:$D$205,MAX(6,MIN(INT(((Alpha_keep*$A116+L$3-Lo_c)/Step_c)+0.00000001),193))+1)+(((Alpha_keep*$A116+L$3-Lo_c)/Step_c)-MAX(6,MIN(INT(((Alpha_keep*$A116+L$3-Lo_c)/Step_c)+0.00000001),193)))*INDEX($D$5:$D$205,MAX(6,MIN(INT(((Alpha_keep*$A116+L$3-Lo_c)/Step_c)+0.00000001),193))+2)),"")</f>
        <v>-232.562288895185</v>
      </c>
      <c r="M116" s="16" t="n">
        <f aca="false">IF(Grid!K116=1,-Cost_k*M$3-Short_p*MAX(0,Floor_c-$A116)+Beta_q*((1-(((Alpha_keep*$A116+M$3-Lo_c)/Step_c)-MAX(6,MIN(INT(((Alpha_keep*$A116+M$3-Lo_c)/Step_c)+0.00000001),193))))*INDEX($D$5:$D$205,MAX(6,MIN(INT(((Alpha_keep*$A116+M$3-Lo_c)/Step_c)+0.00000001),193))+1)+(((Alpha_keep*$A116+M$3-Lo_c)/Step_c)-MAX(6,MIN(INT(((Alpha_keep*$A116+M$3-Lo_c)/Step_c)+0.00000001),193)))*INDEX($D$5:$D$205,MAX(6,MIN(INT(((Alpha_keep*$A116+M$3-Lo_c)/Step_c)+0.00000001),193))+2)),"")</f>
        <v>-232.660833201055</v>
      </c>
      <c r="N116" s="16" t="n">
        <f aca="false">IF(Grid!L116=1,-Cost_k*N$3-Short_p*MAX(0,Floor_c-$A116)+Beta_q*((1-(((Alpha_keep*$A116+N$3-Lo_c)/Step_c)-MAX(6,MIN(INT(((Alpha_keep*$A116+N$3-Lo_c)/Step_c)+0.00000001),193))))*INDEX($D$5:$D$205,MAX(6,MIN(INT(((Alpha_keep*$A116+N$3-Lo_c)/Step_c)+0.00000001),193))+1)+(((Alpha_keep*$A116+N$3-Lo_c)/Step_c)-MAX(6,MIN(INT(((Alpha_keep*$A116+N$3-Lo_c)/Step_c)+0.00000001),193)))*INDEX($D$5:$D$205,MAX(6,MIN(INT(((Alpha_keep*$A116+N$3-Lo_c)/Step_c)+0.00000001),193))+2)),"")</f>
        <v>-232.760883458781</v>
      </c>
      <c r="O116" s="16" t="n">
        <f aca="false">IF(Grid!M116=1,-Cost_k*O$3-Short_p*MAX(0,Floor_c-$A116)+Beta_q*((1-(((Alpha_keep*$A116+O$3-Lo_c)/Step_c)-MAX(6,MIN(INT(((Alpha_keep*$A116+O$3-Lo_c)/Step_c)+0.00000001),193))))*INDEX($D$5:$D$205,MAX(6,MIN(INT(((Alpha_keep*$A116+O$3-Lo_c)/Step_c)+0.00000001),193))+1)+(((Alpha_keep*$A116+O$3-Lo_c)/Step_c)-MAX(6,MIN(INT(((Alpha_keep*$A116+O$3-Lo_c)/Step_c)+0.00000001),193)))*INDEX($D$5:$D$205,MAX(6,MIN(INT(((Alpha_keep*$A116+O$3-Lo_c)/Step_c)+0.00000001),193))+2)),"")</f>
        <v>-232.867620434703</v>
      </c>
      <c r="P116" s="11" t="n">
        <f aca="false">MAX(E116:O116)</f>
        <v>-232.119508803083</v>
      </c>
      <c r="Q116" s="12" t="n">
        <f aca="false">INDEX($E$3:$O$3,MATCH(P116,E116:O116,0))</f>
        <v>0</v>
      </c>
      <c r="R116" s="20" t="n">
        <v>0</v>
      </c>
      <c r="S116" s="14" t="n">
        <f aca="false">IF(ABS(Q116-R116)&lt;0.000000001,1,0)</f>
        <v>1</v>
      </c>
      <c r="T116" s="21" t="n">
        <f aca="false">ABS(P116-B116)</f>
        <v>0</v>
      </c>
      <c r="U116" s="16" t="n">
        <f aca="false">Alpha_keep*A116+Q116</f>
        <v>56.30625</v>
      </c>
      <c r="V116" s="14" t="n">
        <f aca="false">INDEX(GuardBlock,112,ROUND(Q116/Step_h,0)+1)</f>
        <v>1</v>
      </c>
      <c r="W116" s="22" t="n">
        <v>0.000257702715090953</v>
      </c>
    </row>
    <row r="117" customFormat="false" ht="15" hidden="false" customHeight="false" outlineLevel="0" collapsed="false">
      <c r="A117" s="18" t="n">
        <f aca="false">Grid!A117</f>
        <v>58</v>
      </c>
      <c r="B117" s="19" t="n">
        <v>-231.1783984959</v>
      </c>
      <c r="C117" s="14" t="n">
        <v>112</v>
      </c>
      <c r="D117" s="11" t="n">
        <f aca="false">IF(AND($C117&gt;=6,$C117&lt;=194),Declarations!$B$25*INDEX($B$5:$B$205,$C117+1-Declarations!$E$25)+Declarations!$B$26*INDEX($B$5:$B$205,$C117+1-Declarations!$E$26)+Declarations!$B$27*INDEX($B$5:$B$205,$C117+1-Declarations!$E$27)+Declarations!$B$28*INDEX($B$5:$B$205,$C117+1-Declarations!$E$28)+Declarations!$B$29*INDEX($B$5:$B$205,$C117+1-Declarations!$E$29),"")</f>
        <v>-231.209190986744</v>
      </c>
      <c r="E117" s="16" t="n">
        <f aca="false">IF(Grid!C117=1,-Cost_k*E$3-Short_p*MAX(0,Floor_c-$A117)+Beta_q*((1-(((Alpha_keep*$A117+E$3-Lo_c)/Step_c)-MAX(6,MIN(INT(((Alpha_keep*$A117+E$3-Lo_c)/Step_c)+0.00000001),193))))*INDEX($D$5:$D$205,MAX(6,MIN(INT(((Alpha_keep*$A117+E$3-Lo_c)/Step_c)+0.00000001),193))+1)+(((Alpha_keep*$A117+E$3-Lo_c)/Step_c)-MAX(6,MIN(INT(((Alpha_keep*$A117+E$3-Lo_c)/Step_c)+0.00000001),193)))*INDEX($D$5:$D$205,MAX(6,MIN(INT(((Alpha_keep*$A117+E$3-Lo_c)/Step_c)+0.00000001),193))+2)),"")</f>
        <v>-231.1783984959</v>
      </c>
      <c r="F117" s="16" t="n">
        <f aca="false">IF(Grid!D117=1,-Cost_k*F$3-Short_p*MAX(0,Floor_c-$A117)+Beta_q*((1-(((Alpha_keep*$A117+F$3-Lo_c)/Step_c)-MAX(6,MIN(INT(((Alpha_keep*$A117+F$3-Lo_c)/Step_c)+0.00000001),193))))*INDEX($D$5:$D$205,MAX(6,MIN(INT(((Alpha_keep*$A117+F$3-Lo_c)/Step_c)+0.00000001),193))+1)+(((Alpha_keep*$A117+F$3-Lo_c)/Step_c)-MAX(6,MIN(INT(((Alpha_keep*$A117+F$3-Lo_c)/Step_c)+0.00000001),193)))*INDEX($D$5:$D$205,MAX(6,MIN(INT(((Alpha_keep*$A117+F$3-Lo_c)/Step_c)+0.00000001),193))+2)),"")</f>
        <v>-231.233730120105</v>
      </c>
      <c r="G117" s="16" t="n">
        <f aca="false">IF(Grid!E117=1,-Cost_k*G$3-Short_p*MAX(0,Floor_c-$A117)+Beta_q*((1-(((Alpha_keep*$A117+G$3-Lo_c)/Step_c)-MAX(6,MIN(INT(((Alpha_keep*$A117+G$3-Lo_c)/Step_c)+0.00000001),193))))*INDEX($D$5:$D$205,MAX(6,MIN(INT(((Alpha_keep*$A117+G$3-Lo_c)/Step_c)+0.00000001),193))+1)+(((Alpha_keep*$A117+G$3-Lo_c)/Step_c)-MAX(6,MIN(INT(((Alpha_keep*$A117+G$3-Lo_c)/Step_c)+0.00000001),193)))*INDEX($D$5:$D$205,MAX(6,MIN(INT(((Alpha_keep*$A117+G$3-Lo_c)/Step_c)+0.00000001),193))+2)),"")</f>
        <v>-231.289618100832</v>
      </c>
      <c r="H117" s="16" t="n">
        <f aca="false">IF(Grid!F117=1,-Cost_k*H$3-Short_p*MAX(0,Floor_c-$A117)+Beta_q*((1-(((Alpha_keep*$A117+H$3-Lo_c)/Step_c)-MAX(6,MIN(INT(((Alpha_keep*$A117+H$3-Lo_c)/Step_c)+0.00000001),193))))*INDEX($D$5:$D$205,MAX(6,MIN(INT(((Alpha_keep*$A117+H$3-Lo_c)/Step_c)+0.00000001),193))+1)+(((Alpha_keep*$A117+H$3-Lo_c)/Step_c)-MAX(6,MIN(INT(((Alpha_keep*$A117+H$3-Lo_c)/Step_c)+0.00000001),193)))*INDEX($D$5:$D$205,MAX(6,MIN(INT(((Alpha_keep*$A117+H$3-Lo_c)/Step_c)+0.00000001),193))+2)),"")</f>
        <v>-231.350099194186</v>
      </c>
      <c r="I117" s="16" t="n">
        <f aca="false">IF(Grid!G117=1,-Cost_k*I$3-Short_p*MAX(0,Floor_c-$A117)+Beta_q*((1-(((Alpha_keep*$A117+I$3-Lo_c)/Step_c)-MAX(6,MIN(INT(((Alpha_keep*$A117+I$3-Lo_c)/Step_c)+0.00000001),193))))*INDEX($D$5:$D$205,MAX(6,MIN(INT(((Alpha_keep*$A117+I$3-Lo_c)/Step_c)+0.00000001),193))+1)+(((Alpha_keep*$A117+I$3-Lo_c)/Step_c)-MAX(6,MIN(INT(((Alpha_keep*$A117+I$3-Lo_c)/Step_c)+0.00000001),193)))*INDEX($D$5:$D$205,MAX(6,MIN(INT(((Alpha_keep*$A117+I$3-Lo_c)/Step_c)+0.00000001),193))+2)),"")</f>
        <v>-231.425075600038</v>
      </c>
      <c r="J117" s="16" t="n">
        <f aca="false">IF(Grid!H117=1,-Cost_k*J$3-Short_p*MAX(0,Floor_c-$A117)+Beta_q*((1-(((Alpha_keep*$A117+J$3-Lo_c)/Step_c)-MAX(6,MIN(INT(((Alpha_keep*$A117+J$3-Lo_c)/Step_c)+0.00000001),193))))*INDEX($D$5:$D$205,MAX(6,MIN(INT(((Alpha_keep*$A117+J$3-Lo_c)/Step_c)+0.00000001),193))+1)+(((Alpha_keep*$A117+J$3-Lo_c)/Step_c)-MAX(6,MIN(INT(((Alpha_keep*$A117+J$3-Lo_c)/Step_c)+0.00000001),193)))*INDEX($D$5:$D$205,MAX(6,MIN(INT(((Alpha_keep*$A117+J$3-Lo_c)/Step_c)+0.00000001),193))+2)),"")</f>
        <v>-231.50160708301</v>
      </c>
      <c r="K117" s="16" t="n">
        <f aca="false">IF(Grid!I117=1,-Cost_k*K$3-Short_p*MAX(0,Floor_c-$A117)+Beta_q*((1-(((Alpha_keep*$A117+K$3-Lo_c)/Step_c)-MAX(6,MIN(INT(((Alpha_keep*$A117+K$3-Lo_c)/Step_c)+0.00000001),193))))*INDEX($D$5:$D$205,MAX(6,MIN(INT(((Alpha_keep*$A117+K$3-Lo_c)/Step_c)+0.00000001),193))+1)+(((Alpha_keep*$A117+K$3-Lo_c)/Step_c)-MAX(6,MIN(INT(((Alpha_keep*$A117+K$3-Lo_c)/Step_c)+0.00000001),193)))*INDEX($D$5:$D$205,MAX(6,MIN(INT(((Alpha_keep*$A117+K$3-Lo_c)/Step_c)+0.00000001),193))+2)),"")</f>
        <v>-231.584830141248</v>
      </c>
      <c r="L117" s="16" t="n">
        <f aca="false">IF(Grid!J117=1,-Cost_k*L$3-Short_p*MAX(0,Floor_c-$A117)+Beta_q*((1-(((Alpha_keep*$A117+L$3-Lo_c)/Step_c)-MAX(6,MIN(INT(((Alpha_keep*$A117+L$3-Lo_c)/Step_c)+0.00000001),193))))*INDEX($D$5:$D$205,MAX(6,MIN(INT(((Alpha_keep*$A117+L$3-Lo_c)/Step_c)+0.00000001),193))+1)+(((Alpha_keep*$A117+L$3-Lo_c)/Step_c)-MAX(6,MIN(INT(((Alpha_keep*$A117+L$3-Lo_c)/Step_c)+0.00000001),193)))*INDEX($D$5:$D$205,MAX(6,MIN(INT(((Alpha_keep*$A117+L$3-Lo_c)/Step_c)+0.00000001),193))+2)),"")</f>
        <v>-231.683352875073</v>
      </c>
      <c r="M117" s="16" t="n">
        <f aca="false">IF(Grid!K117=1,-Cost_k*M$3-Short_p*MAX(0,Floor_c-$A117)+Beta_q*((1-(((Alpha_keep*$A117+M$3-Lo_c)/Step_c)-MAX(6,MIN(INT(((Alpha_keep*$A117+M$3-Lo_c)/Step_c)+0.00000001),193))))*INDEX($D$5:$D$205,MAX(6,MIN(INT(((Alpha_keep*$A117+M$3-Lo_c)/Step_c)+0.00000001),193))+1)+(((Alpha_keep*$A117+M$3-Lo_c)/Step_c)-MAX(6,MIN(INT(((Alpha_keep*$A117+M$3-Lo_c)/Step_c)+0.00000001),193)))*INDEX($D$5:$D$205,MAX(6,MIN(INT(((Alpha_keep*$A117+M$3-Lo_c)/Step_c)+0.00000001),193))+2)),"")</f>
        <v>-231.783310108529</v>
      </c>
      <c r="N117" s="16" t="n">
        <f aca="false">IF(Grid!L117=1,-Cost_k*N$3-Short_p*MAX(0,Floor_c-$A117)+Beta_q*((1-(((Alpha_keep*$A117+N$3-Lo_c)/Step_c)-MAX(6,MIN(INT(((Alpha_keep*$A117+N$3-Lo_c)/Step_c)+0.00000001),193))))*INDEX($D$5:$D$205,MAX(6,MIN(INT(((Alpha_keep*$A117+N$3-Lo_c)/Step_c)+0.00000001),193))+1)+(((Alpha_keep*$A117+N$3-Lo_c)/Step_c)-MAX(6,MIN(INT(((Alpha_keep*$A117+N$3-Lo_c)/Step_c)+0.00000001),193)))*INDEX($D$5:$D$205,MAX(6,MIN(INT(((Alpha_keep*$A117+N$3-Lo_c)/Step_c)+0.00000001),193))+2)),"")</f>
        <v>-231.889624532692</v>
      </c>
      <c r="O117" s="16" t="n">
        <f aca="false">IF(Grid!M117=1,-Cost_k*O$3-Short_p*MAX(0,Floor_c-$A117)+Beta_q*((1-(((Alpha_keep*$A117+O$3-Lo_c)/Step_c)-MAX(6,MIN(INT(((Alpha_keep*$A117+O$3-Lo_c)/Step_c)+0.00000001),193))))*INDEX($D$5:$D$205,MAX(6,MIN(INT(((Alpha_keep*$A117+O$3-Lo_c)/Step_c)+0.00000001),193))+1)+(((Alpha_keep*$A117+O$3-Lo_c)/Step_c)-MAX(6,MIN(INT(((Alpha_keep*$A117+O$3-Lo_c)/Step_c)+0.00000001),193)))*INDEX($D$5:$D$205,MAX(6,MIN(INT(((Alpha_keep*$A117+O$3-Lo_c)/Step_c)+0.00000001),193))+2)),"")</f>
        <v>-232.009657531449</v>
      </c>
      <c r="P117" s="11" t="n">
        <f aca="false">MAX(E117:O117)</f>
        <v>-231.1783984959</v>
      </c>
      <c r="Q117" s="12" t="n">
        <f aca="false">INDEX($E$3:$O$3,MATCH(P117,E117:O117,0))</f>
        <v>0</v>
      </c>
      <c r="R117" s="20" t="n">
        <v>0</v>
      </c>
      <c r="S117" s="14" t="n">
        <f aca="false">IF(ABS(Q117-R117)&lt;0.000000001,1,0)</f>
        <v>1</v>
      </c>
      <c r="T117" s="21" t="n">
        <f aca="false">ABS(P117-B117)</f>
        <v>0</v>
      </c>
      <c r="U117" s="16" t="n">
        <f aca="false">Alpha_keep*A117+Q117</f>
        <v>56.55</v>
      </c>
      <c r="V117" s="14" t="n">
        <f aca="false">INDEX(GuardBlock,113,ROUND(Q117/Step_h,0)+1)</f>
        <v>1</v>
      </c>
      <c r="W117" s="22" t="n">
        <v>3.01996309935945E-006</v>
      </c>
    </row>
    <row r="118" customFormat="false" ht="15" hidden="false" customHeight="false" outlineLevel="0" collapsed="false">
      <c r="A118" s="18" t="n">
        <f aca="false">Grid!A118</f>
        <v>58.25</v>
      </c>
      <c r="B118" s="19" t="n">
        <v>-230.257339301907</v>
      </c>
      <c r="C118" s="14" t="n">
        <v>113</v>
      </c>
      <c r="D118" s="11" t="n">
        <f aca="false">IF(AND($C118&gt;=6,$C118&lt;=194),Declarations!$B$25*INDEX($B$5:$B$205,$C118+1-Declarations!$E$25)+Declarations!$B$26*INDEX($B$5:$B$205,$C118+1-Declarations!$E$26)+Declarations!$B$27*INDEX($B$5:$B$205,$C118+1-Declarations!$E$27)+Declarations!$B$28*INDEX($B$5:$B$205,$C118+1-Declarations!$E$28)+Declarations!$B$29*INDEX($B$5:$B$205,$C118+1-Declarations!$E$29),"")</f>
        <v>-230.285799040234</v>
      </c>
      <c r="E118" s="16" t="n">
        <f aca="false">IF(Grid!C118=1,-Cost_k*E$3-Short_p*MAX(0,Floor_c-$A118)+Beta_q*((1-(((Alpha_keep*$A118+E$3-Lo_c)/Step_c)-MAX(6,MIN(INT(((Alpha_keep*$A118+E$3-Lo_c)/Step_c)+0.00000001),193))))*INDEX($D$5:$D$205,MAX(6,MIN(INT(((Alpha_keep*$A118+E$3-Lo_c)/Step_c)+0.00000001),193))+1)+(((Alpha_keep*$A118+E$3-Lo_c)/Step_c)-MAX(6,MIN(INT(((Alpha_keep*$A118+E$3-Lo_c)/Step_c)+0.00000001),193)))*INDEX($D$5:$D$205,MAX(6,MIN(INT(((Alpha_keep*$A118+E$3-Lo_c)/Step_c)+0.00000001),193))+2)),"")</f>
        <v>-230.257339301907</v>
      </c>
      <c r="F118" s="16" t="n">
        <f aca="false">IF(Grid!D118=1,-Cost_k*F$3-Short_p*MAX(0,Floor_c-$A118)+Beta_q*((1-(((Alpha_keep*$A118+F$3-Lo_c)/Step_c)-MAX(6,MIN(INT(((Alpha_keep*$A118+F$3-Lo_c)/Step_c)+0.00000001),193))))*INDEX($D$5:$D$205,MAX(6,MIN(INT(((Alpha_keep*$A118+F$3-Lo_c)/Step_c)+0.00000001),193))+1)+(((Alpha_keep*$A118+F$3-Lo_c)/Step_c)-MAX(6,MIN(INT(((Alpha_keep*$A118+F$3-Lo_c)/Step_c)+0.00000001),193)))*INDEX($D$5:$D$205,MAX(6,MIN(INT(((Alpha_keep*$A118+F$3-Lo_c)/Step_c)+0.00000001),193))+2)),"")</f>
        <v>-230.313195376034</v>
      </c>
      <c r="G118" s="16" t="n">
        <f aca="false">IF(Grid!E118=1,-Cost_k*G$3-Short_p*MAX(0,Floor_c-$A118)+Beta_q*((1-(((Alpha_keep*$A118+G$3-Lo_c)/Step_c)-MAX(6,MIN(INT(((Alpha_keep*$A118+G$3-Lo_c)/Step_c)+0.00000001),193))))*INDEX($D$5:$D$205,MAX(6,MIN(INT(((Alpha_keep*$A118+G$3-Lo_c)/Step_c)+0.00000001),193))+1)+(((Alpha_keep*$A118+G$3-Lo_c)/Step_c)-MAX(6,MIN(INT(((Alpha_keep*$A118+G$3-Lo_c)/Step_c)+0.00000001),193)))*INDEX($D$5:$D$205,MAX(6,MIN(INT(((Alpha_keep*$A118+G$3-Lo_c)/Step_c)+0.00000001),193))+2)),"")</f>
        <v>-230.373229956709</v>
      </c>
      <c r="H118" s="16" t="n">
        <f aca="false">IF(Grid!F118=1,-Cost_k*H$3-Short_p*MAX(0,Floor_c-$A118)+Beta_q*((1-(((Alpha_keep*$A118+H$3-Lo_c)/Step_c)-MAX(6,MIN(INT(((Alpha_keep*$A118+H$3-Lo_c)/Step_c)+0.00000001),193))))*INDEX($D$5:$D$205,MAX(6,MIN(INT(((Alpha_keep*$A118+H$3-Lo_c)/Step_c)+0.00000001),193))+1)+(((Alpha_keep*$A118+H$3-Lo_c)/Step_c)-MAX(6,MIN(INT(((Alpha_keep*$A118+H$3-Lo_c)/Step_c)+0.00000001),193)))*INDEX($D$5:$D$205,MAX(6,MIN(INT(((Alpha_keep*$A118+H$3-Lo_c)/Step_c)+0.00000001),193))+2)),"")</f>
        <v>-230.448180499216</v>
      </c>
      <c r="I118" s="16" t="n">
        <f aca="false">IF(Grid!G118=1,-Cost_k*I$3-Short_p*MAX(0,Floor_c-$A118)+Beta_q*((1-(((Alpha_keep*$A118+I$3-Lo_c)/Step_c)-MAX(6,MIN(INT(((Alpha_keep*$A118+I$3-Lo_c)/Step_c)+0.00000001),193))))*INDEX($D$5:$D$205,MAX(6,MIN(INT(((Alpha_keep*$A118+I$3-Lo_c)/Step_c)+0.00000001),193))+1)+(((Alpha_keep*$A118+I$3-Lo_c)/Step_c)-MAX(6,MIN(INT(((Alpha_keep*$A118+I$3-Lo_c)/Step_c)+0.00000001),193)))*INDEX($D$5:$D$205,MAX(6,MIN(INT(((Alpha_keep*$A118+I$3-Lo_c)/Step_c)+0.00000001),193))+2)),"")</f>
        <v>-230.524621050924</v>
      </c>
      <c r="J118" s="16" t="n">
        <f aca="false">IF(Grid!H118=1,-Cost_k*J$3-Short_p*MAX(0,Floor_c-$A118)+Beta_q*((1-(((Alpha_keep*$A118+J$3-Lo_c)/Step_c)-MAX(6,MIN(INT(((Alpha_keep*$A118+J$3-Lo_c)/Step_c)+0.00000001),193))))*INDEX($D$5:$D$205,MAX(6,MIN(INT(((Alpha_keep*$A118+J$3-Lo_c)/Step_c)+0.00000001),193))+1)+(((Alpha_keep*$A118+J$3-Lo_c)/Step_c)-MAX(6,MIN(INT(((Alpha_keep*$A118+J$3-Lo_c)/Step_c)+0.00000001),193)))*INDEX($D$5:$D$205,MAX(6,MIN(INT(((Alpha_keep*$A118+J$3-Lo_c)/Step_c)+0.00000001),193))+2)),"")</f>
        <v>-230.607371387312</v>
      </c>
      <c r="K118" s="16" t="n">
        <f aca="false">IF(Grid!I118=1,-Cost_k*K$3-Short_p*MAX(0,Floor_c-$A118)+Beta_q*((1-(((Alpha_keep*$A118+K$3-Lo_c)/Step_c)-MAX(6,MIN(INT(((Alpha_keep*$A118+K$3-Lo_c)/Step_c)+0.00000001),193))))*INDEX($D$5:$D$205,MAX(6,MIN(INT(((Alpha_keep*$A118+K$3-Lo_c)/Step_c)+0.00000001),193))+1)+(((Alpha_keep*$A118+K$3-Lo_c)/Step_c)-MAX(6,MIN(INT(((Alpha_keep*$A118+K$3-Lo_c)/Step_c)+0.00000001),193)))*INDEX($D$5:$D$205,MAX(6,MIN(INT(((Alpha_keep*$A118+K$3-Lo_c)/Step_c)+0.00000001),193))+2)),"")</f>
        <v>-230.70587254909</v>
      </c>
      <c r="L118" s="16" t="n">
        <f aca="false">IF(Grid!J118=1,-Cost_k*L$3-Short_p*MAX(0,Floor_c-$A118)+Beta_q*((1-(((Alpha_keep*$A118+L$3-Lo_c)/Step_c)-MAX(6,MIN(INT(((Alpha_keep*$A118+L$3-Lo_c)/Step_c)+0.00000001),193))))*INDEX($D$5:$D$205,MAX(6,MIN(INT(((Alpha_keep*$A118+L$3-Lo_c)/Step_c)+0.00000001),193))+1)+(((Alpha_keep*$A118+L$3-Lo_c)/Step_c)-MAX(6,MIN(INT(((Alpha_keep*$A118+L$3-Lo_c)/Step_c)+0.00000001),193)))*INDEX($D$5:$D$205,MAX(6,MIN(INT(((Alpha_keep*$A118+L$3-Lo_c)/Step_c)+0.00000001),193))+2)),"")</f>
        <v>-230.805736758276</v>
      </c>
      <c r="M118" s="16" t="n">
        <f aca="false">IF(Grid!K118=1,-Cost_k*M$3-Short_p*MAX(0,Floor_c-$A118)+Beta_q*((1-(((Alpha_keep*$A118+M$3-Lo_c)/Step_c)-MAX(6,MIN(INT(((Alpha_keep*$A118+M$3-Lo_c)/Step_c)+0.00000001),193))))*INDEX($D$5:$D$205,MAX(6,MIN(INT(((Alpha_keep*$A118+M$3-Lo_c)/Step_c)+0.00000001),193))+1)+(((Alpha_keep*$A118+M$3-Lo_c)/Step_c)-MAX(6,MIN(INT(((Alpha_keep*$A118+M$3-Lo_c)/Step_c)+0.00000001),193)))*INDEX($D$5:$D$205,MAX(6,MIN(INT(((Alpha_keep*$A118+M$3-Lo_c)/Step_c)+0.00000001),193))+2)),"")</f>
        <v>-230.911628630681</v>
      </c>
      <c r="N118" s="16" t="n">
        <f aca="false">IF(Grid!L118=1,-Cost_k*N$3-Short_p*MAX(0,Floor_c-$A118)+Beta_q*((1-(((Alpha_keep*$A118+N$3-Lo_c)/Step_c)-MAX(6,MIN(INT(((Alpha_keep*$A118+N$3-Lo_c)/Step_c)+0.00000001),193))))*INDEX($D$5:$D$205,MAX(6,MIN(INT(((Alpha_keep*$A118+N$3-Lo_c)/Step_c)+0.00000001),193))+1)+(((Alpha_keep*$A118+N$3-Lo_c)/Step_c)-MAX(6,MIN(INT(((Alpha_keep*$A118+N$3-Lo_c)/Step_c)+0.00000001),193)))*INDEX($D$5:$D$205,MAX(6,MIN(INT(((Alpha_keep*$A118+N$3-Lo_c)/Step_c)+0.00000001),193))+2)),"")</f>
        <v>-231.03163701465</v>
      </c>
      <c r="O118" s="16" t="n">
        <f aca="false">IF(Grid!M118=1,-Cost_k*O$3-Short_p*MAX(0,Floor_c-$A118)+Beta_q*((1-(((Alpha_keep*$A118+O$3-Lo_c)/Step_c)-MAX(6,MIN(INT(((Alpha_keep*$A118+O$3-Lo_c)/Step_c)+0.00000001),193))))*INDEX($D$5:$D$205,MAX(6,MIN(INT(((Alpha_keep*$A118+O$3-Lo_c)/Step_c)+0.00000001),193))+1)+(((Alpha_keep*$A118+O$3-Lo_c)/Step_c)-MAX(6,MIN(INT(((Alpha_keep*$A118+O$3-Lo_c)/Step_c)+0.00000001),193)))*INDEX($D$5:$D$205,MAX(6,MIN(INT(((Alpha_keep*$A118+O$3-Lo_c)/Step_c)+0.00000001),193))+2)),"")</f>
        <v>-231.153133355386</v>
      </c>
      <c r="P118" s="11" t="n">
        <f aca="false">MAX(E118:O118)</f>
        <v>-230.257339301907</v>
      </c>
      <c r="Q118" s="12" t="n">
        <f aca="false">INDEX($E$3:$O$3,MATCH(P118,E118:O118,0))</f>
        <v>0</v>
      </c>
      <c r="R118" s="20" t="n">
        <v>0</v>
      </c>
      <c r="S118" s="14" t="n">
        <f aca="false">IF(ABS(Q118-R118)&lt;0.000000001,1,0)</f>
        <v>1</v>
      </c>
      <c r="T118" s="21" t="n">
        <f aca="false">ABS(P118-B118)</f>
        <v>0</v>
      </c>
      <c r="U118" s="16" t="n">
        <f aca="false">Alpha_keep*A118+Q118</f>
        <v>56.79375</v>
      </c>
      <c r="V118" s="14" t="n">
        <f aca="false">INDEX(GuardBlock,114,ROUND(Q118/Step_h,0)+1)</f>
        <v>1</v>
      </c>
      <c r="W118" s="22" t="n">
        <v>3.14990248708282E-008</v>
      </c>
    </row>
    <row r="119" customFormat="false" ht="15" hidden="false" customHeight="false" outlineLevel="0" collapsed="false">
      <c r="A119" s="18" t="n">
        <f aca="false">Grid!A119</f>
        <v>58.5</v>
      </c>
      <c r="B119" s="19" t="n">
        <v>-229.336772651236</v>
      </c>
      <c r="C119" s="14" t="n">
        <v>114</v>
      </c>
      <c r="D119" s="11" t="n">
        <f aca="false">IF(AND($C119&gt;=6,$C119&lt;=194),Declarations!$B$25*INDEX($B$5:$B$205,$C119+1-Declarations!$E$25)+Declarations!$B$26*INDEX($B$5:$B$205,$C119+1-Declarations!$E$26)+Declarations!$B$27*INDEX($B$5:$B$205,$C119+1-Declarations!$E$27)+Declarations!$B$28*INDEX($B$5:$B$205,$C119+1-Declarations!$E$28)+Declarations!$B$29*INDEX($B$5:$B$205,$C119+1-Declarations!$E$29),"")</f>
        <v>-229.363290782829</v>
      </c>
      <c r="E119" s="16" t="n">
        <f aca="false">IF(Grid!C119=1,-Cost_k*E$3-Short_p*MAX(0,Floor_c-$A119)+Beta_q*((1-(((Alpha_keep*$A119+E$3-Lo_c)/Step_c)-MAX(6,MIN(INT(((Alpha_keep*$A119+E$3-Lo_c)/Step_c)+0.00000001),193))))*INDEX($D$5:$D$205,MAX(6,MIN(INT(((Alpha_keep*$A119+E$3-Lo_c)/Step_c)+0.00000001),193))+1)+(((Alpha_keep*$A119+E$3-Lo_c)/Step_c)-MAX(6,MIN(INT(((Alpha_keep*$A119+E$3-Lo_c)/Step_c)+0.00000001),193)))*INDEX($D$5:$D$205,MAX(6,MIN(INT(((Alpha_keep*$A119+E$3-Lo_c)/Step_c)+0.00000001),193))+2)),"")</f>
        <v>-229.336772651236</v>
      </c>
      <c r="F119" s="16" t="n">
        <f aca="false">IF(Grid!D119=1,-Cost_k*F$3-Short_p*MAX(0,Floor_c-$A119)+Beta_q*((1-(((Alpha_keep*$A119+F$3-Lo_c)/Step_c)-MAX(6,MIN(INT(((Alpha_keep*$A119+F$3-Lo_c)/Step_c)+0.00000001),193))))*INDEX($D$5:$D$205,MAX(6,MIN(INT(((Alpha_keep*$A119+F$3-Lo_c)/Step_c)+0.00000001),193))+1)+(((Alpha_keep*$A119+F$3-Lo_c)/Step_c)-MAX(6,MIN(INT(((Alpha_keep*$A119+F$3-Lo_c)/Step_c)+0.00000001),193)))*INDEX($D$5:$D$205,MAX(6,MIN(INT(((Alpha_keep*$A119+F$3-Lo_c)/Step_c)+0.00000001),193))+2)),"")</f>
        <v>-229.396360719231</v>
      </c>
      <c r="G119" s="16" t="n">
        <f aca="false">IF(Grid!E119=1,-Cost_k*G$3-Short_p*MAX(0,Floor_c-$A119)+Beta_q*((1-(((Alpha_keep*$A119+G$3-Lo_c)/Step_c)-MAX(6,MIN(INT(((Alpha_keep*$A119+G$3-Lo_c)/Step_c)+0.00000001),193))))*INDEX($D$5:$D$205,MAX(6,MIN(INT(((Alpha_keep*$A119+G$3-Lo_c)/Step_c)+0.00000001),193))+1)+(((Alpha_keep*$A119+G$3-Lo_c)/Step_c)-MAX(6,MIN(INT(((Alpha_keep*$A119+G$3-Lo_c)/Step_c)+0.00000001),193)))*INDEX($D$5:$D$205,MAX(6,MIN(INT(((Alpha_keep*$A119+G$3-Lo_c)/Step_c)+0.00000001),193))+2)),"")</f>
        <v>-229.471285398395</v>
      </c>
      <c r="H119" s="16" t="n">
        <f aca="false">IF(Grid!F119=1,-Cost_k*H$3-Short_p*MAX(0,Floor_c-$A119)+Beta_q*((1-(((Alpha_keep*$A119+H$3-Lo_c)/Step_c)-MAX(6,MIN(INT(((Alpha_keep*$A119+H$3-Lo_c)/Step_c)+0.00000001),193))))*INDEX($D$5:$D$205,MAX(6,MIN(INT(((Alpha_keep*$A119+H$3-Lo_c)/Step_c)+0.00000001),193))+1)+(((Alpha_keep*$A119+H$3-Lo_c)/Step_c)-MAX(6,MIN(INT(((Alpha_keep*$A119+H$3-Lo_c)/Step_c)+0.00000001),193)))*INDEX($D$5:$D$205,MAX(6,MIN(INT(((Alpha_keep*$A119+H$3-Lo_c)/Step_c)+0.00000001),193))+2)),"")</f>
        <v>-229.547635018839</v>
      </c>
      <c r="I119" s="16" t="n">
        <f aca="false">IF(Grid!G119=1,-Cost_k*I$3-Short_p*MAX(0,Floor_c-$A119)+Beta_q*((1-(((Alpha_keep*$A119+I$3-Lo_c)/Step_c)-MAX(6,MIN(INT(((Alpha_keep*$A119+I$3-Lo_c)/Step_c)+0.00000001),193))))*INDEX($D$5:$D$205,MAX(6,MIN(INT(((Alpha_keep*$A119+I$3-Lo_c)/Step_c)+0.00000001),193))+1)+(((Alpha_keep*$A119+I$3-Lo_c)/Step_c)-MAX(6,MIN(INT(((Alpha_keep*$A119+I$3-Lo_c)/Step_c)+0.00000001),193)))*INDEX($D$5:$D$205,MAX(6,MIN(INT(((Alpha_keep*$A119+I$3-Lo_c)/Step_c)+0.00000001),193))+2)),"")</f>
        <v>-229.629912633375</v>
      </c>
      <c r="J119" s="16" t="n">
        <f aca="false">IF(Grid!H119=1,-Cost_k*J$3-Short_p*MAX(0,Floor_c-$A119)+Beta_q*((1-(((Alpha_keep*$A119+J$3-Lo_c)/Step_c)-MAX(6,MIN(INT(((Alpha_keep*$A119+J$3-Lo_c)/Step_c)+0.00000001),193))))*INDEX($D$5:$D$205,MAX(6,MIN(INT(((Alpha_keep*$A119+J$3-Lo_c)/Step_c)+0.00000001),193))+1)+(((Alpha_keep*$A119+J$3-Lo_c)/Step_c)-MAX(6,MIN(INT(((Alpha_keep*$A119+J$3-Lo_c)/Step_c)+0.00000001),193)))*INDEX($D$5:$D$205,MAX(6,MIN(INT(((Alpha_keep*$A119+J$3-Lo_c)/Step_c)+0.00000001),193))+2)),"")</f>
        <v>-229.728392223108</v>
      </c>
      <c r="K119" s="16" t="n">
        <f aca="false">IF(Grid!I119=1,-Cost_k*K$3-Short_p*MAX(0,Floor_c-$A119)+Beta_q*((1-(((Alpha_keep*$A119+K$3-Lo_c)/Step_c)-MAX(6,MIN(INT(((Alpha_keep*$A119+K$3-Lo_c)/Step_c)+0.00000001),193))))*INDEX($D$5:$D$205,MAX(6,MIN(INT(((Alpha_keep*$A119+K$3-Lo_c)/Step_c)+0.00000001),193))+1)+(((Alpha_keep*$A119+K$3-Lo_c)/Step_c)-MAX(6,MIN(INT(((Alpha_keep*$A119+K$3-Lo_c)/Step_c)+0.00000001),193)))*INDEX($D$5:$D$205,MAX(6,MIN(INT(((Alpha_keep*$A119+K$3-Lo_c)/Step_c)+0.00000001),193))+2)),"")</f>
        <v>-229.828163408024</v>
      </c>
      <c r="L119" s="16" t="n">
        <f aca="false">IF(Grid!J119=1,-Cost_k*L$3-Short_p*MAX(0,Floor_c-$A119)+Beta_q*((1-(((Alpha_keep*$A119+L$3-Lo_c)/Step_c)-MAX(6,MIN(INT(((Alpha_keep*$A119+L$3-Lo_c)/Step_c)+0.00000001),193))))*INDEX($D$5:$D$205,MAX(6,MIN(INT(((Alpha_keep*$A119+L$3-Lo_c)/Step_c)+0.00000001),193))+1)+(((Alpha_keep*$A119+L$3-Lo_c)/Step_c)-MAX(6,MIN(INT(((Alpha_keep*$A119+L$3-Lo_c)/Step_c)+0.00000001),193)))*INDEX($D$5:$D$205,MAX(6,MIN(INT(((Alpha_keep*$A119+L$3-Lo_c)/Step_c)+0.00000001),193))+2)),"")</f>
        <v>-229.933632728669</v>
      </c>
      <c r="M119" s="16" t="n">
        <f aca="false">IF(Grid!K119=1,-Cost_k*M$3-Short_p*MAX(0,Floor_c-$A119)+Beta_q*((1-(((Alpha_keep*$A119+M$3-Lo_c)/Step_c)-MAX(6,MIN(INT(((Alpha_keep*$A119+M$3-Lo_c)/Step_c)+0.00000001),193))))*INDEX($D$5:$D$205,MAX(6,MIN(INT(((Alpha_keep*$A119+M$3-Lo_c)/Step_c)+0.00000001),193))+1)+(((Alpha_keep*$A119+M$3-Lo_c)/Step_c)-MAX(6,MIN(INT(((Alpha_keep*$A119+M$3-Lo_c)/Step_c)+0.00000001),193)))*INDEX($D$5:$D$205,MAX(6,MIN(INT(((Alpha_keep*$A119+M$3-Lo_c)/Step_c)+0.00000001),193))+2)),"")</f>
        <v>-230.05361649785</v>
      </c>
      <c r="N119" s="16" t="n">
        <f aca="false">IF(Grid!L119=1,-Cost_k*N$3-Short_p*MAX(0,Floor_c-$A119)+Beta_q*((1-(((Alpha_keep*$A119+N$3-Lo_c)/Step_c)-MAX(6,MIN(INT(((Alpha_keep*$A119+N$3-Lo_c)/Step_c)+0.00000001),193))))*INDEX($D$5:$D$205,MAX(6,MIN(INT(((Alpha_keep*$A119+N$3-Lo_c)/Step_c)+0.00000001),193))+1)+(((Alpha_keep*$A119+N$3-Lo_c)/Step_c)-MAX(6,MIN(INT(((Alpha_keep*$A119+N$3-Lo_c)/Step_c)+0.00000001),193)))*INDEX($D$5:$D$205,MAX(6,MIN(INT(((Alpha_keep*$A119+N$3-Lo_c)/Step_c)+0.00000001),193))+2)),"")</f>
        <v>-230.17501631448</v>
      </c>
      <c r="O119" s="16" t="n">
        <f aca="false">IF(Grid!M119=1,-Cost_k*O$3-Short_p*MAX(0,Floor_c-$A119)+Beta_q*((1-(((Alpha_keep*$A119+O$3-Lo_c)/Step_c)-MAX(6,MIN(INT(((Alpha_keep*$A119+O$3-Lo_c)/Step_c)+0.00000001),193))))*INDEX($D$5:$D$205,MAX(6,MIN(INT(((Alpha_keep*$A119+O$3-Lo_c)/Step_c)+0.00000001),193))+1)+(((Alpha_keep*$A119+O$3-Lo_c)/Step_c)-MAX(6,MIN(INT(((Alpha_keep*$A119+O$3-Lo_c)/Step_c)+0.00000001),193)))*INDEX($D$5:$D$205,MAX(6,MIN(INT(((Alpha_keep*$A119+O$3-Lo_c)/Step_c)+0.00000001),193))+2)),"")</f>
        <v>-230.302152378365</v>
      </c>
      <c r="P119" s="11" t="n">
        <f aca="false">MAX(E119:O119)</f>
        <v>-229.336772651236</v>
      </c>
      <c r="Q119" s="12" t="n">
        <f aca="false">INDEX($E$3:$O$3,MATCH(P119,E119:O119,0))</f>
        <v>0</v>
      </c>
      <c r="R119" s="20" t="n">
        <v>0</v>
      </c>
      <c r="S119" s="14" t="n">
        <f aca="false">IF(ABS(Q119-R119)&lt;0.000000001,1,0)</f>
        <v>1</v>
      </c>
      <c r="T119" s="21" t="n">
        <f aca="false">ABS(P119-B119)</f>
        <v>0</v>
      </c>
      <c r="U119" s="16" t="n">
        <f aca="false">Alpha_keep*A119+Q119</f>
        <v>57.0375</v>
      </c>
      <c r="V119" s="14" t="n">
        <f aca="false">INDEX(GuardBlock,115,ROUND(Q119/Step_h,0)+1)</f>
        <v>1</v>
      </c>
      <c r="W119" s="22" t="n">
        <v>2.87850420347048E-010</v>
      </c>
    </row>
    <row r="120" customFormat="false" ht="15" hidden="false" customHeight="false" outlineLevel="0" collapsed="false">
      <c r="A120" s="18" t="n">
        <f aca="false">Grid!A120</f>
        <v>58.75</v>
      </c>
      <c r="B120" s="19" t="n">
        <v>-228.419491481754</v>
      </c>
      <c r="C120" s="14" t="n">
        <v>115</v>
      </c>
      <c r="D120" s="11" t="n">
        <f aca="false">IF(AND($C120&gt;=6,$C120&lt;=194),Declarations!$B$25*INDEX($B$5:$B$205,$C120+1-Declarations!$E$25)+Declarations!$B$26*INDEX($B$5:$B$205,$C120+1-Declarations!$E$26)+Declarations!$B$27*INDEX($B$5:$B$205,$C120+1-Declarations!$E$27)+Declarations!$B$28*INDEX($B$5:$B$205,$C120+1-Declarations!$E$28)+Declarations!$B$29*INDEX($B$5:$B$205,$C120+1-Declarations!$E$29),"")</f>
        <v>-228.444593222552</v>
      </c>
      <c r="E120" s="16" t="n">
        <f aca="false">IF(Grid!C120=1,-Cost_k*E$3-Short_p*MAX(0,Floor_c-$A120)+Beta_q*((1-(((Alpha_keep*$A120+E$3-Lo_c)/Step_c)-MAX(6,MIN(INT(((Alpha_keep*$A120+E$3-Lo_c)/Step_c)+0.00000001),193))))*INDEX($D$5:$D$205,MAX(6,MIN(INT(((Alpha_keep*$A120+E$3-Lo_c)/Step_c)+0.00000001),193))+1)+(((Alpha_keep*$A120+E$3-Lo_c)/Step_c)-MAX(6,MIN(INT(((Alpha_keep*$A120+E$3-Lo_c)/Step_c)+0.00000001),193)))*INDEX($D$5:$D$205,MAX(6,MIN(INT(((Alpha_keep*$A120+E$3-Lo_c)/Step_c)+0.00000001),193))+2)),"")</f>
        <v>-228.419491481754</v>
      </c>
      <c r="F120" s="16" t="n">
        <f aca="false">IF(Grid!D120=1,-Cost_k*F$3-Short_p*MAX(0,Floor_c-$A120)+Beta_q*((1-(((Alpha_keep*$A120+F$3-Lo_c)/Step_c)-MAX(6,MIN(INT(((Alpha_keep*$A120+F$3-Lo_c)/Step_c)+0.00000001),193))))*INDEX($D$5:$D$205,MAX(6,MIN(INT(((Alpha_keep*$A120+F$3-Lo_c)/Step_c)+0.00000001),193))+1)+(((Alpha_keep*$A120+F$3-Lo_c)/Step_c)-MAX(6,MIN(INT(((Alpha_keep*$A120+F$3-Lo_c)/Step_c)+0.00000001),193)))*INDEX($D$5:$D$205,MAX(6,MIN(INT(((Alpha_keep*$A120+F$3-Lo_c)/Step_c)+0.00000001),193))+2)),"")</f>
        <v>-228.494390297574</v>
      </c>
      <c r="G120" s="16" t="n">
        <f aca="false">IF(Grid!E120=1,-Cost_k*G$3-Short_p*MAX(0,Floor_c-$A120)+Beta_q*((1-(((Alpha_keep*$A120+G$3-Lo_c)/Step_c)-MAX(6,MIN(INT(((Alpha_keep*$A120+G$3-Lo_c)/Step_c)+0.00000001),193))))*INDEX($D$5:$D$205,MAX(6,MIN(INT(((Alpha_keep*$A120+G$3-Lo_c)/Step_c)+0.00000001),193))+1)+(((Alpha_keep*$A120+G$3-Lo_c)/Step_c)-MAX(6,MIN(INT(((Alpha_keep*$A120+G$3-Lo_c)/Step_c)+0.00000001),193)))*INDEX($D$5:$D$205,MAX(6,MIN(INT(((Alpha_keep*$A120+G$3-Lo_c)/Step_c)+0.00000001),193))+2)),"")</f>
        <v>-228.570648986753</v>
      </c>
      <c r="H120" s="16" t="n">
        <f aca="false">IF(Grid!F120=1,-Cost_k*H$3-Short_p*MAX(0,Floor_c-$A120)+Beta_q*((1-(((Alpha_keep*$A120+H$3-Lo_c)/Step_c)-MAX(6,MIN(INT(((Alpha_keep*$A120+H$3-Lo_c)/Step_c)+0.00000001),193))))*INDEX($D$5:$D$205,MAX(6,MIN(INT(((Alpha_keep*$A120+H$3-Lo_c)/Step_c)+0.00000001),193))+1)+(((Alpha_keep*$A120+H$3-Lo_c)/Step_c)-MAX(6,MIN(INT(((Alpha_keep*$A120+H$3-Lo_c)/Step_c)+0.00000001),193)))*INDEX($D$5:$D$205,MAX(6,MIN(INT(((Alpha_keep*$A120+H$3-Lo_c)/Step_c)+0.00000001),193))+2)),"")</f>
        <v>-228.652453879439</v>
      </c>
      <c r="I120" s="16" t="n">
        <f aca="false">IF(Grid!G120=1,-Cost_k*I$3-Short_p*MAX(0,Floor_c-$A120)+Beta_q*((1-(((Alpha_keep*$A120+I$3-Lo_c)/Step_c)-MAX(6,MIN(INT(((Alpha_keep*$A120+I$3-Lo_c)/Step_c)+0.00000001),193))))*INDEX($D$5:$D$205,MAX(6,MIN(INT(((Alpha_keep*$A120+I$3-Lo_c)/Step_c)+0.00000001),193))+1)+(((Alpha_keep*$A120+I$3-Lo_c)/Step_c)-MAX(6,MIN(INT(((Alpha_keep*$A120+I$3-Lo_c)/Step_c)+0.00000001),193)))*INDEX($D$5:$D$205,MAX(6,MIN(INT(((Alpha_keep*$A120+I$3-Lo_c)/Step_c)+0.00000001),193))+2)),"")</f>
        <v>-228.750911897125</v>
      </c>
      <c r="J120" s="16" t="n">
        <f aca="false">IF(Grid!H120=1,-Cost_k*J$3-Short_p*MAX(0,Floor_c-$A120)+Beta_q*((1-(((Alpha_keep*$A120+J$3-Lo_c)/Step_c)-MAX(6,MIN(INT(((Alpha_keep*$A120+J$3-Lo_c)/Step_c)+0.00000001),193))))*INDEX($D$5:$D$205,MAX(6,MIN(INT(((Alpha_keep*$A120+J$3-Lo_c)/Step_c)+0.00000001),193))+1)+(((Alpha_keep*$A120+J$3-Lo_c)/Step_c)-MAX(6,MIN(INT(((Alpha_keep*$A120+J$3-Lo_c)/Step_c)+0.00000001),193)))*INDEX($D$5:$D$205,MAX(6,MIN(INT(((Alpha_keep*$A120+J$3-Lo_c)/Step_c)+0.00000001),193))+2)),"")</f>
        <v>-228.850590057772</v>
      </c>
      <c r="K120" s="16" t="n">
        <f aca="false">IF(Grid!I120=1,-Cost_k*K$3-Short_p*MAX(0,Floor_c-$A120)+Beta_q*((1-(((Alpha_keep*$A120+K$3-Lo_c)/Step_c)-MAX(6,MIN(INT(((Alpha_keep*$A120+K$3-Lo_c)/Step_c)+0.00000001),193))))*INDEX($D$5:$D$205,MAX(6,MIN(INT(((Alpha_keep*$A120+K$3-Lo_c)/Step_c)+0.00000001),193))+1)+(((Alpha_keep*$A120+K$3-Lo_c)/Step_c)-MAX(6,MIN(INT(((Alpha_keep*$A120+K$3-Lo_c)/Step_c)+0.00000001),193)))*INDEX($D$5:$D$205,MAX(6,MIN(INT(((Alpha_keep*$A120+K$3-Lo_c)/Step_c)+0.00000001),193))+2)),"")</f>
        <v>-228.955636826658</v>
      </c>
      <c r="L120" s="16" t="n">
        <f aca="false">IF(Grid!J120=1,-Cost_k*L$3-Short_p*MAX(0,Floor_c-$A120)+Beta_q*((1-(((Alpha_keep*$A120+L$3-Lo_c)/Step_c)-MAX(6,MIN(INT(((Alpha_keep*$A120+L$3-Lo_c)/Step_c)+0.00000001),193))))*INDEX($D$5:$D$205,MAX(6,MIN(INT(((Alpha_keep*$A120+L$3-Lo_c)/Step_c)+0.00000001),193))+1)+(((Alpha_keep*$A120+L$3-Lo_c)/Step_c)-MAX(6,MIN(INT(((Alpha_keep*$A120+L$3-Lo_c)/Step_c)+0.00000001),193)))*INDEX($D$5:$D$205,MAX(6,MIN(INT(((Alpha_keep*$A120+L$3-Lo_c)/Step_c)+0.00000001),193))+2)),"")</f>
        <v>-229.07559598105</v>
      </c>
      <c r="M120" s="16" t="n">
        <f aca="false">IF(Grid!K120=1,-Cost_k*M$3-Short_p*MAX(0,Floor_c-$A120)+Beta_q*((1-(((Alpha_keep*$A120+M$3-Lo_c)/Step_c)-MAX(6,MIN(INT(((Alpha_keep*$A120+M$3-Lo_c)/Step_c)+0.00000001),193))))*INDEX($D$5:$D$205,MAX(6,MIN(INT(((Alpha_keep*$A120+M$3-Lo_c)/Step_c)+0.00000001),193))+1)+(((Alpha_keep*$A120+M$3-Lo_c)/Step_c)-MAX(6,MIN(INT(((Alpha_keep*$A120+M$3-Lo_c)/Step_c)+0.00000001),193)))*INDEX($D$5:$D$205,MAX(6,MIN(INT(((Alpha_keep*$A120+M$3-Lo_c)/Step_c)+0.00000001),193))+2)),"")</f>
        <v>-229.196899273573</v>
      </c>
      <c r="N120" s="16" t="n">
        <f aca="false">IF(Grid!L120=1,-Cost_k*N$3-Short_p*MAX(0,Floor_c-$A120)+Beta_q*((1-(((Alpha_keep*$A120+N$3-Lo_c)/Step_c)-MAX(6,MIN(INT(((Alpha_keep*$A120+N$3-Lo_c)/Step_c)+0.00000001),193))))*INDEX($D$5:$D$205,MAX(6,MIN(INT(((Alpha_keep*$A120+N$3-Lo_c)/Step_c)+0.00000001),193))+1)+(((Alpha_keep*$A120+N$3-Lo_c)/Step_c)-MAX(6,MIN(INT(((Alpha_keep*$A120+N$3-Lo_c)/Step_c)+0.00000001),193)))*INDEX($D$5:$D$205,MAX(6,MIN(INT(((Alpha_keep*$A120+N$3-Lo_c)/Step_c)+0.00000001),193))+2)),"")</f>
        <v>-229.323626266188</v>
      </c>
      <c r="O120" s="16" t="n">
        <f aca="false">IF(Grid!M120=1,-Cost_k*O$3-Short_p*MAX(0,Floor_c-$A120)+Beta_q*((1-(((Alpha_keep*$A120+O$3-Lo_c)/Step_c)-MAX(6,MIN(INT(((Alpha_keep*$A120+O$3-Lo_c)/Step_c)+0.00000001),193))))*INDEX($D$5:$D$205,MAX(6,MIN(INT(((Alpha_keep*$A120+O$3-Lo_c)/Step_c)+0.00000001),193))+1)+(((Alpha_keep*$A120+O$3-Lo_c)/Step_c)-MAX(6,MIN(INT(((Alpha_keep*$A120+O$3-Lo_c)/Step_c)+0.00000001),193)))*INDEX($D$5:$D$205,MAX(6,MIN(INT(((Alpha_keep*$A120+O$3-Lo_c)/Step_c)+0.00000001),193))+2)),"")</f>
        <v>-229.464800459626</v>
      </c>
      <c r="P120" s="11" t="n">
        <f aca="false">MAX(E120:O120)</f>
        <v>-228.419491481754</v>
      </c>
      <c r="Q120" s="12" t="n">
        <f aca="false">INDEX($E$3:$O$3,MATCH(P120,E120:O120,0))</f>
        <v>0</v>
      </c>
      <c r="R120" s="20" t="n">
        <v>0</v>
      </c>
      <c r="S120" s="14" t="n">
        <f aca="false">IF(ABS(Q120-R120)&lt;0.000000001,1,0)</f>
        <v>1</v>
      </c>
      <c r="T120" s="21" t="n">
        <f aca="false">ABS(P120-B120)</f>
        <v>0</v>
      </c>
      <c r="U120" s="16" t="n">
        <f aca="false">Alpha_keep*A120+Q120</f>
        <v>57.28125</v>
      </c>
      <c r="V120" s="14" t="n">
        <f aca="false">INDEX(GuardBlock,116,ROUND(Q120/Step_h,0)+1)</f>
        <v>1</v>
      </c>
      <c r="W120" s="22" t="n">
        <v>2.2576516330052E-012</v>
      </c>
    </row>
    <row r="121" customFormat="false" ht="15" hidden="false" customHeight="false" outlineLevel="0" collapsed="false">
      <c r="A121" s="18" t="n">
        <f aca="false">Grid!A121</f>
        <v>59</v>
      </c>
      <c r="B121" s="19" t="n">
        <v>-227.517495196752</v>
      </c>
      <c r="C121" s="14" t="n">
        <v>116</v>
      </c>
      <c r="D121" s="11" t="n">
        <f aca="false">IF(AND($C121&gt;=6,$C121&lt;=194),Declarations!$B$25*INDEX($B$5:$B$205,$C121+1-Declarations!$E$25)+Declarations!$B$26*INDEX($B$5:$B$205,$C121+1-Declarations!$E$26)+Declarations!$B$27*INDEX($B$5:$B$205,$C121+1-Declarations!$E$27)+Declarations!$B$28*INDEX($B$5:$B$205,$C121+1-Declarations!$E$28)+Declarations!$B$29*INDEX($B$5:$B$205,$C121+1-Declarations!$E$29),"")</f>
        <v>-227.543205303902</v>
      </c>
      <c r="E121" s="16" t="n">
        <f aca="false">IF(Grid!C121=1,-Cost_k*E$3-Short_p*MAX(0,Floor_c-$A121)+Beta_q*((1-(((Alpha_keep*$A121+E$3-Lo_c)/Step_c)-MAX(6,MIN(INT(((Alpha_keep*$A121+E$3-Lo_c)/Step_c)+0.00000001),193))))*INDEX($D$5:$D$205,MAX(6,MIN(INT(((Alpha_keep*$A121+E$3-Lo_c)/Step_c)+0.00000001),193))+1)+(((Alpha_keep*$A121+E$3-Lo_c)/Step_c)-MAX(6,MIN(INT(((Alpha_keep*$A121+E$3-Lo_c)/Step_c)+0.00000001),193)))*INDEX($D$5:$D$205,MAX(6,MIN(INT(((Alpha_keep*$A121+E$3-Lo_c)/Step_c)+0.00000001),193))+2)),"")</f>
        <v>-227.517495196752</v>
      </c>
      <c r="F121" s="16" t="n">
        <f aca="false">IF(Grid!D121=1,-Cost_k*F$3-Short_p*MAX(0,Floor_c-$A121)+Beta_q*((1-(((Alpha_keep*$A121+F$3-Lo_c)/Step_c)-MAX(6,MIN(INT(((Alpha_keep*$A121+F$3-Lo_c)/Step_c)+0.00000001),193))))*INDEX($D$5:$D$205,MAX(6,MIN(INT(((Alpha_keep*$A121+F$3-Lo_c)/Step_c)+0.00000001),193))+1)+(((Alpha_keep*$A121+F$3-Lo_c)/Step_c)-MAX(6,MIN(INT(((Alpha_keep*$A121+F$3-Lo_c)/Step_c)+0.00000001),193)))*INDEX($D$5:$D$205,MAX(6,MIN(INT(((Alpha_keep*$A121+F$3-Lo_c)/Step_c)+0.00000001),193))+2)),"")</f>
        <v>-227.593662954667</v>
      </c>
      <c r="G121" s="16" t="n">
        <f aca="false">IF(Grid!E121=1,-Cost_k*G$3-Short_p*MAX(0,Floor_c-$A121)+Beta_q*((1-(((Alpha_keep*$A121+G$3-Lo_c)/Step_c)-MAX(6,MIN(INT(((Alpha_keep*$A121+G$3-Lo_c)/Step_c)+0.00000001),193))))*INDEX($D$5:$D$205,MAX(6,MIN(INT(((Alpha_keep*$A121+G$3-Lo_c)/Step_c)+0.00000001),193))+1)+(((Alpha_keep*$A121+G$3-Lo_c)/Step_c)-MAX(6,MIN(INT(((Alpha_keep*$A121+G$3-Lo_c)/Step_c)+0.00000001),193)))*INDEX($D$5:$D$205,MAX(6,MIN(INT(((Alpha_keep*$A121+G$3-Lo_c)/Step_c)+0.00000001),193))+2)),"")</f>
        <v>-227.674995125503</v>
      </c>
      <c r="H121" s="16" t="n">
        <f aca="false">IF(Grid!F121=1,-Cost_k*H$3-Short_p*MAX(0,Floor_c-$A121)+Beta_q*((1-(((Alpha_keep*$A121+H$3-Lo_c)/Step_c)-MAX(6,MIN(INT(((Alpha_keep*$A121+H$3-Lo_c)/Step_c)+0.00000001),193))))*INDEX($D$5:$D$205,MAX(6,MIN(INT(((Alpha_keep*$A121+H$3-Lo_c)/Step_c)+0.00000001),193))+1)+(((Alpha_keep*$A121+H$3-Lo_c)/Step_c)-MAX(6,MIN(INT(((Alpha_keep*$A121+H$3-Lo_c)/Step_c)+0.00000001),193)))*INDEX($D$5:$D$205,MAX(6,MIN(INT(((Alpha_keep*$A121+H$3-Lo_c)/Step_c)+0.00000001),193))+2)),"")</f>
        <v>-227.773431571143</v>
      </c>
      <c r="I121" s="16" t="n">
        <f aca="false">IF(Grid!G121=1,-Cost_k*I$3-Short_p*MAX(0,Floor_c-$A121)+Beta_q*((1-(((Alpha_keep*$A121+I$3-Lo_c)/Step_c)-MAX(6,MIN(INT(((Alpha_keep*$A121+I$3-Lo_c)/Step_c)+0.00000001),193))))*INDEX($D$5:$D$205,MAX(6,MIN(INT(((Alpha_keep*$A121+I$3-Lo_c)/Step_c)+0.00000001),193))+1)+(((Alpha_keep*$A121+I$3-Lo_c)/Step_c)-MAX(6,MIN(INT(((Alpha_keep*$A121+I$3-Lo_c)/Step_c)+0.00000001),193)))*INDEX($D$5:$D$205,MAX(6,MIN(INT(((Alpha_keep*$A121+I$3-Lo_c)/Step_c)+0.00000001),193))+2)),"")</f>
        <v>-227.873016707519</v>
      </c>
      <c r="J121" s="16" t="n">
        <f aca="false">IF(Grid!H121=1,-Cost_k*J$3-Short_p*MAX(0,Floor_c-$A121)+Beta_q*((1-(((Alpha_keep*$A121+J$3-Lo_c)/Step_c)-MAX(6,MIN(INT(((Alpha_keep*$A121+J$3-Lo_c)/Step_c)+0.00000001),193))))*INDEX($D$5:$D$205,MAX(6,MIN(INT(((Alpha_keep*$A121+J$3-Lo_c)/Step_c)+0.00000001),193))+1)+(((Alpha_keep*$A121+J$3-Lo_c)/Step_c)-MAX(6,MIN(INT(((Alpha_keep*$A121+J$3-Lo_c)/Step_c)+0.00000001),193)))*INDEX($D$5:$D$205,MAX(6,MIN(INT(((Alpha_keep*$A121+J$3-Lo_c)/Step_c)+0.00000001),193))+2)),"")</f>
        <v>-227.977640924647</v>
      </c>
      <c r="K121" s="16" t="n">
        <f aca="false">IF(Grid!I121=1,-Cost_k*K$3-Short_p*MAX(0,Floor_c-$A121)+Beta_q*((1-(((Alpha_keep*$A121+K$3-Lo_c)/Step_c)-MAX(6,MIN(INT(((Alpha_keep*$A121+K$3-Lo_c)/Step_c)+0.00000001),193))))*INDEX($D$5:$D$205,MAX(6,MIN(INT(((Alpha_keep*$A121+K$3-Lo_c)/Step_c)+0.00000001),193))+1)+(((Alpha_keep*$A121+K$3-Lo_c)/Step_c)-MAX(6,MIN(INT(((Alpha_keep*$A121+K$3-Lo_c)/Step_c)+0.00000001),193)))*INDEX($D$5:$D$205,MAX(6,MIN(INT(((Alpha_keep*$A121+K$3-Lo_c)/Step_c)+0.00000001),193))+2)),"")</f>
        <v>-228.09757546425</v>
      </c>
      <c r="L121" s="16" t="n">
        <f aca="false">IF(Grid!J121=1,-Cost_k*L$3-Short_p*MAX(0,Floor_c-$A121)+Beta_q*((1-(((Alpha_keep*$A121+L$3-Lo_c)/Step_c)-MAX(6,MIN(INT(((Alpha_keep*$A121+L$3-Lo_c)/Step_c)+0.00000001),193))))*INDEX($D$5:$D$205,MAX(6,MIN(INT(((Alpha_keep*$A121+L$3-Lo_c)/Step_c)+0.00000001),193))+1)+(((Alpha_keep*$A121+L$3-Lo_c)/Step_c)-MAX(6,MIN(INT(((Alpha_keep*$A121+L$3-Lo_c)/Step_c)+0.00000001),193)))*INDEX($D$5:$D$205,MAX(6,MIN(INT(((Alpha_keep*$A121+L$3-Lo_c)/Step_c)+0.00000001),193))+2)),"")</f>
        <v>-228.218782232667</v>
      </c>
      <c r="M121" s="16" t="n">
        <f aca="false">IF(Grid!K121=1,-Cost_k*M$3-Short_p*MAX(0,Floor_c-$A121)+Beta_q*((1-(((Alpha_keep*$A121+M$3-Lo_c)/Step_c)-MAX(6,MIN(INT(((Alpha_keep*$A121+M$3-Lo_c)/Step_c)+0.00000001),193))))*INDEX($D$5:$D$205,MAX(6,MIN(INT(((Alpha_keep*$A121+M$3-Lo_c)/Step_c)+0.00000001),193))+1)+(((Alpha_keep*$A121+M$3-Lo_c)/Step_c)-MAX(6,MIN(INT(((Alpha_keep*$A121+M$3-Lo_c)/Step_c)+0.00000001),193)))*INDEX($D$5:$D$205,MAX(6,MIN(INT(((Alpha_keep*$A121+M$3-Lo_c)/Step_c)+0.00000001),193))+2)),"")</f>
        <v>-228.345100154011</v>
      </c>
      <c r="N121" s="16" t="n">
        <f aca="false">IF(Grid!L121=1,-Cost_k*N$3-Short_p*MAX(0,Floor_c-$A121)+Beta_q*((1-(((Alpha_keep*$A121+N$3-Lo_c)/Step_c)-MAX(6,MIN(INT(((Alpha_keep*$A121+N$3-Lo_c)/Step_c)+0.00000001),193))))*INDEX($D$5:$D$205,MAX(6,MIN(INT(((Alpha_keep*$A121+N$3-Lo_c)/Step_c)+0.00000001),193))+1)+(((Alpha_keep*$A121+N$3-Lo_c)/Step_c)-MAX(6,MIN(INT(((Alpha_keep*$A121+N$3-Lo_c)/Step_c)+0.00000001),193)))*INDEX($D$5:$D$205,MAX(6,MIN(INT(((Alpha_keep*$A121+N$3-Lo_c)/Step_c)+0.00000001),193))+2)),"")</f>
        <v>-228.486248406178</v>
      </c>
      <c r="O121" s="16" t="n">
        <f aca="false">IF(Grid!M121=1,-Cost_k*O$3-Short_p*MAX(0,Floor_c-$A121)+Beta_q*((1-(((Alpha_keep*$A121+O$3-Lo_c)/Step_c)-MAX(6,MIN(INT(((Alpha_keep*$A121+O$3-Lo_c)/Step_c)+0.00000001),193))))*INDEX($D$5:$D$205,MAX(6,MIN(INT(((Alpha_keep*$A121+O$3-Lo_c)/Step_c)+0.00000001),193))+1)+(((Alpha_keep*$A121+O$3-Lo_c)/Step_c)-MAX(6,MIN(INT(((Alpha_keep*$A121+O$3-Lo_c)/Step_c)+0.00000001),193)))*INDEX($D$5:$D$205,MAX(6,MIN(INT(((Alpha_keep*$A121+O$3-Lo_c)/Step_c)+0.00000001),193))+2)),"")</f>
        <v>-228.628690039097</v>
      </c>
      <c r="P121" s="11" t="n">
        <f aca="false">MAX(E121:O121)</f>
        <v>-227.517495196752</v>
      </c>
      <c r="Q121" s="12" t="n">
        <f aca="false">INDEX($E$3:$O$3,MATCH(P121,E121:O121,0))</f>
        <v>0</v>
      </c>
      <c r="R121" s="20" t="n">
        <v>0</v>
      </c>
      <c r="S121" s="14" t="n">
        <f aca="false">IF(ABS(Q121-R121)&lt;0.000000001,1,0)</f>
        <v>1</v>
      </c>
      <c r="T121" s="21" t="n">
        <f aca="false">ABS(P121-B121)</f>
        <v>0</v>
      </c>
      <c r="U121" s="16" t="n">
        <f aca="false">Alpha_keep*A121+Q121</f>
        <v>57.525</v>
      </c>
      <c r="V121" s="14" t="n">
        <f aca="false">INDEX(GuardBlock,117,ROUND(Q121/Step_h,0)+1)</f>
        <v>1</v>
      </c>
      <c r="W121" s="22" t="n">
        <v>1.47752104989451E-014</v>
      </c>
    </row>
    <row r="122" customFormat="false" ht="15" hidden="false" customHeight="false" outlineLevel="0" collapsed="false">
      <c r="A122" s="18" t="n">
        <f aca="false">Grid!A122</f>
        <v>59.25</v>
      </c>
      <c r="B122" s="19" t="n">
        <v>-226.616676922581</v>
      </c>
      <c r="C122" s="14" t="n">
        <v>117</v>
      </c>
      <c r="D122" s="11" t="n">
        <f aca="false">IF(AND($C122&gt;=6,$C122&lt;=194),Declarations!$B$25*INDEX($B$5:$B$205,$C122+1-Declarations!$E$25)+Declarations!$B$26*INDEX($B$5:$B$205,$C122+1-Declarations!$E$26)+Declarations!$B$27*INDEX($B$5:$B$205,$C122+1-Declarations!$E$27)+Declarations!$B$28*INDEX($B$5:$B$205,$C122+1-Declarations!$E$28)+Declarations!$B$29*INDEX($B$5:$B$205,$C122+1-Declarations!$E$29),"")</f>
        <v>-226.642825718926</v>
      </c>
      <c r="E122" s="16" t="n">
        <f aca="false">IF(Grid!C122=1,-Cost_k*E$3-Short_p*MAX(0,Floor_c-$A122)+Beta_q*((1-(((Alpha_keep*$A122+E$3-Lo_c)/Step_c)-MAX(6,MIN(INT(((Alpha_keep*$A122+E$3-Lo_c)/Step_c)+0.00000001),193))))*INDEX($D$5:$D$205,MAX(6,MIN(INT(((Alpha_keep*$A122+E$3-Lo_c)/Step_c)+0.00000001),193))+1)+(((Alpha_keep*$A122+E$3-Lo_c)/Step_c)-MAX(6,MIN(INT(((Alpha_keep*$A122+E$3-Lo_c)/Step_c)+0.00000001),193)))*INDEX($D$5:$D$205,MAX(6,MIN(INT(((Alpha_keep*$A122+E$3-Lo_c)/Step_c)+0.00000001),193))+2)),"")</f>
        <v>-226.616676922581</v>
      </c>
      <c r="F122" s="16" t="n">
        <f aca="false">IF(Grid!D122=1,-Cost_k*F$3-Short_p*MAX(0,Floor_c-$A122)+Beta_q*((1-(((Alpha_keep*$A122+F$3-Lo_c)/Step_c)-MAX(6,MIN(INT(((Alpha_keep*$A122+F$3-Lo_c)/Step_c)+0.00000001),193))))*INDEX($D$5:$D$205,MAX(6,MIN(INT(((Alpha_keep*$A122+F$3-Lo_c)/Step_c)+0.00000001),193))+1)+(((Alpha_keep*$A122+F$3-Lo_c)/Step_c)-MAX(6,MIN(INT(((Alpha_keep*$A122+F$3-Lo_c)/Step_c)+0.00000001),193)))*INDEX($D$5:$D$205,MAX(6,MIN(INT(((Alpha_keep*$A122+F$3-Lo_c)/Step_c)+0.00000001),193))+2)),"")</f>
        <v>-226.697536371566</v>
      </c>
      <c r="G122" s="16" t="n">
        <f aca="false">IF(Grid!E122=1,-Cost_k*G$3-Short_p*MAX(0,Floor_c-$A122)+Beta_q*((1-(((Alpha_keep*$A122+G$3-Lo_c)/Step_c)-MAX(6,MIN(INT(((Alpha_keep*$A122+G$3-Lo_c)/Step_c)+0.00000001),193))))*INDEX($D$5:$D$205,MAX(6,MIN(INT(((Alpha_keep*$A122+G$3-Lo_c)/Step_c)+0.00000001),193))+1)+(((Alpha_keep*$A122+G$3-Lo_c)/Step_c)-MAX(6,MIN(INT(((Alpha_keep*$A122+G$3-Lo_c)/Step_c)+0.00000001),193)))*INDEX($D$5:$D$205,MAX(6,MIN(INT(((Alpha_keep*$A122+G$3-Lo_c)/Step_c)+0.00000001),193))+2)),"")</f>
        <v>-226.795951245161</v>
      </c>
      <c r="H122" s="16" t="n">
        <f aca="false">IF(Grid!F122=1,-Cost_k*H$3-Short_p*MAX(0,Floor_c-$A122)+Beta_q*((1-(((Alpha_keep*$A122+H$3-Lo_c)/Step_c)-MAX(6,MIN(INT(((Alpha_keep*$A122+H$3-Lo_c)/Step_c)+0.00000001),193))))*INDEX($D$5:$D$205,MAX(6,MIN(INT(((Alpha_keep*$A122+H$3-Lo_c)/Step_c)+0.00000001),193))+1)+(((Alpha_keep*$A122+H$3-Lo_c)/Step_c)-MAX(6,MIN(INT(((Alpha_keep*$A122+H$3-Lo_c)/Step_c)+0.00000001),193)))*INDEX($D$5:$D$205,MAX(6,MIN(INT(((Alpha_keep*$A122+H$3-Lo_c)/Step_c)+0.00000001),193))+2)),"")</f>
        <v>-226.895443357267</v>
      </c>
      <c r="I122" s="16" t="n">
        <f aca="false">IF(Grid!G122=1,-Cost_k*I$3-Short_p*MAX(0,Floor_c-$A122)+Beta_q*((1-(((Alpha_keep*$A122+I$3-Lo_c)/Step_c)-MAX(6,MIN(INT(((Alpha_keep*$A122+I$3-Lo_c)/Step_c)+0.00000001),193))))*INDEX($D$5:$D$205,MAX(6,MIN(INT(((Alpha_keep*$A122+I$3-Lo_c)/Step_c)+0.00000001),193))+1)+(((Alpha_keep*$A122+I$3-Lo_c)/Step_c)-MAX(6,MIN(INT(((Alpha_keep*$A122+I$3-Lo_c)/Step_c)+0.00000001),193)))*INDEX($D$5:$D$205,MAX(6,MIN(INT(((Alpha_keep*$A122+I$3-Lo_c)/Step_c)+0.00000001),193))+2)),"")</f>
        <v>-226.999645022636</v>
      </c>
      <c r="J122" s="16" t="n">
        <f aca="false">IF(Grid!H122=1,-Cost_k*J$3-Short_p*MAX(0,Floor_c-$A122)+Beta_q*((1-(((Alpha_keep*$A122+J$3-Lo_c)/Step_c)-MAX(6,MIN(INT(((Alpha_keep*$A122+J$3-Lo_c)/Step_c)+0.00000001),193))))*INDEX($D$5:$D$205,MAX(6,MIN(INT(((Alpha_keep*$A122+J$3-Lo_c)/Step_c)+0.00000001),193))+1)+(((Alpha_keep*$A122+J$3-Lo_c)/Step_c)-MAX(6,MIN(INT(((Alpha_keep*$A122+J$3-Lo_c)/Step_c)+0.00000001),193)))*INDEX($D$5:$D$205,MAX(6,MIN(INT(((Alpha_keep*$A122+J$3-Lo_c)/Step_c)+0.00000001),193))+2)),"")</f>
        <v>-227.119554947451</v>
      </c>
      <c r="K122" s="16" t="n">
        <f aca="false">IF(Grid!I122=1,-Cost_k*K$3-Short_p*MAX(0,Floor_c-$A122)+Beta_q*((1-(((Alpha_keep*$A122+K$3-Lo_c)/Step_c)-MAX(6,MIN(INT(((Alpha_keep*$A122+K$3-Lo_c)/Step_c)+0.00000001),193))))*INDEX($D$5:$D$205,MAX(6,MIN(INT(((Alpha_keep*$A122+K$3-Lo_c)/Step_c)+0.00000001),193))+1)+(((Alpha_keep*$A122+K$3-Lo_c)/Step_c)-MAX(6,MIN(INT(((Alpha_keep*$A122+K$3-Lo_c)/Step_c)+0.00000001),193)))*INDEX($D$5:$D$205,MAX(6,MIN(INT(((Alpha_keep*$A122+K$3-Lo_c)/Step_c)+0.00000001),193))+2)),"")</f>
        <v>-227.24066519176</v>
      </c>
      <c r="L122" s="16" t="n">
        <f aca="false">IF(Grid!J122=1,-Cost_k*L$3-Short_p*MAX(0,Floor_c-$A122)+Beta_q*((1-(((Alpha_keep*$A122+L$3-Lo_c)/Step_c)-MAX(6,MIN(INT(((Alpha_keep*$A122+L$3-Lo_c)/Step_c)+0.00000001),193))))*INDEX($D$5:$D$205,MAX(6,MIN(INT(((Alpha_keep*$A122+L$3-Lo_c)/Step_c)+0.00000001),193))+1)+(((Alpha_keep*$A122+L$3-Lo_c)/Step_c)-MAX(6,MIN(INT(((Alpha_keep*$A122+L$3-Lo_c)/Step_c)+0.00000001),193)))*INDEX($D$5:$D$205,MAX(6,MIN(INT(((Alpha_keep*$A122+L$3-Lo_c)/Step_c)+0.00000001),193))+2)),"")</f>
        <v>-227.366574041834</v>
      </c>
      <c r="M122" s="16" t="n">
        <f aca="false">IF(Grid!K122=1,-Cost_k*M$3-Short_p*MAX(0,Floor_c-$A122)+Beta_q*((1-(((Alpha_keep*$A122+M$3-Lo_c)/Step_c)-MAX(6,MIN(INT(((Alpha_keep*$A122+M$3-Lo_c)/Step_c)+0.00000001),193))))*INDEX($D$5:$D$205,MAX(6,MIN(INT(((Alpha_keep*$A122+M$3-Lo_c)/Step_c)+0.00000001),193))+1)+(((Alpha_keep*$A122+M$3-Lo_c)/Step_c)-MAX(6,MIN(INT(((Alpha_keep*$A122+M$3-Lo_c)/Step_c)+0.00000001),193)))*INDEX($D$5:$D$205,MAX(6,MIN(INT(((Alpha_keep*$A122+M$3-Lo_c)/Step_c)+0.00000001),193))+2)),"")</f>
        <v>-227.507696352731</v>
      </c>
      <c r="N122" s="16" t="n">
        <f aca="false">IF(Grid!L122=1,-Cost_k*N$3-Short_p*MAX(0,Floor_c-$A122)+Beta_q*((1-(((Alpha_keep*$A122+N$3-Lo_c)/Step_c)-MAX(6,MIN(INT(((Alpha_keep*$A122+N$3-Lo_c)/Step_c)+0.00000001),193))))*INDEX($D$5:$D$205,MAX(6,MIN(INT(((Alpha_keep*$A122+N$3-Lo_c)/Step_c)+0.00000001),193))+1)+(((Alpha_keep*$A122+N$3-Lo_c)/Step_c)-MAX(6,MIN(INT(((Alpha_keep*$A122+N$3-Lo_c)/Step_c)+0.00000001),193)))*INDEX($D$5:$D$205,MAX(6,MIN(INT(((Alpha_keep*$A122+N$3-Lo_c)/Step_c)+0.00000001),193))+2)),"")</f>
        <v>-227.650048111896</v>
      </c>
      <c r="O122" s="16" t="n">
        <f aca="false">IF(Grid!M122=1,-Cost_k*O$3-Short_p*MAX(0,Floor_c-$A122)+Beta_q*((1-(((Alpha_keep*$A122+O$3-Lo_c)/Step_c)-MAX(6,MIN(INT(((Alpha_keep*$A122+O$3-Lo_c)/Step_c)+0.00000001),193))))*INDEX($D$5:$D$205,MAX(6,MIN(INT(((Alpha_keep*$A122+O$3-Lo_c)/Step_c)+0.00000001),193))+1)+(((Alpha_keep*$A122+O$3-Lo_c)/Step_c)-MAX(6,MIN(INT(((Alpha_keep*$A122+O$3-Lo_c)/Step_c)+0.00000001),193)))*INDEX($D$5:$D$205,MAX(6,MIN(INT(((Alpha_keep*$A122+O$3-Lo_c)/Step_c)+0.00000001),193))+2)),"")</f>
        <v>-227.796886922377</v>
      </c>
      <c r="P122" s="11" t="n">
        <f aca="false">MAX(E122:O122)</f>
        <v>-226.616676922581</v>
      </c>
      <c r="Q122" s="12" t="n">
        <f aca="false">INDEX($E$3:$O$3,MATCH(P122,E122:O122,0))</f>
        <v>0</v>
      </c>
      <c r="R122" s="20" t="n">
        <v>0</v>
      </c>
      <c r="S122" s="14" t="n">
        <f aca="false">IF(ABS(Q122-R122)&lt;0.000000001,1,0)</f>
        <v>1</v>
      </c>
      <c r="T122" s="21" t="n">
        <f aca="false">ABS(P122-B122)</f>
        <v>0</v>
      </c>
      <c r="U122" s="16" t="n">
        <f aca="false">Alpha_keep*A122+Q122</f>
        <v>57.76875</v>
      </c>
      <c r="V122" s="14" t="n">
        <f aca="false">INDEX(GuardBlock,118,ROUND(Q122/Step_h,0)+1)</f>
        <v>1</v>
      </c>
      <c r="W122" s="22" t="n">
        <v>7.74585259164987E-017</v>
      </c>
    </row>
    <row r="123" customFormat="false" ht="15" hidden="false" customHeight="false" outlineLevel="0" collapsed="false">
      <c r="A123" s="18" t="n">
        <f aca="false">Grid!A123</f>
        <v>59.5</v>
      </c>
      <c r="B123" s="19" t="n">
        <v>-225.72007761763</v>
      </c>
      <c r="C123" s="14" t="n">
        <v>118</v>
      </c>
      <c r="D123" s="11" t="n">
        <f aca="false">IF(AND($C123&gt;=6,$C123&lt;=194),Declarations!$B$25*INDEX($B$5:$B$205,$C123+1-Declarations!$E$25)+Declarations!$B$26*INDEX($B$5:$B$205,$C123+1-Declarations!$E$26)+Declarations!$B$27*INDEX($B$5:$B$205,$C123+1-Declarations!$E$27)+Declarations!$B$28*INDEX($B$5:$B$205,$C123+1-Declarations!$E$28)+Declarations!$B$29*INDEX($B$5:$B$205,$C123+1-Declarations!$E$29),"")</f>
        <v>-225.746400200314</v>
      </c>
      <c r="E123" s="16" t="n">
        <f aca="false">IF(Grid!C123=1,-Cost_k*E$3-Short_p*MAX(0,Floor_c-$A123)+Beta_q*((1-(((Alpha_keep*$A123+E$3-Lo_c)/Step_c)-MAX(6,MIN(INT(((Alpha_keep*$A123+E$3-Lo_c)/Step_c)+0.00000001),193))))*INDEX($D$5:$D$205,MAX(6,MIN(INT(((Alpha_keep*$A123+E$3-Lo_c)/Step_c)+0.00000001),193))+1)+(((Alpha_keep*$A123+E$3-Lo_c)/Step_c)-MAX(6,MIN(INT(((Alpha_keep*$A123+E$3-Lo_c)/Step_c)+0.00000001),193)))*INDEX($D$5:$D$205,MAX(6,MIN(INT(((Alpha_keep*$A123+E$3-Lo_c)/Step_c)+0.00000001),193))+2)),"")</f>
        <v>-225.72007761763</v>
      </c>
      <c r="F123" s="16" t="n">
        <f aca="false">IF(Grid!D123=1,-Cost_k*F$3-Short_p*MAX(0,Floor_c-$A123)+Beta_q*((1-(((Alpha_keep*$A123+F$3-Lo_c)/Step_c)-MAX(6,MIN(INT(((Alpha_keep*$A123+F$3-Lo_c)/Step_c)+0.00000001),193))))*INDEX($D$5:$D$205,MAX(6,MIN(INT(((Alpha_keep*$A123+F$3-Lo_c)/Step_c)+0.00000001),193))+1)+(((Alpha_keep*$A123+F$3-Lo_c)/Step_c)-MAX(6,MIN(INT(((Alpha_keep*$A123+F$3-Lo_c)/Step_c)+0.00000001),193)))*INDEX($D$5:$D$205,MAX(6,MIN(INT(((Alpha_keep*$A123+F$3-Lo_c)/Step_c)+0.00000001),193))+2)),"")</f>
        <v>-225.818470919178</v>
      </c>
      <c r="G123" s="16" t="n">
        <f aca="false">IF(Grid!E123=1,-Cost_k*G$3-Short_p*MAX(0,Floor_c-$A123)+Beta_q*((1-(((Alpha_keep*$A123+G$3-Lo_c)/Step_c)-MAX(6,MIN(INT(((Alpha_keep*$A123+G$3-Lo_c)/Step_c)+0.00000001),193))))*INDEX($D$5:$D$205,MAX(6,MIN(INT(((Alpha_keep*$A123+G$3-Lo_c)/Step_c)+0.00000001),193))+1)+(((Alpha_keep*$A123+G$3-Lo_c)/Step_c)-MAX(6,MIN(INT(((Alpha_keep*$A123+G$3-Lo_c)/Step_c)+0.00000001),193)))*INDEX($D$5:$D$205,MAX(6,MIN(INT(((Alpha_keep*$A123+G$3-Lo_c)/Step_c)+0.00000001),193))+2)),"")</f>
        <v>-225.917870007015</v>
      </c>
      <c r="H123" s="16" t="n">
        <f aca="false">IF(Grid!F123=1,-Cost_k*H$3-Short_p*MAX(0,Floor_c-$A123)+Beta_q*((1-(((Alpha_keep*$A123+H$3-Lo_c)/Step_c)-MAX(6,MIN(INT(((Alpha_keep*$A123+H$3-Lo_c)/Step_c)+0.00000001),193))))*INDEX($D$5:$D$205,MAX(6,MIN(INT(((Alpha_keep*$A123+H$3-Lo_c)/Step_c)+0.00000001),193))+1)+(((Alpha_keep*$A123+H$3-Lo_c)/Step_c)-MAX(6,MIN(INT(((Alpha_keep*$A123+H$3-Lo_c)/Step_c)+0.00000001),193)))*INDEX($D$5:$D$205,MAX(6,MIN(INT(((Alpha_keep*$A123+H$3-Lo_c)/Step_c)+0.00000001),193))+2)),"")</f>
        <v>-226.021649120624</v>
      </c>
      <c r="I123" s="16" t="n">
        <f aca="false">IF(Grid!G123=1,-Cost_k*I$3-Short_p*MAX(0,Floor_c-$A123)+Beta_q*((1-(((Alpha_keep*$A123+I$3-Lo_c)/Step_c)-MAX(6,MIN(INT(((Alpha_keep*$A123+I$3-Lo_c)/Step_c)+0.00000001),193))))*INDEX($D$5:$D$205,MAX(6,MIN(INT(((Alpha_keep*$A123+I$3-Lo_c)/Step_c)+0.00000001),193))+1)+(((Alpha_keep*$A123+I$3-Lo_c)/Step_c)-MAX(6,MIN(INT(((Alpha_keep*$A123+I$3-Lo_c)/Step_c)+0.00000001),193)))*INDEX($D$5:$D$205,MAX(6,MIN(INT(((Alpha_keep*$A123+I$3-Lo_c)/Step_c)+0.00000001),193))+2)),"")</f>
        <v>-226.141534430651</v>
      </c>
      <c r="J123" s="16" t="n">
        <f aca="false">IF(Grid!H123=1,-Cost_k*J$3-Short_p*MAX(0,Floor_c-$A123)+Beta_q*((1-(((Alpha_keep*$A123+J$3-Lo_c)/Step_c)-MAX(6,MIN(INT(((Alpha_keep*$A123+J$3-Lo_c)/Step_c)+0.00000001),193))))*INDEX($D$5:$D$205,MAX(6,MIN(INT(((Alpha_keep*$A123+J$3-Lo_c)/Step_c)+0.00000001),193))+1)+(((Alpha_keep*$A123+J$3-Lo_c)/Step_c)-MAX(6,MIN(INT(((Alpha_keep*$A123+J$3-Lo_c)/Step_c)+0.00000001),193)))*INDEX($D$5:$D$205,MAX(6,MIN(INT(((Alpha_keep*$A123+J$3-Lo_c)/Step_c)+0.00000001),193))+2)),"")</f>
        <v>-226.262548150854</v>
      </c>
      <c r="K123" s="16" t="n">
        <f aca="false">IF(Grid!I123=1,-Cost_k*K$3-Short_p*MAX(0,Floor_c-$A123)+Beta_q*((1-(((Alpha_keep*$A123+K$3-Lo_c)/Step_c)-MAX(6,MIN(INT(((Alpha_keep*$A123+K$3-Lo_c)/Step_c)+0.00000001),193))))*INDEX($D$5:$D$205,MAX(6,MIN(INT(((Alpha_keep*$A123+K$3-Lo_c)/Step_c)+0.00000001),193))+1)+(((Alpha_keep*$A123+K$3-Lo_c)/Step_c)-MAX(6,MIN(INT(((Alpha_keep*$A123+K$3-Lo_c)/Step_c)+0.00000001),193)))*INDEX($D$5:$D$205,MAX(6,MIN(INT(((Alpha_keep*$A123+K$3-Lo_c)/Step_c)+0.00000001),193))+2)),"")</f>
        <v>-226.388047929656</v>
      </c>
      <c r="L123" s="16" t="n">
        <f aca="false">IF(Grid!J123=1,-Cost_k*L$3-Short_p*MAX(0,Floor_c-$A123)+Beta_q*((1-(((Alpha_keep*$A123+L$3-Lo_c)/Step_c)-MAX(6,MIN(INT(((Alpha_keep*$A123+L$3-Lo_c)/Step_c)+0.00000001),193))))*INDEX($D$5:$D$205,MAX(6,MIN(INT(((Alpha_keep*$A123+L$3-Lo_c)/Step_c)+0.00000001),193))+1)+(((Alpha_keep*$A123+L$3-Lo_c)/Step_c)-MAX(6,MIN(INT(((Alpha_keep*$A123+L$3-Lo_c)/Step_c)+0.00000001),193)))*INDEX($D$5:$D$205,MAX(6,MIN(INT(((Alpha_keep*$A123+L$3-Lo_c)/Step_c)+0.00000001),193))+2)),"")</f>
        <v>-226.529144299283</v>
      </c>
      <c r="M123" s="16" t="n">
        <f aca="false">IF(Grid!K123=1,-Cost_k*M$3-Short_p*MAX(0,Floor_c-$A123)+Beta_q*((1-(((Alpha_keep*$A123+M$3-Lo_c)/Step_c)-MAX(6,MIN(INT(((Alpha_keep*$A123+M$3-Lo_c)/Step_c)+0.00000001),193))))*INDEX($D$5:$D$205,MAX(6,MIN(INT(((Alpha_keep*$A123+M$3-Lo_c)/Step_c)+0.00000001),193))+1)+(((Alpha_keep*$A123+M$3-Lo_c)/Step_c)-MAX(6,MIN(INT(((Alpha_keep*$A123+M$3-Lo_c)/Step_c)+0.00000001),193)))*INDEX($D$5:$D$205,MAX(6,MIN(INT(((Alpha_keep*$A123+M$3-Lo_c)/Step_c)+0.00000001),193))+2)),"")</f>
        <v>-226.671406184695</v>
      </c>
      <c r="N123" s="16" t="n">
        <f aca="false">IF(Grid!L123=1,-Cost_k*N$3-Short_p*MAX(0,Floor_c-$A123)+Beta_q*((1-(((Alpha_keep*$A123+N$3-Lo_c)/Step_c)-MAX(6,MIN(INT(((Alpha_keep*$A123+N$3-Lo_c)/Step_c)+0.00000001),193))))*INDEX($D$5:$D$205,MAX(6,MIN(INT(((Alpha_keep*$A123+N$3-Lo_c)/Step_c)+0.00000001),193))+1)+(((Alpha_keep*$A123+N$3-Lo_c)/Step_c)-MAX(6,MIN(INT(((Alpha_keep*$A123+N$3-Lo_c)/Step_c)+0.00000001),193)))*INDEX($D$5:$D$205,MAX(6,MIN(INT(((Alpha_keep*$A123+N$3-Lo_c)/Step_c)+0.00000001),193))+2)),"")</f>
        <v>-226.817857754367</v>
      </c>
      <c r="O123" s="16" t="n">
        <f aca="false">IF(Grid!M123=1,-Cost_k*O$3-Short_p*MAX(0,Floor_c-$A123)+Beta_q*((1-(((Alpha_keep*$A123+O$3-Lo_c)/Step_c)-MAX(6,MIN(INT(((Alpha_keep*$A123+O$3-Lo_c)/Step_c)+0.00000001),193))))*INDEX($D$5:$D$205,MAX(6,MIN(INT(((Alpha_keep*$A123+O$3-Lo_c)/Step_c)+0.00000001),193))+1)+(((Alpha_keep*$A123+O$3-Lo_c)/Step_c)-MAX(6,MIN(INT(((Alpha_keep*$A123+O$3-Lo_c)/Step_c)+0.00000001),193)))*INDEX($D$5:$D$205,MAX(6,MIN(INT(((Alpha_keep*$A123+O$3-Lo_c)/Step_c)+0.00000001),193))+2)),"")</f>
        <v>-226.97910204458</v>
      </c>
      <c r="P123" s="11" t="n">
        <f aca="false">MAX(E123:O123)</f>
        <v>-225.72007761763</v>
      </c>
      <c r="Q123" s="12" t="n">
        <f aca="false">INDEX($E$3:$O$3,MATCH(P123,E123:O123,0))</f>
        <v>0</v>
      </c>
      <c r="R123" s="20" t="n">
        <v>0</v>
      </c>
      <c r="S123" s="14" t="n">
        <f aca="false">IF(ABS(Q123-R123)&lt;0.000000001,1,0)</f>
        <v>1</v>
      </c>
      <c r="T123" s="21" t="n">
        <f aca="false">ABS(P123-B123)</f>
        <v>0</v>
      </c>
      <c r="U123" s="16" t="n">
        <f aca="false">Alpha_keep*A123+Q123</f>
        <v>58.0125</v>
      </c>
      <c r="V123" s="14" t="n">
        <f aca="false">INDEX(GuardBlock,119,ROUND(Q123/Step_h,0)+1)</f>
        <v>1</v>
      </c>
      <c r="W123" s="22" t="n">
        <v>3.04956405752577E-019</v>
      </c>
    </row>
    <row r="124" customFormat="false" ht="15" hidden="false" customHeight="false" outlineLevel="0" collapsed="false">
      <c r="A124" s="18" t="n">
        <f aca="false">Grid!A124</f>
        <v>59.75</v>
      </c>
      <c r="B124" s="19" t="n">
        <v>-224.840990593196</v>
      </c>
      <c r="C124" s="14" t="n">
        <v>119</v>
      </c>
      <c r="D124" s="11" t="n">
        <f aca="false">IF(AND($C124&gt;=6,$C124&lt;=194),Declarations!$B$25*INDEX($B$5:$B$205,$C124+1-Declarations!$E$25)+Declarations!$B$26*INDEX($B$5:$B$205,$C124+1-Declarations!$E$26)+Declarations!$B$27*INDEX($B$5:$B$205,$C124+1-Declarations!$E$27)+Declarations!$B$28*INDEX($B$5:$B$205,$C124+1-Declarations!$E$28)+Declarations!$B$29*INDEX($B$5:$B$205,$C124+1-Declarations!$E$29),"")</f>
        <v>-224.866732101225</v>
      </c>
      <c r="E124" s="16" t="n">
        <f aca="false">IF(Grid!C124=1,-Cost_k*E$3-Short_p*MAX(0,Floor_c-$A124)+Beta_q*((1-(((Alpha_keep*$A124+E$3-Lo_c)/Step_c)-MAX(6,MIN(INT(((Alpha_keep*$A124+E$3-Lo_c)/Step_c)+0.00000001),193))))*INDEX($D$5:$D$205,MAX(6,MIN(INT(((Alpha_keep*$A124+E$3-Lo_c)/Step_c)+0.00000001),193))+1)+(((Alpha_keep*$A124+E$3-Lo_c)/Step_c)-MAX(6,MIN(INT(((Alpha_keep*$A124+E$3-Lo_c)/Step_c)+0.00000001),193)))*INDEX($D$5:$D$205,MAX(6,MIN(INT(((Alpha_keep*$A124+E$3-Lo_c)/Step_c)+0.00000001),193))+2)),"")</f>
        <v>-224.840990593196</v>
      </c>
      <c r="F124" s="16" t="n">
        <f aca="false">IF(Grid!D124=1,-Cost_k*F$3-Short_p*MAX(0,Floor_c-$A124)+Beta_q*((1-(((Alpha_keep*$A124+F$3-Lo_c)/Step_c)-MAX(6,MIN(INT(((Alpha_keep*$A124+F$3-Lo_c)/Step_c)+0.00000001),193))))*INDEX($D$5:$D$205,MAX(6,MIN(INT(((Alpha_keep*$A124+F$3-Lo_c)/Step_c)+0.00000001),193))+1)+(((Alpha_keep*$A124+F$3-Lo_c)/Step_c)-MAX(6,MIN(INT(((Alpha_keep*$A124+F$3-Lo_c)/Step_c)+0.00000001),193)))*INDEX($D$5:$D$205,MAX(6,MIN(INT(((Alpha_keep*$A124+F$3-Lo_c)/Step_c)+0.00000001),193))+2)),"")</f>
        <v>-224.940296656763</v>
      </c>
      <c r="G124" s="16" t="n">
        <f aca="false">IF(Grid!E124=1,-Cost_k*G$3-Short_p*MAX(0,Floor_c-$A124)+Beta_q*((1-(((Alpha_keep*$A124+G$3-Lo_c)/Step_c)-MAX(6,MIN(INT(((Alpha_keep*$A124+G$3-Lo_c)/Step_c)+0.00000001),193))))*INDEX($D$5:$D$205,MAX(6,MIN(INT(((Alpha_keep*$A124+G$3-Lo_c)/Step_c)+0.00000001),193))+1)+(((Alpha_keep*$A124+G$3-Lo_c)/Step_c)-MAX(6,MIN(INT(((Alpha_keep*$A124+G$3-Lo_c)/Step_c)+0.00000001),193)))*INDEX($D$5:$D$205,MAX(6,MIN(INT(((Alpha_keep*$A124+G$3-Lo_c)/Step_c)+0.00000001),193))+2)),"")</f>
        <v>-225.043653218613</v>
      </c>
      <c r="H124" s="16" t="n">
        <f aca="false">IF(Grid!F124=1,-Cost_k*H$3-Short_p*MAX(0,Floor_c-$A124)+Beta_q*((1-(((Alpha_keep*$A124+H$3-Lo_c)/Step_c)-MAX(6,MIN(INT(((Alpha_keep*$A124+H$3-Lo_c)/Step_c)+0.00000001),193))))*INDEX($D$5:$D$205,MAX(6,MIN(INT(((Alpha_keep*$A124+H$3-Lo_c)/Step_c)+0.00000001),193))+1)+(((Alpha_keep*$A124+H$3-Lo_c)/Step_c)-MAX(6,MIN(INT(((Alpha_keep*$A124+H$3-Lo_c)/Step_c)+0.00000001),193)))*INDEX($D$5:$D$205,MAX(6,MIN(INT(((Alpha_keep*$A124+H$3-Lo_c)/Step_c)+0.00000001),193))+2)),"")</f>
        <v>-225.163513913851</v>
      </c>
      <c r="I124" s="16" t="n">
        <f aca="false">IF(Grid!G124=1,-Cost_k*I$3-Short_p*MAX(0,Floor_c-$A124)+Beta_q*((1-(((Alpha_keep*$A124+I$3-Lo_c)/Step_c)-MAX(6,MIN(INT(((Alpha_keep*$A124+I$3-Lo_c)/Step_c)+0.00000001),193))))*INDEX($D$5:$D$205,MAX(6,MIN(INT(((Alpha_keep*$A124+I$3-Lo_c)/Step_c)+0.00000001),193))+1)+(((Alpha_keep*$A124+I$3-Lo_c)/Step_c)-MAX(6,MIN(INT(((Alpha_keep*$A124+I$3-Lo_c)/Step_c)+0.00000001),193)))*INDEX($D$5:$D$205,MAX(6,MIN(INT(((Alpha_keep*$A124+I$3-Lo_c)/Step_c)+0.00000001),193))+2)),"")</f>
        <v>-225.284431109947</v>
      </c>
      <c r="J124" s="16" t="n">
        <f aca="false">IF(Grid!H124=1,-Cost_k*J$3-Short_p*MAX(0,Floor_c-$A124)+Beta_q*((1-(((Alpha_keep*$A124+J$3-Lo_c)/Step_c)-MAX(6,MIN(INT(((Alpha_keep*$A124+J$3-Lo_c)/Step_c)+0.00000001),193))))*INDEX($D$5:$D$205,MAX(6,MIN(INT(((Alpha_keep*$A124+J$3-Lo_c)/Step_c)+0.00000001),193))+1)+(((Alpha_keep*$A124+J$3-Lo_c)/Step_c)-MAX(6,MIN(INT(((Alpha_keep*$A124+J$3-Lo_c)/Step_c)+0.00000001),193)))*INDEX($D$5:$D$205,MAX(6,MIN(INT(((Alpha_keep*$A124+J$3-Lo_c)/Step_c)+0.00000001),193))+2)),"")</f>
        <v>-225.409521817479</v>
      </c>
      <c r="K124" s="16" t="n">
        <f aca="false">IF(Grid!I124=1,-Cost_k*K$3-Short_p*MAX(0,Floor_c-$A124)+Beta_q*((1-(((Alpha_keep*$A124+K$3-Lo_c)/Step_c)-MAX(6,MIN(INT(((Alpha_keep*$A124+K$3-Lo_c)/Step_c)+0.00000001),193))))*INDEX($D$5:$D$205,MAX(6,MIN(INT(((Alpha_keep*$A124+K$3-Lo_c)/Step_c)+0.00000001),193))+1)+(((Alpha_keep*$A124+K$3-Lo_c)/Step_c)-MAX(6,MIN(INT(((Alpha_keep*$A124+K$3-Lo_c)/Step_c)+0.00000001),193)))*INDEX($D$5:$D$205,MAX(6,MIN(INT(((Alpha_keep*$A124+K$3-Lo_c)/Step_c)+0.00000001),193))+2)),"")</f>
        <v>-225.550592245836</v>
      </c>
      <c r="L124" s="16" t="n">
        <f aca="false">IF(Grid!J124=1,-Cost_k*L$3-Short_p*MAX(0,Floor_c-$A124)+Beta_q*((1-(((Alpha_keep*$A124+L$3-Lo_c)/Step_c)-MAX(6,MIN(INT(((Alpha_keep*$A124+L$3-Lo_c)/Step_c)+0.00000001),193))))*INDEX($D$5:$D$205,MAX(6,MIN(INT(((Alpha_keep*$A124+L$3-Lo_c)/Step_c)+0.00000001),193))+1)+(((Alpha_keep*$A124+L$3-Lo_c)/Step_c)-MAX(6,MIN(INT(((Alpha_keep*$A124+L$3-Lo_c)/Step_c)+0.00000001),193)))*INDEX($D$5:$D$205,MAX(6,MIN(INT(((Alpha_keep*$A124+L$3-Lo_c)/Step_c)+0.00000001),193))+2)),"")</f>
        <v>-225.692764257493</v>
      </c>
      <c r="M124" s="16" t="n">
        <f aca="false">IF(Grid!K124=1,-Cost_k*M$3-Short_p*MAX(0,Floor_c-$A124)+Beta_q*((1-(((Alpha_keep*$A124+M$3-Lo_c)/Step_c)-MAX(6,MIN(INT(((Alpha_keep*$A124+M$3-Lo_c)/Step_c)+0.00000001),193))))*INDEX($D$5:$D$205,MAX(6,MIN(INT(((Alpha_keep*$A124+M$3-Lo_c)/Step_c)+0.00000001),193))+1)+(((Alpha_keep*$A124+M$3-Lo_c)/Step_c)-MAX(6,MIN(INT(((Alpha_keep*$A124+M$3-Lo_c)/Step_c)+0.00000001),193)))*INDEX($D$5:$D$205,MAX(6,MIN(INT(((Alpha_keep*$A124+M$3-Lo_c)/Step_c)+0.00000001),193))+2)),"")</f>
        <v>-225.838828586357</v>
      </c>
      <c r="N124" s="16" t="n">
        <f aca="false">IF(Grid!L124=1,-Cost_k*N$3-Short_p*MAX(0,Floor_c-$A124)+Beta_q*((1-(((Alpha_keep*$A124+N$3-Lo_c)/Step_c)-MAX(6,MIN(INT(((Alpha_keep*$A124+N$3-Lo_c)/Step_c)+0.00000001),193))))*INDEX($D$5:$D$205,MAX(6,MIN(INT(((Alpha_keep*$A124+N$3-Lo_c)/Step_c)+0.00000001),193))+1)+(((Alpha_keep*$A124+N$3-Lo_c)/Step_c)-MAX(6,MIN(INT(((Alpha_keep*$A124+N$3-Lo_c)/Step_c)+0.00000001),193)))*INDEX($D$5:$D$205,MAX(6,MIN(INT(((Alpha_keep*$A124+N$3-Lo_c)/Step_c)+0.00000001),193))+2)),"")</f>
        <v>-226.000034091665</v>
      </c>
      <c r="O124" s="16" t="n">
        <f aca="false">IF(Grid!M124=1,-Cost_k*O$3-Short_p*MAX(0,Floor_c-$A124)+Beta_q*((1-(((Alpha_keep*$A124+O$3-Lo_c)/Step_c)-MAX(6,MIN(INT(((Alpha_keep*$A124+O$3-Lo_c)/Step_c)+0.00000001),193))))*INDEX($D$5:$D$205,MAX(6,MIN(INT(((Alpha_keep*$A124+O$3-Lo_c)/Step_c)+0.00000001),193))+1)+(((Alpha_keep*$A124+O$3-Lo_c)/Step_c)-MAX(6,MIN(INT(((Alpha_keep*$A124+O$3-Lo_c)/Step_c)+0.00000001),193)))*INDEX($D$5:$D$205,MAX(6,MIN(INT(((Alpha_keep*$A124+O$3-Lo_c)/Step_c)+0.00000001),193))+2)),"")</f>
        <v>-226.162836669112</v>
      </c>
      <c r="P124" s="11" t="n">
        <f aca="false">MAX(E124:O124)</f>
        <v>-224.840990593196</v>
      </c>
      <c r="Q124" s="12" t="n">
        <f aca="false">INDEX($E$3:$O$3,MATCH(P124,E124:O124,0))</f>
        <v>0</v>
      </c>
      <c r="R124" s="20" t="n">
        <v>0</v>
      </c>
      <c r="S124" s="14" t="n">
        <f aca="false">IF(ABS(Q124-R124)&lt;0.000000001,1,0)</f>
        <v>1</v>
      </c>
      <c r="T124" s="21" t="n">
        <f aca="false">ABS(P124-B124)</f>
        <v>0</v>
      </c>
      <c r="U124" s="16" t="n">
        <f aca="false">Alpha_keep*A124+Q124</f>
        <v>58.25625</v>
      </c>
      <c r="V124" s="14" t="n">
        <f aca="false">INDEX(GuardBlock,120,ROUND(Q124/Step_h,0)+1)</f>
        <v>1</v>
      </c>
      <c r="W124" s="22" t="n">
        <v>8.01593352836718E-022</v>
      </c>
    </row>
    <row r="125" customFormat="false" ht="15" hidden="false" customHeight="false" outlineLevel="0" collapsed="false">
      <c r="A125" s="18" t="n">
        <f aca="false">Grid!A125</f>
        <v>60</v>
      </c>
      <c r="B125" s="19" t="n">
        <v>-223.96272330651</v>
      </c>
      <c r="C125" s="14" t="n">
        <v>120</v>
      </c>
      <c r="D125" s="11" t="n">
        <f aca="false">IF(AND($C125&gt;=6,$C125&lt;=194),Declarations!$B$25*INDEX($B$5:$B$205,$C125+1-Declarations!$E$25)+Declarations!$B$26*INDEX($B$5:$B$205,$C125+1-Declarations!$E$26)+Declarations!$B$27*INDEX($B$5:$B$205,$C125+1-Declarations!$E$27)+Declarations!$B$28*INDEX($B$5:$B$205,$C125+1-Declarations!$E$28)+Declarations!$B$29*INDEX($B$5:$B$205,$C125+1-Declarations!$E$29),"")</f>
        <v>-223.988126674542</v>
      </c>
      <c r="E125" s="16" t="n">
        <f aca="false">IF(Grid!C125=1,-Cost_k*E$3-Short_p*MAX(0,Floor_c-$A125)+Beta_q*((1-(((Alpha_keep*$A125+E$3-Lo_c)/Step_c)-MAX(6,MIN(INT(((Alpha_keep*$A125+E$3-Lo_c)/Step_c)+0.00000001),193))))*INDEX($D$5:$D$205,MAX(6,MIN(INT(((Alpha_keep*$A125+E$3-Lo_c)/Step_c)+0.00000001),193))+1)+(((Alpha_keep*$A125+E$3-Lo_c)/Step_c)-MAX(6,MIN(INT(((Alpha_keep*$A125+E$3-Lo_c)/Step_c)+0.00000001),193)))*INDEX($D$5:$D$205,MAX(6,MIN(INT(((Alpha_keep*$A125+E$3-Lo_c)/Step_c)+0.00000001),193))+2)),"")</f>
        <v>-223.96272330651</v>
      </c>
      <c r="F125" s="16" t="n">
        <f aca="false">IF(Grid!D125=1,-Cost_k*F$3-Short_p*MAX(0,Floor_c-$A125)+Beta_q*((1-(((Alpha_keep*$A125+F$3-Lo_c)/Step_c)-MAX(6,MIN(INT(((Alpha_keep*$A125+F$3-Lo_c)/Step_c)+0.00000001),193))))*INDEX($D$5:$D$205,MAX(6,MIN(INT(((Alpha_keep*$A125+F$3-Lo_c)/Step_c)+0.00000001),193))+1)+(((Alpha_keep*$A125+F$3-Lo_c)/Step_c)-MAX(6,MIN(INT(((Alpha_keep*$A125+F$3-Lo_c)/Step_c)+0.00000001),193)))*INDEX($D$5:$D$205,MAX(6,MIN(INT(((Alpha_keep*$A125+F$3-Lo_c)/Step_c)+0.00000001),193))+2)),"")</f>
        <v>-224.065657316602</v>
      </c>
      <c r="G125" s="16" t="n">
        <f aca="false">IF(Grid!E125=1,-Cost_k*G$3-Short_p*MAX(0,Floor_c-$A125)+Beta_q*((1-(((Alpha_keep*$A125+G$3-Lo_c)/Step_c)-MAX(6,MIN(INT(((Alpha_keep*$A125+G$3-Lo_c)/Step_c)+0.00000001),193))))*INDEX($D$5:$D$205,MAX(6,MIN(INT(((Alpha_keep*$A125+G$3-Lo_c)/Step_c)+0.00000001),193))+1)+(((Alpha_keep*$A125+G$3-Lo_c)/Step_c)-MAX(6,MIN(INT(((Alpha_keep*$A125+G$3-Lo_c)/Step_c)+0.00000001),193)))*INDEX($D$5:$D$205,MAX(6,MIN(INT(((Alpha_keep*$A125+G$3-Lo_c)/Step_c)+0.00000001),193))+2)),"")</f>
        <v>-224.185493397052</v>
      </c>
      <c r="H125" s="16" t="n">
        <f aca="false">IF(Grid!F125=1,-Cost_k*H$3-Short_p*MAX(0,Floor_c-$A125)+Beta_q*((1-(((Alpha_keep*$A125+H$3-Lo_c)/Step_c)-MAX(6,MIN(INT(((Alpha_keep*$A125+H$3-Lo_c)/Step_c)+0.00000001),193))))*INDEX($D$5:$D$205,MAX(6,MIN(INT(((Alpha_keep*$A125+H$3-Lo_c)/Step_c)+0.00000001),193))+1)+(((Alpha_keep*$A125+H$3-Lo_c)/Step_c)-MAX(6,MIN(INT(((Alpha_keep*$A125+H$3-Lo_c)/Step_c)+0.00000001),193)))*INDEX($D$5:$D$205,MAX(6,MIN(INT(((Alpha_keep*$A125+H$3-Lo_c)/Step_c)+0.00000001),193))+2)),"")</f>
        <v>-224.306314069041</v>
      </c>
      <c r="I125" s="16" t="n">
        <f aca="false">IF(Grid!G125=1,-Cost_k*I$3-Short_p*MAX(0,Floor_c-$A125)+Beta_q*((1-(((Alpha_keep*$A125+I$3-Lo_c)/Step_c)-MAX(6,MIN(INT(((Alpha_keep*$A125+I$3-Lo_c)/Step_c)+0.00000001),193))))*INDEX($D$5:$D$205,MAX(6,MIN(INT(((Alpha_keep*$A125+I$3-Lo_c)/Step_c)+0.00000001),193))+1)+(((Alpha_keep*$A125+I$3-Lo_c)/Step_c)-MAX(6,MIN(INT(((Alpha_keep*$A125+I$3-Lo_c)/Step_c)+0.00000001),193)))*INDEX($D$5:$D$205,MAX(6,MIN(INT(((Alpha_keep*$A125+I$3-Lo_c)/Step_c)+0.00000001),193))+2)),"")</f>
        <v>-224.430995705302</v>
      </c>
      <c r="J125" s="16" t="n">
        <f aca="false">IF(Grid!H125=1,-Cost_k*J$3-Short_p*MAX(0,Floor_c-$A125)+Beta_q*((1-(((Alpha_keep*$A125+J$3-Lo_c)/Step_c)-MAX(6,MIN(INT(((Alpha_keep*$A125+J$3-Lo_c)/Step_c)+0.00000001),193))))*INDEX($D$5:$D$205,MAX(6,MIN(INT(((Alpha_keep*$A125+J$3-Lo_c)/Step_c)+0.00000001),193))+1)+(((Alpha_keep*$A125+J$3-Lo_c)/Step_c)-MAX(6,MIN(INT(((Alpha_keep*$A125+J$3-Lo_c)/Step_c)+0.00000001),193)))*INDEX($D$5:$D$205,MAX(6,MIN(INT(((Alpha_keep*$A125+J$3-Lo_c)/Step_c)+0.00000001),193))+2)),"")</f>
        <v>-224.572040192388</v>
      </c>
      <c r="K125" s="16" t="n">
        <f aca="false">IF(Grid!I125=1,-Cost_k*K$3-Short_p*MAX(0,Floor_c-$A125)+Beta_q*((1-(((Alpha_keep*$A125+K$3-Lo_c)/Step_c)-MAX(6,MIN(INT(((Alpha_keep*$A125+K$3-Lo_c)/Step_c)+0.00000001),193))))*INDEX($D$5:$D$205,MAX(6,MIN(INT(((Alpha_keep*$A125+K$3-Lo_c)/Step_c)+0.00000001),193))+1)+(((Alpha_keep*$A125+K$3-Lo_c)/Step_c)-MAX(6,MIN(INT(((Alpha_keep*$A125+K$3-Lo_c)/Step_c)+0.00000001),193)))*INDEX($D$5:$D$205,MAX(6,MIN(INT(((Alpha_keep*$A125+K$3-Lo_c)/Step_c)+0.00000001),193))+2)),"")</f>
        <v>-224.714122330292</v>
      </c>
      <c r="L125" s="16" t="n">
        <f aca="false">IF(Grid!J125=1,-Cost_k*L$3-Short_p*MAX(0,Floor_c-$A125)+Beta_q*((1-(((Alpha_keep*$A125+L$3-Lo_c)/Step_c)-MAX(6,MIN(INT(((Alpha_keep*$A125+L$3-Lo_c)/Step_c)+0.00000001),193))))*INDEX($D$5:$D$205,MAX(6,MIN(INT(((Alpha_keep*$A125+L$3-Lo_c)/Step_c)+0.00000001),193))+1)+(((Alpha_keep*$A125+L$3-Lo_c)/Step_c)-MAX(6,MIN(INT(((Alpha_keep*$A125+L$3-Lo_c)/Step_c)+0.00000001),193)))*INDEX($D$5:$D$205,MAX(6,MIN(INT(((Alpha_keep*$A125+L$3-Lo_c)/Step_c)+0.00000001),193))+2)),"")</f>
        <v>-224.859799418347</v>
      </c>
      <c r="M125" s="16" t="n">
        <f aca="false">IF(Grid!K125=1,-Cost_k*M$3-Short_p*MAX(0,Floor_c-$A125)+Beta_q*((1-(((Alpha_keep*$A125+M$3-Lo_c)/Step_c)-MAX(6,MIN(INT(((Alpha_keep*$A125+M$3-Lo_c)/Step_c)+0.00000001),193))))*INDEX($D$5:$D$205,MAX(6,MIN(INT(((Alpha_keep*$A125+M$3-Lo_c)/Step_c)+0.00000001),193))+1)+(((Alpha_keep*$A125+M$3-Lo_c)/Step_c)-MAX(6,MIN(INT(((Alpha_keep*$A125+M$3-Lo_c)/Step_c)+0.00000001),193)))*INDEX($D$5:$D$205,MAX(6,MIN(INT(((Alpha_keep*$A125+M$3-Lo_c)/Step_c)+0.00000001),193))+2)),"")</f>
        <v>-225.02096613875</v>
      </c>
      <c r="N125" s="16" t="n">
        <f aca="false">IF(Grid!L125=1,-Cost_k*N$3-Short_p*MAX(0,Floor_c-$A125)+Beta_q*((1-(((Alpha_keep*$A125+N$3-Lo_c)/Step_c)-MAX(6,MIN(INT(((Alpha_keep*$A125+N$3-Lo_c)/Step_c)+0.00000001),193))))*INDEX($D$5:$D$205,MAX(6,MIN(INT(((Alpha_keep*$A125+N$3-Lo_c)/Step_c)+0.00000001),193))+1)+(((Alpha_keep*$A125+N$3-Lo_c)/Step_c)-MAX(6,MIN(INT(((Alpha_keep*$A125+N$3-Lo_c)/Step_c)+0.00000001),193)))*INDEX($D$5:$D$205,MAX(6,MIN(INT(((Alpha_keep*$A125+N$3-Lo_c)/Step_c)+0.00000001),193))+2)),"")</f>
        <v>-225.183684255366</v>
      </c>
      <c r="O125" s="16" t="n">
        <f aca="false">IF(Grid!M125=1,-Cost_k*O$3-Short_p*MAX(0,Floor_c-$A125)+Beta_q*((1-(((Alpha_keep*$A125+O$3-Lo_c)/Step_c)-MAX(6,MIN(INT(((Alpha_keep*$A125+O$3-Lo_c)/Step_c)+0.00000001),193))))*INDEX($D$5:$D$205,MAX(6,MIN(INT(((Alpha_keep*$A125+O$3-Lo_c)/Step_c)+0.00000001),193))+1)+(((Alpha_keep*$A125+O$3-Lo_c)/Step_c)-MAX(6,MIN(INT(((Alpha_keep*$A125+O$3-Lo_c)/Step_c)+0.00000001),193)))*INDEX($D$5:$D$205,MAX(6,MIN(INT(((Alpha_keep*$A125+O$3-Lo_c)/Step_c)+0.00000001),193))+2)),"")</f>
        <v>-225.349780805224</v>
      </c>
      <c r="P125" s="11" t="n">
        <f aca="false">MAX(E125:O125)</f>
        <v>-223.96272330651</v>
      </c>
      <c r="Q125" s="12" t="n">
        <f aca="false">INDEX($E$3:$O$3,MATCH(P125,E125:O125,0))</f>
        <v>0</v>
      </c>
      <c r="R125" s="20" t="n">
        <v>0</v>
      </c>
      <c r="S125" s="14" t="n">
        <f aca="false">IF(ABS(Q125-R125)&lt;0.000000001,1,0)</f>
        <v>1</v>
      </c>
      <c r="T125" s="21" t="n">
        <f aca="false">ABS(P125-B125)</f>
        <v>0</v>
      </c>
      <c r="U125" s="16" t="n">
        <f aca="false">Alpha_keep*A125+Q125</f>
        <v>58.5</v>
      </c>
      <c r="V125" s="14" t="n">
        <f aca="false">INDEX(GuardBlock,121,ROUND(Q125/Step_h,0)+1)</f>
        <v>1</v>
      </c>
      <c r="W125" s="22" t="n">
        <v>1.05944073880166E-024</v>
      </c>
    </row>
    <row r="126" customFormat="false" ht="15" hidden="false" customHeight="false" outlineLevel="0" collapsed="false">
      <c r="A126" s="18" t="n">
        <f aca="false">Grid!A126</f>
        <v>60.25</v>
      </c>
      <c r="B126" s="19" t="n">
        <v>-223.08808396635</v>
      </c>
      <c r="C126" s="14" t="n">
        <v>121</v>
      </c>
      <c r="D126" s="11" t="n">
        <f aca="false">IF(AND($C126&gt;=6,$C126&lt;=194),Declarations!$B$25*INDEX($B$5:$B$205,$C126+1-Declarations!$E$25)+Declarations!$B$26*INDEX($B$5:$B$205,$C126+1-Declarations!$E$26)+Declarations!$B$27*INDEX($B$5:$B$205,$C126+1-Declarations!$E$27)+Declarations!$B$28*INDEX($B$5:$B$205,$C126+1-Declarations!$E$28)+Declarations!$B$29*INDEX($B$5:$B$205,$C126+1-Declarations!$E$29),"")</f>
        <v>-223.113202885521</v>
      </c>
      <c r="E126" s="16" t="n">
        <f aca="false">IF(Grid!C126=1,-Cost_k*E$3-Short_p*MAX(0,Floor_c-$A126)+Beta_q*((1-(((Alpha_keep*$A126+E$3-Lo_c)/Step_c)-MAX(6,MIN(INT(((Alpha_keep*$A126+E$3-Lo_c)/Step_c)+0.00000001),193))))*INDEX($D$5:$D$205,MAX(6,MIN(INT(((Alpha_keep*$A126+E$3-Lo_c)/Step_c)+0.00000001),193))+1)+(((Alpha_keep*$A126+E$3-Lo_c)/Step_c)-MAX(6,MIN(INT(((Alpha_keep*$A126+E$3-Lo_c)/Step_c)+0.00000001),193)))*INDEX($D$5:$D$205,MAX(6,MIN(INT(((Alpha_keep*$A126+E$3-Lo_c)/Step_c)+0.00000001),193))+2)),"")</f>
        <v>-223.08808396635</v>
      </c>
      <c r="F126" s="16" t="n">
        <f aca="false">IF(Grid!D126=1,-Cost_k*F$3-Short_p*MAX(0,Floor_c-$A126)+Beta_q*((1-(((Alpha_keep*$A126+F$3-Lo_c)/Step_c)-MAX(6,MIN(INT(((Alpha_keep*$A126+F$3-Lo_c)/Step_c)+0.00000001),193))))*INDEX($D$5:$D$205,MAX(6,MIN(INT(((Alpha_keep*$A126+F$3-Lo_c)/Step_c)+0.00000001),193))+1)+(((Alpha_keep*$A126+F$3-Lo_c)/Step_c)-MAX(6,MIN(INT(((Alpha_keep*$A126+F$3-Lo_c)/Step_c)+0.00000001),193)))*INDEX($D$5:$D$205,MAX(6,MIN(INT(((Alpha_keep*$A126+F$3-Lo_c)/Step_c)+0.00000001),193))+2)),"")</f>
        <v>-223.20749749504</v>
      </c>
      <c r="G126" s="16" t="n">
        <f aca="false">IF(Grid!E126=1,-Cost_k*G$3-Short_p*MAX(0,Floor_c-$A126)+Beta_q*((1-(((Alpha_keep*$A126+G$3-Lo_c)/Step_c)-MAX(6,MIN(INT(((Alpha_keep*$A126+G$3-Lo_c)/Step_c)+0.00000001),193))))*INDEX($D$5:$D$205,MAX(6,MIN(INT(((Alpha_keep*$A126+G$3-Lo_c)/Step_c)+0.00000001),193))+1)+(((Alpha_keep*$A126+G$3-Lo_c)/Step_c)-MAX(6,MIN(INT(((Alpha_keep*$A126+G$3-Lo_c)/Step_c)+0.00000001),193)))*INDEX($D$5:$D$205,MAX(6,MIN(INT(((Alpha_keep*$A126+G$3-Lo_c)/Step_c)+0.00000001),193))+2)),"")</f>
        <v>-223.328293552241</v>
      </c>
      <c r="H126" s="16" t="n">
        <f aca="false">IF(Grid!F126=1,-Cost_k*H$3-Short_p*MAX(0,Floor_c-$A126)+Beta_q*((1-(((Alpha_keep*$A126+H$3-Lo_c)/Step_c)-MAX(6,MIN(INT(((Alpha_keep*$A126+H$3-Lo_c)/Step_c)+0.00000001),193))))*INDEX($D$5:$D$205,MAX(6,MIN(INT(((Alpha_keep*$A126+H$3-Lo_c)/Step_c)+0.00000001),193))+1)+(((Alpha_keep*$A126+H$3-Lo_c)/Step_c)-MAX(6,MIN(INT(((Alpha_keep*$A126+H$3-Lo_c)/Step_c)+0.00000001),193)))*INDEX($D$5:$D$205,MAX(6,MIN(INT(((Alpha_keep*$A126+H$3-Lo_c)/Step_c)+0.00000001),193))+2)),"")</f>
        <v>-223.452878664396</v>
      </c>
      <c r="I126" s="16" t="n">
        <f aca="false">IF(Grid!G126=1,-Cost_k*I$3-Short_p*MAX(0,Floor_c-$A126)+Beta_q*((1-(((Alpha_keep*$A126+I$3-Lo_c)/Step_c)-MAX(6,MIN(INT(((Alpha_keep*$A126+I$3-Lo_c)/Step_c)+0.00000001),193))))*INDEX($D$5:$D$205,MAX(6,MIN(INT(((Alpha_keep*$A126+I$3-Lo_c)/Step_c)+0.00000001),193))+1)+(((Alpha_keep*$A126+I$3-Lo_c)/Step_c)-MAX(6,MIN(INT(((Alpha_keep*$A126+I$3-Lo_c)/Step_c)+0.00000001),193)))*INDEX($D$5:$D$205,MAX(6,MIN(INT(((Alpha_keep*$A126+I$3-Lo_c)/Step_c)+0.00000001),193))+2)),"")</f>
        <v>-223.593514080211</v>
      </c>
      <c r="J126" s="16" t="n">
        <f aca="false">IF(Grid!H126=1,-Cost_k*J$3-Short_p*MAX(0,Floor_c-$A126)+Beta_q*((1-(((Alpha_keep*$A126+J$3-Lo_c)/Step_c)-MAX(6,MIN(INT(((Alpha_keep*$A126+J$3-Lo_c)/Step_c)+0.00000001),193))))*INDEX($D$5:$D$205,MAX(6,MIN(INT(((Alpha_keep*$A126+J$3-Lo_c)/Step_c)+0.00000001),193))+1)+(((Alpha_keep*$A126+J$3-Lo_c)/Step_c)-MAX(6,MIN(INT(((Alpha_keep*$A126+J$3-Lo_c)/Step_c)+0.00000001),193)))*INDEX($D$5:$D$205,MAX(6,MIN(INT(((Alpha_keep*$A126+J$3-Lo_c)/Step_c)+0.00000001),193))+2)),"")</f>
        <v>-223.735570276844</v>
      </c>
      <c r="K126" s="16" t="n">
        <f aca="false">IF(Grid!I126=1,-Cost_k*K$3-Short_p*MAX(0,Floor_c-$A126)+Beta_q*((1-(((Alpha_keep*$A126+K$3-Lo_c)/Step_c)-MAX(6,MIN(INT(((Alpha_keep*$A126+K$3-Lo_c)/Step_c)+0.00000001),193))))*INDEX($D$5:$D$205,MAX(6,MIN(INT(((Alpha_keep*$A126+K$3-Lo_c)/Step_c)+0.00000001),193))+1)+(((Alpha_keep*$A126+K$3-Lo_c)/Step_c)-MAX(6,MIN(INT(((Alpha_keep*$A126+K$3-Lo_c)/Step_c)+0.00000001),193)))*INDEX($D$5:$D$205,MAX(6,MIN(INT(((Alpha_keep*$A126+K$3-Lo_c)/Step_c)+0.00000001),193))+2)),"")</f>
        <v>-223.881157491146</v>
      </c>
      <c r="L126" s="16" t="n">
        <f aca="false">IF(Grid!J126=1,-Cost_k*L$3-Short_p*MAX(0,Floor_c-$A126)+Beta_q*((1-(((Alpha_keep*$A126+L$3-Lo_c)/Step_c)-MAX(6,MIN(INT(((Alpha_keep*$A126+L$3-Lo_c)/Step_c)+0.00000001),193))))*INDEX($D$5:$D$205,MAX(6,MIN(INT(((Alpha_keep*$A126+L$3-Lo_c)/Step_c)+0.00000001),193))+1)+(((Alpha_keep*$A126+L$3-Lo_c)/Step_c)-MAX(6,MIN(INT(((Alpha_keep*$A126+L$3-Lo_c)/Step_c)+0.00000001),193)))*INDEX($D$5:$D$205,MAX(6,MIN(INT(((Alpha_keep*$A126+L$3-Lo_c)/Step_c)+0.00000001),193))+2)),"")</f>
        <v>-224.041936970739</v>
      </c>
      <c r="M126" s="16" t="n">
        <f aca="false">IF(Grid!K126=1,-Cost_k*M$3-Short_p*MAX(0,Floor_c-$A126)+Beta_q*((1-(((Alpha_keep*$A126+M$3-Lo_c)/Step_c)-MAX(6,MIN(INT(((Alpha_keep*$A126+M$3-Lo_c)/Step_c)+0.00000001),193))))*INDEX($D$5:$D$205,MAX(6,MIN(INT(((Alpha_keep*$A126+M$3-Lo_c)/Step_c)+0.00000001),193))+1)+(((Alpha_keep*$A126+M$3-Lo_c)/Step_c)-MAX(6,MIN(INT(((Alpha_keep*$A126+M$3-Lo_c)/Step_c)+0.00000001),193)))*INDEX($D$5:$D$205,MAX(6,MIN(INT(((Alpha_keep*$A126+M$3-Lo_c)/Step_c)+0.00000001),193))+2)),"")</f>
        <v>-224.20461630245</v>
      </c>
      <c r="N126" s="16" t="n">
        <f aca="false">IF(Grid!L126=1,-Cost_k*N$3-Short_p*MAX(0,Floor_c-$A126)+Beta_q*((1-(((Alpha_keep*$A126+N$3-Lo_c)/Step_c)-MAX(6,MIN(INT(((Alpha_keep*$A126+N$3-Lo_c)/Step_c)+0.00000001),193))))*INDEX($D$5:$D$205,MAX(6,MIN(INT(((Alpha_keep*$A126+N$3-Lo_c)/Step_c)+0.00000001),193))+1)+(((Alpha_keep*$A126+N$3-Lo_c)/Step_c)-MAX(6,MIN(INT(((Alpha_keep*$A126+N$3-Lo_c)/Step_c)+0.00000001),193)))*INDEX($D$5:$D$205,MAX(6,MIN(INT(((Alpha_keep*$A126+N$3-Lo_c)/Step_c)+0.00000001),193))+2)),"")</f>
        <v>-224.370628391478</v>
      </c>
      <c r="O126" s="16" t="n">
        <f aca="false">IF(Grid!M126=1,-Cost_k*O$3-Short_p*MAX(0,Floor_c-$A126)+Beta_q*((1-(((Alpha_keep*$A126+O$3-Lo_c)/Step_c)-MAX(6,MIN(INT(((Alpha_keep*$A126+O$3-Lo_c)/Step_c)+0.00000001),193))))*INDEX($D$5:$D$205,MAX(6,MIN(INT(((Alpha_keep*$A126+O$3-Lo_c)/Step_c)+0.00000001),193))+1)+(((Alpha_keep*$A126+O$3-Lo_c)/Step_c)-MAX(6,MIN(INT(((Alpha_keep*$A126+O$3-Lo_c)/Step_c)+0.00000001),193)))*INDEX($D$5:$D$205,MAX(6,MIN(INT(((Alpha_keep*$A126+O$3-Lo_c)/Step_c)+0.00000001),193))+2)),"")</f>
        <v>-224.550557183121</v>
      </c>
      <c r="P126" s="11" t="n">
        <f aca="false">MAX(E126:O126)</f>
        <v>-223.08808396635</v>
      </c>
      <c r="Q126" s="12" t="n">
        <f aca="false">INDEX($E$3:$O$3,MATCH(P126,E126:O126,0))</f>
        <v>0</v>
      </c>
      <c r="R126" s="20" t="n">
        <v>0</v>
      </c>
      <c r="S126" s="14" t="n">
        <f aca="false">IF(ABS(Q126-R126)&lt;0.000000001,1,0)</f>
        <v>1</v>
      </c>
      <c r="T126" s="21" t="n">
        <f aca="false">ABS(P126-B126)</f>
        <v>0</v>
      </c>
      <c r="U126" s="16" t="n">
        <f aca="false">Alpha_keep*A126+Q126</f>
        <v>58.74375</v>
      </c>
      <c r="V126" s="14" t="n">
        <f aca="false">INDEX(GuardBlock,122,ROUND(Q126/Step_h,0)+1)</f>
        <v>1</v>
      </c>
      <c r="W126" s="22" t="n">
        <v>0</v>
      </c>
    </row>
    <row r="127" customFormat="false" ht="15" hidden="false" customHeight="false" outlineLevel="0" collapsed="false">
      <c r="A127" s="18" t="n">
        <f aca="false">Grid!A127</f>
        <v>60.5</v>
      </c>
      <c r="B127" s="19" t="n">
        <v>-222.229501593029</v>
      </c>
      <c r="C127" s="14" t="n">
        <v>122</v>
      </c>
      <c r="D127" s="11" t="n">
        <f aca="false">IF(AND($C127&gt;=6,$C127&lt;=194),Declarations!$B$25*INDEX($B$5:$B$205,$C127+1-Declarations!$E$25)+Declarations!$B$26*INDEX($B$5:$B$205,$C127+1-Declarations!$E$26)+Declarations!$B$27*INDEX($B$5:$B$205,$C127+1-Declarations!$E$27)+Declarations!$B$28*INDEX($B$5:$B$205,$C127+1-Declarations!$E$28)+Declarations!$B$29*INDEX($B$5:$B$205,$C127+1-Declarations!$E$29),"")</f>
        <v>-222.254142241025</v>
      </c>
      <c r="E127" s="16" t="n">
        <f aca="false">IF(Grid!C127=1,-Cost_k*E$3-Short_p*MAX(0,Floor_c-$A127)+Beta_q*((1-(((Alpha_keep*$A127+E$3-Lo_c)/Step_c)-MAX(6,MIN(INT(((Alpha_keep*$A127+E$3-Lo_c)/Step_c)+0.00000001),193))))*INDEX($D$5:$D$205,MAX(6,MIN(INT(((Alpha_keep*$A127+E$3-Lo_c)/Step_c)+0.00000001),193))+1)+(((Alpha_keep*$A127+E$3-Lo_c)/Step_c)-MAX(6,MIN(INT(((Alpha_keep*$A127+E$3-Lo_c)/Step_c)+0.00000001),193)))*INDEX($D$5:$D$205,MAX(6,MIN(INT(((Alpha_keep*$A127+E$3-Lo_c)/Step_c)+0.00000001),193))+2)),"")</f>
        <v>-222.229501593029</v>
      </c>
      <c r="F127" s="16" t="n">
        <f aca="false">IF(Grid!D127=1,-Cost_k*F$3-Short_p*MAX(0,Floor_c-$A127)+Beta_q*((1-(((Alpha_keep*$A127+F$3-Lo_c)/Step_c)-MAX(6,MIN(INT(((Alpha_keep*$A127+F$3-Lo_c)/Step_c)+0.00000001),193))))*INDEX($D$5:$D$205,MAX(6,MIN(INT(((Alpha_keep*$A127+F$3-Lo_c)/Step_c)+0.00000001),193))+1)+(((Alpha_keep*$A127+F$3-Lo_c)/Step_c)-MAX(6,MIN(INT(((Alpha_keep*$A127+F$3-Lo_c)/Step_c)+0.00000001),193)))*INDEX($D$5:$D$205,MAX(6,MIN(INT(((Alpha_keep*$A127+F$3-Lo_c)/Step_c)+0.00000001),193))+2)),"")</f>
        <v>-222.350273035441</v>
      </c>
      <c r="G127" s="16" t="n">
        <f aca="false">IF(Grid!E127=1,-Cost_k*G$3-Short_p*MAX(0,Floor_c-$A127)+Beta_q*((1-(((Alpha_keep*$A127+G$3-Lo_c)/Step_c)-MAX(6,MIN(INT(((Alpha_keep*$A127+G$3-Lo_c)/Step_c)+0.00000001),193))))*INDEX($D$5:$D$205,MAX(6,MIN(INT(((Alpha_keep*$A127+G$3-Lo_c)/Step_c)+0.00000001),193))+1)+(((Alpha_keep*$A127+G$3-Lo_c)/Step_c)-MAX(6,MIN(INT(((Alpha_keep*$A127+G$3-Lo_c)/Step_c)+0.00000001),193)))*INDEX($D$5:$D$205,MAX(6,MIN(INT(((Alpha_keep*$A127+G$3-Lo_c)/Step_c)+0.00000001),193))+2)),"")</f>
        <v>-222.474761623489</v>
      </c>
      <c r="H127" s="16" t="n">
        <f aca="false">IF(Grid!F127=1,-Cost_k*H$3-Short_p*MAX(0,Floor_c-$A127)+Beta_q*((1-(((Alpha_keep*$A127+H$3-Lo_c)/Step_c)-MAX(6,MIN(INT(((Alpha_keep*$A127+H$3-Lo_c)/Step_c)+0.00000001),193))))*INDEX($D$5:$D$205,MAX(6,MIN(INT(((Alpha_keep*$A127+H$3-Lo_c)/Step_c)+0.00000001),193))+1)+(((Alpha_keep*$A127+H$3-Lo_c)/Step_c)-MAX(6,MIN(INT(((Alpha_keep*$A127+H$3-Lo_c)/Step_c)+0.00000001),193)))*INDEX($D$5:$D$205,MAX(6,MIN(INT(((Alpha_keep*$A127+H$3-Lo_c)/Step_c)+0.00000001),193))+2)),"")</f>
        <v>-222.614987968034</v>
      </c>
      <c r="I127" s="16" t="n">
        <f aca="false">IF(Grid!G127=1,-Cost_k*I$3-Short_p*MAX(0,Floor_c-$A127)+Beta_q*((1-(((Alpha_keep*$A127+I$3-Lo_c)/Step_c)-MAX(6,MIN(INT(((Alpha_keep*$A127+I$3-Lo_c)/Step_c)+0.00000001),193))))*INDEX($D$5:$D$205,MAX(6,MIN(INT(((Alpha_keep*$A127+I$3-Lo_c)/Step_c)+0.00000001),193))+1)+(((Alpha_keep*$A127+I$3-Lo_c)/Step_c)-MAX(6,MIN(INT(((Alpha_keep*$A127+I$3-Lo_c)/Step_c)+0.00000001),193)))*INDEX($D$5:$D$205,MAX(6,MIN(INT(((Alpha_keep*$A127+I$3-Lo_c)/Step_c)+0.00000001),193))+2)),"")</f>
        <v>-222.757018223397</v>
      </c>
      <c r="J127" s="16" t="n">
        <f aca="false">IF(Grid!H127=1,-Cost_k*J$3-Short_p*MAX(0,Floor_c-$A127)+Beta_q*((1-(((Alpha_keep*$A127+J$3-Lo_c)/Step_c)-MAX(6,MIN(INT(((Alpha_keep*$A127+J$3-Lo_c)/Step_c)+0.00000001),193))))*INDEX($D$5:$D$205,MAX(6,MIN(INT(((Alpha_keep*$A127+J$3-Lo_c)/Step_c)+0.00000001),193))+1)+(((Alpha_keep*$A127+J$3-Lo_c)/Step_c)-MAX(6,MIN(INT(((Alpha_keep*$A127+J$3-Lo_c)/Step_c)+0.00000001),193)))*INDEX($D$5:$D$205,MAX(6,MIN(INT(((Alpha_keep*$A127+J$3-Lo_c)/Step_c)+0.00000001),193))+2)),"")</f>
        <v>-222.902515563944</v>
      </c>
      <c r="K127" s="16" t="n">
        <f aca="false">IF(Grid!I127=1,-Cost_k*K$3-Short_p*MAX(0,Floor_c-$A127)+Beta_q*((1-(((Alpha_keep*$A127+K$3-Lo_c)/Step_c)-MAX(6,MIN(INT(((Alpha_keep*$A127+K$3-Lo_c)/Step_c)+0.00000001),193))))*INDEX($D$5:$D$205,MAX(6,MIN(INT(((Alpha_keep*$A127+K$3-Lo_c)/Step_c)+0.00000001),193))+1)+(((Alpha_keep*$A127+K$3-Lo_c)/Step_c)-MAX(6,MIN(INT(((Alpha_keep*$A127+K$3-Lo_c)/Step_c)+0.00000001),193)))*INDEX($D$5:$D$205,MAX(6,MIN(INT(((Alpha_keep*$A127+K$3-Lo_c)/Step_c)+0.00000001),193))+2)),"")</f>
        <v>-223.062907802729</v>
      </c>
      <c r="L127" s="16" t="n">
        <f aca="false">IF(Grid!J127=1,-Cost_k*L$3-Short_p*MAX(0,Floor_c-$A127)+Beta_q*((1-(((Alpha_keep*$A127+L$3-Lo_c)/Step_c)-MAX(6,MIN(INT(((Alpha_keep*$A127+L$3-Lo_c)/Step_c)+0.00000001),193))))*INDEX($D$5:$D$205,MAX(6,MIN(INT(((Alpha_keep*$A127+L$3-Lo_c)/Step_c)+0.00000001),193))+1)+(((Alpha_keep*$A127+L$3-Lo_c)/Step_c)-MAX(6,MIN(INT(((Alpha_keep*$A127+L$3-Lo_c)/Step_c)+0.00000001),193)))*INDEX($D$5:$D$205,MAX(6,MIN(INT(((Alpha_keep*$A127+L$3-Lo_c)/Step_c)+0.00000001),193))+2)),"")</f>
        <v>-223.225548349535</v>
      </c>
      <c r="M127" s="16" t="n">
        <f aca="false">IF(Grid!K127=1,-Cost_k*M$3-Short_p*MAX(0,Floor_c-$A127)+Beta_q*((1-(((Alpha_keep*$A127+M$3-Lo_c)/Step_c)-MAX(6,MIN(INT(((Alpha_keep*$A127+M$3-Lo_c)/Step_c)+0.00000001),193))))*INDEX($D$5:$D$205,MAX(6,MIN(INT(((Alpha_keep*$A127+M$3-Lo_c)/Step_c)+0.00000001),193))+1)+(((Alpha_keep*$A127+M$3-Lo_c)/Step_c)-MAX(6,MIN(INT(((Alpha_keep*$A127+M$3-Lo_c)/Step_c)+0.00000001),193)))*INDEX($D$5:$D$205,MAX(6,MIN(INT(((Alpha_keep*$A127+M$3-Lo_c)/Step_c)+0.00000001),193))+2)),"")</f>
        <v>-223.391475977731</v>
      </c>
      <c r="N127" s="16" t="n">
        <f aca="false">IF(Grid!L127=1,-Cost_k*N$3-Short_p*MAX(0,Floor_c-$A127)+Beta_q*((1-(((Alpha_keep*$A127+N$3-Lo_c)/Step_c)-MAX(6,MIN(INT(((Alpha_keep*$A127+N$3-Lo_c)/Step_c)+0.00000001),193))))*INDEX($D$5:$D$205,MAX(6,MIN(INT(((Alpha_keep*$A127+N$3-Lo_c)/Step_c)+0.00000001),193))+1)+(((Alpha_keep*$A127+N$3-Lo_c)/Step_c)-MAX(6,MIN(INT(((Alpha_keep*$A127+N$3-Lo_c)/Step_c)+0.00000001),193)))*INDEX($D$5:$D$205,MAX(6,MIN(INT(((Alpha_keep*$A127+N$3-Lo_c)/Step_c)+0.00000001),193))+2)),"")</f>
        <v>-223.571050096508</v>
      </c>
      <c r="O127" s="16" t="n">
        <f aca="false">IF(Grid!M127=1,-Cost_k*O$3-Short_p*MAX(0,Floor_c-$A127)+Beta_q*((1-(((Alpha_keep*$A127+O$3-Lo_c)/Step_c)-MAX(6,MIN(INT(((Alpha_keep*$A127+O$3-Lo_c)/Step_c)+0.00000001),193))))*INDEX($D$5:$D$205,MAX(6,MIN(INT(((Alpha_keep*$A127+O$3-Lo_c)/Step_c)+0.00000001),193))+1)+(((Alpha_keep*$A127+O$3-Lo_c)/Step_c)-MAX(6,MIN(INT(((Alpha_keep*$A127+O$3-Lo_c)/Step_c)+0.00000001),193)))*INDEX($D$5:$D$205,MAX(6,MIN(INT(((Alpha_keep*$A127+O$3-Lo_c)/Step_c)+0.00000001),193))+2)),"")</f>
        <v>-223.753760374314</v>
      </c>
      <c r="P127" s="11" t="n">
        <f aca="false">MAX(E127:O127)</f>
        <v>-222.229501593029</v>
      </c>
      <c r="Q127" s="12" t="n">
        <f aca="false">INDEX($E$3:$O$3,MATCH(P127,E127:O127,0))</f>
        <v>0</v>
      </c>
      <c r="R127" s="20" t="n">
        <v>0</v>
      </c>
      <c r="S127" s="14" t="n">
        <f aca="false">IF(ABS(Q127-R127)&lt;0.000000001,1,0)</f>
        <v>1</v>
      </c>
      <c r="T127" s="21" t="n">
        <f aca="false">ABS(P127-B127)</f>
        <v>0</v>
      </c>
      <c r="U127" s="16" t="n">
        <f aca="false">Alpha_keep*A127+Q127</f>
        <v>58.9875</v>
      </c>
      <c r="V127" s="14" t="n">
        <f aca="false">INDEX(GuardBlock,123,ROUND(Q127/Step_h,0)+1)</f>
        <v>1</v>
      </c>
      <c r="W127" s="22" t="n">
        <v>0</v>
      </c>
    </row>
    <row r="128" customFormat="false" ht="15" hidden="false" customHeight="false" outlineLevel="0" collapsed="false">
      <c r="A128" s="18" t="n">
        <f aca="false">Grid!A128</f>
        <v>60.75</v>
      </c>
      <c r="B128" s="19" t="n">
        <v>-221.372252518641</v>
      </c>
      <c r="C128" s="14" t="n">
        <v>123</v>
      </c>
      <c r="D128" s="11" t="n">
        <f aca="false">IF(AND($C128&gt;=6,$C128&lt;=194),Declarations!$B$25*INDEX($B$5:$B$205,$C128+1-Declarations!$E$25)+Declarations!$B$26*INDEX($B$5:$B$205,$C128+1-Declarations!$E$26)+Declarations!$B$27*INDEX($B$5:$B$205,$C128+1-Declarations!$E$27)+Declarations!$B$28*INDEX($B$5:$B$205,$C128+1-Declarations!$E$28)+Declarations!$B$29*INDEX($B$5:$B$205,$C128+1-Declarations!$E$29),"")</f>
        <v>-221.396670402629</v>
      </c>
      <c r="E128" s="16" t="n">
        <f aca="false">IF(Grid!C128=1,-Cost_k*E$3-Short_p*MAX(0,Floor_c-$A128)+Beta_q*((1-(((Alpha_keep*$A128+E$3-Lo_c)/Step_c)-MAX(6,MIN(INT(((Alpha_keep*$A128+E$3-Lo_c)/Step_c)+0.00000001),193))))*INDEX($D$5:$D$205,MAX(6,MIN(INT(((Alpha_keep*$A128+E$3-Lo_c)/Step_c)+0.00000001),193))+1)+(((Alpha_keep*$A128+E$3-Lo_c)/Step_c)-MAX(6,MIN(INT(((Alpha_keep*$A128+E$3-Lo_c)/Step_c)+0.00000001),193)))*INDEX($D$5:$D$205,MAX(6,MIN(INT(((Alpha_keep*$A128+E$3-Lo_c)/Step_c)+0.00000001),193))+2)),"")</f>
        <v>-221.372252518641</v>
      </c>
      <c r="F128" s="16" t="n">
        <f aca="false">IF(Grid!D128=1,-Cost_k*F$3-Short_p*MAX(0,Floor_c-$A128)+Beta_q*((1-(((Alpha_keep*$A128+F$3-Lo_c)/Step_c)-MAX(6,MIN(INT(((Alpha_keep*$A128+F$3-Lo_c)/Step_c)+0.00000001),193))))*INDEX($D$5:$D$205,MAX(6,MIN(INT(((Alpha_keep*$A128+F$3-Lo_c)/Step_c)+0.00000001),193))+1)+(((Alpha_keep*$A128+F$3-Lo_c)/Step_c)-MAX(6,MIN(INT(((Alpha_keep*$A128+F$3-Lo_c)/Step_c)+0.00000001),193)))*INDEX($D$5:$D$205,MAX(6,MIN(INT(((Alpha_keep*$A128+F$3-Lo_c)/Step_c)+0.00000001),193))+2)),"")</f>
        <v>-221.496644582583</v>
      </c>
      <c r="G128" s="16" t="n">
        <f aca="false">IF(Grid!E128=1,-Cost_k*G$3-Short_p*MAX(0,Floor_c-$A128)+Beta_q*((1-(((Alpha_keep*$A128+G$3-Lo_c)/Step_c)-MAX(6,MIN(INT(((Alpha_keep*$A128+G$3-Lo_c)/Step_c)+0.00000001),193))))*INDEX($D$5:$D$205,MAX(6,MIN(INT(((Alpha_keep*$A128+G$3-Lo_c)/Step_c)+0.00000001),193))+1)+(((Alpha_keep*$A128+G$3-Lo_c)/Step_c)-MAX(6,MIN(INT(((Alpha_keep*$A128+G$3-Lo_c)/Step_c)+0.00000001),193)))*INDEX($D$5:$D$205,MAX(6,MIN(INT(((Alpha_keep*$A128+G$3-Lo_c)/Step_c)+0.00000001),193))+2)),"")</f>
        <v>-221.636461855857</v>
      </c>
      <c r="H128" s="16" t="n">
        <f aca="false">IF(Grid!F128=1,-Cost_k*H$3-Short_p*MAX(0,Floor_c-$A128)+Beta_q*((1-(((Alpha_keep*$A128+H$3-Lo_c)/Step_c)-MAX(6,MIN(INT(((Alpha_keep*$A128+H$3-Lo_c)/Step_c)+0.00000001),193))))*INDEX($D$5:$D$205,MAX(6,MIN(INT(((Alpha_keep*$A128+H$3-Lo_c)/Step_c)+0.00000001),193))+1)+(((Alpha_keep*$A128+H$3-Lo_c)/Step_c)-MAX(6,MIN(INT(((Alpha_keep*$A128+H$3-Lo_c)/Step_c)+0.00000001),193)))*INDEX($D$5:$D$205,MAX(6,MIN(INT(((Alpha_keep*$A128+H$3-Lo_c)/Step_c)+0.00000001),193))+2)),"")</f>
        <v>-221.778466169949</v>
      </c>
      <c r="I128" s="16" t="n">
        <f aca="false">IF(Grid!G128=1,-Cost_k*I$3-Short_p*MAX(0,Floor_c-$A128)+Beta_q*((1-(((Alpha_keep*$A128+I$3-Lo_c)/Step_c)-MAX(6,MIN(INT(((Alpha_keep*$A128+I$3-Lo_c)/Step_c)+0.00000001),193))))*INDEX($D$5:$D$205,MAX(6,MIN(INT(((Alpha_keep*$A128+I$3-Lo_c)/Step_c)+0.00000001),193))+1)+(((Alpha_keep*$A128+I$3-Lo_c)/Step_c)-MAX(6,MIN(INT(((Alpha_keep*$A128+I$3-Lo_c)/Step_c)+0.00000001),193)))*INDEX($D$5:$D$205,MAX(6,MIN(INT(((Alpha_keep*$A128+I$3-Lo_c)/Step_c)+0.00000001),193))+2)),"")</f>
        <v>-221.923873636743</v>
      </c>
      <c r="J128" s="16" t="n">
        <f aca="false">IF(Grid!H128=1,-Cost_k*J$3-Short_p*MAX(0,Floor_c-$A128)+Beta_q*((1-(((Alpha_keep*$A128+J$3-Lo_c)/Step_c)-MAX(6,MIN(INT(((Alpha_keep*$A128+J$3-Lo_c)/Step_c)+0.00000001),193))))*INDEX($D$5:$D$205,MAX(6,MIN(INT(((Alpha_keep*$A128+J$3-Lo_c)/Step_c)+0.00000001),193))+1)+(((Alpha_keep*$A128+J$3-Lo_c)/Step_c)-MAX(6,MIN(INT(((Alpha_keep*$A128+J$3-Lo_c)/Step_c)+0.00000001),193)))*INDEX($D$5:$D$205,MAX(6,MIN(INT(((Alpha_keep*$A128+J$3-Lo_c)/Step_c)+0.00000001),193))+2)),"")</f>
        <v>-222.083878634719</v>
      </c>
      <c r="K128" s="16" t="n">
        <f aca="false">IF(Grid!I128=1,-Cost_k*K$3-Short_p*MAX(0,Floor_c-$A128)+Beta_q*((1-(((Alpha_keep*$A128+K$3-Lo_c)/Step_c)-MAX(6,MIN(INT(((Alpha_keep*$A128+K$3-Lo_c)/Step_c)+0.00000001),193))))*INDEX($D$5:$D$205,MAX(6,MIN(INT(((Alpha_keep*$A128+K$3-Lo_c)/Step_c)+0.00000001),193))+1)+(((Alpha_keep*$A128+K$3-Lo_c)/Step_c)-MAX(6,MIN(INT(((Alpha_keep*$A128+K$3-Lo_c)/Step_c)+0.00000001),193)))*INDEX($D$5:$D$205,MAX(6,MIN(INT(((Alpha_keep*$A128+K$3-Lo_c)/Step_c)+0.00000001),193))+2)),"")</f>
        <v>-222.246480396619</v>
      </c>
      <c r="L128" s="16" t="n">
        <f aca="false">IF(Grid!J128=1,-Cost_k*L$3-Short_p*MAX(0,Floor_c-$A128)+Beta_q*((1-(((Alpha_keep*$A128+L$3-Lo_c)/Step_c)-MAX(6,MIN(INT(((Alpha_keep*$A128+L$3-Lo_c)/Step_c)+0.00000001),193))))*INDEX($D$5:$D$205,MAX(6,MIN(INT(((Alpha_keep*$A128+L$3-Lo_c)/Step_c)+0.00000001),193))+1)+(((Alpha_keep*$A128+L$3-Lo_c)/Step_c)-MAX(6,MIN(INT(((Alpha_keep*$A128+L$3-Lo_c)/Step_c)+0.00000001),193)))*INDEX($D$5:$D$205,MAX(6,MIN(INT(((Alpha_keep*$A128+L$3-Lo_c)/Step_c)+0.00000001),193))+2)),"")</f>
        <v>-222.412323563985</v>
      </c>
      <c r="M128" s="16" t="n">
        <f aca="false">IF(Grid!K128=1,-Cost_k*M$3-Short_p*MAX(0,Floor_c-$A128)+Beta_q*((1-(((Alpha_keep*$A128+M$3-Lo_c)/Step_c)-MAX(6,MIN(INT(((Alpha_keep*$A128+M$3-Lo_c)/Step_c)+0.00000001),193))))*INDEX($D$5:$D$205,MAX(6,MIN(INT(((Alpha_keep*$A128+M$3-Lo_c)/Step_c)+0.00000001),193))+1)+(((Alpha_keep*$A128+M$3-Lo_c)/Step_c)-MAX(6,MIN(INT(((Alpha_keep*$A128+M$3-Lo_c)/Step_c)+0.00000001),193)))*INDEX($D$5:$D$205,MAX(6,MIN(INT(((Alpha_keep*$A128+M$3-Lo_c)/Step_c)+0.00000001),193))+2)),"")</f>
        <v>-222.591543009896</v>
      </c>
      <c r="N128" s="16" t="n">
        <f aca="false">IF(Grid!L128=1,-Cost_k*N$3-Short_p*MAX(0,Floor_c-$A128)+Beta_q*((1-(((Alpha_keep*$A128+N$3-Lo_c)/Step_c)-MAX(6,MIN(INT(((Alpha_keep*$A128+N$3-Lo_c)/Step_c)+0.00000001),193))))*INDEX($D$5:$D$205,MAX(6,MIN(INT(((Alpha_keep*$A128+N$3-Lo_c)/Step_c)+0.00000001),193))+1)+(((Alpha_keep*$A128+N$3-Lo_c)/Step_c)-MAX(6,MIN(INT(((Alpha_keep*$A128+N$3-Lo_c)/Step_c)+0.00000001),193)))*INDEX($D$5:$D$205,MAX(6,MIN(INT(((Alpha_keep*$A128+N$3-Lo_c)/Step_c)+0.00000001),193))+2)),"")</f>
        <v>-222.774189424193</v>
      </c>
      <c r="O128" s="16" t="n">
        <f aca="false">IF(Grid!M128=1,-Cost_k*O$3-Short_p*MAX(0,Floor_c-$A128)+Beta_q*((1-(((Alpha_keep*$A128+O$3-Lo_c)/Step_c)-MAX(6,MIN(INT(((Alpha_keep*$A128+O$3-Lo_c)/Step_c)+0.00000001),193))))*INDEX($D$5:$D$205,MAX(6,MIN(INT(((Alpha_keep*$A128+O$3-Lo_c)/Step_c)+0.00000001),193))+1)+(((Alpha_keep*$A128+O$3-Lo_c)/Step_c)-MAX(6,MIN(INT(((Alpha_keep*$A128+O$3-Lo_c)/Step_c)+0.00000001),193)))*INDEX($D$5:$D$205,MAX(6,MIN(INT(((Alpha_keep*$A128+O$3-Lo_c)/Step_c)+0.00000001),193))+2)),"")</f>
        <v>-222.959864859109</v>
      </c>
      <c r="P128" s="11" t="n">
        <f aca="false">MAX(E128:O128)</f>
        <v>-221.372252518641</v>
      </c>
      <c r="Q128" s="12" t="n">
        <f aca="false">INDEX($E$3:$O$3,MATCH(P128,E128:O128,0))</f>
        <v>0</v>
      </c>
      <c r="R128" s="20" t="n">
        <v>0</v>
      </c>
      <c r="S128" s="14" t="n">
        <f aca="false">IF(ABS(Q128-R128)&lt;0.000000001,1,0)</f>
        <v>1</v>
      </c>
      <c r="T128" s="21" t="n">
        <f aca="false">ABS(P128-B128)</f>
        <v>0</v>
      </c>
      <c r="U128" s="16" t="n">
        <f aca="false">Alpha_keep*A128+Q128</f>
        <v>59.23125</v>
      </c>
      <c r="V128" s="14" t="n">
        <f aca="false">INDEX(GuardBlock,124,ROUND(Q128/Step_h,0)+1)</f>
        <v>1</v>
      </c>
      <c r="W128" s="22" t="n">
        <v>0</v>
      </c>
    </row>
    <row r="129" customFormat="false" ht="15" hidden="false" customHeight="false" outlineLevel="0" collapsed="false">
      <c r="A129" s="18" t="n">
        <f aca="false">Grid!A129</f>
        <v>61</v>
      </c>
      <c r="B129" s="19" t="n">
        <v>-220.518527541676</v>
      </c>
      <c r="C129" s="14" t="n">
        <v>124</v>
      </c>
      <c r="D129" s="11" t="n">
        <f aca="false">IF(AND($C129&gt;=6,$C129&lt;=194),Declarations!$B$25*INDEX($B$5:$B$205,$C129+1-Declarations!$E$25)+Declarations!$B$26*INDEX($B$5:$B$205,$C129+1-Declarations!$E$26)+Declarations!$B$27*INDEX($B$5:$B$205,$C129+1-Declarations!$E$27)+Declarations!$B$28*INDEX($B$5:$B$205,$C129+1-Declarations!$E$28)+Declarations!$B$29*INDEX($B$5:$B$205,$C129+1-Declarations!$E$29),"")</f>
        <v>-220.542658463965</v>
      </c>
      <c r="E129" s="16" t="n">
        <f aca="false">IF(Grid!C129=1,-Cost_k*E$3-Short_p*MAX(0,Floor_c-$A129)+Beta_q*((1-(((Alpha_keep*$A129+E$3-Lo_c)/Step_c)-MAX(6,MIN(INT(((Alpha_keep*$A129+E$3-Lo_c)/Step_c)+0.00000001),193))))*INDEX($D$5:$D$205,MAX(6,MIN(INT(((Alpha_keep*$A129+E$3-Lo_c)/Step_c)+0.00000001),193))+1)+(((Alpha_keep*$A129+E$3-Lo_c)/Step_c)-MAX(6,MIN(INT(((Alpha_keep*$A129+E$3-Lo_c)/Step_c)+0.00000001),193)))*INDEX($D$5:$D$205,MAX(6,MIN(INT(((Alpha_keep*$A129+E$3-Lo_c)/Step_c)+0.00000001),193))+2)),"")</f>
        <v>-220.518527541676</v>
      </c>
      <c r="F129" s="16" t="n">
        <f aca="false">IF(Grid!D129=1,-Cost_k*F$3-Short_p*MAX(0,Floor_c-$A129)+Beta_q*((1-(((Alpha_keep*$A129+F$3-Lo_c)/Step_c)-MAX(6,MIN(INT(((Alpha_keep*$A129+F$3-Lo_c)/Step_c)+0.00000001),193))))*INDEX($D$5:$D$205,MAX(6,MIN(INT(((Alpha_keep*$A129+F$3-Lo_c)/Step_c)+0.00000001),193))+1)+(((Alpha_keep*$A129+F$3-Lo_c)/Step_c)-MAX(6,MIN(INT(((Alpha_keep*$A129+F$3-Lo_c)/Step_c)+0.00000001),193)))*INDEX($D$5:$D$205,MAX(6,MIN(INT(((Alpha_keep*$A129+F$3-Lo_c)/Step_c)+0.00000001),193))+2)),"")</f>
        <v>-220.657935743679</v>
      </c>
      <c r="G129" s="16" t="n">
        <f aca="false">IF(Grid!E129=1,-Cost_k*G$3-Short_p*MAX(0,Floor_c-$A129)+Beta_q*((1-(((Alpha_keep*$A129+G$3-Lo_c)/Step_c)-MAX(6,MIN(INT(((Alpha_keep*$A129+G$3-Lo_c)/Step_c)+0.00000001),193))))*INDEX($D$5:$D$205,MAX(6,MIN(INT(((Alpha_keep*$A129+G$3-Lo_c)/Step_c)+0.00000001),193))+1)+(((Alpha_keep*$A129+G$3-Lo_c)/Step_c)-MAX(6,MIN(INT(((Alpha_keep*$A129+G$3-Lo_c)/Step_c)+0.00000001),193)))*INDEX($D$5:$D$205,MAX(6,MIN(INT(((Alpha_keep*$A129+G$3-Lo_c)/Step_c)+0.00000001),193))+2)),"")</f>
        <v>-220.799914116501</v>
      </c>
      <c r="H129" s="16" t="n">
        <f aca="false">IF(Grid!F129=1,-Cost_k*H$3-Short_p*MAX(0,Floor_c-$A129)+Beta_q*((1-(((Alpha_keep*$A129+H$3-Lo_c)/Step_c)-MAX(6,MIN(INT(((Alpha_keep*$A129+H$3-Lo_c)/Step_c)+0.00000001),193))))*INDEX($D$5:$D$205,MAX(6,MIN(INT(((Alpha_keep*$A129+H$3-Lo_c)/Step_c)+0.00000001),193))+1)+(((Alpha_keep*$A129+H$3-Lo_c)/Step_c)-MAX(6,MIN(INT(((Alpha_keep*$A129+H$3-Lo_c)/Step_c)+0.00000001),193)))*INDEX($D$5:$D$205,MAX(6,MIN(INT(((Alpha_keep*$A129+H$3-Lo_c)/Step_c)+0.00000001),193))+2)),"")</f>
        <v>-220.945231709541</v>
      </c>
      <c r="I129" s="16" t="n">
        <f aca="false">IF(Grid!G129=1,-Cost_k*I$3-Short_p*MAX(0,Floor_c-$A129)+Beta_q*((1-(((Alpha_keep*$A129+I$3-Lo_c)/Step_c)-MAX(6,MIN(INT(((Alpha_keep*$A129+I$3-Lo_c)/Step_c)+0.00000001),193))))*INDEX($D$5:$D$205,MAX(6,MIN(INT(((Alpha_keep*$A129+I$3-Lo_c)/Step_c)+0.00000001),193))+1)+(((Alpha_keep*$A129+I$3-Lo_c)/Step_c)-MAX(6,MIN(INT(((Alpha_keep*$A129+I$3-Lo_c)/Step_c)+0.00000001),193)))*INDEX($D$5:$D$205,MAX(6,MIN(INT(((Alpha_keep*$A129+I$3-Lo_c)/Step_c)+0.00000001),193))+2)),"")</f>
        <v>-221.104849466709</v>
      </c>
      <c r="J129" s="16" t="n">
        <f aca="false">IF(Grid!H129=1,-Cost_k*J$3-Short_p*MAX(0,Floor_c-$A129)+Beta_q*((1-(((Alpha_keep*$A129+J$3-Lo_c)/Step_c)-MAX(6,MIN(INT(((Alpha_keep*$A129+J$3-Lo_c)/Step_c)+0.00000001),193))))*INDEX($D$5:$D$205,MAX(6,MIN(INT(((Alpha_keep*$A129+J$3-Lo_c)/Step_c)+0.00000001),193))+1)+(((Alpha_keep*$A129+J$3-Lo_c)/Step_c)-MAX(6,MIN(INT(((Alpha_keep*$A129+J$3-Lo_c)/Step_c)+0.00000001),193)))*INDEX($D$5:$D$205,MAX(6,MIN(INT(((Alpha_keep*$A129+J$3-Lo_c)/Step_c)+0.00000001),193))+2)),"")</f>
        <v>-221.267412443704</v>
      </c>
      <c r="K129" s="16" t="n">
        <f aca="false">IF(Grid!I129=1,-Cost_k*K$3-Short_p*MAX(0,Floor_c-$A129)+Beta_q*((1-(((Alpha_keep*$A129+K$3-Lo_c)/Step_c)-MAX(6,MIN(INT(((Alpha_keep*$A129+K$3-Lo_c)/Step_c)+0.00000001),193))))*INDEX($D$5:$D$205,MAX(6,MIN(INT(((Alpha_keep*$A129+K$3-Lo_c)/Step_c)+0.00000001),193))+1)+(((Alpha_keep*$A129+K$3-Lo_c)/Step_c)-MAX(6,MIN(INT(((Alpha_keep*$A129+K$3-Lo_c)/Step_c)+0.00000001),193)))*INDEX($D$5:$D$205,MAX(6,MIN(INT(((Alpha_keep*$A129+K$3-Lo_c)/Step_c)+0.00000001),193))+2)),"")</f>
        <v>-221.433171150238</v>
      </c>
      <c r="L129" s="16" t="n">
        <f aca="false">IF(Grid!J129=1,-Cost_k*L$3-Short_p*MAX(0,Floor_c-$A129)+Beta_q*((1-(((Alpha_keep*$A129+L$3-Lo_c)/Step_c)-MAX(6,MIN(INT(((Alpha_keep*$A129+L$3-Lo_c)/Step_c)+0.00000001),193))))*INDEX($D$5:$D$205,MAX(6,MIN(INT(((Alpha_keep*$A129+L$3-Lo_c)/Step_c)+0.00000001),193))+1)+(((Alpha_keep*$A129+L$3-Lo_c)/Step_c)-MAX(6,MIN(INT(((Alpha_keep*$A129+L$3-Lo_c)/Step_c)+0.00000001),193)))*INDEX($D$5:$D$205,MAX(6,MIN(INT(((Alpha_keep*$A129+L$3-Lo_c)/Step_c)+0.00000001),193))+2)),"")</f>
        <v>-221.612035923283</v>
      </c>
      <c r="M129" s="16" t="n">
        <f aca="false">IF(Grid!K129=1,-Cost_k*M$3-Short_p*MAX(0,Floor_c-$A129)+Beta_q*((1-(((Alpha_keep*$A129+M$3-Lo_c)/Step_c)-MAX(6,MIN(INT(((Alpha_keep*$A129+M$3-Lo_c)/Step_c)+0.00000001),193))))*INDEX($D$5:$D$205,MAX(6,MIN(INT(((Alpha_keep*$A129+M$3-Lo_c)/Step_c)+0.00000001),193))+1)+(((Alpha_keep*$A129+M$3-Lo_c)/Step_c)-MAX(6,MIN(INT(((Alpha_keep*$A129+M$3-Lo_c)/Step_c)+0.00000001),193)))*INDEX($D$5:$D$205,MAX(6,MIN(INT(((Alpha_keep*$A129+M$3-Lo_c)/Step_c)+0.00000001),193))+2)),"")</f>
        <v>-221.794618474073</v>
      </c>
      <c r="N129" s="16" t="n">
        <f aca="false">IF(Grid!L129=1,-Cost_k*N$3-Short_p*MAX(0,Floor_c-$A129)+Beta_q*((1-(((Alpha_keep*$A129+N$3-Lo_c)/Step_c)-MAX(6,MIN(INT(((Alpha_keep*$A129+N$3-Lo_c)/Step_c)+0.00000001),193))))*INDEX($D$5:$D$205,MAX(6,MIN(INT(((Alpha_keep*$A129+N$3-Lo_c)/Step_c)+0.00000001),193))+1)+(((Alpha_keep*$A129+N$3-Lo_c)/Step_c)-MAX(6,MIN(INT(((Alpha_keep*$A129+N$3-Lo_c)/Step_c)+0.00000001),193)))*INDEX($D$5:$D$205,MAX(6,MIN(INT(((Alpha_keep*$A129+N$3-Lo_c)/Step_c)+0.00000001),193))+2)),"")</f>
        <v>-221.980217221689</v>
      </c>
      <c r="O129" s="16" t="n">
        <f aca="false">IF(Grid!M129=1,-Cost_k*O$3-Short_p*MAX(0,Floor_c-$A129)+Beta_q*((1-(((Alpha_keep*$A129+O$3-Lo_c)/Step_c)-MAX(6,MIN(INT(((Alpha_keep*$A129+O$3-Lo_c)/Step_c)+0.00000001),193))))*INDEX($D$5:$D$205,MAX(6,MIN(INT(((Alpha_keep*$A129+O$3-Lo_c)/Step_c)+0.00000001),193))+1)+(((Alpha_keep*$A129+O$3-Lo_c)/Step_c)-MAX(6,MIN(INT(((Alpha_keep*$A129+O$3-Lo_c)/Step_c)+0.00000001),193)))*INDEX($D$5:$D$205,MAX(6,MIN(INT(((Alpha_keep*$A129+O$3-Lo_c)/Step_c)+0.00000001),193))+2)),"")</f>
        <v>-222.177417835226</v>
      </c>
      <c r="P129" s="11" t="n">
        <f aca="false">MAX(E129:O129)</f>
        <v>-220.518527541676</v>
      </c>
      <c r="Q129" s="12" t="n">
        <f aca="false">INDEX($E$3:$O$3,MATCH(P129,E129:O129,0))</f>
        <v>0</v>
      </c>
      <c r="R129" s="20" t="n">
        <v>0</v>
      </c>
      <c r="S129" s="14" t="n">
        <f aca="false">IF(ABS(Q129-R129)&lt;0.000000001,1,0)</f>
        <v>1</v>
      </c>
      <c r="T129" s="21" t="n">
        <f aca="false">ABS(P129-B129)</f>
        <v>0</v>
      </c>
      <c r="U129" s="16" t="n">
        <f aca="false">Alpha_keep*A129+Q129</f>
        <v>59.475</v>
      </c>
      <c r="V129" s="14" t="n">
        <f aca="false">INDEX(GuardBlock,125,ROUND(Q129/Step_h,0)+1)</f>
        <v>1</v>
      </c>
      <c r="W129" s="22" t="n">
        <v>0</v>
      </c>
    </row>
    <row r="130" customFormat="false" ht="15" hidden="false" customHeight="false" outlineLevel="0" collapsed="false">
      <c r="A130" s="18" t="n">
        <f aca="false">Grid!A130</f>
        <v>61.25</v>
      </c>
      <c r="B130" s="19" t="n">
        <v>-219.679409631502</v>
      </c>
      <c r="C130" s="14" t="n">
        <v>125</v>
      </c>
      <c r="D130" s="11" t="n">
        <f aca="false">IF(AND($C130&gt;=6,$C130&lt;=194),Declarations!$B$25*INDEX($B$5:$B$205,$C130+1-Declarations!$E$25)+Declarations!$B$26*INDEX($B$5:$B$205,$C130+1-Declarations!$E$26)+Declarations!$B$27*INDEX($B$5:$B$205,$C130+1-Declarations!$E$27)+Declarations!$B$28*INDEX($B$5:$B$205,$C130+1-Declarations!$E$28)+Declarations!$B$29*INDEX($B$5:$B$205,$C130+1-Declarations!$E$29),"")</f>
        <v>-219.7031755388</v>
      </c>
      <c r="E130" s="16" t="n">
        <f aca="false">IF(Grid!C130=1,-Cost_k*E$3-Short_p*MAX(0,Floor_c-$A130)+Beta_q*((1-(((Alpha_keep*$A130+E$3-Lo_c)/Step_c)-MAX(6,MIN(INT(((Alpha_keep*$A130+E$3-Lo_c)/Step_c)+0.00000001),193))))*INDEX($D$5:$D$205,MAX(6,MIN(INT(((Alpha_keep*$A130+E$3-Lo_c)/Step_c)+0.00000001),193))+1)+(((Alpha_keep*$A130+E$3-Lo_c)/Step_c)-MAX(6,MIN(INT(((Alpha_keep*$A130+E$3-Lo_c)/Step_c)+0.00000001),193)))*INDEX($D$5:$D$205,MAX(6,MIN(INT(((Alpha_keep*$A130+E$3-Lo_c)/Step_c)+0.00000001),193))+2)),"")</f>
        <v>-219.679409631502</v>
      </c>
      <c r="F130" s="16" t="n">
        <f aca="false">IF(Grid!D130=1,-Cost_k*F$3-Short_p*MAX(0,Floor_c-$A130)+Beta_q*((1-(((Alpha_keep*$A130+F$3-Lo_c)/Step_c)-MAX(6,MIN(INT(((Alpha_keep*$A130+F$3-Lo_c)/Step_c)+0.00000001),193))))*INDEX($D$5:$D$205,MAX(6,MIN(INT(((Alpha_keep*$A130+F$3-Lo_c)/Step_c)+0.00000001),193))+1)+(((Alpha_keep*$A130+F$3-Lo_c)/Step_c)-MAX(6,MIN(INT(((Alpha_keep*$A130+F$3-Lo_c)/Step_c)+0.00000001),193)))*INDEX($D$5:$D$205,MAX(6,MIN(INT(((Alpha_keep*$A130+F$3-Lo_c)/Step_c)+0.00000001),193))+2)),"")</f>
        <v>-219.821362063054</v>
      </c>
      <c r="G130" s="16" t="n">
        <f aca="false">IF(Grid!E130=1,-Cost_k*G$3-Short_p*MAX(0,Floor_c-$A130)+Beta_q*((1-(((Alpha_keep*$A130+G$3-Lo_c)/Step_c)-MAX(6,MIN(INT(((Alpha_keep*$A130+G$3-Lo_c)/Step_c)+0.00000001),193))))*INDEX($D$5:$D$205,MAX(6,MIN(INT(((Alpha_keep*$A130+G$3-Lo_c)/Step_c)+0.00000001),193))+1)+(((Alpha_keep*$A130+G$3-Lo_c)/Step_c)-MAX(6,MIN(INT(((Alpha_keep*$A130+G$3-Lo_c)/Step_c)+0.00000001),193)))*INDEX($D$5:$D$205,MAX(6,MIN(INT(((Alpha_keep*$A130+G$3-Lo_c)/Step_c)+0.00000001),193))+2)),"")</f>
        <v>-219.96658978234</v>
      </c>
      <c r="H130" s="16" t="n">
        <f aca="false">IF(Grid!F130=1,-Cost_k*H$3-Short_p*MAX(0,Floor_c-$A130)+Beta_q*((1-(((Alpha_keep*$A130+H$3-Lo_c)/Step_c)-MAX(6,MIN(INT(((Alpha_keep*$A130+H$3-Lo_c)/Step_c)+0.00000001),193))))*INDEX($D$5:$D$205,MAX(6,MIN(INT(((Alpha_keep*$A130+H$3-Lo_c)/Step_c)+0.00000001),193))+1)+(((Alpha_keep*$A130+H$3-Lo_c)/Step_c)-MAX(6,MIN(INT(((Alpha_keep*$A130+H$3-Lo_c)/Step_c)+0.00000001),193)))*INDEX($D$5:$D$205,MAX(6,MIN(INT(((Alpha_keep*$A130+H$3-Lo_c)/Step_c)+0.00000001),193))+2)),"")</f>
        <v>-220.125820298699</v>
      </c>
      <c r="I130" s="16" t="n">
        <f aca="false">IF(Grid!G130=1,-Cost_k*I$3-Short_p*MAX(0,Floor_c-$A130)+Beta_q*((1-(((Alpha_keep*$A130+I$3-Lo_c)/Step_c)-MAX(6,MIN(INT(((Alpha_keep*$A130+I$3-Lo_c)/Step_c)+0.00000001),193))))*INDEX($D$5:$D$205,MAX(6,MIN(INT(((Alpha_keep*$A130+I$3-Lo_c)/Step_c)+0.00000001),193))+1)+(((Alpha_keep*$A130+I$3-Lo_c)/Step_c)-MAX(6,MIN(INT(((Alpha_keep*$A130+I$3-Lo_c)/Step_c)+0.00000001),193)))*INDEX($D$5:$D$205,MAX(6,MIN(INT(((Alpha_keep*$A130+I$3-Lo_c)/Step_c)+0.00000001),193))+2)),"")</f>
        <v>-220.288344490789</v>
      </c>
      <c r="J130" s="16" t="n">
        <f aca="false">IF(Grid!H130=1,-Cost_k*J$3-Short_p*MAX(0,Floor_c-$A130)+Beta_q*((1-(((Alpha_keep*$A130+J$3-Lo_c)/Step_c)-MAX(6,MIN(INT(((Alpha_keep*$A130+J$3-Lo_c)/Step_c)+0.00000001),193))))*INDEX($D$5:$D$205,MAX(6,MIN(INT(((Alpha_keep*$A130+J$3-Lo_c)/Step_c)+0.00000001),193))+1)+(((Alpha_keep*$A130+J$3-Lo_c)/Step_c)-MAX(6,MIN(INT(((Alpha_keep*$A130+J$3-Lo_c)/Step_c)+0.00000001),193)))*INDEX($D$5:$D$205,MAX(6,MIN(INT(((Alpha_keep*$A130+J$3-Lo_c)/Step_c)+0.00000001),193))+2)),"")</f>
        <v>-220.454018736492</v>
      </c>
      <c r="K130" s="16" t="n">
        <f aca="false">IF(Grid!I130=1,-Cost_k*K$3-Short_p*MAX(0,Floor_c-$A130)+Beta_q*((1-(((Alpha_keep*$A130+K$3-Lo_c)/Step_c)-MAX(6,MIN(INT(((Alpha_keep*$A130+K$3-Lo_c)/Step_c)+0.00000001),193))))*INDEX($D$5:$D$205,MAX(6,MIN(INT(((Alpha_keep*$A130+K$3-Lo_c)/Step_c)+0.00000001),193))+1)+(((Alpha_keep*$A130+K$3-Lo_c)/Step_c)-MAX(6,MIN(INT(((Alpha_keep*$A130+K$3-Lo_c)/Step_c)+0.00000001),193)))*INDEX($D$5:$D$205,MAX(6,MIN(INT(((Alpha_keep*$A130+K$3-Lo_c)/Step_c)+0.00000001),193))+2)),"")</f>
        <v>-220.63252883667</v>
      </c>
      <c r="L130" s="16" t="n">
        <f aca="false">IF(Grid!J130=1,-Cost_k*L$3-Short_p*MAX(0,Floor_c-$A130)+Beta_q*((1-(((Alpha_keep*$A130+L$3-Lo_c)/Step_c)-MAX(6,MIN(INT(((Alpha_keep*$A130+L$3-Lo_c)/Step_c)+0.00000001),193))))*INDEX($D$5:$D$205,MAX(6,MIN(INT(((Alpha_keep*$A130+L$3-Lo_c)/Step_c)+0.00000001),193))+1)+(((Alpha_keep*$A130+L$3-Lo_c)/Step_c)-MAX(6,MIN(INT(((Alpha_keep*$A130+L$3-Lo_c)/Step_c)+0.00000001),193)))*INDEX($D$5:$D$205,MAX(6,MIN(INT(((Alpha_keep*$A130+L$3-Lo_c)/Step_c)+0.00000001),193))+2)),"")</f>
        <v>-220.815047523952</v>
      </c>
      <c r="M130" s="16" t="n">
        <f aca="false">IF(Grid!K130=1,-Cost_k*M$3-Short_p*MAX(0,Floor_c-$A130)+Beta_q*((1-(((Alpha_keep*$A130+M$3-Lo_c)/Step_c)-MAX(6,MIN(INT(((Alpha_keep*$A130+M$3-Lo_c)/Step_c)+0.00000001),193))))*INDEX($D$5:$D$205,MAX(6,MIN(INT(((Alpha_keep*$A130+M$3-Lo_c)/Step_c)+0.00000001),193))+1)+(((Alpha_keep*$A130+M$3-Lo_c)/Step_c)-MAX(6,MIN(INT(((Alpha_keep*$A130+M$3-Lo_c)/Step_c)+0.00000001),193)))*INDEX($D$5:$D$205,MAX(6,MIN(INT(((Alpha_keep*$A130+M$3-Lo_c)/Step_c)+0.00000001),193))+2)),"")</f>
        <v>-221.000569584269</v>
      </c>
      <c r="N130" s="16" t="n">
        <f aca="false">IF(Grid!L130=1,-Cost_k*N$3-Short_p*MAX(0,Floor_c-$A130)+Beta_q*((1-(((Alpha_keep*$A130+N$3-Lo_c)/Step_c)-MAX(6,MIN(INT(((Alpha_keep*$A130+N$3-Lo_c)/Step_c)+0.00000001),193))))*INDEX($D$5:$D$205,MAX(6,MIN(INT(((Alpha_keep*$A130+N$3-Lo_c)/Step_c)+0.00000001),193))+1)+(((Alpha_keep*$A130+N$3-Lo_c)/Step_c)-MAX(6,MIN(INT(((Alpha_keep*$A130+N$3-Lo_c)/Step_c)+0.00000001),193)))*INDEX($D$5:$D$205,MAX(6,MIN(INT(((Alpha_keep*$A130+N$3-Lo_c)/Step_c)+0.00000001),193))+2)),"")</f>
        <v>-221.197456444564</v>
      </c>
      <c r="O130" s="16" t="n">
        <f aca="false">IF(Grid!M130=1,-Cost_k*O$3-Short_p*MAX(0,Floor_c-$A130)+Beta_q*((1-(((Alpha_keep*$A130+O$3-Lo_c)/Step_c)-MAX(6,MIN(INT(((Alpha_keep*$A130+O$3-Lo_c)/Step_c)+0.00000001),193))))*INDEX($D$5:$D$205,MAX(6,MIN(INT(((Alpha_keep*$A130+O$3-Lo_c)/Step_c)+0.00000001),193))+1)+(((Alpha_keep*$A130+O$3-Lo_c)/Step_c)-MAX(6,MIN(INT(((Alpha_keep*$A130+O$3-Lo_c)/Step_c)+0.00000001),193)))*INDEX($D$5:$D$205,MAX(6,MIN(INT(((Alpha_keep*$A130+O$3-Lo_c)/Step_c)+0.00000001),193))+2)),"")</f>
        <v>-221.399258989111</v>
      </c>
      <c r="P130" s="11" t="n">
        <f aca="false">MAX(E130:O130)</f>
        <v>-219.679409631502</v>
      </c>
      <c r="Q130" s="12" t="n">
        <f aca="false">INDEX($E$3:$O$3,MATCH(P130,E130:O130,0))</f>
        <v>0</v>
      </c>
      <c r="R130" s="20" t="n">
        <v>0</v>
      </c>
      <c r="S130" s="14" t="n">
        <f aca="false">IF(ABS(Q130-R130)&lt;0.000000001,1,0)</f>
        <v>1</v>
      </c>
      <c r="T130" s="21" t="n">
        <f aca="false">ABS(P130-B130)</f>
        <v>0</v>
      </c>
      <c r="U130" s="16" t="n">
        <f aca="false">Alpha_keep*A130+Q130</f>
        <v>59.71875</v>
      </c>
      <c r="V130" s="14" t="n">
        <f aca="false">INDEX(GuardBlock,126,ROUND(Q130/Step_h,0)+1)</f>
        <v>1</v>
      </c>
      <c r="W130" s="22" t="n">
        <v>0</v>
      </c>
    </row>
    <row r="131" customFormat="false" ht="15" hidden="false" customHeight="false" outlineLevel="0" collapsed="false">
      <c r="A131" s="18" t="n">
        <f aca="false">Grid!A131</f>
        <v>61.5</v>
      </c>
      <c r="B131" s="19" t="n">
        <v>-218.842810009606</v>
      </c>
      <c r="C131" s="14" t="n">
        <v>126</v>
      </c>
      <c r="D131" s="11" t="n">
        <f aca="false">IF(AND($C131&gt;=6,$C131&lt;=194),Declarations!$B$25*INDEX($B$5:$B$205,$C131+1-Declarations!$E$25)+Declarations!$B$26*INDEX($B$5:$B$205,$C131+1-Declarations!$E$26)+Declarations!$B$27*INDEX($B$5:$B$205,$C131+1-Declarations!$E$27)+Declarations!$B$28*INDEX($B$5:$B$205,$C131+1-Declarations!$E$28)+Declarations!$B$29*INDEX($B$5:$B$205,$C131+1-Declarations!$E$29),"")</f>
        <v>-218.866308753338</v>
      </c>
      <c r="E131" s="16" t="n">
        <f aca="false">IF(Grid!C131=1,-Cost_k*E$3-Short_p*MAX(0,Floor_c-$A131)+Beta_q*((1-(((Alpha_keep*$A131+E$3-Lo_c)/Step_c)-MAX(6,MIN(INT(((Alpha_keep*$A131+E$3-Lo_c)/Step_c)+0.00000001),193))))*INDEX($D$5:$D$205,MAX(6,MIN(INT(((Alpha_keep*$A131+E$3-Lo_c)/Step_c)+0.00000001),193))+1)+(((Alpha_keep*$A131+E$3-Lo_c)/Step_c)-MAX(6,MIN(INT(((Alpha_keep*$A131+E$3-Lo_c)/Step_c)+0.00000001),193)))*INDEX($D$5:$D$205,MAX(6,MIN(INT(((Alpha_keep*$A131+E$3-Lo_c)/Step_c)+0.00000001),193))+2)),"")</f>
        <v>-218.842810009606</v>
      </c>
      <c r="F131" s="16" t="n">
        <f aca="false">IF(Grid!D131=1,-Cost_k*F$3-Short_p*MAX(0,Floor_c-$A131)+Beta_q*((1-(((Alpha_keep*$A131+F$3-Lo_c)/Step_c)-MAX(6,MIN(INT(((Alpha_keep*$A131+F$3-Lo_c)/Step_c)+0.00000001),193))))*INDEX($D$5:$D$205,MAX(6,MIN(INT(((Alpha_keep*$A131+F$3-Lo_c)/Step_c)+0.00000001),193))+1)+(((Alpha_keep*$A131+F$3-Lo_c)/Step_c)-MAX(6,MIN(INT(((Alpha_keep*$A131+F$3-Lo_c)/Step_c)+0.00000001),193)))*INDEX($D$5:$D$205,MAX(6,MIN(INT(((Alpha_keep*$A131+F$3-Lo_c)/Step_c)+0.00000001),193))+2)),"")</f>
        <v>-218.987947855139</v>
      </c>
      <c r="G131" s="16" t="n">
        <f aca="false">IF(Grid!E131=1,-Cost_k*G$3-Short_p*MAX(0,Floor_c-$A131)+Beta_q*((1-(((Alpha_keep*$A131+G$3-Lo_c)/Step_c)-MAX(6,MIN(INT(((Alpha_keep*$A131+G$3-Lo_c)/Step_c)+0.00000001),193))))*INDEX($D$5:$D$205,MAX(6,MIN(INT(((Alpha_keep*$A131+G$3-Lo_c)/Step_c)+0.00000001),193))+1)+(((Alpha_keep*$A131+G$3-Lo_c)/Step_c)-MAX(6,MIN(INT(((Alpha_keep*$A131+G$3-Lo_c)/Step_c)+0.00000001),193)))*INDEX($D$5:$D$205,MAX(6,MIN(INT(((Alpha_keep*$A131+G$3-Lo_c)/Step_c)+0.00000001),193))+2)),"")</f>
        <v>-219.146791130689</v>
      </c>
      <c r="H131" s="16" t="n">
        <f aca="false">IF(Grid!F131=1,-Cost_k*H$3-Short_p*MAX(0,Floor_c-$A131)+Beta_q*((1-(((Alpha_keep*$A131+H$3-Lo_c)/Step_c)-MAX(6,MIN(INT(((Alpha_keep*$A131+H$3-Lo_c)/Step_c)+0.00000001),193))))*INDEX($D$5:$D$205,MAX(6,MIN(INT(((Alpha_keep*$A131+H$3-Lo_c)/Step_c)+0.00000001),193))+1)+(((Alpha_keep*$A131+H$3-Lo_c)/Step_c)-MAX(6,MIN(INT(((Alpha_keep*$A131+H$3-Lo_c)/Step_c)+0.00000001),193)))*INDEX($D$5:$D$205,MAX(6,MIN(INT(((Alpha_keep*$A131+H$3-Lo_c)/Step_c)+0.00000001),193))+2)),"")</f>
        <v>-219.309276537873</v>
      </c>
      <c r="I131" s="16" t="n">
        <f aca="false">IF(Grid!G131=1,-Cost_k*I$3-Short_p*MAX(0,Floor_c-$A131)+Beta_q*((1-(((Alpha_keep*$A131+I$3-Lo_c)/Step_c)-MAX(6,MIN(INT(((Alpha_keep*$A131+I$3-Lo_c)/Step_c)+0.00000001),193))))*INDEX($D$5:$D$205,MAX(6,MIN(INT(((Alpha_keep*$A131+I$3-Lo_c)/Step_c)+0.00000001),193))+1)+(((Alpha_keep*$A131+I$3-Lo_c)/Step_c)-MAX(6,MIN(INT(((Alpha_keep*$A131+I$3-Lo_c)/Step_c)+0.00000001),193)))*INDEX($D$5:$D$205,MAX(6,MIN(INT(((Alpha_keep*$A131+I$3-Lo_c)/Step_c)+0.00000001),193))+2)),"")</f>
        <v>-219.474866322745</v>
      </c>
      <c r="J131" s="16" t="n">
        <f aca="false">IF(Grid!H131=1,-Cost_k*J$3-Short_p*MAX(0,Floor_c-$A131)+Beta_q*((1-(((Alpha_keep*$A131+J$3-Lo_c)/Step_c)-MAX(6,MIN(INT(((Alpha_keep*$A131+J$3-Lo_c)/Step_c)+0.00000001),193))))*INDEX($D$5:$D$205,MAX(6,MIN(INT(((Alpha_keep*$A131+J$3-Lo_c)/Step_c)+0.00000001),193))+1)+(((Alpha_keep*$A131+J$3-Lo_c)/Step_c)-MAX(6,MIN(INT(((Alpha_keep*$A131+J$3-Lo_c)/Step_c)+0.00000001),193)))*INDEX($D$5:$D$205,MAX(6,MIN(INT(((Alpha_keep*$A131+J$3-Lo_c)/Step_c)+0.00000001),193))+2)),"")</f>
        <v>-219.653021750057</v>
      </c>
      <c r="K131" s="16" t="n">
        <f aca="false">IF(Grid!I131=1,-Cost_k*K$3-Short_p*MAX(0,Floor_c-$A131)+Beta_q*((1-(((Alpha_keep*$A131+K$3-Lo_c)/Step_c)-MAX(6,MIN(INT(((Alpha_keep*$A131+K$3-Lo_c)/Step_c)+0.00000001),193))))*INDEX($D$5:$D$205,MAX(6,MIN(INT(((Alpha_keep*$A131+K$3-Lo_c)/Step_c)+0.00000001),193))+1)+(((Alpha_keep*$A131+K$3-Lo_c)/Step_c)-MAX(6,MIN(INT(((Alpha_keep*$A131+K$3-Lo_c)/Step_c)+0.00000001),193)))*INDEX($D$5:$D$205,MAX(6,MIN(INT(((Alpha_keep*$A131+K$3-Lo_c)/Step_c)+0.00000001),193))+2)),"")</f>
        <v>-219.835476573832</v>
      </c>
      <c r="L131" s="16" t="n">
        <f aca="false">IF(Grid!J131=1,-Cost_k*L$3-Short_p*MAX(0,Floor_c-$A131)+Beta_q*((1-(((Alpha_keep*$A131+L$3-Lo_c)/Step_c)-MAX(6,MIN(INT(((Alpha_keep*$A131+L$3-Lo_c)/Step_c)+0.00000001),193))))*INDEX($D$5:$D$205,MAX(6,MIN(INT(((Alpha_keep*$A131+L$3-Lo_c)/Step_c)+0.00000001),193))+1)+(((Alpha_keep*$A131+L$3-Lo_c)/Step_c)-MAX(6,MIN(INT(((Alpha_keep*$A131+L$3-Lo_c)/Step_c)+0.00000001),193)))*INDEX($D$5:$D$205,MAX(6,MIN(INT(((Alpha_keep*$A131+L$3-Lo_c)/Step_c)+0.00000001),193))+2)),"")</f>
        <v>-220.020921946848</v>
      </c>
      <c r="M131" s="16" t="n">
        <f aca="false">IF(Grid!K131=1,-Cost_k*M$3-Short_p*MAX(0,Floor_c-$A131)+Beta_q*((1-(((Alpha_keep*$A131+M$3-Lo_c)/Step_c)-MAX(6,MIN(INT(((Alpha_keep*$A131+M$3-Lo_c)/Step_c)+0.00000001),193))))*INDEX($D$5:$D$205,MAX(6,MIN(INT(((Alpha_keep*$A131+M$3-Lo_c)/Step_c)+0.00000001),193))+1)+(((Alpha_keep*$A131+M$3-Lo_c)/Step_c)-MAX(6,MIN(INT(((Alpha_keep*$A131+M$3-Lo_c)/Step_c)+0.00000001),193)))*INDEX($D$5:$D$205,MAX(6,MIN(INT(((Alpha_keep*$A131+M$3-Lo_c)/Step_c)+0.00000001),193))+2)),"")</f>
        <v>-220.217495053901</v>
      </c>
      <c r="N131" s="16" t="n">
        <f aca="false">IF(Grid!L131=1,-Cost_k*N$3-Short_p*MAX(0,Floor_c-$A131)+Beta_q*((1-(((Alpha_keep*$A131+N$3-Lo_c)/Step_c)-MAX(6,MIN(INT(((Alpha_keep*$A131+N$3-Lo_c)/Step_c)+0.00000001),193))))*INDEX($D$5:$D$205,MAX(6,MIN(INT(((Alpha_keep*$A131+N$3-Lo_c)/Step_c)+0.00000001),193))+1)+(((Alpha_keep*$A131+N$3-Lo_c)/Step_c)-MAX(6,MIN(INT(((Alpha_keep*$A131+N$3-Lo_c)/Step_c)+0.00000001),193)))*INDEX($D$5:$D$205,MAX(6,MIN(INT(((Alpha_keep*$A131+N$3-Lo_c)/Step_c)+0.00000001),193))+2)),"")</f>
        <v>-220.419201972218</v>
      </c>
      <c r="O131" s="16" t="n">
        <f aca="false">IF(Grid!M131=1,-Cost_k*O$3-Short_p*MAX(0,Floor_c-$A131)+Beta_q*((1-(((Alpha_keep*$A131+O$3-Lo_c)/Step_c)-MAX(6,MIN(INT(((Alpha_keep*$A131+O$3-Lo_c)/Step_c)+0.00000001),193))))*INDEX($D$5:$D$205,MAX(6,MIN(INT(((Alpha_keep*$A131+O$3-Lo_c)/Step_c)+0.00000001),193))+1)+(((Alpha_keep*$A131+O$3-Lo_c)/Step_c)-MAX(6,MIN(INT(((Alpha_keep*$A131+O$3-Lo_c)/Step_c)+0.00000001),193)))*INDEX($D$5:$D$205,MAX(6,MIN(INT(((Alpha_keep*$A131+O$3-Lo_c)/Step_c)+0.00000001),193))+2)),"")</f>
        <v>-220.623910013468</v>
      </c>
      <c r="P131" s="11" t="n">
        <f aca="false">MAX(E131:O131)</f>
        <v>-218.842810009606</v>
      </c>
      <c r="Q131" s="12" t="n">
        <f aca="false">INDEX($E$3:$O$3,MATCH(P131,E131:O131,0))</f>
        <v>0</v>
      </c>
      <c r="R131" s="20" t="n">
        <v>0</v>
      </c>
      <c r="S131" s="14" t="n">
        <f aca="false">IF(ABS(Q131-R131)&lt;0.000000001,1,0)</f>
        <v>1</v>
      </c>
      <c r="T131" s="21" t="n">
        <f aca="false">ABS(P131-B131)</f>
        <v>0</v>
      </c>
      <c r="U131" s="16" t="n">
        <f aca="false">Alpha_keep*A131+Q131</f>
        <v>59.9625</v>
      </c>
      <c r="V131" s="14" t="n">
        <f aca="false">INDEX(GuardBlock,127,ROUND(Q131/Step_h,0)+1)</f>
        <v>1</v>
      </c>
      <c r="W131" s="22" t="n">
        <v>0</v>
      </c>
    </row>
    <row r="132" customFormat="false" ht="15" hidden="false" customHeight="false" outlineLevel="0" collapsed="false">
      <c r="A132" s="18" t="n">
        <f aca="false">Grid!A132</f>
        <v>61.75</v>
      </c>
      <c r="B132" s="19" t="n">
        <v>-218.009305927937</v>
      </c>
      <c r="C132" s="14" t="n">
        <v>127</v>
      </c>
      <c r="D132" s="11" t="n">
        <f aca="false">IF(AND($C132&gt;=6,$C132&lt;=194),Declarations!$B$25*INDEX($B$5:$B$205,$C132+1-Declarations!$E$25)+Declarations!$B$26*INDEX($B$5:$B$205,$C132+1-Declarations!$E$26)+Declarations!$B$27*INDEX($B$5:$B$205,$C132+1-Declarations!$E$27)+Declarations!$B$28*INDEX($B$5:$B$205,$C132+1-Declarations!$E$28)+Declarations!$B$29*INDEX($B$5:$B$205,$C132+1-Declarations!$E$29),"")</f>
        <v>-218.032583428419</v>
      </c>
      <c r="E132" s="16" t="n">
        <f aca="false">IF(Grid!C132=1,-Cost_k*E$3-Short_p*MAX(0,Floor_c-$A132)+Beta_q*((1-(((Alpha_keep*$A132+E$3-Lo_c)/Step_c)-MAX(6,MIN(INT(((Alpha_keep*$A132+E$3-Lo_c)/Step_c)+0.00000001),193))))*INDEX($D$5:$D$205,MAX(6,MIN(INT(((Alpha_keep*$A132+E$3-Lo_c)/Step_c)+0.00000001),193))+1)+(((Alpha_keep*$A132+E$3-Lo_c)/Step_c)-MAX(6,MIN(INT(((Alpha_keep*$A132+E$3-Lo_c)/Step_c)+0.00000001),193)))*INDEX($D$5:$D$205,MAX(6,MIN(INT(((Alpha_keep*$A132+E$3-Lo_c)/Step_c)+0.00000001),193))+2)),"")</f>
        <v>-218.009305927937</v>
      </c>
      <c r="F132" s="16" t="n">
        <f aca="false">IF(Grid!D132=1,-Cost_k*F$3-Short_p*MAX(0,Floor_c-$A132)+Beta_q*((1-(((Alpha_keep*$A132+F$3-Lo_c)/Step_c)-MAX(6,MIN(INT(((Alpha_keep*$A132+F$3-Lo_c)/Step_c)+0.00000001),193))))*INDEX($D$5:$D$205,MAX(6,MIN(INT(((Alpha_keep*$A132+F$3-Lo_c)/Step_c)+0.00000001),193))+1)+(((Alpha_keep*$A132+F$3-Lo_c)/Step_c)-MAX(6,MIN(INT(((Alpha_keep*$A132+F$3-Lo_c)/Step_c)+0.00000001),193)))*INDEX($D$5:$D$205,MAX(6,MIN(INT(((Alpha_keep*$A132+F$3-Lo_c)/Step_c)+0.00000001),193))+2)),"")</f>
        <v>-218.167761962679</v>
      </c>
      <c r="G132" s="16" t="n">
        <f aca="false">IF(Grid!E132=1,-Cost_k*G$3-Short_p*MAX(0,Floor_c-$A132)+Beta_q*((1-(((Alpha_keep*$A132+G$3-Lo_c)/Step_c)-MAX(6,MIN(INT(((Alpha_keep*$A132+G$3-Lo_c)/Step_c)+0.00000001),193))))*INDEX($D$5:$D$205,MAX(6,MIN(INT(((Alpha_keep*$A132+G$3-Lo_c)/Step_c)+0.00000001),193))+1)+(((Alpha_keep*$A132+G$3-Lo_c)/Step_c)-MAX(6,MIN(INT(((Alpha_keep*$A132+G$3-Lo_c)/Step_c)+0.00000001),193)))*INDEX($D$5:$D$205,MAX(6,MIN(INT(((Alpha_keep*$A132+G$3-Lo_c)/Step_c)+0.00000001),193))+2)),"")</f>
        <v>-218.330208584958</v>
      </c>
      <c r="H132" s="16" t="n">
        <f aca="false">IF(Grid!F132=1,-Cost_k*H$3-Short_p*MAX(0,Floor_c-$A132)+Beta_q*((1-(((Alpha_keep*$A132+H$3-Lo_c)/Step_c)-MAX(6,MIN(INT(((Alpha_keep*$A132+H$3-Lo_c)/Step_c)+0.00000001),193))))*INDEX($D$5:$D$205,MAX(6,MIN(INT(((Alpha_keep*$A132+H$3-Lo_c)/Step_c)+0.00000001),193))+1)+(((Alpha_keep*$A132+H$3-Lo_c)/Step_c)-MAX(6,MIN(INT(((Alpha_keep*$A132+H$3-Lo_c)/Step_c)+0.00000001),193)))*INDEX($D$5:$D$205,MAX(6,MIN(INT(((Alpha_keep*$A132+H$3-Lo_c)/Step_c)+0.00000001),193))+2)),"")</f>
        <v>-218.495713908999</v>
      </c>
      <c r="I132" s="16" t="n">
        <f aca="false">IF(Grid!G132=1,-Cost_k*I$3-Short_p*MAX(0,Floor_c-$A132)+Beta_q*((1-(((Alpha_keep*$A132+I$3-Lo_c)/Step_c)-MAX(6,MIN(INT(((Alpha_keep*$A132+I$3-Lo_c)/Step_c)+0.00000001),193))))*INDEX($D$5:$D$205,MAX(6,MIN(INT(((Alpha_keep*$A132+I$3-Lo_c)/Step_c)+0.00000001),193))+1)+(((Alpha_keep*$A132+I$3-Lo_c)/Step_c)-MAX(6,MIN(INT(((Alpha_keep*$A132+I$3-Lo_c)/Step_c)+0.00000001),193)))*INDEX($D$5:$D$205,MAX(6,MIN(INT(((Alpha_keep*$A132+I$3-Lo_c)/Step_c)+0.00000001),193))+2)),"")</f>
        <v>-218.673514663445</v>
      </c>
      <c r="J132" s="16" t="n">
        <f aca="false">IF(Grid!H132=1,-Cost_k*J$3-Short_p*MAX(0,Floor_c-$A132)+Beta_q*((1-(((Alpha_keep*$A132+J$3-Lo_c)/Step_c)-MAX(6,MIN(INT(((Alpha_keep*$A132+J$3-Lo_c)/Step_c)+0.00000001),193))))*INDEX($D$5:$D$205,MAX(6,MIN(INT(((Alpha_keep*$A132+J$3-Lo_c)/Step_c)+0.00000001),193))+1)+(((Alpha_keep*$A132+J$3-Lo_c)/Step_c)-MAX(6,MIN(INT(((Alpha_keep*$A132+J$3-Lo_c)/Step_c)+0.00000001),193)))*INDEX($D$5:$D$205,MAX(6,MIN(INT(((Alpha_keep*$A132+J$3-Lo_c)/Step_c)+0.00000001),193))+2)),"")</f>
        <v>-218.855905623711</v>
      </c>
      <c r="K132" s="16" t="n">
        <f aca="false">IF(Grid!I132=1,-Cost_k*K$3-Short_p*MAX(0,Floor_c-$A132)+Beta_q*((1-(((Alpha_keep*$A132+K$3-Lo_c)/Step_c)-MAX(6,MIN(INT(((Alpha_keep*$A132+K$3-Lo_c)/Step_c)+0.00000001),193))))*INDEX($D$5:$D$205,MAX(6,MIN(INT(((Alpha_keep*$A132+K$3-Lo_c)/Step_c)+0.00000001),193))+1)+(((Alpha_keep*$A132+K$3-Lo_c)/Step_c)-MAX(6,MIN(INT(((Alpha_keep*$A132+K$3-Lo_c)/Step_c)+0.00000001),193)))*INDEX($D$5:$D$205,MAX(6,MIN(INT(((Alpha_keep*$A132+K$3-Lo_c)/Step_c)+0.00000001),193))+2)),"")</f>
        <v>-219.041274309428</v>
      </c>
      <c r="L132" s="16" t="n">
        <f aca="false">IF(Grid!J132=1,-Cost_k*L$3-Short_p*MAX(0,Floor_c-$A132)+Beta_q*((1-(((Alpha_keep*$A132+L$3-Lo_c)/Step_c)-MAX(6,MIN(INT(((Alpha_keep*$A132+L$3-Lo_c)/Step_c)+0.00000001),193))))*INDEX($D$5:$D$205,MAX(6,MIN(INT(((Alpha_keep*$A132+L$3-Lo_c)/Step_c)+0.00000001),193))+1)+(((Alpha_keep*$A132+L$3-Lo_c)/Step_c)-MAX(6,MIN(INT(((Alpha_keep*$A132+L$3-Lo_c)/Step_c)+0.00000001),193)))*INDEX($D$5:$D$205,MAX(6,MIN(INT(((Alpha_keep*$A132+L$3-Lo_c)/Step_c)+0.00000001),193))+2)),"")</f>
        <v>-219.237533663238</v>
      </c>
      <c r="M132" s="16" t="n">
        <f aca="false">IF(Grid!K132=1,-Cost_k*M$3-Short_p*MAX(0,Floor_c-$A132)+Beta_q*((1-(((Alpha_keep*$A132+M$3-Lo_c)/Step_c)-MAX(6,MIN(INT(((Alpha_keep*$A132+M$3-Lo_c)/Step_c)+0.00000001),193))))*INDEX($D$5:$D$205,MAX(6,MIN(INT(((Alpha_keep*$A132+M$3-Lo_c)/Step_c)+0.00000001),193))+1)+(((Alpha_keep*$A132+M$3-Lo_c)/Step_c)-MAX(6,MIN(INT(((Alpha_keep*$A132+M$3-Lo_c)/Step_c)+0.00000001),193)))*INDEX($D$5:$D$205,MAX(6,MIN(INT(((Alpha_keep*$A132+M$3-Lo_c)/Step_c)+0.00000001),193))+2)),"")</f>
        <v>-219.439144955326</v>
      </c>
      <c r="N132" s="16" t="n">
        <f aca="false">IF(Grid!L132=1,-Cost_k*N$3-Short_p*MAX(0,Floor_c-$A132)+Beta_q*((1-(((Alpha_keep*$A132+N$3-Lo_c)/Step_c)-MAX(6,MIN(INT(((Alpha_keep*$A132+N$3-Lo_c)/Step_c)+0.00000001),193))))*INDEX($D$5:$D$205,MAX(6,MIN(INT(((Alpha_keep*$A132+N$3-Lo_c)/Step_c)+0.00000001),193))+1)+(((Alpha_keep*$A132+N$3-Lo_c)/Step_c)-MAX(6,MIN(INT(((Alpha_keep*$A132+N$3-Lo_c)/Step_c)+0.00000001),193)))*INDEX($D$5:$D$205,MAX(6,MIN(INT(((Alpha_keep*$A132+N$3-Lo_c)/Step_c)+0.00000001),193))+2)),"")</f>
        <v>-219.643781603471</v>
      </c>
      <c r="O132" s="16" t="n">
        <f aca="false">IF(Grid!M132=1,-Cost_k*O$3-Short_p*MAX(0,Floor_c-$A132)+Beta_q*((1-(((Alpha_keep*$A132+O$3-Lo_c)/Step_c)-MAX(6,MIN(INT(((Alpha_keep*$A132+O$3-Lo_c)/Step_c)+0.00000001),193))))*INDEX($D$5:$D$205,MAX(6,MIN(INT(((Alpha_keep*$A132+O$3-Lo_c)/Step_c)+0.00000001),193))+1)+(((Alpha_keep*$A132+O$3-Lo_c)/Step_c)-MAX(6,MIN(INT(((Alpha_keep*$A132+O$3-Lo_c)/Step_c)+0.00000001),193)))*INDEX($D$5:$D$205,MAX(6,MIN(INT(((Alpha_keep*$A132+O$3-Lo_c)/Step_c)+0.00000001),193))+2)),"")</f>
        <v>-219.857793653357</v>
      </c>
      <c r="P132" s="11" t="n">
        <f aca="false">MAX(E132:O132)</f>
        <v>-218.009305927937</v>
      </c>
      <c r="Q132" s="12" t="n">
        <f aca="false">INDEX($E$3:$O$3,MATCH(P132,E132:O132,0))</f>
        <v>0</v>
      </c>
      <c r="R132" s="20" t="n">
        <v>0</v>
      </c>
      <c r="S132" s="14" t="n">
        <f aca="false">IF(ABS(Q132-R132)&lt;0.000000001,1,0)</f>
        <v>1</v>
      </c>
      <c r="T132" s="21" t="n">
        <f aca="false">ABS(P132-B132)</f>
        <v>0</v>
      </c>
      <c r="U132" s="16" t="n">
        <f aca="false">Alpha_keep*A132+Q132</f>
        <v>60.20625</v>
      </c>
      <c r="V132" s="14" t="n">
        <f aca="false">INDEX(GuardBlock,128,ROUND(Q132/Step_h,0)+1)</f>
        <v>1</v>
      </c>
      <c r="W132" s="22" t="n">
        <v>0</v>
      </c>
    </row>
    <row r="133" customFormat="false" ht="15" hidden="false" customHeight="false" outlineLevel="0" collapsed="false">
      <c r="A133" s="18" t="n">
        <f aca="false">Grid!A133</f>
        <v>62</v>
      </c>
      <c r="B133" s="19" t="n">
        <v>-217.188732794669</v>
      </c>
      <c r="C133" s="14" t="n">
        <v>128</v>
      </c>
      <c r="D133" s="11" t="n">
        <f aca="false">IF(AND($C133&gt;=6,$C133&lt;=194),Declarations!$B$25*INDEX($B$5:$B$205,$C133+1-Declarations!$E$25)+Declarations!$B$26*INDEX($B$5:$B$205,$C133+1-Declarations!$E$26)+Declarations!$B$27*INDEX($B$5:$B$205,$C133+1-Declarations!$E$27)+Declarations!$B$28*INDEX($B$5:$B$205,$C133+1-Declarations!$E$28)+Declarations!$B$29*INDEX($B$5:$B$205,$C133+1-Declarations!$E$29),"")</f>
        <v>-217.211710863115</v>
      </c>
      <c r="E133" s="16" t="n">
        <f aca="false">IF(Grid!C133=1,-Cost_k*E$3-Short_p*MAX(0,Floor_c-$A133)+Beta_q*((1-(((Alpha_keep*$A133+E$3-Lo_c)/Step_c)-MAX(6,MIN(INT(((Alpha_keep*$A133+E$3-Lo_c)/Step_c)+0.00000001),193))))*INDEX($D$5:$D$205,MAX(6,MIN(INT(((Alpha_keep*$A133+E$3-Lo_c)/Step_c)+0.00000001),193))+1)+(((Alpha_keep*$A133+E$3-Lo_c)/Step_c)-MAX(6,MIN(INT(((Alpha_keep*$A133+E$3-Lo_c)/Step_c)+0.00000001),193)))*INDEX($D$5:$D$205,MAX(6,MIN(INT(((Alpha_keep*$A133+E$3-Lo_c)/Step_c)+0.00000001),193))+2)),"")</f>
        <v>-217.188732794669</v>
      </c>
      <c r="F133" s="16" t="n">
        <f aca="false">IF(Grid!D133=1,-Cost_k*F$3-Short_p*MAX(0,Floor_c-$A133)+Beta_q*((1-(((Alpha_keep*$A133+F$3-Lo_c)/Step_c)-MAX(6,MIN(INT(((Alpha_keep*$A133+F$3-Lo_c)/Step_c)+0.00000001),193))))*INDEX($D$5:$D$205,MAX(6,MIN(INT(((Alpha_keep*$A133+F$3-Lo_c)/Step_c)+0.00000001),193))+1)+(((Alpha_keep*$A133+F$3-Lo_c)/Step_c)-MAX(6,MIN(INT(((Alpha_keep*$A133+F$3-Lo_c)/Step_c)+0.00000001),193)))*INDEX($D$5:$D$205,MAX(6,MIN(INT(((Alpha_keep*$A133+F$3-Lo_c)/Step_c)+0.00000001),193))+2)),"")</f>
        <v>-217.351140632042</v>
      </c>
      <c r="G133" s="16" t="n">
        <f aca="false">IF(Grid!E133=1,-Cost_k*G$3-Short_p*MAX(0,Floor_c-$A133)+Beta_q*((1-(((Alpha_keep*$A133+G$3-Lo_c)/Step_c)-MAX(6,MIN(INT(((Alpha_keep*$A133+G$3-Lo_c)/Step_c)+0.00000001),193))))*INDEX($D$5:$D$205,MAX(6,MIN(INT(((Alpha_keep*$A133+G$3-Lo_c)/Step_c)+0.00000001),193))+1)+(((Alpha_keep*$A133+G$3-Lo_c)/Step_c)-MAX(6,MIN(INT(((Alpha_keep*$A133+G$3-Lo_c)/Step_c)+0.00000001),193)))*INDEX($D$5:$D$205,MAX(6,MIN(INT(((Alpha_keep*$A133+G$3-Lo_c)/Step_c)+0.00000001),193))+2)),"")</f>
        <v>-217.516561495253</v>
      </c>
      <c r="H133" s="16" t="n">
        <f aca="false">IF(Grid!F133=1,-Cost_k*H$3-Short_p*MAX(0,Floor_c-$A133)+Beta_q*((1-(((Alpha_keep*$A133+H$3-Lo_c)/Step_c)-MAX(6,MIN(INT(((Alpha_keep*$A133+H$3-Lo_c)/Step_c)+0.00000001),193))))*INDEX($D$5:$D$205,MAX(6,MIN(INT(((Alpha_keep*$A133+H$3-Lo_c)/Step_c)+0.00000001),193))+1)+(((Alpha_keep*$A133+H$3-Lo_c)/Step_c)-MAX(6,MIN(INT(((Alpha_keep*$A133+H$3-Lo_c)/Step_c)+0.00000001),193)))*INDEX($D$5:$D$205,MAX(6,MIN(INT(((Alpha_keep*$A133+H$3-Lo_c)/Step_c)+0.00000001),193))+2)),"")</f>
        <v>-217.694007576832</v>
      </c>
      <c r="I133" s="16" t="n">
        <f aca="false">IF(Grid!G133=1,-Cost_k*I$3-Short_p*MAX(0,Floor_c-$A133)+Beta_q*((1-(((Alpha_keep*$A133+I$3-Lo_c)/Step_c)-MAX(6,MIN(INT(((Alpha_keep*$A133+I$3-Lo_c)/Step_c)+0.00000001),193))))*INDEX($D$5:$D$205,MAX(6,MIN(INT(((Alpha_keep*$A133+I$3-Lo_c)/Step_c)+0.00000001),193))+1)+(((Alpha_keep*$A133+I$3-Lo_c)/Step_c)-MAX(6,MIN(INT(((Alpha_keep*$A133+I$3-Lo_c)/Step_c)+0.00000001),193)))*INDEX($D$5:$D$205,MAX(6,MIN(INT(((Alpha_keep*$A133+I$3-Lo_c)/Step_c)+0.00000001),193))+2)),"")</f>
        <v>-217.876334673591</v>
      </c>
      <c r="J133" s="16" t="n">
        <f aca="false">IF(Grid!H133=1,-Cost_k*J$3-Short_p*MAX(0,Floor_c-$A133)+Beta_q*((1-(((Alpha_keep*$A133+J$3-Lo_c)/Step_c)-MAX(6,MIN(INT(((Alpha_keep*$A133+J$3-Lo_c)/Step_c)+0.00000001),193))))*INDEX($D$5:$D$205,MAX(6,MIN(INT(((Alpha_keep*$A133+J$3-Lo_c)/Step_c)+0.00000001),193))+1)+(((Alpha_keep*$A133+J$3-Lo_c)/Step_c)-MAX(6,MIN(INT(((Alpha_keep*$A133+J$3-Lo_c)/Step_c)+0.00000001),193)))*INDEX($D$5:$D$205,MAX(6,MIN(INT(((Alpha_keep*$A133+J$3-Lo_c)/Step_c)+0.00000001),193))+2)),"")</f>
        <v>-218.061626672008</v>
      </c>
      <c r="K133" s="16" t="n">
        <f aca="false">IF(Grid!I133=1,-Cost_k*K$3-Short_p*MAX(0,Floor_c-$A133)+Beta_q*((1-(((Alpha_keep*$A133+K$3-Lo_c)/Step_c)-MAX(6,MIN(INT(((Alpha_keep*$A133+K$3-Lo_c)/Step_c)+0.00000001),193))))*INDEX($D$5:$D$205,MAX(6,MIN(INT(((Alpha_keep*$A133+K$3-Lo_c)/Step_c)+0.00000001),193))+1)+(((Alpha_keep*$A133+K$3-Lo_c)/Step_c)-MAX(6,MIN(INT(((Alpha_keep*$A133+K$3-Lo_c)/Step_c)+0.00000001),193)))*INDEX($D$5:$D$205,MAX(6,MIN(INT(((Alpha_keep*$A133+K$3-Lo_c)/Step_c)+0.00000001),193))+2)),"")</f>
        <v>-218.257572272576</v>
      </c>
      <c r="L133" s="16" t="n">
        <f aca="false">IF(Grid!J133=1,-Cost_k*L$3-Short_p*MAX(0,Floor_c-$A133)+Beta_q*((1-(((Alpha_keep*$A133+L$3-Lo_c)/Step_c)-MAX(6,MIN(INT(((Alpha_keep*$A133+L$3-Lo_c)/Step_c)+0.00000001),193))))*INDEX($D$5:$D$205,MAX(6,MIN(INT(((Alpha_keep*$A133+L$3-Lo_c)/Step_c)+0.00000001),193))+1)+(((Alpha_keep*$A133+L$3-Lo_c)/Step_c)-MAX(6,MIN(INT(((Alpha_keep*$A133+L$3-Lo_c)/Step_c)+0.00000001),193)))*INDEX($D$5:$D$205,MAX(6,MIN(INT(((Alpha_keep*$A133+L$3-Lo_c)/Step_c)+0.00000001),193))+2)),"")</f>
        <v>-218.459087938434</v>
      </c>
      <c r="M133" s="16" t="n">
        <f aca="false">IF(Grid!K133=1,-Cost_k*M$3-Short_p*MAX(0,Floor_c-$A133)+Beta_q*((1-(((Alpha_keep*$A133+M$3-Lo_c)/Step_c)-MAX(6,MIN(INT(((Alpha_keep*$A133+M$3-Lo_c)/Step_c)+0.00000001),193))))*INDEX($D$5:$D$205,MAX(6,MIN(INT(((Alpha_keep*$A133+M$3-Lo_c)/Step_c)+0.00000001),193))+1)+(((Alpha_keep*$A133+M$3-Lo_c)/Step_c)-MAX(6,MIN(INT(((Alpha_keep*$A133+M$3-Lo_c)/Step_c)+0.00000001),193)))*INDEX($D$5:$D$205,MAX(6,MIN(INT(((Alpha_keep*$A133+M$3-Lo_c)/Step_c)+0.00000001),193))+2)),"")</f>
        <v>-218.663653193474</v>
      </c>
      <c r="N133" s="16" t="n">
        <f aca="false">IF(Grid!L133=1,-Cost_k*N$3-Short_p*MAX(0,Floor_c-$A133)+Beta_q*((1-(((Alpha_keep*$A133+N$3-Lo_c)/Step_c)-MAX(6,MIN(INT(((Alpha_keep*$A133+N$3-Lo_c)/Step_c)+0.00000001),193))))*INDEX($D$5:$D$205,MAX(6,MIN(INT(((Alpha_keep*$A133+N$3-Lo_c)/Step_c)+0.00000001),193))+1)+(((Alpha_keep*$A133+N$3-Lo_c)/Step_c)-MAX(6,MIN(INT(((Alpha_keep*$A133+N$3-Lo_c)/Step_c)+0.00000001),193)))*INDEX($D$5:$D$205,MAX(6,MIN(INT(((Alpha_keep*$A133+N$3-Lo_c)/Step_c)+0.00000001),193))+2)),"")</f>
        <v>-218.877396284269</v>
      </c>
      <c r="O133" s="16" t="n">
        <f aca="false">IF(Grid!M133=1,-Cost_k*O$3-Short_p*MAX(0,Floor_c-$A133)+Beta_q*((1-(((Alpha_keep*$A133+O$3-Lo_c)/Step_c)-MAX(6,MIN(INT(((Alpha_keep*$A133+O$3-Lo_c)/Step_c)+0.00000001),193))))*INDEX($D$5:$D$205,MAX(6,MIN(INT(((Alpha_keep*$A133+O$3-Lo_c)/Step_c)+0.00000001),193))+1)+(((Alpha_keep*$A133+O$3-Lo_c)/Step_c)-MAX(6,MIN(INT(((Alpha_keep*$A133+O$3-Lo_c)/Step_c)+0.00000001),193)))*INDEX($D$5:$D$205,MAX(6,MIN(INT(((Alpha_keep*$A133+O$3-Lo_c)/Step_c)+0.00000001),193))+2)),"")</f>
        <v>-219.097372892791</v>
      </c>
      <c r="P133" s="11" t="n">
        <f aca="false">MAX(E133:O133)</f>
        <v>-217.188732794669</v>
      </c>
      <c r="Q133" s="12" t="n">
        <f aca="false">INDEX($E$3:$O$3,MATCH(P133,E133:O133,0))</f>
        <v>0</v>
      </c>
      <c r="R133" s="20" t="n">
        <v>0</v>
      </c>
      <c r="S133" s="14" t="n">
        <f aca="false">IF(ABS(Q133-R133)&lt;0.000000001,1,0)</f>
        <v>1</v>
      </c>
      <c r="T133" s="21" t="n">
        <f aca="false">ABS(P133-B133)</f>
        <v>0</v>
      </c>
      <c r="U133" s="16" t="n">
        <f aca="false">Alpha_keep*A133+Q133</f>
        <v>60.45</v>
      </c>
      <c r="V133" s="14" t="n">
        <f aca="false">INDEX(GuardBlock,129,ROUND(Q133/Step_h,0)+1)</f>
        <v>1</v>
      </c>
      <c r="W133" s="22" t="n">
        <v>0</v>
      </c>
    </row>
    <row r="134" customFormat="false" ht="15" hidden="false" customHeight="false" outlineLevel="0" collapsed="false">
      <c r="A134" s="18" t="n">
        <f aca="false">Grid!A134</f>
        <v>62.25</v>
      </c>
      <c r="B134" s="19" t="n">
        <v>-216.372072679127</v>
      </c>
      <c r="C134" s="14" t="n">
        <v>129</v>
      </c>
      <c r="D134" s="11" t="n">
        <f aca="false">IF(AND($C134&gt;=6,$C134&lt;=194),Declarations!$B$25*INDEX($B$5:$B$205,$C134+1-Declarations!$E$25)+Declarations!$B$26*INDEX($B$5:$B$205,$C134+1-Declarations!$E$26)+Declarations!$B$27*INDEX($B$5:$B$205,$C134+1-Declarations!$E$27)+Declarations!$B$28*INDEX($B$5:$B$205,$C134+1-Declarations!$E$28)+Declarations!$B$29*INDEX($B$5:$B$205,$C134+1-Declarations!$E$29),"")</f>
        <v>-216.394755583048</v>
      </c>
      <c r="E134" s="16" t="n">
        <f aca="false">IF(Grid!C134=1,-Cost_k*E$3-Short_p*MAX(0,Floor_c-$A134)+Beta_q*((1-(((Alpha_keep*$A134+E$3-Lo_c)/Step_c)-MAX(6,MIN(INT(((Alpha_keep*$A134+E$3-Lo_c)/Step_c)+0.00000001),193))))*INDEX($D$5:$D$205,MAX(6,MIN(INT(((Alpha_keep*$A134+E$3-Lo_c)/Step_c)+0.00000001),193))+1)+(((Alpha_keep*$A134+E$3-Lo_c)/Step_c)-MAX(6,MIN(INT(((Alpha_keep*$A134+E$3-Lo_c)/Step_c)+0.00000001),193)))*INDEX($D$5:$D$205,MAX(6,MIN(INT(((Alpha_keep*$A134+E$3-Lo_c)/Step_c)+0.00000001),193))+2)),"")</f>
        <v>-216.372072679127</v>
      </c>
      <c r="F134" s="16" t="n">
        <f aca="false">IF(Grid!D134=1,-Cost_k*F$3-Short_p*MAX(0,Floor_c-$A134)+Beta_q*((1-(((Alpha_keep*$A134+F$3-Lo_c)/Step_c)-MAX(6,MIN(INT(((Alpha_keep*$A134+F$3-Lo_c)/Step_c)+0.00000001),193))))*INDEX($D$5:$D$205,MAX(6,MIN(INT(((Alpha_keep*$A134+F$3-Lo_c)/Step_c)+0.00000001),193))+1)+(((Alpha_keep*$A134+F$3-Lo_c)/Step_c)-MAX(6,MIN(INT(((Alpha_keep*$A134+F$3-Lo_c)/Step_c)+0.00000001),193)))*INDEX($D$5:$D$205,MAX(6,MIN(INT(((Alpha_keep*$A134+F$3-Lo_c)/Step_c)+0.00000001),193))+2)),"")</f>
        <v>-216.537409081506</v>
      </c>
      <c r="G134" s="16" t="n">
        <f aca="false">IF(Grid!E134=1,-Cost_k*G$3-Short_p*MAX(0,Floor_c-$A134)+Beta_q*((1-(((Alpha_keep*$A134+G$3-Lo_c)/Step_c)-MAX(6,MIN(INT(((Alpha_keep*$A134+G$3-Lo_c)/Step_c)+0.00000001),193))))*INDEX($D$5:$D$205,MAX(6,MIN(INT(((Alpha_keep*$A134+G$3-Lo_c)/Step_c)+0.00000001),193))+1)+(((Alpha_keep*$A134+G$3-Lo_c)/Step_c)-MAX(6,MIN(INT(((Alpha_keep*$A134+G$3-Lo_c)/Step_c)+0.00000001),193)))*INDEX($D$5:$D$205,MAX(6,MIN(INT(((Alpha_keep*$A134+G$3-Lo_c)/Step_c)+0.00000001),193))+2)),"")</f>
        <v>-216.714500490219</v>
      </c>
      <c r="H134" s="16" t="n">
        <f aca="false">IF(Grid!F134=1,-Cost_k*H$3-Short_p*MAX(0,Floor_c-$A134)+Beta_q*((1-(((Alpha_keep*$A134+H$3-Lo_c)/Step_c)-MAX(6,MIN(INT(((Alpha_keep*$A134+H$3-Lo_c)/Step_c)+0.00000001),193))))*INDEX($D$5:$D$205,MAX(6,MIN(INT(((Alpha_keep*$A134+H$3-Lo_c)/Step_c)+0.00000001),193))+1)+(((Alpha_keep*$A134+H$3-Lo_c)/Step_c)-MAX(6,MIN(INT(((Alpha_keep*$A134+H$3-Lo_c)/Step_c)+0.00000001),193)))*INDEX($D$5:$D$205,MAX(6,MIN(INT(((Alpha_keep*$A134+H$3-Lo_c)/Step_c)+0.00000001),193))+2)),"")</f>
        <v>-216.89676372347</v>
      </c>
      <c r="I134" s="16" t="n">
        <f aca="false">IF(Grid!G134=1,-Cost_k*I$3-Short_p*MAX(0,Floor_c-$A134)+Beta_q*((1-(((Alpha_keep*$A134+I$3-Lo_c)/Step_c)-MAX(6,MIN(INT(((Alpha_keep*$A134+I$3-Lo_c)/Step_c)+0.00000001),193))))*INDEX($D$5:$D$205,MAX(6,MIN(INT(((Alpha_keep*$A134+I$3-Lo_c)/Step_c)+0.00000001),193))+1)+(((Alpha_keep*$A134+I$3-Lo_c)/Step_c)-MAX(6,MIN(INT(((Alpha_keep*$A134+I$3-Lo_c)/Step_c)+0.00000001),193)))*INDEX($D$5:$D$205,MAX(6,MIN(INT(((Alpha_keep*$A134+I$3-Lo_c)/Step_c)+0.00000001),193))+2)),"")</f>
        <v>-217.081979034587</v>
      </c>
      <c r="J134" s="16" t="n">
        <f aca="false">IF(Grid!H134=1,-Cost_k*J$3-Short_p*MAX(0,Floor_c-$A134)+Beta_q*((1-(((Alpha_keep*$A134+J$3-Lo_c)/Step_c)-MAX(6,MIN(INT(((Alpha_keep*$A134+J$3-Lo_c)/Step_c)+0.00000001),193))))*INDEX($D$5:$D$205,MAX(6,MIN(INT(((Alpha_keep*$A134+J$3-Lo_c)/Step_c)+0.00000001),193))+1)+(((Alpha_keep*$A134+J$3-Lo_c)/Step_c)-MAX(6,MIN(INT(((Alpha_keep*$A134+J$3-Lo_c)/Step_c)+0.00000001),193)))*INDEX($D$5:$D$205,MAX(6,MIN(INT(((Alpha_keep*$A134+J$3-Lo_c)/Step_c)+0.00000001),193))+2)),"")</f>
        <v>-217.277610881913</v>
      </c>
      <c r="K134" s="16" t="n">
        <f aca="false">IF(Grid!I134=1,-Cost_k*K$3-Short_p*MAX(0,Floor_c-$A134)+Beta_q*((1-(((Alpha_keep*$A134+K$3-Lo_c)/Step_c)-MAX(6,MIN(INT(((Alpha_keep*$A134+K$3-Lo_c)/Step_c)+0.00000001),193))))*INDEX($D$5:$D$205,MAX(6,MIN(INT(((Alpha_keep*$A134+K$3-Lo_c)/Step_c)+0.00000001),193))+1)+(((Alpha_keep*$A134+K$3-Lo_c)/Step_c)-MAX(6,MIN(INT(((Alpha_keep*$A134+K$3-Lo_c)/Step_c)+0.00000001),193)))*INDEX($D$5:$D$205,MAX(6,MIN(INT(((Alpha_keep*$A134+K$3-Lo_c)/Step_c)+0.00000001),193))+2)),"")</f>
        <v>-217.479030921541</v>
      </c>
      <c r="L134" s="16" t="n">
        <f aca="false">IF(Grid!J134=1,-Cost_k*L$3-Short_p*MAX(0,Floor_c-$A134)+Beta_q*((1-(((Alpha_keep*$A134+L$3-Lo_c)/Step_c)-MAX(6,MIN(INT(((Alpha_keep*$A134+L$3-Lo_c)/Step_c)+0.00000001),193))))*INDEX($D$5:$D$205,MAX(6,MIN(INT(((Alpha_keep*$A134+L$3-Lo_c)/Step_c)+0.00000001),193))+1)+(((Alpha_keep*$A134+L$3-Lo_c)/Step_c)-MAX(6,MIN(INT(((Alpha_keep*$A134+L$3-Lo_c)/Step_c)+0.00000001),193)))*INDEX($D$5:$D$205,MAX(6,MIN(INT(((Alpha_keep*$A134+L$3-Lo_c)/Step_c)+0.00000001),193))+2)),"")</f>
        <v>-217.683524783478</v>
      </c>
      <c r="M134" s="16" t="n">
        <f aca="false">IF(Grid!K134=1,-Cost_k*M$3-Short_p*MAX(0,Floor_c-$A134)+Beta_q*((1-(((Alpha_keep*$A134+M$3-Lo_c)/Step_c)-MAX(6,MIN(INT(((Alpha_keep*$A134+M$3-Lo_c)/Step_c)+0.00000001),193))))*INDEX($D$5:$D$205,MAX(6,MIN(INT(((Alpha_keep*$A134+M$3-Lo_c)/Step_c)+0.00000001),193))+1)+(((Alpha_keep*$A134+M$3-Lo_c)/Step_c)-MAX(6,MIN(INT(((Alpha_keep*$A134+M$3-Lo_c)/Step_c)+0.00000001),193)))*INDEX($D$5:$D$205,MAX(6,MIN(INT(((Alpha_keep*$A134+M$3-Lo_c)/Step_c)+0.00000001),193))+2)),"")</f>
        <v>-217.896998915181</v>
      </c>
      <c r="N134" s="16" t="n">
        <f aca="false">IF(Grid!L134=1,-Cost_k*N$3-Short_p*MAX(0,Floor_c-$A134)+Beta_q*((1-(((Alpha_keep*$A134+N$3-Lo_c)/Step_c)-MAX(6,MIN(INT(((Alpha_keep*$A134+N$3-Lo_c)/Step_c)+0.00000001),193))))*INDEX($D$5:$D$205,MAX(6,MIN(INT(((Alpha_keep*$A134+N$3-Lo_c)/Step_c)+0.00000001),193))+1)+(((Alpha_keep*$A134+N$3-Lo_c)/Step_c)-MAX(6,MIN(INT(((Alpha_keep*$A134+N$3-Lo_c)/Step_c)+0.00000001),193)))*INDEX($D$5:$D$205,MAX(6,MIN(INT(((Alpha_keep*$A134+N$3-Lo_c)/Step_c)+0.00000001),193))+2)),"")</f>
        <v>-218.116847966046</v>
      </c>
      <c r="O134" s="16" t="n">
        <f aca="false">IF(Grid!M134=1,-Cost_k*O$3-Short_p*MAX(0,Floor_c-$A134)+Beta_q*((1-(((Alpha_keep*$A134+O$3-Lo_c)/Step_c)-MAX(6,MIN(INT(((Alpha_keep*$A134+O$3-Lo_c)/Step_c)+0.00000001),193))))*INDEX($D$5:$D$205,MAX(6,MIN(INT(((Alpha_keep*$A134+O$3-Lo_c)/Step_c)+0.00000001),193))+1)+(((Alpha_keep*$A134+O$3-Lo_c)/Step_c)-MAX(6,MIN(INT(((Alpha_keep*$A134+O$3-Lo_c)/Step_c)+0.00000001),193)))*INDEX($D$5:$D$205,MAX(6,MIN(INT(((Alpha_keep*$A134+O$3-Lo_c)/Step_c)+0.00000001),193))+2)),"")</f>
        <v>-218.340042196917</v>
      </c>
      <c r="P134" s="11" t="n">
        <f aca="false">MAX(E134:O134)</f>
        <v>-216.372072679127</v>
      </c>
      <c r="Q134" s="12" t="n">
        <f aca="false">INDEX($E$3:$O$3,MATCH(P134,E134:O134,0))</f>
        <v>0</v>
      </c>
      <c r="R134" s="20" t="n">
        <v>0</v>
      </c>
      <c r="S134" s="14" t="n">
        <f aca="false">IF(ABS(Q134-R134)&lt;0.000000001,1,0)</f>
        <v>1</v>
      </c>
      <c r="T134" s="21" t="n">
        <f aca="false">ABS(P134-B134)</f>
        <v>0</v>
      </c>
      <c r="U134" s="16" t="n">
        <f aca="false">Alpha_keep*A134+Q134</f>
        <v>60.69375</v>
      </c>
      <c r="V134" s="14" t="n">
        <f aca="false">INDEX(GuardBlock,130,ROUND(Q134/Step_h,0)+1)</f>
        <v>1</v>
      </c>
      <c r="W134" s="22" t="n">
        <v>0</v>
      </c>
    </row>
    <row r="135" customFormat="false" ht="15" hidden="false" customHeight="false" outlineLevel="0" collapsed="false">
      <c r="A135" s="18" t="n">
        <f aca="false">Grid!A135</f>
        <v>62.5</v>
      </c>
      <c r="B135" s="19" t="n">
        <v>-215.55825666776</v>
      </c>
      <c r="C135" s="14" t="n">
        <v>130</v>
      </c>
      <c r="D135" s="11" t="n">
        <f aca="false">IF(AND($C135&gt;=6,$C135&lt;=194),Declarations!$B$25*INDEX($B$5:$B$205,$C135+1-Declarations!$E$25)+Declarations!$B$26*INDEX($B$5:$B$205,$C135+1-Declarations!$E$26)+Declarations!$B$27*INDEX($B$5:$B$205,$C135+1-Declarations!$E$27)+Declarations!$B$28*INDEX($B$5:$B$205,$C135+1-Declarations!$E$28)+Declarations!$B$29*INDEX($B$5:$B$205,$C135+1-Declarations!$E$29),"")</f>
        <v>-215.580724889207</v>
      </c>
      <c r="E135" s="16" t="n">
        <f aca="false">IF(Grid!C135=1,-Cost_k*E$3-Short_p*MAX(0,Floor_c-$A135)+Beta_q*((1-(((Alpha_keep*$A135+E$3-Lo_c)/Step_c)-MAX(6,MIN(INT(((Alpha_keep*$A135+E$3-Lo_c)/Step_c)+0.00000001),193))))*INDEX($D$5:$D$205,MAX(6,MIN(INT(((Alpha_keep*$A135+E$3-Lo_c)/Step_c)+0.00000001),193))+1)+(((Alpha_keep*$A135+E$3-Lo_c)/Step_c)-MAX(6,MIN(INT(((Alpha_keep*$A135+E$3-Lo_c)/Step_c)+0.00000001),193)))*INDEX($D$5:$D$205,MAX(6,MIN(INT(((Alpha_keep*$A135+E$3-Lo_c)/Step_c)+0.00000001),193))+2)),"")</f>
        <v>-215.55825666776</v>
      </c>
      <c r="F135" s="16" t="n">
        <f aca="false">IF(Grid!D135=1,-Cost_k*F$3-Short_p*MAX(0,Floor_c-$A135)+Beta_q*((1-(((Alpha_keep*$A135+F$3-Lo_c)/Step_c)-MAX(6,MIN(INT(((Alpha_keep*$A135+F$3-Lo_c)/Step_c)+0.00000001),193))))*INDEX($D$5:$D$205,MAX(6,MIN(INT(((Alpha_keep*$A135+F$3-Lo_c)/Step_c)+0.00000001),193))+1)+(((Alpha_keep*$A135+F$3-Lo_c)/Step_c)-MAX(6,MIN(INT(((Alpha_keep*$A135+F$3-Lo_c)/Step_c)+0.00000001),193)))*INDEX($D$5:$D$205,MAX(6,MIN(INT(((Alpha_keep*$A135+F$3-Lo_c)/Step_c)+0.00000001),193))+2)),"")</f>
        <v>-215.734993403606</v>
      </c>
      <c r="G135" s="16" t="n">
        <f aca="false">IF(Grid!E135=1,-Cost_k*G$3-Short_p*MAX(0,Floor_c-$A135)+Beta_q*((1-(((Alpha_keep*$A135+G$3-Lo_c)/Step_c)-MAX(6,MIN(INT(((Alpha_keep*$A135+G$3-Lo_c)/Step_c)+0.00000001),193))))*INDEX($D$5:$D$205,MAX(6,MIN(INT(((Alpha_keep*$A135+G$3-Lo_c)/Step_c)+0.00000001),193))+1)+(((Alpha_keep*$A135+G$3-Lo_c)/Step_c)-MAX(6,MIN(INT(((Alpha_keep*$A135+G$3-Lo_c)/Step_c)+0.00000001),193)))*INDEX($D$5:$D$205,MAX(6,MIN(INT(((Alpha_keep*$A135+G$3-Lo_c)/Step_c)+0.00000001),193))+2)),"")</f>
        <v>-215.917192773349</v>
      </c>
      <c r="H135" s="16" t="n">
        <f aca="false">IF(Grid!F135=1,-Cost_k*H$3-Short_p*MAX(0,Floor_c-$A135)+Beta_q*((1-(((Alpha_keep*$A135+H$3-Lo_c)/Step_c)-MAX(6,MIN(INT(((Alpha_keep*$A135+H$3-Lo_c)/Step_c)+0.00000001),193))))*INDEX($D$5:$D$205,MAX(6,MIN(INT(((Alpha_keep*$A135+H$3-Lo_c)/Step_c)+0.00000001),193))+1)+(((Alpha_keep*$A135+H$3-Lo_c)/Step_c)-MAX(6,MIN(INT(((Alpha_keep*$A135+H$3-Lo_c)/Step_c)+0.00000001),193)))*INDEX($D$5:$D$205,MAX(6,MIN(INT(((Alpha_keep*$A135+H$3-Lo_c)/Step_c)+0.00000001),193))+2)),"")</f>
        <v>-216.102331397167</v>
      </c>
      <c r="I135" s="16" t="n">
        <f aca="false">IF(Grid!G135=1,-Cost_k*I$3-Short_p*MAX(0,Floor_c-$A135)+Beta_q*((1-(((Alpha_keep*$A135+I$3-Lo_c)/Step_c)-MAX(6,MIN(INT(((Alpha_keep*$A135+I$3-Lo_c)/Step_c)+0.00000001),193))))*INDEX($D$5:$D$205,MAX(6,MIN(INT(((Alpha_keep*$A135+I$3-Lo_c)/Step_c)+0.00000001),193))+1)+(((Alpha_keep*$A135+I$3-Lo_c)/Step_c)-MAX(6,MIN(INT(((Alpha_keep*$A135+I$3-Lo_c)/Step_c)+0.00000001),193)))*INDEX($D$5:$D$205,MAX(6,MIN(INT(((Alpha_keep*$A135+I$3-Lo_c)/Step_c)+0.00000001),193))+2)),"")</f>
        <v>-216.29764949125</v>
      </c>
      <c r="J135" s="16" t="n">
        <f aca="false">IF(Grid!H135=1,-Cost_k*J$3-Short_p*MAX(0,Floor_c-$A135)+Beta_q*((1-(((Alpha_keep*$A135+J$3-Lo_c)/Step_c)-MAX(6,MIN(INT(((Alpha_keep*$A135+J$3-Lo_c)/Step_c)+0.00000001),193))))*INDEX($D$5:$D$205,MAX(6,MIN(INT(((Alpha_keep*$A135+J$3-Lo_c)/Step_c)+0.00000001),193))+1)+(((Alpha_keep*$A135+J$3-Lo_c)/Step_c)-MAX(6,MIN(INT(((Alpha_keep*$A135+J$3-Lo_c)/Step_c)+0.00000001),193)))*INDEX($D$5:$D$205,MAX(6,MIN(INT(((Alpha_keep*$A135+J$3-Lo_c)/Step_c)+0.00000001),193))+2)),"")</f>
        <v>-216.498973904649</v>
      </c>
      <c r="K135" s="16" t="n">
        <f aca="false">IF(Grid!I135=1,-Cost_k*K$3-Short_p*MAX(0,Floor_c-$A135)+Beta_q*((1-(((Alpha_keep*$A135+K$3-Lo_c)/Step_c)-MAX(6,MIN(INT(((Alpha_keep*$A135+K$3-Lo_c)/Step_c)+0.00000001),193))))*INDEX($D$5:$D$205,MAX(6,MIN(INT(((Alpha_keep*$A135+K$3-Lo_c)/Step_c)+0.00000001),193))+1)+(((Alpha_keep*$A135+K$3-Lo_c)/Step_c)-MAX(6,MIN(INT(((Alpha_keep*$A135+K$3-Lo_c)/Step_c)+0.00000001),193)))*INDEX($D$5:$D$205,MAX(6,MIN(INT(((Alpha_keep*$A135+K$3-Lo_c)/Step_c)+0.00000001),193))+2)),"")</f>
        <v>-216.703396373481</v>
      </c>
      <c r="L135" s="16" t="n">
        <f aca="false">IF(Grid!J135=1,-Cost_k*L$3-Short_p*MAX(0,Floor_c-$A135)+Beta_q*((1-(((Alpha_keep*$A135+L$3-Lo_c)/Step_c)-MAX(6,MIN(INT(((Alpha_keep*$A135+L$3-Lo_c)/Step_c)+0.00000001),193))))*INDEX($D$5:$D$205,MAX(6,MIN(INT(((Alpha_keep*$A135+L$3-Lo_c)/Step_c)+0.00000001),193))+1)+(((Alpha_keep*$A135+L$3-Lo_c)/Step_c)-MAX(6,MIN(INT(((Alpha_keep*$A135+L$3-Lo_c)/Step_c)+0.00000001),193)))*INDEX($D$5:$D$205,MAX(6,MIN(INT(((Alpha_keep*$A135+L$3-Lo_c)/Step_c)+0.00000001),193))+2)),"")</f>
        <v>-216.916601546093</v>
      </c>
      <c r="M135" s="16" t="n">
        <f aca="false">IF(Grid!K135=1,-Cost_k*M$3-Short_p*MAX(0,Floor_c-$A135)+Beta_q*((1-(((Alpha_keep*$A135+M$3-Lo_c)/Step_c)-MAX(6,MIN(INT(((Alpha_keep*$A135+M$3-Lo_c)/Step_c)+0.00000001),193))))*INDEX($D$5:$D$205,MAX(6,MIN(INT(((Alpha_keep*$A135+M$3-Lo_c)/Step_c)+0.00000001),193))+1)+(((Alpha_keep*$A135+M$3-Lo_c)/Step_c)-MAX(6,MIN(INT(((Alpha_keep*$A135+M$3-Lo_c)/Step_c)+0.00000001),193)))*INDEX($D$5:$D$205,MAX(6,MIN(INT(((Alpha_keep*$A135+M$3-Lo_c)/Step_c)+0.00000001),193))+2)),"")</f>
        <v>-217.136323039302</v>
      </c>
      <c r="N135" s="16" t="n">
        <f aca="false">IF(Grid!L135=1,-Cost_k*N$3-Short_p*MAX(0,Floor_c-$A135)+Beta_q*((1-(((Alpha_keep*$A135+N$3-Lo_c)/Step_c)-MAX(6,MIN(INT(((Alpha_keep*$A135+N$3-Lo_c)/Step_c)+0.00000001),193))))*INDEX($D$5:$D$205,MAX(6,MIN(INT(((Alpha_keep*$A135+N$3-Lo_c)/Step_c)+0.00000001),193))+1)+(((Alpha_keep*$A135+N$3-Lo_c)/Step_c)-MAX(6,MIN(INT(((Alpha_keep*$A135+N$3-Lo_c)/Step_c)+0.00000001),193)))*INDEX($D$5:$D$205,MAX(6,MIN(INT(((Alpha_keep*$A135+N$3-Lo_c)/Step_c)+0.00000001),193))+2)),"")</f>
        <v>-217.359446394009</v>
      </c>
      <c r="O135" s="16" t="n">
        <f aca="false">IF(Grid!M135=1,-Cost_k*O$3-Short_p*MAX(0,Floor_c-$A135)+Beta_q*((1-(((Alpha_keep*$A135+O$3-Lo_c)/Step_c)-MAX(6,MIN(INT(((Alpha_keep*$A135+O$3-Lo_c)/Step_c)+0.00000001),193))))*INDEX($D$5:$D$205,MAX(6,MIN(INT(((Alpha_keep*$A135+O$3-Lo_c)/Step_c)+0.00000001),193))+1)+(((Alpha_keep*$A135+O$3-Lo_c)/Step_c)-MAX(6,MIN(INT(((Alpha_keep*$A135+O$3-Lo_c)/Step_c)+0.00000001),193)))*INDEX($D$5:$D$205,MAX(6,MIN(INT(((Alpha_keep*$A135+O$3-Lo_c)/Step_c)+0.00000001),193))+2)),"")</f>
        <v>-217.589966769615</v>
      </c>
      <c r="P135" s="11" t="n">
        <f aca="false">MAX(E135:O135)</f>
        <v>-215.55825666776</v>
      </c>
      <c r="Q135" s="12" t="n">
        <f aca="false">INDEX($E$3:$O$3,MATCH(P135,E135:O135,0))</f>
        <v>0</v>
      </c>
      <c r="R135" s="20" t="n">
        <v>0</v>
      </c>
      <c r="S135" s="14" t="n">
        <f aca="false">IF(ABS(Q135-R135)&lt;0.000000001,1,0)</f>
        <v>1</v>
      </c>
      <c r="T135" s="21" t="n">
        <f aca="false">ABS(P135-B135)</f>
        <v>0</v>
      </c>
      <c r="U135" s="16" t="n">
        <f aca="false">Alpha_keep*A135+Q135</f>
        <v>60.9375</v>
      </c>
      <c r="V135" s="14" t="n">
        <f aca="false">INDEX(GuardBlock,131,ROUND(Q135/Step_h,0)+1)</f>
        <v>1</v>
      </c>
      <c r="W135" s="22" t="n">
        <v>0</v>
      </c>
    </row>
    <row r="136" customFormat="false" ht="15" hidden="false" customHeight="false" outlineLevel="0" collapsed="false">
      <c r="A136" s="18" t="n">
        <f aca="false">Grid!A136</f>
        <v>62.75</v>
      </c>
      <c r="B136" s="19" t="n">
        <v>-214.755486316994</v>
      </c>
      <c r="C136" s="14" t="n">
        <v>131</v>
      </c>
      <c r="D136" s="11" t="n">
        <f aca="false">IF(AND($C136&gt;=6,$C136&lt;=194),Declarations!$B$25*INDEX($B$5:$B$205,$C136+1-Declarations!$E$25)+Declarations!$B$26*INDEX($B$5:$B$205,$C136+1-Declarations!$E$26)+Declarations!$B$27*INDEX($B$5:$B$205,$C136+1-Declarations!$E$27)+Declarations!$B$28*INDEX($B$5:$B$205,$C136+1-Declarations!$E$28)+Declarations!$B$29*INDEX($B$5:$B$205,$C136+1-Declarations!$E$29),"")</f>
        <v>-214.77771198285</v>
      </c>
      <c r="E136" s="16" t="n">
        <f aca="false">IF(Grid!C136=1,-Cost_k*E$3-Short_p*MAX(0,Floor_c-$A136)+Beta_q*((1-(((Alpha_keep*$A136+E$3-Lo_c)/Step_c)-MAX(6,MIN(INT(((Alpha_keep*$A136+E$3-Lo_c)/Step_c)+0.00000001),193))))*INDEX($D$5:$D$205,MAX(6,MIN(INT(((Alpha_keep*$A136+E$3-Lo_c)/Step_c)+0.00000001),193))+1)+(((Alpha_keep*$A136+E$3-Lo_c)/Step_c)-MAX(6,MIN(INT(((Alpha_keep*$A136+E$3-Lo_c)/Step_c)+0.00000001),193)))*INDEX($D$5:$D$205,MAX(6,MIN(INT(((Alpha_keep*$A136+E$3-Lo_c)/Step_c)+0.00000001),193))+2)),"")</f>
        <v>-214.755486316994</v>
      </c>
      <c r="F136" s="16" t="n">
        <f aca="false">IF(Grid!D136=1,-Cost_k*F$3-Short_p*MAX(0,Floor_c-$A136)+Beta_q*((1-(((Alpha_keep*$A136+F$3-Lo_c)/Step_c)-MAX(6,MIN(INT(((Alpha_keep*$A136+F$3-Lo_c)/Step_c)+0.00000001),193))))*INDEX($D$5:$D$205,MAX(6,MIN(INT(((Alpha_keep*$A136+F$3-Lo_c)/Step_c)+0.00000001),193))+1)+(((Alpha_keep*$A136+F$3-Lo_c)/Step_c)-MAX(6,MIN(INT(((Alpha_keep*$A136+F$3-Lo_c)/Step_c)+0.00000001),193)))*INDEX($D$5:$D$205,MAX(6,MIN(INT(((Alpha_keep*$A136+F$3-Lo_c)/Step_c)+0.00000001),193))+2)),"")</f>
        <v>-214.937621823229</v>
      </c>
      <c r="G136" s="16" t="n">
        <f aca="false">IF(Grid!E136=1,-Cost_k*G$3-Short_p*MAX(0,Floor_c-$A136)+Beta_q*((1-(((Alpha_keep*$A136+G$3-Lo_c)/Step_c)-MAX(6,MIN(INT(((Alpha_keep*$A136+G$3-Lo_c)/Step_c)+0.00000001),193))))*INDEX($D$5:$D$205,MAX(6,MIN(INT(((Alpha_keep*$A136+G$3-Lo_c)/Step_c)+0.00000001),193))+1)+(((Alpha_keep*$A136+G$3-Lo_c)/Step_c)-MAX(6,MIN(INT(((Alpha_keep*$A136+G$3-Lo_c)/Step_c)+0.00000001),193)))*INDEX($D$5:$D$205,MAX(6,MIN(INT(((Alpha_keep*$A136+G$3-Lo_c)/Step_c)+0.00000001),193))+2)),"")</f>
        <v>-215.122683759746</v>
      </c>
      <c r="H136" s="16" t="n">
        <f aca="false">IF(Grid!F136=1,-Cost_k*H$3-Short_p*MAX(0,Floor_c-$A136)+Beta_q*((1-(((Alpha_keep*$A136+H$3-Lo_c)/Step_c)-MAX(6,MIN(INT(((Alpha_keep*$A136+H$3-Lo_c)/Step_c)+0.00000001),193))))*INDEX($D$5:$D$205,MAX(6,MIN(INT(((Alpha_keep*$A136+H$3-Lo_c)/Step_c)+0.00000001),193))+1)+(((Alpha_keep*$A136+H$3-Lo_c)/Step_c)-MAX(6,MIN(INT(((Alpha_keep*$A136+H$3-Lo_c)/Step_c)+0.00000001),193)))*INDEX($D$5:$D$205,MAX(6,MIN(INT(((Alpha_keep*$A136+H$3-Lo_c)/Step_c)+0.00000001),193))+2)),"")</f>
        <v>-215.317688100588</v>
      </c>
      <c r="I136" s="16" t="n">
        <f aca="false">IF(Grid!G136=1,-Cost_k*I$3-Short_p*MAX(0,Floor_c-$A136)+Beta_q*((1-(((Alpha_keep*$A136+I$3-Lo_c)/Step_c)-MAX(6,MIN(INT(((Alpha_keep*$A136+I$3-Lo_c)/Step_c)+0.00000001),193))))*INDEX($D$5:$D$205,MAX(6,MIN(INT(((Alpha_keep*$A136+I$3-Lo_c)/Step_c)+0.00000001),193))+1)+(((Alpha_keep*$A136+I$3-Lo_c)/Step_c)-MAX(6,MIN(INT(((Alpha_keep*$A136+I$3-Lo_c)/Step_c)+0.00000001),193)))*INDEX($D$5:$D$205,MAX(6,MIN(INT(((Alpha_keep*$A136+I$3-Lo_c)/Step_c)+0.00000001),193))+2)),"")</f>
        <v>-215.518916887756</v>
      </c>
      <c r="J136" s="16" t="n">
        <f aca="false">IF(Grid!H136=1,-Cost_k*J$3-Short_p*MAX(0,Floor_c-$A136)+Beta_q*((1-(((Alpha_keep*$A136+J$3-Lo_c)/Step_c)-MAX(6,MIN(INT(((Alpha_keep*$A136+J$3-Lo_c)/Step_c)+0.00000001),193))))*INDEX($D$5:$D$205,MAX(6,MIN(INT(((Alpha_keep*$A136+J$3-Lo_c)/Step_c)+0.00000001),193))+1)+(((Alpha_keep*$A136+J$3-Lo_c)/Step_c)-MAX(6,MIN(INT(((Alpha_keep*$A136+J$3-Lo_c)/Step_c)+0.00000001),193)))*INDEX($D$5:$D$205,MAX(6,MIN(INT(((Alpha_keep*$A136+J$3-Lo_c)/Step_c)+0.00000001),193))+2)),"")</f>
        <v>-215.723267963484</v>
      </c>
      <c r="K136" s="16" t="n">
        <f aca="false">IF(Grid!I136=1,-Cost_k*K$3-Short_p*MAX(0,Floor_c-$A136)+Beta_q*((1-(((Alpha_keep*$A136+K$3-Lo_c)/Step_c)-MAX(6,MIN(INT(((Alpha_keep*$A136+K$3-Lo_c)/Step_c)+0.00000001),193))))*INDEX($D$5:$D$205,MAX(6,MIN(INT(((Alpha_keep*$A136+K$3-Lo_c)/Step_c)+0.00000001),193))+1)+(((Alpha_keep*$A136+K$3-Lo_c)/Step_c)-MAX(6,MIN(INT(((Alpha_keep*$A136+K$3-Lo_c)/Step_c)+0.00000001),193)))*INDEX($D$5:$D$205,MAX(6,MIN(INT(((Alpha_keep*$A136+K$3-Lo_c)/Step_c)+0.00000001),193))+2)),"")</f>
        <v>-215.936204177005</v>
      </c>
      <c r="L136" s="16" t="n">
        <f aca="false">IF(Grid!J136=1,-Cost_k*L$3-Short_p*MAX(0,Floor_c-$A136)+Beta_q*((1-(((Alpha_keep*$A136+L$3-Lo_c)/Step_c)-MAX(6,MIN(INT(((Alpha_keep*$A136+L$3-Lo_c)/Step_c)+0.00000001),193))))*INDEX($D$5:$D$205,MAX(6,MIN(INT(((Alpha_keep*$A136+L$3-Lo_c)/Step_c)+0.00000001),193))+1)+(((Alpha_keep*$A136+L$3-Lo_c)/Step_c)-MAX(6,MIN(INT(((Alpha_keep*$A136+L$3-Lo_c)/Step_c)+0.00000001),193)))*INDEX($D$5:$D$205,MAX(6,MIN(INT(((Alpha_keep*$A136+L$3-Lo_c)/Step_c)+0.00000001),193))+2)),"")</f>
        <v>-216.155798112558</v>
      </c>
      <c r="M136" s="16" t="n">
        <f aca="false">IF(Grid!K136=1,-Cost_k*M$3-Short_p*MAX(0,Floor_c-$A136)+Beta_q*((1-(((Alpha_keep*$A136+M$3-Lo_c)/Step_c)-MAX(6,MIN(INT(((Alpha_keep*$A136+M$3-Lo_c)/Step_c)+0.00000001),193))))*INDEX($D$5:$D$205,MAX(6,MIN(INT(((Alpha_keep*$A136+M$3-Lo_c)/Step_c)+0.00000001),193))+1)+(((Alpha_keep*$A136+M$3-Lo_c)/Step_c)-MAX(6,MIN(INT(((Alpha_keep*$A136+M$3-Lo_c)/Step_c)+0.00000001),193)))*INDEX($D$5:$D$205,MAX(6,MIN(INT(((Alpha_keep*$A136+M$3-Lo_c)/Step_c)+0.00000001),193))+2)),"")</f>
        <v>-216.3788505911</v>
      </c>
      <c r="N136" s="16" t="n">
        <f aca="false">IF(Grid!L136=1,-Cost_k*N$3-Short_p*MAX(0,Floor_c-$A136)+Beta_q*((1-(((Alpha_keep*$A136+N$3-Lo_c)/Step_c)-MAX(6,MIN(INT(((Alpha_keep*$A136+N$3-Lo_c)/Step_c)+0.00000001),193))))*INDEX($D$5:$D$205,MAX(6,MIN(INT(((Alpha_keep*$A136+N$3-Lo_c)/Step_c)+0.00000001),193))+1)+(((Alpha_keep*$A136+N$3-Lo_c)/Step_c)-MAX(6,MIN(INT(((Alpha_keep*$A136+N$3-Lo_c)/Step_c)+0.00000001),193)))*INDEX($D$5:$D$205,MAX(6,MIN(INT(((Alpha_keep*$A136+N$3-Lo_c)/Step_c)+0.00000001),193))+2)),"")</f>
        <v>-216.609148024731</v>
      </c>
      <c r="O136" s="16" t="n">
        <f aca="false">IF(Grid!M136=1,-Cost_k*O$3-Short_p*MAX(0,Floor_c-$A136)+Beta_q*((1-(((Alpha_keep*$A136+O$3-Lo_c)/Step_c)-MAX(6,MIN(INT(((Alpha_keep*$A136+O$3-Lo_c)/Step_c)+0.00000001),193))))*INDEX($D$5:$D$205,MAX(6,MIN(INT(((Alpha_keep*$A136+O$3-Lo_c)/Step_c)+0.00000001),193))+1)+(((Alpha_keep*$A136+O$3-Lo_c)/Step_c)-MAX(6,MIN(INT(((Alpha_keep*$A136+O$3-Lo_c)/Step_c)+0.00000001),193)))*INDEX($D$5:$D$205,MAX(6,MIN(INT(((Alpha_keep*$A136+O$3-Lo_c)/Step_c)+0.00000001),193))+2)),"")</f>
        <v>-216.84634123262</v>
      </c>
      <c r="P136" s="11" t="n">
        <f aca="false">MAX(E136:O136)</f>
        <v>-214.755486316994</v>
      </c>
      <c r="Q136" s="12" t="n">
        <f aca="false">INDEX($E$3:$O$3,MATCH(P136,E136:O136,0))</f>
        <v>0</v>
      </c>
      <c r="R136" s="20" t="n">
        <v>0</v>
      </c>
      <c r="S136" s="14" t="n">
        <f aca="false">IF(ABS(Q136-R136)&lt;0.000000001,1,0)</f>
        <v>1</v>
      </c>
      <c r="T136" s="21" t="n">
        <f aca="false">ABS(P136-B136)</f>
        <v>0</v>
      </c>
      <c r="U136" s="16" t="n">
        <f aca="false">Alpha_keep*A136+Q136</f>
        <v>61.18125</v>
      </c>
      <c r="V136" s="14" t="n">
        <f aca="false">INDEX(GuardBlock,132,ROUND(Q136/Step_h,0)+1)</f>
        <v>1</v>
      </c>
      <c r="W136" s="22" t="n">
        <v>0</v>
      </c>
    </row>
    <row r="137" customFormat="false" ht="15" hidden="false" customHeight="false" outlineLevel="0" collapsed="false">
      <c r="A137" s="18" t="n">
        <f aca="false">Grid!A137</f>
        <v>63</v>
      </c>
      <c r="B137" s="19" t="n">
        <v>-213.958050873109</v>
      </c>
      <c r="C137" s="14" t="n">
        <v>132</v>
      </c>
      <c r="D137" s="11" t="n">
        <f aca="false">IF(AND($C137&gt;=6,$C137&lt;=194),Declarations!$B$25*INDEX($B$5:$B$205,$C137+1-Declarations!$E$25)+Declarations!$B$26*INDEX($B$5:$B$205,$C137+1-Declarations!$E$26)+Declarations!$B$27*INDEX($B$5:$B$205,$C137+1-Declarations!$E$27)+Declarations!$B$28*INDEX($B$5:$B$205,$C137+1-Declarations!$E$28)+Declarations!$B$29*INDEX($B$5:$B$205,$C137+1-Declarations!$E$29),"")</f>
        <v>-213.979924418165</v>
      </c>
      <c r="E137" s="16" t="n">
        <f aca="false">IF(Grid!C137=1,-Cost_k*E$3-Short_p*MAX(0,Floor_c-$A137)+Beta_q*((1-(((Alpha_keep*$A137+E$3-Lo_c)/Step_c)-MAX(6,MIN(INT(((Alpha_keep*$A137+E$3-Lo_c)/Step_c)+0.00000001),193))))*INDEX($D$5:$D$205,MAX(6,MIN(INT(((Alpha_keep*$A137+E$3-Lo_c)/Step_c)+0.00000001),193))+1)+(((Alpha_keep*$A137+E$3-Lo_c)/Step_c)-MAX(6,MIN(INT(((Alpha_keep*$A137+E$3-Lo_c)/Step_c)+0.00000001),193)))*INDEX($D$5:$D$205,MAX(6,MIN(INT(((Alpha_keep*$A137+E$3-Lo_c)/Step_c)+0.00000001),193))+2)),"")</f>
        <v>-213.958050873108</v>
      </c>
      <c r="F137" s="16" t="n">
        <f aca="false">IF(Grid!D137=1,-Cost_k*F$3-Short_p*MAX(0,Floor_c-$A137)+Beta_q*((1-(((Alpha_keep*$A137+F$3-Lo_c)/Step_c)-MAX(6,MIN(INT(((Alpha_keep*$A137+F$3-Lo_c)/Step_c)+0.00000001),193))))*INDEX($D$5:$D$205,MAX(6,MIN(INT(((Alpha_keep*$A137+F$3-Lo_c)/Step_c)+0.00000001),193))+1)+(((Alpha_keep*$A137+F$3-Lo_c)/Step_c)-MAX(6,MIN(INT(((Alpha_keep*$A137+F$3-Lo_c)/Step_c)+0.00000001),193)))*INDEX($D$5:$D$205,MAX(6,MIN(INT(((Alpha_keep*$A137+F$3-Lo_c)/Step_c)+0.00000001),193))+2)),"")</f>
        <v>-214.143036122326</v>
      </c>
      <c r="G137" s="16" t="n">
        <f aca="false">IF(Grid!E137=1,-Cost_k*G$3-Short_p*MAX(0,Floor_c-$A137)+Beta_q*((1-(((Alpha_keep*$A137+G$3-Lo_c)/Step_c)-MAX(6,MIN(INT(((Alpha_keep*$A137+G$3-Lo_c)/Step_c)+0.00000001),193))))*INDEX($D$5:$D$205,MAX(6,MIN(INT(((Alpha_keep*$A137+G$3-Lo_c)/Step_c)+0.00000001),193))+1)+(((Alpha_keep*$A137+G$3-Lo_c)/Step_c)-MAX(6,MIN(INT(((Alpha_keep*$A137+G$3-Lo_c)/Step_c)+0.00000001),193)))*INDEX($D$5:$D$205,MAX(6,MIN(INT(((Alpha_keep*$A137+G$3-Lo_c)/Step_c)+0.00000001),193))+2)),"")</f>
        <v>-214.337726709925</v>
      </c>
      <c r="H137" s="16" t="n">
        <f aca="false">IF(Grid!F137=1,-Cost_k*H$3-Short_p*MAX(0,Floor_c-$A137)+Beta_q*((1-(((Alpha_keep*$A137+H$3-Lo_c)/Step_c)-MAX(6,MIN(INT(((Alpha_keep*$A137+H$3-Lo_c)/Step_c)+0.00000001),193))))*INDEX($D$5:$D$205,MAX(6,MIN(INT(((Alpha_keep*$A137+H$3-Lo_c)/Step_c)+0.00000001),193))+1)+(((Alpha_keep*$A137+H$3-Lo_c)/Step_c)-MAX(6,MIN(INT(((Alpha_keep*$A137+H$3-Lo_c)/Step_c)+0.00000001),193)))*INDEX($D$5:$D$205,MAX(6,MIN(INT(((Alpha_keep*$A137+H$3-Lo_c)/Step_c)+0.00000001),193))+2)),"")</f>
        <v>-214.538859870864</v>
      </c>
      <c r="I137" s="16" t="n">
        <f aca="false">IF(Grid!G137=1,-Cost_k*I$3-Short_p*MAX(0,Floor_c-$A137)+Beta_q*((1-(((Alpha_keep*$A137+I$3-Lo_c)/Step_c)-MAX(6,MIN(INT(((Alpha_keep*$A137+I$3-Lo_c)/Step_c)+0.00000001),193))))*INDEX($D$5:$D$205,MAX(6,MIN(INT(((Alpha_keep*$A137+I$3-Lo_c)/Step_c)+0.00000001),193))+1)+(((Alpha_keep*$A137+I$3-Lo_c)/Step_c)-MAX(6,MIN(INT(((Alpha_keep*$A137+I$3-Lo_c)/Step_c)+0.00000001),193)))*INDEX($D$5:$D$205,MAX(6,MIN(INT(((Alpha_keep*$A137+I$3-Lo_c)/Step_c)+0.00000001),193))+2)),"")</f>
        <v>-214.743139553487</v>
      </c>
      <c r="J137" s="16" t="n">
        <f aca="false">IF(Grid!H137=1,-Cost_k*J$3-Short_p*MAX(0,Floor_c-$A137)+Beta_q*((1-(((Alpha_keep*$A137+J$3-Lo_c)/Step_c)-MAX(6,MIN(INT(((Alpha_keep*$A137+J$3-Lo_c)/Step_c)+0.00000001),193))))*INDEX($D$5:$D$205,MAX(6,MIN(INT(((Alpha_keep*$A137+J$3-Lo_c)/Step_c)+0.00000001),193))+1)+(((Alpha_keep*$A137+J$3-Lo_c)/Step_c)-MAX(6,MIN(INT(((Alpha_keep*$A137+J$3-Lo_c)/Step_c)+0.00000001),193)))*INDEX($D$5:$D$205,MAX(6,MIN(INT(((Alpha_keep*$A137+J$3-Lo_c)/Step_c)+0.00000001),193))+2)),"")</f>
        <v>-214.955806807917</v>
      </c>
      <c r="K137" s="16" t="n">
        <f aca="false">IF(Grid!I137=1,-Cost_k*K$3-Short_p*MAX(0,Floor_c-$A137)+Beta_q*((1-(((Alpha_keep*$A137+K$3-Lo_c)/Step_c)-MAX(6,MIN(INT(((Alpha_keep*$A137+K$3-Lo_c)/Step_c)+0.00000001),193))))*INDEX($D$5:$D$205,MAX(6,MIN(INT(((Alpha_keep*$A137+K$3-Lo_c)/Step_c)+0.00000001),193))+1)+(((Alpha_keep*$A137+K$3-Lo_c)/Step_c)-MAX(6,MIN(INT(((Alpha_keep*$A137+K$3-Lo_c)/Step_c)+0.00000001),193)))*INDEX($D$5:$D$205,MAX(6,MIN(INT(((Alpha_keep*$A137+K$3-Lo_c)/Step_c)+0.00000001),193))+2)),"")</f>
        <v>-215.175273185814</v>
      </c>
      <c r="L137" s="16" t="n">
        <f aca="false">IF(Grid!J137=1,-Cost_k*L$3-Short_p*MAX(0,Floor_c-$A137)+Beta_q*((1-(((Alpha_keep*$A137+L$3-Lo_c)/Step_c)-MAX(6,MIN(INT(((Alpha_keep*$A137+L$3-Lo_c)/Step_c)+0.00000001),193))))*INDEX($D$5:$D$205,MAX(6,MIN(INT(((Alpha_keep*$A137+L$3-Lo_c)/Step_c)+0.00000001),193))+1)+(((Alpha_keep*$A137+L$3-Lo_c)/Step_c)-MAX(6,MIN(INT(((Alpha_keep*$A137+L$3-Lo_c)/Step_c)+0.00000001),193)))*INDEX($D$5:$D$205,MAX(6,MIN(INT(((Alpha_keep*$A137+L$3-Lo_c)/Step_c)+0.00000001),193))+2)),"")</f>
        <v>-215.398254788191</v>
      </c>
      <c r="M137" s="16" t="n">
        <f aca="false">IF(Grid!K137=1,-Cost_k*M$3-Short_p*MAX(0,Floor_c-$A137)+Beta_q*((1-(((Alpha_keep*$A137+M$3-Lo_c)/Step_c)-MAX(6,MIN(INT(((Alpha_keep*$A137+M$3-Lo_c)/Step_c)+0.00000001),193))))*INDEX($D$5:$D$205,MAX(6,MIN(INT(((Alpha_keep*$A137+M$3-Lo_c)/Step_c)+0.00000001),193))+1)+(((Alpha_keep*$A137+M$3-Lo_c)/Step_c)-MAX(6,MIN(INT(((Alpha_keep*$A137+M$3-Lo_c)/Step_c)+0.00000001),193)))*INDEX($D$5:$D$205,MAX(6,MIN(INT(((Alpha_keep*$A137+M$3-Lo_c)/Step_c)+0.00000001),193))+2)),"")</f>
        <v>-215.628329279847</v>
      </c>
      <c r="N137" s="16" t="n">
        <f aca="false">IF(Grid!L137=1,-Cost_k*N$3-Short_p*MAX(0,Floor_c-$A137)+Beta_q*((1-(((Alpha_keep*$A137+N$3-Lo_c)/Step_c)-MAX(6,MIN(INT(((Alpha_keep*$A137+N$3-Lo_c)/Step_c)+0.00000001),193))))*INDEX($D$5:$D$205,MAX(6,MIN(INT(((Alpha_keep*$A137+N$3-Lo_c)/Step_c)+0.00000001),193))+1)+(((Alpha_keep*$A137+N$3-Lo_c)/Step_c)-MAX(6,MIN(INT(((Alpha_keep*$A137+N$3-Lo_c)/Step_c)+0.00000001),193)))*INDEX($D$5:$D$205,MAX(6,MIN(INT(((Alpha_keep*$A137+N$3-Lo_c)/Step_c)+0.00000001),193))+2)),"")</f>
        <v>-215.865369266614</v>
      </c>
      <c r="O137" s="16" t="n">
        <f aca="false">IF(Grid!M137=1,-Cost_k*O$3-Short_p*MAX(0,Floor_c-$A137)+Beta_q*((1-(((Alpha_keep*$A137+O$3-Lo_c)/Step_c)-MAX(6,MIN(INT(((Alpha_keep*$A137+O$3-Lo_c)/Step_c)+0.00000001),193))))*INDEX($D$5:$D$205,MAX(6,MIN(INT(((Alpha_keep*$A137+O$3-Lo_c)/Step_c)+0.00000001),193))+1)+(((Alpha_keep*$A137+O$3-Lo_c)/Step_c)-MAX(6,MIN(INT(((Alpha_keep*$A137+O$3-Lo_c)/Step_c)+0.00000001),193)))*INDEX($D$5:$D$205,MAX(6,MIN(INT(((Alpha_keep*$A137+O$3-Lo_c)/Step_c)+0.00000001),193))+2)),"")</f>
        <v>-216.10641966228</v>
      </c>
      <c r="P137" s="11" t="n">
        <f aca="false">MAX(E137:O137)</f>
        <v>-213.958050873108</v>
      </c>
      <c r="Q137" s="12" t="n">
        <f aca="false">INDEX($E$3:$O$3,MATCH(P137,E137:O137,0))</f>
        <v>0</v>
      </c>
      <c r="R137" s="20" t="n">
        <v>0</v>
      </c>
      <c r="S137" s="14" t="n">
        <f aca="false">IF(ABS(Q137-R137)&lt;0.000000001,1,0)</f>
        <v>1</v>
      </c>
      <c r="T137" s="21" t="n">
        <f aca="false">ABS(P137-B137)</f>
        <v>0</v>
      </c>
      <c r="U137" s="16" t="n">
        <f aca="false">Alpha_keep*A137+Q137</f>
        <v>61.425</v>
      </c>
      <c r="V137" s="14" t="n">
        <f aca="false">INDEX(GuardBlock,133,ROUND(Q137/Step_h,0)+1)</f>
        <v>1</v>
      </c>
      <c r="W137" s="22" t="n">
        <v>0</v>
      </c>
    </row>
    <row r="138" customFormat="false" ht="15" hidden="false" customHeight="false" outlineLevel="0" collapsed="false">
      <c r="A138" s="18" t="n">
        <f aca="false">Grid!A138</f>
        <v>63.25</v>
      </c>
      <c r="B138" s="19" t="n">
        <v>-213.163388484906</v>
      </c>
      <c r="C138" s="14" t="n">
        <v>133</v>
      </c>
      <c r="D138" s="11" t="n">
        <f aca="false">IF(AND($C138&gt;=6,$C138&lt;=194),Declarations!$B$25*INDEX($B$5:$B$205,$C138+1-Declarations!$E$25)+Declarations!$B$26*INDEX($B$5:$B$205,$C138+1-Declarations!$E$26)+Declarations!$B$27*INDEX($B$5:$B$205,$C138+1-Declarations!$E$27)+Declarations!$B$28*INDEX($B$5:$B$205,$C138+1-Declarations!$E$28)+Declarations!$B$29*INDEX($B$5:$B$205,$C138+1-Declarations!$E$29),"")</f>
        <v>-213.185040263493</v>
      </c>
      <c r="E138" s="16" t="n">
        <f aca="false">IF(Grid!C138=1,-Cost_k*E$3-Short_p*MAX(0,Floor_c-$A138)+Beta_q*((1-(((Alpha_keep*$A138+E$3-Lo_c)/Step_c)-MAX(6,MIN(INT(((Alpha_keep*$A138+E$3-Lo_c)/Step_c)+0.00000001),193))))*INDEX($D$5:$D$205,MAX(6,MIN(INT(((Alpha_keep*$A138+E$3-Lo_c)/Step_c)+0.00000001),193))+1)+(((Alpha_keep*$A138+E$3-Lo_c)/Step_c)-MAX(6,MIN(INT(((Alpha_keep*$A138+E$3-Lo_c)/Step_c)+0.00000001),193)))*INDEX($D$5:$D$205,MAX(6,MIN(INT(((Alpha_keep*$A138+E$3-Lo_c)/Step_c)+0.00000001),193))+2)),"")</f>
        <v>-213.163388484905</v>
      </c>
      <c r="F138" s="16" t="n">
        <f aca="false">IF(Grid!D138=1,-Cost_k*F$3-Short_p*MAX(0,Floor_c-$A138)+Beta_q*((1-(((Alpha_keep*$A138+F$3-Lo_c)/Step_c)-MAX(6,MIN(INT(((Alpha_keep*$A138+F$3-Lo_c)/Step_c)+0.00000001),193))))*INDEX($D$5:$D$205,MAX(6,MIN(INT(((Alpha_keep*$A138+F$3-Lo_c)/Step_c)+0.00000001),193))+1)+(((Alpha_keep*$A138+F$3-Lo_c)/Step_c)-MAX(6,MIN(INT(((Alpha_keep*$A138+F$3-Lo_c)/Step_c)+0.00000001),193)))*INDEX($D$5:$D$205,MAX(6,MIN(INT(((Alpha_keep*$A138+F$3-Lo_c)/Step_c)+0.00000001),193))+2)),"")</f>
        <v>-213.357765319262</v>
      </c>
      <c r="G138" s="16" t="n">
        <f aca="false">IF(Grid!E138=1,-Cost_k*G$3-Short_p*MAX(0,Floor_c-$A138)+Beta_q*((1-(((Alpha_keep*$A138+G$3-Lo_c)/Step_c)-MAX(6,MIN(INT(((Alpha_keep*$A138+G$3-Lo_c)/Step_c)+0.00000001),193))))*INDEX($D$5:$D$205,MAX(6,MIN(INT(((Alpha_keep*$A138+G$3-Lo_c)/Step_c)+0.00000001),193))+1)+(((Alpha_keep*$A138+G$3-Lo_c)/Step_c)-MAX(6,MIN(INT(((Alpha_keep*$A138+G$3-Lo_c)/Step_c)+0.00000001),193)))*INDEX($D$5:$D$205,MAX(6,MIN(INT(((Alpha_keep*$A138+G$3-Lo_c)/Step_c)+0.00000001),193))+2)),"")</f>
        <v>-213.558802853972</v>
      </c>
      <c r="H138" s="16" t="n">
        <f aca="false">IF(Grid!F138=1,-Cost_k*H$3-Short_p*MAX(0,Floor_c-$A138)+Beta_q*((1-(((Alpha_keep*$A138+H$3-Lo_c)/Step_c)-MAX(6,MIN(INT(((Alpha_keep*$A138+H$3-Lo_c)/Step_c)+0.00000001),193))))*INDEX($D$5:$D$205,MAX(6,MIN(INT(((Alpha_keep*$A138+H$3-Lo_c)/Step_c)+0.00000001),193))+1)+(((Alpha_keep*$A138+H$3-Lo_c)/Step_c)-MAX(6,MIN(INT(((Alpha_keep*$A138+H$3-Lo_c)/Step_c)+0.00000001),193)))*INDEX($D$5:$D$205,MAX(6,MIN(INT(((Alpha_keep*$A138+H$3-Lo_c)/Step_c)+0.00000001),193))+2)),"")</f>
        <v>-213.76301114349</v>
      </c>
      <c r="I138" s="16" t="n">
        <f aca="false">IF(Grid!G138=1,-Cost_k*I$3-Short_p*MAX(0,Floor_c-$A138)+Beta_q*((1-(((Alpha_keep*$A138+I$3-Lo_c)/Step_c)-MAX(6,MIN(INT(((Alpha_keep*$A138+I$3-Lo_c)/Step_c)+0.00000001),193))))*INDEX($D$5:$D$205,MAX(6,MIN(INT(((Alpha_keep*$A138+I$3-Lo_c)/Step_c)+0.00000001),193))+1)+(((Alpha_keep*$A138+I$3-Lo_c)/Step_c)-MAX(6,MIN(INT(((Alpha_keep*$A138+I$3-Lo_c)/Step_c)+0.00000001),193)))*INDEX($D$5:$D$205,MAX(6,MIN(INT(((Alpha_keep*$A138+I$3-Lo_c)/Step_c)+0.00000001),193))+2)),"")</f>
        <v>-213.975409438829</v>
      </c>
      <c r="J138" s="16" t="n">
        <f aca="false">IF(Grid!H138=1,-Cost_k*J$3-Short_p*MAX(0,Floor_c-$A138)+Beta_q*((1-(((Alpha_keep*$A138+J$3-Lo_c)/Step_c)-MAX(6,MIN(INT(((Alpha_keep*$A138+J$3-Lo_c)/Step_c)+0.00000001),193))))*INDEX($D$5:$D$205,MAX(6,MIN(INT(((Alpha_keep*$A138+J$3-Lo_c)/Step_c)+0.00000001),193))+1)+(((Alpha_keep*$A138+J$3-Lo_c)/Step_c)-MAX(6,MIN(INT(((Alpha_keep*$A138+J$3-Lo_c)/Step_c)+0.00000001),193)))*INDEX($D$5:$D$205,MAX(6,MIN(INT(((Alpha_keep*$A138+J$3-Lo_c)/Step_c)+0.00000001),193))+2)),"")</f>
        <v>-214.194748259069</v>
      </c>
      <c r="K138" s="16" t="n">
        <f aca="false">IF(Grid!I138=1,-Cost_k*K$3-Short_p*MAX(0,Floor_c-$A138)+Beta_q*((1-(((Alpha_keep*$A138+K$3-Lo_c)/Step_c)-MAX(6,MIN(INT(((Alpha_keep*$A138+K$3-Lo_c)/Step_c)+0.00000001),193))))*INDEX($D$5:$D$205,MAX(6,MIN(INT(((Alpha_keep*$A138+K$3-Lo_c)/Step_c)+0.00000001),193))+1)+(((Alpha_keep*$A138+K$3-Lo_c)/Step_c)-MAX(6,MIN(INT(((Alpha_keep*$A138+K$3-Lo_c)/Step_c)+0.00000001),193)))*INDEX($D$5:$D$205,MAX(6,MIN(INT(((Alpha_keep*$A138+K$3-Lo_c)/Step_c)+0.00000001),193))+2)),"")</f>
        <v>-214.417658985282</v>
      </c>
      <c r="L138" s="16" t="n">
        <f aca="false">IF(Grid!J138=1,-Cost_k*L$3-Short_p*MAX(0,Floor_c-$A138)+Beta_q*((1-(((Alpha_keep*$A138+L$3-Lo_c)/Step_c)-MAX(6,MIN(INT(((Alpha_keep*$A138+L$3-Lo_c)/Step_c)+0.00000001),193))))*INDEX($D$5:$D$205,MAX(6,MIN(INT(((Alpha_keep*$A138+L$3-Lo_c)/Step_c)+0.00000001),193))+1)+(((Alpha_keep*$A138+L$3-Lo_c)/Step_c)-MAX(6,MIN(INT(((Alpha_keep*$A138+L$3-Lo_c)/Step_c)+0.00000001),193)))*INDEX($D$5:$D$205,MAX(6,MIN(INT(((Alpha_keep*$A138+L$3-Lo_c)/Step_c)+0.00000001),193))+2)),"")</f>
        <v>-214.647510534963</v>
      </c>
      <c r="M138" s="16" t="n">
        <f aca="false">IF(Grid!K138=1,-Cost_k*M$3-Short_p*MAX(0,Floor_c-$A138)+Beta_q*((1-(((Alpha_keep*$A138+M$3-Lo_c)/Step_c)-MAX(6,MIN(INT(((Alpha_keep*$A138+M$3-Lo_c)/Step_c)+0.00000001),193))))*INDEX($D$5:$D$205,MAX(6,MIN(INT(((Alpha_keep*$A138+M$3-Lo_c)/Step_c)+0.00000001),193))+1)+(((Alpha_keep*$A138+M$3-Lo_c)/Step_c)-MAX(6,MIN(INT(((Alpha_keep*$A138+M$3-Lo_c)/Step_c)+0.00000001),193)))*INDEX($D$5:$D$205,MAX(6,MIN(INT(((Alpha_keep*$A138+M$3-Lo_c)/Step_c)+0.00000001),193))+2)),"")</f>
        <v>-214.884397300609</v>
      </c>
      <c r="N138" s="16" t="n">
        <f aca="false">IF(Grid!L138=1,-Cost_k*N$3-Short_p*MAX(0,Floor_c-$A138)+Beta_q*((1-(((Alpha_keep*$A138+N$3-Lo_c)/Step_c)-MAX(6,MIN(INT(((Alpha_keep*$A138+N$3-Lo_c)/Step_c)+0.00000001),193))))*INDEX($D$5:$D$205,MAX(6,MIN(INT(((Alpha_keep*$A138+N$3-Lo_c)/Step_c)+0.00000001),193))+1)+(((Alpha_keep*$A138+N$3-Lo_c)/Step_c)-MAX(6,MIN(INT(((Alpha_keep*$A138+N$3-Lo_c)/Step_c)+0.00000001),193)))*INDEX($D$5:$D$205,MAX(6,MIN(INT(((Alpha_keep*$A138+N$3-Lo_c)/Step_c)+0.00000001),193))+2)),"")</f>
        <v>-215.12537013358</v>
      </c>
      <c r="O138" s="16" t="n">
        <f aca="false">IF(Grid!M138=1,-Cost_k*O$3-Short_p*MAX(0,Floor_c-$A138)+Beta_q*((1-(((Alpha_keep*$A138+O$3-Lo_c)/Step_c)-MAX(6,MIN(INT(((Alpha_keep*$A138+O$3-Lo_c)/Step_c)+0.00000001),193))))*INDEX($D$5:$D$205,MAX(6,MIN(INT(((Alpha_keep*$A138+O$3-Lo_c)/Step_c)+0.00000001),193))+1)+(((Alpha_keep*$A138+O$3-Lo_c)/Step_c)-MAX(6,MIN(INT(((Alpha_keep*$A138+O$3-Lo_c)/Step_c)+0.00000001),193)))*INDEX($D$5:$D$205,MAX(6,MIN(INT(((Alpha_keep*$A138+O$3-Lo_c)/Step_c)+0.00000001),193))+2)),"")</f>
        <v>-215.372214022061</v>
      </c>
      <c r="P138" s="11" t="n">
        <f aca="false">MAX(E138:O138)</f>
        <v>-213.163388484905</v>
      </c>
      <c r="Q138" s="12" t="n">
        <f aca="false">INDEX($E$3:$O$3,MATCH(P138,E138:O138,0))</f>
        <v>0</v>
      </c>
      <c r="R138" s="20" t="n">
        <v>0</v>
      </c>
      <c r="S138" s="14" t="n">
        <f aca="false">IF(ABS(Q138-R138)&lt;0.000000001,1,0)</f>
        <v>1</v>
      </c>
      <c r="T138" s="21" t="n">
        <f aca="false">ABS(P138-B138)</f>
        <v>0</v>
      </c>
      <c r="U138" s="16" t="n">
        <f aca="false">Alpha_keep*A138+Q138</f>
        <v>61.66875</v>
      </c>
      <c r="V138" s="14" t="n">
        <f aca="false">INDEX(GuardBlock,134,ROUND(Q138/Step_h,0)+1)</f>
        <v>1</v>
      </c>
      <c r="W138" s="22" t="n">
        <v>0</v>
      </c>
    </row>
    <row r="139" customFormat="false" ht="15" hidden="false" customHeight="false" outlineLevel="0" collapsed="false">
      <c r="A139" s="18" t="n">
        <f aca="false">Grid!A139</f>
        <v>63.5</v>
      </c>
      <c r="B139" s="19" t="n">
        <v>-212.3778039286</v>
      </c>
      <c r="C139" s="14" t="n">
        <v>134</v>
      </c>
      <c r="D139" s="11" t="n">
        <f aca="false">IF(AND($C139&gt;=6,$C139&lt;=194),Declarations!$B$25*INDEX($B$5:$B$205,$C139+1-Declarations!$E$25)+Declarations!$B$26*INDEX($B$5:$B$205,$C139+1-Declarations!$E$26)+Declarations!$B$27*INDEX($B$5:$B$205,$C139+1-Declarations!$E$27)+Declarations!$B$28*INDEX($B$5:$B$205,$C139+1-Declarations!$E$28)+Declarations!$B$29*INDEX($B$5:$B$205,$C139+1-Declarations!$E$29),"")</f>
        <v>-212.399288825966</v>
      </c>
      <c r="E139" s="16" t="n">
        <f aca="false">IF(Grid!C139=1,-Cost_k*E$3-Short_p*MAX(0,Floor_c-$A139)+Beta_q*((1-(((Alpha_keep*$A139+E$3-Lo_c)/Step_c)-MAX(6,MIN(INT(((Alpha_keep*$A139+E$3-Lo_c)/Step_c)+0.00000001),193))))*INDEX($D$5:$D$205,MAX(6,MIN(INT(((Alpha_keep*$A139+E$3-Lo_c)/Step_c)+0.00000001),193))+1)+(((Alpha_keep*$A139+E$3-Lo_c)/Step_c)-MAX(6,MIN(INT(((Alpha_keep*$A139+E$3-Lo_c)/Step_c)+0.00000001),193)))*INDEX($D$5:$D$205,MAX(6,MIN(INT(((Alpha_keep*$A139+E$3-Lo_c)/Step_c)+0.00000001),193))+2)),"")</f>
        <v>-212.3778039286</v>
      </c>
      <c r="F139" s="16" t="n">
        <f aca="false">IF(Grid!D139=1,-Cost_k*F$3-Short_p*MAX(0,Floor_c-$A139)+Beta_q*((1-(((Alpha_keep*$A139+F$3-Lo_c)/Step_c)-MAX(6,MIN(INT(((Alpha_keep*$A139+F$3-Lo_c)/Step_c)+0.00000001),193))))*INDEX($D$5:$D$205,MAX(6,MIN(INT(((Alpha_keep*$A139+F$3-Lo_c)/Step_c)+0.00000001),193))+1)+(((Alpha_keep*$A139+F$3-Lo_c)/Step_c)-MAX(6,MIN(INT(((Alpha_keep*$A139+F$3-Lo_c)/Step_c)+0.00000001),193)))*INDEX($D$5:$D$205,MAX(6,MIN(INT(((Alpha_keep*$A139+F$3-Lo_c)/Step_c)+0.00000001),193))+2)),"")</f>
        <v>-212.578745837079</v>
      </c>
      <c r="G139" s="16" t="n">
        <f aca="false">IF(Grid!E139=1,-Cost_k*G$3-Short_p*MAX(0,Floor_c-$A139)+Beta_q*((1-(((Alpha_keep*$A139+G$3-Lo_c)/Step_c)-MAX(6,MIN(INT(((Alpha_keep*$A139+G$3-Lo_c)/Step_c)+0.00000001),193))))*INDEX($D$5:$D$205,MAX(6,MIN(INT(((Alpha_keep*$A139+G$3-Lo_c)/Step_c)+0.00000001),193))+1)+(((Alpha_keep*$A139+G$3-Lo_c)/Step_c)-MAX(6,MIN(INT(((Alpha_keep*$A139+G$3-Lo_c)/Step_c)+0.00000001),193)))*INDEX($D$5:$D$205,MAX(6,MIN(INT(((Alpha_keep*$A139+G$3-Lo_c)/Step_c)+0.00000001),193))+2)),"")</f>
        <v>-212.782882733493</v>
      </c>
      <c r="H139" s="16" t="n">
        <f aca="false">IF(Grid!F139=1,-Cost_k*H$3-Short_p*MAX(0,Floor_c-$A139)+Beta_q*((1-(((Alpha_keep*$A139+H$3-Lo_c)/Step_c)-MAX(6,MIN(INT(((Alpha_keep*$A139+H$3-Lo_c)/Step_c)+0.00000001),193))))*INDEX($D$5:$D$205,MAX(6,MIN(INT(((Alpha_keep*$A139+H$3-Lo_c)/Step_c)+0.00000001),193))+1)+(((Alpha_keep*$A139+H$3-Lo_c)/Step_c)-MAX(6,MIN(INT(((Alpha_keep*$A139+H$3-Lo_c)/Step_c)+0.00000001),193)))*INDEX($D$5:$D$205,MAX(6,MIN(INT(((Alpha_keep*$A139+H$3-Lo_c)/Step_c)+0.00000001),193))+2)),"")</f>
        <v>-212.995012069741</v>
      </c>
      <c r="I139" s="16" t="n">
        <f aca="false">IF(Grid!G139=1,-Cost_k*I$3-Short_p*MAX(0,Floor_c-$A139)+Beta_q*((1-(((Alpha_keep*$A139+I$3-Lo_c)/Step_c)-MAX(6,MIN(INT(((Alpha_keep*$A139+I$3-Lo_c)/Step_c)+0.00000001),193))))*INDEX($D$5:$D$205,MAX(6,MIN(INT(((Alpha_keep*$A139+I$3-Lo_c)/Step_c)+0.00000001),193))+1)+(((Alpha_keep*$A139+I$3-Lo_c)/Step_c)-MAX(6,MIN(INT(((Alpha_keep*$A139+I$3-Lo_c)/Step_c)+0.00000001),193)))*INDEX($D$5:$D$205,MAX(6,MIN(INT(((Alpha_keep*$A139+I$3-Lo_c)/Step_c)+0.00000001),193))+2)),"")</f>
        <v>-213.214223332325</v>
      </c>
      <c r="J139" s="16" t="n">
        <f aca="false">IF(Grid!H139=1,-Cost_k*J$3-Short_p*MAX(0,Floor_c-$A139)+Beta_q*((1-(((Alpha_keep*$A139+J$3-Lo_c)/Step_c)-MAX(6,MIN(INT(((Alpha_keep*$A139+J$3-Lo_c)/Step_c)+0.00000001),193))))*INDEX($D$5:$D$205,MAX(6,MIN(INT(((Alpha_keep*$A139+J$3-Lo_c)/Step_c)+0.00000001),193))+1)+(((Alpha_keep*$A139+J$3-Lo_c)/Step_c)-MAX(6,MIN(INT(((Alpha_keep*$A139+J$3-Lo_c)/Step_c)+0.00000001),193)))*INDEX($D$5:$D$205,MAX(6,MIN(INT(((Alpha_keep*$A139+J$3-Lo_c)/Step_c)+0.00000001),193))+2)),"")</f>
        <v>-213.437063182373</v>
      </c>
      <c r="K139" s="16" t="n">
        <f aca="false">IF(Grid!I139=1,-Cost_k*K$3-Short_p*MAX(0,Floor_c-$A139)+Beta_q*((1-(((Alpha_keep*$A139+K$3-Lo_c)/Step_c)-MAX(6,MIN(INT(((Alpha_keep*$A139+K$3-Lo_c)/Step_c)+0.00000001),193))))*INDEX($D$5:$D$205,MAX(6,MIN(INT(((Alpha_keep*$A139+K$3-Lo_c)/Step_c)+0.00000001),193))+1)+(((Alpha_keep*$A139+K$3-Lo_c)/Step_c)-MAX(6,MIN(INT(((Alpha_keep*$A139+K$3-Lo_c)/Step_c)+0.00000001),193)))*INDEX($D$5:$D$205,MAX(6,MIN(INT(((Alpha_keep*$A139+K$3-Lo_c)/Step_c)+0.00000001),193))+2)),"")</f>
        <v>-213.666691790079</v>
      </c>
      <c r="L139" s="16" t="n">
        <f aca="false">IF(Grid!J139=1,-Cost_k*L$3-Short_p*MAX(0,Floor_c-$A139)+Beta_q*((1-(((Alpha_keep*$A139+L$3-Lo_c)/Step_c)-MAX(6,MIN(INT(((Alpha_keep*$A139+L$3-Lo_c)/Step_c)+0.00000001),193))))*INDEX($D$5:$D$205,MAX(6,MIN(INT(((Alpha_keep*$A139+L$3-Lo_c)/Step_c)+0.00000001),193))+1)+(((Alpha_keep*$A139+L$3-Lo_c)/Step_c)-MAX(6,MIN(INT(((Alpha_keep*$A139+L$3-Lo_c)/Step_c)+0.00000001),193)))*INDEX($D$5:$D$205,MAX(6,MIN(INT(((Alpha_keep*$A139+L$3-Lo_c)/Step_c)+0.00000001),193))+2)),"")</f>
        <v>-213.903425334603</v>
      </c>
      <c r="M139" s="16" t="n">
        <f aca="false">IF(Grid!K139=1,-Cost_k*M$3-Short_p*MAX(0,Floor_c-$A139)+Beta_q*((1-(((Alpha_keep*$A139+M$3-Lo_c)/Step_c)-MAX(6,MIN(INT(((Alpha_keep*$A139+M$3-Lo_c)/Step_c)+0.00000001),193))))*INDEX($D$5:$D$205,MAX(6,MIN(INT(((Alpha_keep*$A139+M$3-Lo_c)/Step_c)+0.00000001),193))+1)+(((Alpha_keep*$A139+M$3-Lo_c)/Step_c)-MAX(6,MIN(INT(((Alpha_keep*$A139+M$3-Lo_c)/Step_c)+0.00000001),193)))*INDEX($D$5:$D$205,MAX(6,MIN(INT(((Alpha_keep*$A139+M$3-Lo_c)/Step_c)+0.00000001),193))+2)),"")</f>
        <v>-214.144320604881</v>
      </c>
      <c r="N139" s="16" t="n">
        <f aca="false">IF(Grid!L139=1,-Cost_k*N$3-Short_p*MAX(0,Floor_c-$A139)+Beta_q*((1-(((Alpha_keep*$A139+N$3-Lo_c)/Step_c)-MAX(6,MIN(INT(((Alpha_keep*$A139+N$3-Lo_c)/Step_c)+0.00000001),193))))*INDEX($D$5:$D$205,MAX(6,MIN(INT(((Alpha_keep*$A139+N$3-Lo_c)/Step_c)+0.00000001),193))+1)+(((Alpha_keep*$A139+N$3-Lo_c)/Step_c)-MAX(6,MIN(INT(((Alpha_keep*$A139+N$3-Lo_c)/Step_c)+0.00000001),193)))*INDEX($D$5:$D$205,MAX(6,MIN(INT(((Alpha_keep*$A139+N$3-Lo_c)/Step_c)+0.00000001),193))+2)),"")</f>
        <v>-214.390984391862</v>
      </c>
      <c r="O139" s="16" t="n">
        <f aca="false">IF(Grid!M139=1,-Cost_k*O$3-Short_p*MAX(0,Floor_c-$A139)+Beta_q*((1-(((Alpha_keep*$A139+O$3-Lo_c)/Step_c)-MAX(6,MIN(INT(((Alpha_keep*$A139+O$3-Lo_c)/Step_c)+0.00000001),193))))*INDEX($D$5:$D$205,MAX(6,MIN(INT(((Alpha_keep*$A139+O$3-Lo_c)/Step_c)+0.00000001),193))+1)+(((Alpha_keep*$A139+O$3-Lo_c)/Step_c)-MAX(6,MIN(INT(((Alpha_keep*$A139+O$3-Lo_c)/Step_c)+0.00000001),193)))*INDEX($D$5:$D$205,MAX(6,MIN(INT(((Alpha_keep*$A139+O$3-Lo_c)/Step_c)+0.00000001),193))+2)),"")</f>
        <v>-214.644534576315</v>
      </c>
      <c r="P139" s="11" t="n">
        <f aca="false">MAX(E139:O139)</f>
        <v>-212.3778039286</v>
      </c>
      <c r="Q139" s="12" t="n">
        <f aca="false">INDEX($E$3:$O$3,MATCH(P139,E139:O139,0))</f>
        <v>0</v>
      </c>
      <c r="R139" s="20" t="n">
        <v>0</v>
      </c>
      <c r="S139" s="14" t="n">
        <f aca="false">IF(ABS(Q139-R139)&lt;0.000000001,1,0)</f>
        <v>1</v>
      </c>
      <c r="T139" s="21" t="n">
        <f aca="false">ABS(P139-B139)</f>
        <v>0</v>
      </c>
      <c r="U139" s="16" t="n">
        <f aca="false">Alpha_keep*A139+Q139</f>
        <v>61.9125</v>
      </c>
      <c r="V139" s="14" t="n">
        <f aca="false">INDEX(GuardBlock,135,ROUND(Q139/Step_h,0)+1)</f>
        <v>1</v>
      </c>
      <c r="W139" s="22" t="n">
        <v>0</v>
      </c>
    </row>
    <row r="140" customFormat="false" ht="15" hidden="false" customHeight="false" outlineLevel="0" collapsed="false">
      <c r="A140" s="18" t="n">
        <f aca="false">Grid!A140</f>
        <v>63.75</v>
      </c>
      <c r="B140" s="19" t="n">
        <v>-211.598688820187</v>
      </c>
      <c r="C140" s="14" t="n">
        <v>135</v>
      </c>
      <c r="D140" s="11" t="n">
        <f aca="false">IF(AND($C140&gt;=6,$C140&lt;=194),Declarations!$B$25*INDEX($B$5:$B$205,$C140+1-Declarations!$E$25)+Declarations!$B$26*INDEX($B$5:$B$205,$C140+1-Declarations!$E$26)+Declarations!$B$27*INDEX($B$5:$B$205,$C140+1-Declarations!$E$27)+Declarations!$B$28*INDEX($B$5:$B$205,$C140+1-Declarations!$E$28)+Declarations!$B$29*INDEX($B$5:$B$205,$C140+1-Declarations!$E$29),"")</f>
        <v>-211.619814022369</v>
      </c>
      <c r="E140" s="16" t="n">
        <f aca="false">IF(Grid!C140=1,-Cost_k*E$3-Short_p*MAX(0,Floor_c-$A140)+Beta_q*((1-(((Alpha_keep*$A140+E$3-Lo_c)/Step_c)-MAX(6,MIN(INT(((Alpha_keep*$A140+E$3-Lo_c)/Step_c)+0.00000001),193))))*INDEX($D$5:$D$205,MAX(6,MIN(INT(((Alpha_keep*$A140+E$3-Lo_c)/Step_c)+0.00000001),193))+1)+(((Alpha_keep*$A140+E$3-Lo_c)/Step_c)-MAX(6,MIN(INT(((Alpha_keep*$A140+E$3-Lo_c)/Step_c)+0.00000001),193)))*INDEX($D$5:$D$205,MAX(6,MIN(INT(((Alpha_keep*$A140+E$3-Lo_c)/Step_c)+0.00000001),193))+2)),"")</f>
        <v>-211.598688820187</v>
      </c>
      <c r="F140" s="16" t="n">
        <f aca="false">IF(Grid!D140=1,-Cost_k*F$3-Short_p*MAX(0,Floor_c-$A140)+Beta_q*((1-(((Alpha_keep*$A140+F$3-Lo_c)/Step_c)-MAX(6,MIN(INT(((Alpha_keep*$A140+F$3-Lo_c)/Step_c)+0.00000001),193))))*INDEX($D$5:$D$205,MAX(6,MIN(INT(((Alpha_keep*$A140+F$3-Lo_c)/Step_c)+0.00000001),193))+1)+(((Alpha_keep*$A140+F$3-Lo_c)/Step_c)-MAX(6,MIN(INT(((Alpha_keep*$A140+F$3-Lo_c)/Step_c)+0.00000001),193)))*INDEX($D$5:$D$205,MAX(6,MIN(INT(((Alpha_keep*$A140+F$3-Lo_c)/Step_c)+0.00000001),193))+2)),"")</f>
        <v>-211.802754323496</v>
      </c>
      <c r="G140" s="16" t="n">
        <f aca="false">IF(Grid!E140=1,-Cost_k*G$3-Short_p*MAX(0,Floor_c-$A140)+Beta_q*((1-(((Alpha_keep*$A140+G$3-Lo_c)/Step_c)-MAX(6,MIN(INT(((Alpha_keep*$A140+G$3-Lo_c)/Step_c)+0.00000001),193))))*INDEX($D$5:$D$205,MAX(6,MIN(INT(((Alpha_keep*$A140+G$3-Lo_c)/Step_c)+0.00000001),193))+1)+(((Alpha_keep*$A140+G$3-Lo_c)/Step_c)-MAX(6,MIN(INT(((Alpha_keep*$A140+G$3-Lo_c)/Step_c)+0.00000001),193)))*INDEX($D$5:$D$205,MAX(6,MIN(INT(((Alpha_keep*$A140+G$3-Lo_c)/Step_c)+0.00000001),193))+2)),"")</f>
        <v>-212.014614700653</v>
      </c>
      <c r="H140" s="16" t="n">
        <f aca="false">IF(Grid!F140=1,-Cost_k*H$3-Short_p*MAX(0,Floor_c-$A140)+Beta_q*((1-(((Alpha_keep*$A140+H$3-Lo_c)/Step_c)-MAX(6,MIN(INT(((Alpha_keep*$A140+H$3-Lo_c)/Step_c)+0.00000001),193))))*INDEX($D$5:$D$205,MAX(6,MIN(INT(((Alpha_keep*$A140+H$3-Lo_c)/Step_c)+0.00000001),193))+1)+(((Alpha_keep*$A140+H$3-Lo_c)/Step_c)-MAX(6,MIN(INT(((Alpha_keep*$A140+H$3-Lo_c)/Step_c)+0.00000001),193)))*INDEX($D$5:$D$205,MAX(6,MIN(INT(((Alpha_keep*$A140+H$3-Lo_c)/Step_c)+0.00000001),193))+2)),"")</f>
        <v>-212.233698405581</v>
      </c>
      <c r="I140" s="16" t="n">
        <f aca="false">IF(Grid!G140=1,-Cost_k*I$3-Short_p*MAX(0,Floor_c-$A140)+Beta_q*((1-(((Alpha_keep*$A140+I$3-Lo_c)/Step_c)-MAX(6,MIN(INT(((Alpha_keep*$A140+I$3-Lo_c)/Step_c)+0.00000001),193))))*INDEX($D$5:$D$205,MAX(6,MIN(INT(((Alpha_keep*$A140+I$3-Lo_c)/Step_c)+0.00000001),193))+1)+(((Alpha_keep*$A140+I$3-Lo_c)/Step_c)-MAX(6,MIN(INT(((Alpha_keep*$A140+I$3-Lo_c)/Step_c)+0.00000001),193)))*INDEX($D$5:$D$205,MAX(6,MIN(INT(((Alpha_keep*$A140+I$3-Lo_c)/Step_c)+0.00000001),193))+2)),"")</f>
        <v>-212.456467379465</v>
      </c>
      <c r="J140" s="16" t="n">
        <f aca="false">IF(Grid!H140=1,-Cost_k*J$3-Short_p*MAX(0,Floor_c-$A140)+Beta_q*((1-(((Alpha_keep*$A140+J$3-Lo_c)/Step_c)-MAX(6,MIN(INT(((Alpha_keep*$A140+J$3-Lo_c)/Step_c)+0.00000001),193))))*INDEX($D$5:$D$205,MAX(6,MIN(INT(((Alpha_keep*$A140+J$3-Lo_c)/Step_c)+0.00000001),193))+1)+(((Alpha_keep*$A140+J$3-Lo_c)/Step_c)-MAX(6,MIN(INT(((Alpha_keep*$A140+J$3-Lo_c)/Step_c)+0.00000001),193)))*INDEX($D$5:$D$205,MAX(6,MIN(INT(((Alpha_keep*$A140+J$3-Lo_c)/Step_c)+0.00000001),193))+2)),"")</f>
        <v>-212.685873045195</v>
      </c>
      <c r="K140" s="16" t="n">
        <f aca="false">IF(Grid!I140=1,-Cost_k*K$3-Short_p*MAX(0,Floor_c-$A140)+Beta_q*((1-(((Alpha_keep*$A140+K$3-Lo_c)/Step_c)-MAX(6,MIN(INT(((Alpha_keep*$A140+K$3-Lo_c)/Step_c)+0.00000001),193))))*INDEX($D$5:$D$205,MAX(6,MIN(INT(((Alpha_keep*$A140+K$3-Lo_c)/Step_c)+0.00000001),193))+1)+(((Alpha_keep*$A140+K$3-Lo_c)/Step_c)-MAX(6,MIN(INT(((Alpha_keep*$A140+K$3-Lo_c)/Step_c)+0.00000001),193)))*INDEX($D$5:$D$205,MAX(6,MIN(INT(((Alpha_keep*$A140+K$3-Lo_c)/Step_c)+0.00000001),193))+2)),"")</f>
        <v>-212.922453368597</v>
      </c>
      <c r="L140" s="16" t="n">
        <f aca="false">IF(Grid!J140=1,-Cost_k*L$3-Short_p*MAX(0,Floor_c-$A140)+Beta_q*((1-(((Alpha_keep*$A140+L$3-Lo_c)/Step_c)-MAX(6,MIN(INT(((Alpha_keep*$A140+L$3-Lo_c)/Step_c)+0.00000001),193))))*INDEX($D$5:$D$205,MAX(6,MIN(INT(((Alpha_keep*$A140+L$3-Lo_c)/Step_c)+0.00000001),193))+1)+(((Alpha_keep*$A140+L$3-Lo_c)/Step_c)-MAX(6,MIN(INT(((Alpha_keep*$A140+L$3-Lo_c)/Step_c)+0.00000001),193)))*INDEX($D$5:$D$205,MAX(6,MIN(INT(((Alpha_keep*$A140+L$3-Lo_c)/Step_c)+0.00000001),193))+2)),"")</f>
        <v>-213.163271076181</v>
      </c>
      <c r="M140" s="16" t="n">
        <f aca="false">IF(Grid!K140=1,-Cost_k*M$3-Short_p*MAX(0,Floor_c-$A140)+Beta_q*((1-(((Alpha_keep*$A140+M$3-Lo_c)/Step_c)-MAX(6,MIN(INT(((Alpha_keep*$A140+M$3-Lo_c)/Step_c)+0.00000001),193))))*INDEX($D$5:$D$205,MAX(6,MIN(INT(((Alpha_keep*$A140+M$3-Lo_c)/Step_c)+0.00000001),193))+1)+(((Alpha_keep*$A140+M$3-Lo_c)/Step_c)-MAX(6,MIN(INT(((Alpha_keep*$A140+M$3-Lo_c)/Step_c)+0.00000001),193)))*INDEX($D$5:$D$205,MAX(6,MIN(INT(((Alpha_keep*$A140+M$3-Lo_c)/Step_c)+0.00000001),193))+2)),"")</f>
        <v>-213.409754761662</v>
      </c>
      <c r="N140" s="16" t="n">
        <f aca="false">IF(Grid!L140=1,-Cost_k*N$3-Short_p*MAX(0,Floor_c-$A140)+Beta_q*((1-(((Alpha_keep*$A140+N$3-Lo_c)/Step_c)-MAX(6,MIN(INT(((Alpha_keep*$A140+N$3-Lo_c)/Step_c)+0.00000001),193))))*INDEX($D$5:$D$205,MAX(6,MIN(INT(((Alpha_keep*$A140+N$3-Lo_c)/Step_c)+0.00000001),193))+1)+(((Alpha_keep*$A140+N$3-Lo_c)/Step_c)-MAX(6,MIN(INT(((Alpha_keep*$A140+N$3-Lo_c)/Step_c)+0.00000001),193)))*INDEX($D$5:$D$205,MAX(6,MIN(INT(((Alpha_keep*$A140+N$3-Lo_c)/Step_c)+0.00000001),193))+2)),"")</f>
        <v>-213.663137062405</v>
      </c>
      <c r="O140" s="16" t="n">
        <f aca="false">IF(Grid!M140=1,-Cost_k*O$3-Short_p*MAX(0,Floor_c-$A140)+Beta_q*((1-(((Alpha_keep*$A140+O$3-Lo_c)/Step_c)-MAX(6,MIN(INT(((Alpha_keep*$A140+O$3-Lo_c)/Step_c)+0.00000001),193))))*INDEX($D$5:$D$205,MAX(6,MIN(INT(((Alpha_keep*$A140+O$3-Lo_c)/Step_c)+0.00000001),193))+1)+(((Alpha_keep*$A140+O$3-Lo_c)/Step_c)-MAX(6,MIN(INT(((Alpha_keep*$A140+O$3-Lo_c)/Step_c)+0.00000001),193)))*INDEX($D$5:$D$205,MAX(6,MIN(INT(((Alpha_keep*$A140+O$3-Lo_c)/Step_c)+0.00000001),193))+2)),"")</f>
        <v>-213.921314599162</v>
      </c>
      <c r="P140" s="11" t="n">
        <f aca="false">MAX(E140:O140)</f>
        <v>-211.598688820187</v>
      </c>
      <c r="Q140" s="12" t="n">
        <f aca="false">INDEX($E$3:$O$3,MATCH(P140,E140:O140,0))</f>
        <v>0</v>
      </c>
      <c r="R140" s="20" t="n">
        <v>0</v>
      </c>
      <c r="S140" s="14" t="n">
        <f aca="false">IF(ABS(Q140-R140)&lt;0.000000001,1,0)</f>
        <v>1</v>
      </c>
      <c r="T140" s="21" t="n">
        <f aca="false">ABS(P140-B140)</f>
        <v>0</v>
      </c>
      <c r="U140" s="16" t="n">
        <f aca="false">Alpha_keep*A140+Q140</f>
        <v>62.15625</v>
      </c>
      <c r="V140" s="14" t="n">
        <f aca="false">INDEX(GuardBlock,136,ROUND(Q140/Step_h,0)+1)</f>
        <v>1</v>
      </c>
      <c r="W140" s="22" t="n">
        <v>0</v>
      </c>
    </row>
    <row r="141" customFormat="false" ht="15" hidden="false" customHeight="false" outlineLevel="0" collapsed="false">
      <c r="A141" s="18" t="n">
        <f aca="false">Grid!A141</f>
        <v>64</v>
      </c>
      <c r="B141" s="19" t="n">
        <v>-210.822625913499</v>
      </c>
      <c r="C141" s="14" t="n">
        <v>136</v>
      </c>
      <c r="D141" s="11" t="n">
        <f aca="false">IF(AND($C141&gt;=6,$C141&lt;=194),Declarations!$B$25*INDEX($B$5:$B$205,$C141+1-Declarations!$E$25)+Declarations!$B$26*INDEX($B$5:$B$205,$C141+1-Declarations!$E$26)+Declarations!$B$27*INDEX($B$5:$B$205,$C141+1-Declarations!$E$27)+Declarations!$B$28*INDEX($B$5:$B$205,$C141+1-Declarations!$E$28)+Declarations!$B$29*INDEX($B$5:$B$205,$C141+1-Declarations!$E$29),"")</f>
        <v>-210.843516539449</v>
      </c>
      <c r="E141" s="16" t="n">
        <f aca="false">IF(Grid!C141=1,-Cost_k*E$3-Short_p*MAX(0,Floor_c-$A141)+Beta_q*((1-(((Alpha_keep*$A141+E$3-Lo_c)/Step_c)-MAX(6,MIN(INT(((Alpha_keep*$A141+E$3-Lo_c)/Step_c)+0.00000001),193))))*INDEX($D$5:$D$205,MAX(6,MIN(INT(((Alpha_keep*$A141+E$3-Lo_c)/Step_c)+0.00000001),193))+1)+(((Alpha_keep*$A141+E$3-Lo_c)/Step_c)-MAX(6,MIN(INT(((Alpha_keep*$A141+E$3-Lo_c)/Step_c)+0.00000001),193)))*INDEX($D$5:$D$205,MAX(6,MIN(INT(((Alpha_keep*$A141+E$3-Lo_c)/Step_c)+0.00000001),193))+2)),"")</f>
        <v>-210.822625913499</v>
      </c>
      <c r="F141" s="16" t="n">
        <f aca="false">IF(Grid!D141=1,-Cost_k*F$3-Short_p*MAX(0,Floor_c-$A141)+Beta_q*((1-(((Alpha_keep*$A141+F$3-Lo_c)/Step_c)-MAX(6,MIN(INT(((Alpha_keep*$A141+F$3-Lo_c)/Step_c)+0.00000001),193))))*INDEX($D$5:$D$205,MAX(6,MIN(INT(((Alpha_keep*$A141+F$3-Lo_c)/Step_c)+0.00000001),193))+1)+(((Alpha_keep*$A141+F$3-Lo_c)/Step_c)-MAX(6,MIN(INT(((Alpha_keep*$A141+F$3-Lo_c)/Step_c)+0.00000001),193)))*INDEX($D$5:$D$205,MAX(6,MIN(INT(((Alpha_keep*$A141+F$3-Lo_c)/Step_c)+0.00000001),193))+2)),"")</f>
        <v>-211.034217331564</v>
      </c>
      <c r="G141" s="16" t="n">
        <f aca="false">IF(Grid!E141=1,-Cost_k*G$3-Short_p*MAX(0,Floor_c-$A141)+Beta_q*((1-(((Alpha_keep*$A141+G$3-Lo_c)/Step_c)-MAX(6,MIN(INT(((Alpha_keep*$A141+G$3-Lo_c)/Step_c)+0.00000001),193))))*INDEX($D$5:$D$205,MAX(6,MIN(INT(((Alpha_keep*$A141+G$3-Lo_c)/Step_c)+0.00000001),193))+1)+(((Alpha_keep*$A141+G$3-Lo_c)/Step_c)-MAX(6,MIN(INT(((Alpha_keep*$A141+G$3-Lo_c)/Step_c)+0.00000001),193)))*INDEX($D$5:$D$205,MAX(6,MIN(INT(((Alpha_keep*$A141+G$3-Lo_c)/Step_c)+0.00000001),193))+2)),"")</f>
        <v>-211.253173478837</v>
      </c>
      <c r="H141" s="16" t="n">
        <f aca="false">IF(Grid!F141=1,-Cost_k*H$3-Short_p*MAX(0,Floor_c-$A141)+Beta_q*((1-(((Alpha_keep*$A141+H$3-Lo_c)/Step_c)-MAX(6,MIN(INT(((Alpha_keep*$A141+H$3-Lo_c)/Step_c)+0.00000001),193))))*INDEX($D$5:$D$205,MAX(6,MIN(INT(((Alpha_keep*$A141+H$3-Lo_c)/Step_c)+0.00000001),193))+1)+(((Alpha_keep*$A141+H$3-Lo_c)/Step_c)-MAX(6,MIN(INT(((Alpha_keep*$A141+H$3-Lo_c)/Step_c)+0.00000001),193)))*INDEX($D$5:$D$205,MAX(6,MIN(INT(((Alpha_keep*$A141+H$3-Lo_c)/Step_c)+0.00000001),193))+2)),"")</f>
        <v>-211.475871576556</v>
      </c>
      <c r="I141" s="16" t="n">
        <f aca="false">IF(Grid!G141=1,-Cost_k*I$3-Short_p*MAX(0,Floor_c-$A141)+Beta_q*((1-(((Alpha_keep*$A141+I$3-Lo_c)/Step_c)-MAX(6,MIN(INT(((Alpha_keep*$A141+I$3-Lo_c)/Step_c)+0.00000001),193))))*INDEX($D$5:$D$205,MAX(6,MIN(INT(((Alpha_keep*$A141+I$3-Lo_c)/Step_c)+0.00000001),193))+1)+(((Alpha_keep*$A141+I$3-Lo_c)/Step_c)-MAX(6,MIN(INT(((Alpha_keep*$A141+I$3-Lo_c)/Step_c)+0.00000001),193)))*INDEX($D$5:$D$205,MAX(6,MIN(INT(((Alpha_keep*$A141+I$3-Lo_c)/Step_c)+0.00000001),193))+2)),"")</f>
        <v>-211.705054300311</v>
      </c>
      <c r="J141" s="16" t="n">
        <f aca="false">IF(Grid!H141=1,-Cost_k*J$3-Short_p*MAX(0,Floor_c-$A141)+Beta_q*((1-(((Alpha_keep*$A141+J$3-Lo_c)/Step_c)-MAX(6,MIN(INT(((Alpha_keep*$A141+J$3-Lo_c)/Step_c)+0.00000001),193))))*INDEX($D$5:$D$205,MAX(6,MIN(INT(((Alpha_keep*$A141+J$3-Lo_c)/Step_c)+0.00000001),193))+1)+(((Alpha_keep*$A141+J$3-Lo_c)/Step_c)-MAX(6,MIN(INT(((Alpha_keep*$A141+J$3-Lo_c)/Step_c)+0.00000001),193)))*INDEX($D$5:$D$205,MAX(6,MIN(INT(((Alpha_keep*$A141+J$3-Lo_c)/Step_c)+0.00000001),193))+2)),"")</f>
        <v>-211.941481402591</v>
      </c>
      <c r="K141" s="16" t="n">
        <f aca="false">IF(Grid!I141=1,-Cost_k*K$3-Short_p*MAX(0,Floor_c-$A141)+Beta_q*((1-(((Alpha_keep*$A141+K$3-Lo_c)/Step_c)-MAX(6,MIN(INT(((Alpha_keep*$A141+K$3-Lo_c)/Step_c)+0.00000001),193))))*INDEX($D$5:$D$205,MAX(6,MIN(INT(((Alpha_keep*$A141+K$3-Lo_c)/Step_c)+0.00000001),193))+1)+(((Alpha_keep*$A141+K$3-Lo_c)/Step_c)-MAX(6,MIN(INT(((Alpha_keep*$A141+K$3-Lo_c)/Step_c)+0.00000001),193)))*INDEX($D$5:$D$205,MAX(6,MIN(INT(((Alpha_keep*$A141+K$3-Lo_c)/Step_c)+0.00000001),193))+2)),"")</f>
        <v>-212.182221547481</v>
      </c>
      <c r="L141" s="16" t="n">
        <f aca="false">IF(Grid!J141=1,-Cost_k*L$3-Short_p*MAX(0,Floor_c-$A141)+Beta_q*((1-(((Alpha_keep*$A141+L$3-Lo_c)/Step_c)-MAX(6,MIN(INT(((Alpha_keep*$A141+L$3-Lo_c)/Step_c)+0.00000001),193))))*INDEX($D$5:$D$205,MAX(6,MIN(INT(((Alpha_keep*$A141+L$3-Lo_c)/Step_c)+0.00000001),193))+1)+(((Alpha_keep*$A141+L$3-Lo_c)/Step_c)-MAX(6,MIN(INT(((Alpha_keep*$A141+L$3-Lo_c)/Step_c)+0.00000001),193)))*INDEX($D$5:$D$205,MAX(6,MIN(INT(((Alpha_keep*$A141+L$3-Lo_c)/Step_c)+0.00000001),193))+2)),"")</f>
        <v>-212.428525131463</v>
      </c>
      <c r="M141" s="16" t="n">
        <f aca="false">IF(Grid!K141=1,-Cost_k*M$3-Short_p*MAX(0,Floor_c-$A141)+Beta_q*((1-(((Alpha_keep*$A141+M$3-Lo_c)/Step_c)-MAX(6,MIN(INT(((Alpha_keep*$A141+M$3-Lo_c)/Step_c)+0.00000001),193))))*INDEX($D$5:$D$205,MAX(6,MIN(INT(((Alpha_keep*$A141+M$3-Lo_c)/Step_c)+0.00000001),193))+1)+(((Alpha_keep*$A141+M$3-Lo_c)/Step_c)-MAX(6,MIN(INT(((Alpha_keep*$A141+M$3-Lo_c)/Step_c)+0.00000001),193)))*INDEX($D$5:$D$205,MAX(6,MIN(INT(((Alpha_keep*$A141+M$3-Lo_c)/Step_c)+0.00000001),193))+2)),"")</f>
        <v>-212.681739548495</v>
      </c>
      <c r="N141" s="16" t="n">
        <f aca="false">IF(Grid!L141=1,-Cost_k*N$3-Short_p*MAX(0,Floor_c-$A141)+Beta_q*((1-(((Alpha_keep*$A141+N$3-Lo_c)/Step_c)-MAX(6,MIN(INT(((Alpha_keep*$A141+N$3-Lo_c)/Step_c)+0.00000001),193))))*INDEX($D$5:$D$205,MAX(6,MIN(INT(((Alpha_keep*$A141+N$3-Lo_c)/Step_c)+0.00000001),193))+1)+(((Alpha_keep*$A141+N$3-Lo_c)/Step_c)-MAX(6,MIN(INT(((Alpha_keep*$A141+N$3-Lo_c)/Step_c)+0.00000001),193)))*INDEX($D$5:$D$205,MAX(6,MIN(INT(((Alpha_keep*$A141+N$3-Lo_c)/Step_c)+0.00000001),193))+2)),"")</f>
        <v>-212.939826006038</v>
      </c>
      <c r="O141" s="16" t="n">
        <f aca="false">IF(Grid!M141=1,-Cost_k*O$3-Short_p*MAX(0,Floor_c-$A141)+Beta_q*((1-(((Alpha_keep*$A141+O$3-Lo_c)/Step_c)-MAX(6,MIN(INT(((Alpha_keep*$A141+O$3-Lo_c)/Step_c)+0.00000001),193))))*INDEX($D$5:$D$205,MAX(6,MIN(INT(((Alpha_keep*$A141+O$3-Lo_c)/Step_c)+0.00000001),193))+1)+(((Alpha_keep*$A141+O$3-Lo_c)/Step_c)-MAX(6,MIN(INT(((Alpha_keep*$A141+O$3-Lo_c)/Step_c)+0.00000001),193)))*INDEX($D$5:$D$205,MAX(6,MIN(INT(((Alpha_keep*$A141+O$3-Lo_c)/Step_c)+0.00000001),193))+2)),"")</f>
        <v>-213.202838782636</v>
      </c>
      <c r="P141" s="11" t="n">
        <f aca="false">MAX(E141:O141)</f>
        <v>-210.822625913499</v>
      </c>
      <c r="Q141" s="12" t="n">
        <f aca="false">INDEX($E$3:$O$3,MATCH(P141,E141:O141,0))</f>
        <v>0</v>
      </c>
      <c r="R141" s="20" t="n">
        <v>0</v>
      </c>
      <c r="S141" s="14" t="n">
        <f aca="false">IF(ABS(Q141-R141)&lt;0.000000001,1,0)</f>
        <v>1</v>
      </c>
      <c r="T141" s="21" t="n">
        <f aca="false">ABS(P141-B141)</f>
        <v>0</v>
      </c>
      <c r="U141" s="16" t="n">
        <f aca="false">Alpha_keep*A141+Q141</f>
        <v>62.4</v>
      </c>
      <c r="V141" s="14" t="n">
        <f aca="false">INDEX(GuardBlock,137,ROUND(Q141/Step_h,0)+1)</f>
        <v>1</v>
      </c>
      <c r="W141" s="22" t="n">
        <v>0</v>
      </c>
    </row>
    <row r="142" customFormat="false" ht="15" hidden="false" customHeight="false" outlineLevel="0" collapsed="false">
      <c r="A142" s="18" t="n">
        <f aca="false">Grid!A142</f>
        <v>64.25</v>
      </c>
      <c r="B142" s="19" t="n">
        <v>-210.053819962476</v>
      </c>
      <c r="C142" s="14" t="n">
        <v>137</v>
      </c>
      <c r="D142" s="11" t="n">
        <f aca="false">IF(AND($C142&gt;=6,$C142&lt;=194),Declarations!$B$25*INDEX($B$5:$B$205,$C142+1-Declarations!$E$25)+Declarations!$B$26*INDEX($B$5:$B$205,$C142+1-Declarations!$E$26)+Declarations!$B$27*INDEX($B$5:$B$205,$C142+1-Declarations!$E$27)+Declarations!$B$28*INDEX($B$5:$B$205,$C142+1-Declarations!$E$28)+Declarations!$B$29*INDEX($B$5:$B$205,$C142+1-Declarations!$E$29),"")</f>
        <v>-210.074596832966</v>
      </c>
      <c r="E142" s="16" t="n">
        <f aca="false">IF(Grid!C142=1,-Cost_k*E$3-Short_p*MAX(0,Floor_c-$A142)+Beta_q*((1-(((Alpha_keep*$A142+E$3-Lo_c)/Step_c)-MAX(6,MIN(INT(((Alpha_keep*$A142+E$3-Lo_c)/Step_c)+0.00000001),193))))*INDEX($D$5:$D$205,MAX(6,MIN(INT(((Alpha_keep*$A142+E$3-Lo_c)/Step_c)+0.00000001),193))+1)+(((Alpha_keep*$A142+E$3-Lo_c)/Step_c)-MAX(6,MIN(INT(((Alpha_keep*$A142+E$3-Lo_c)/Step_c)+0.00000001),193)))*INDEX($D$5:$D$205,MAX(6,MIN(INT(((Alpha_keep*$A142+E$3-Lo_c)/Step_c)+0.00000001),193))+2)),"")</f>
        <v>-210.053819962476</v>
      </c>
      <c r="F142" s="16" t="n">
        <f aca="false">IF(Grid!D142=1,-Cost_k*F$3-Short_p*MAX(0,Floor_c-$A142)+Beta_q*((1-(((Alpha_keep*$A142+F$3-Lo_c)/Step_c)-MAX(6,MIN(INT(((Alpha_keep*$A142+F$3-Lo_c)/Step_c)+0.00000001),193))))*INDEX($D$5:$D$205,MAX(6,MIN(INT(((Alpha_keep*$A142+F$3-Lo_c)/Step_c)+0.00000001),193))+1)+(((Alpha_keep*$A142+F$3-Lo_c)/Step_c)-MAX(6,MIN(INT(((Alpha_keep*$A142+F$3-Lo_c)/Step_c)+0.00000001),193)))*INDEX($D$5:$D$205,MAX(6,MIN(INT(((Alpha_keep*$A142+F$3-Lo_c)/Step_c)+0.00000001),193))+2)),"")</f>
        <v>-210.272648552092</v>
      </c>
      <c r="G142" s="16" t="n">
        <f aca="false">IF(Grid!E142=1,-Cost_k*G$3-Short_p*MAX(0,Floor_c-$A142)+Beta_q*((1-(((Alpha_keep*$A142+G$3-Lo_c)/Step_c)-MAX(6,MIN(INT(((Alpha_keep*$A142+G$3-Lo_c)/Step_c)+0.00000001),193))))*INDEX($D$5:$D$205,MAX(6,MIN(INT(((Alpha_keep*$A142+G$3-Lo_c)/Step_c)+0.00000001),193))+1)+(((Alpha_keep*$A142+G$3-Lo_c)/Step_c)-MAX(6,MIN(INT(((Alpha_keep*$A142+G$3-Lo_c)/Step_c)+0.00000001),193)))*INDEX($D$5:$D$205,MAX(6,MIN(INT(((Alpha_keep*$A142+G$3-Lo_c)/Step_c)+0.00000001),193))+2)),"")</f>
        <v>-210.495275773647</v>
      </c>
      <c r="H142" s="16" t="n">
        <f aca="false">IF(Grid!F142=1,-Cost_k*H$3-Short_p*MAX(0,Floor_c-$A142)+Beta_q*((1-(((Alpha_keep*$A142+H$3-Lo_c)/Step_c)-MAX(6,MIN(INT(((Alpha_keep*$A142+H$3-Lo_c)/Step_c)+0.00000001),193))))*INDEX($D$5:$D$205,MAX(6,MIN(INT(((Alpha_keep*$A142+H$3-Lo_c)/Step_c)+0.00000001),193))+1)+(((Alpha_keep*$A142+H$3-Lo_c)/Step_c)-MAX(6,MIN(INT(((Alpha_keep*$A142+H$3-Lo_c)/Step_c)+0.00000001),193)))*INDEX($D$5:$D$205,MAX(6,MIN(INT(((Alpha_keep*$A142+H$3-Lo_c)/Step_c)+0.00000001),193))+2)),"")</f>
        <v>-210.724235555427</v>
      </c>
      <c r="I142" s="16" t="n">
        <f aca="false">IF(Grid!G142=1,-Cost_k*I$3-Short_p*MAX(0,Floor_c-$A142)+Beta_q*((1-(((Alpha_keep*$A142+I$3-Lo_c)/Step_c)-MAX(6,MIN(INT(((Alpha_keep*$A142+I$3-Lo_c)/Step_c)+0.00000001),193))))*INDEX($D$5:$D$205,MAX(6,MIN(INT(((Alpha_keep*$A142+I$3-Lo_c)/Step_c)+0.00000001),193))+1)+(((Alpha_keep*$A142+I$3-Lo_c)/Step_c)-MAX(6,MIN(INT(((Alpha_keep*$A142+I$3-Lo_c)/Step_c)+0.00000001),193)))*INDEX($D$5:$D$205,MAX(6,MIN(INT(((Alpha_keep*$A142+I$3-Lo_c)/Step_c)+0.00000001),193))+2)),"")</f>
        <v>-210.960509436586</v>
      </c>
      <c r="J142" s="16" t="n">
        <f aca="false">IF(Grid!H142=1,-Cost_k*J$3-Short_p*MAX(0,Floor_c-$A142)+Beta_q*((1-(((Alpha_keep*$A142+J$3-Lo_c)/Step_c)-MAX(6,MIN(INT(((Alpha_keep*$A142+J$3-Lo_c)/Step_c)+0.00000001),193))))*INDEX($D$5:$D$205,MAX(6,MIN(INT(((Alpha_keep*$A142+J$3-Lo_c)/Step_c)+0.00000001),193))+1)+(((Alpha_keep*$A142+J$3-Lo_c)/Step_c)-MAX(6,MIN(INT(((Alpha_keep*$A142+J$3-Lo_c)/Step_c)+0.00000001),193)))*INDEX($D$5:$D$205,MAX(6,MIN(INT(((Alpha_keep*$A142+J$3-Lo_c)/Step_c)+0.00000001),193))+2)),"")</f>
        <v>-211.201172018781</v>
      </c>
      <c r="K142" s="16" t="n">
        <f aca="false">IF(Grid!I142=1,-Cost_k*K$3-Short_p*MAX(0,Floor_c-$A142)+Beta_q*((1-(((Alpha_keep*$A142+K$3-Lo_c)/Step_c)-MAX(6,MIN(INT(((Alpha_keep*$A142+K$3-Lo_c)/Step_c)+0.00000001),193))))*INDEX($D$5:$D$205,MAX(6,MIN(INT(((Alpha_keep*$A142+K$3-Lo_c)/Step_c)+0.00000001),193))+1)+(((Alpha_keep*$A142+K$3-Lo_c)/Step_c)-MAX(6,MIN(INT(((Alpha_keep*$A142+K$3-Lo_c)/Step_c)+0.00000001),193)))*INDEX($D$5:$D$205,MAX(6,MIN(INT(((Alpha_keep*$A142+K$3-Lo_c)/Step_c)+0.00000001),193))+2)),"")</f>
        <v>-211.447295501264</v>
      </c>
      <c r="L142" s="16" t="n">
        <f aca="false">IF(Grid!J142=1,-Cost_k*L$3-Short_p*MAX(0,Floor_c-$A142)+Beta_q*((1-(((Alpha_keep*$A142+L$3-Lo_c)/Step_c)-MAX(6,MIN(INT(((Alpha_keep*$A142+L$3-Lo_c)/Step_c)+0.00000001),193))))*INDEX($D$5:$D$205,MAX(6,MIN(INT(((Alpha_keep*$A142+L$3-Lo_c)/Step_c)+0.00000001),193))+1)+(((Alpha_keep*$A142+L$3-Lo_c)/Step_c)-MAX(6,MIN(INT(((Alpha_keep*$A142+L$3-Lo_c)/Step_c)+0.00000001),193)))*INDEX($D$5:$D$205,MAX(6,MIN(INT(((Alpha_keep*$A142+L$3-Lo_c)/Step_c)+0.00000001),193))+2)),"")</f>
        <v>-211.700342034585</v>
      </c>
      <c r="M142" s="16" t="n">
        <f aca="false">IF(Grid!K142=1,-Cost_k*M$3-Short_p*MAX(0,Floor_c-$A142)+Beta_q*((1-(((Alpha_keep*$A142+M$3-Lo_c)/Step_c)-MAX(6,MIN(INT(((Alpha_keep*$A142+M$3-Lo_c)/Step_c)+0.00000001),193))))*INDEX($D$5:$D$205,MAX(6,MIN(INT(((Alpha_keep*$A142+M$3-Lo_c)/Step_c)+0.00000001),193))+1)+(((Alpha_keep*$A142+M$3-Lo_c)/Step_c)-MAX(6,MIN(INT(((Alpha_keep*$A142+M$3-Lo_c)/Step_c)+0.00000001),193)))*INDEX($D$5:$D$205,MAX(6,MIN(INT(((Alpha_keep*$A142+M$3-Lo_c)/Step_c)+0.00000001),193))+2)),"")</f>
        <v>-211.958337412914</v>
      </c>
      <c r="N142" s="16" t="n">
        <f aca="false">IF(Grid!L142=1,-Cost_k*N$3-Short_p*MAX(0,Floor_c-$A142)+Beta_q*((1-(((Alpha_keep*$A142+N$3-Lo_c)/Step_c)-MAX(6,MIN(INT(((Alpha_keep*$A142+N$3-Lo_c)/Step_c)+0.00000001),193))))*INDEX($D$5:$D$205,MAX(6,MIN(INT(((Alpha_keep*$A142+N$3-Lo_c)/Step_c)+0.00000001),193))+1)+(((Alpha_keep*$A142+N$3-Lo_c)/Step_c)-MAX(6,MIN(INT(((Alpha_keep*$A142+N$3-Lo_c)/Step_c)+0.00000001),193)))*INDEX($D$5:$D$205,MAX(6,MIN(INT(((Alpha_keep*$A142+N$3-Lo_c)/Step_c)+0.00000001),193))+2)),"")</f>
        <v>-212.221205645694</v>
      </c>
      <c r="O142" s="16" t="n">
        <f aca="false">IF(Grid!M142=1,-Cost_k*O$3-Short_p*MAX(0,Floor_c-$A142)+Beta_q*((1-(((Alpha_keep*$A142+O$3-Lo_c)/Step_c)-MAX(6,MIN(INT(((Alpha_keep*$A142+O$3-Lo_c)/Step_c)+0.00000001),193))))*INDEX($D$5:$D$205,MAX(6,MIN(INT(((Alpha_keep*$A142+O$3-Lo_c)/Step_c)+0.00000001),193))+1)+(((Alpha_keep*$A142+O$3-Lo_c)/Step_c)-MAX(6,MIN(INT(((Alpha_keep*$A142+O$3-Lo_c)/Step_c)+0.00000001),193)))*INDEX($D$5:$D$205,MAX(6,MIN(INT(((Alpha_keep*$A142+O$3-Lo_c)/Step_c)+0.00000001),193))+2)),"")</f>
        <v>-212.49042733164</v>
      </c>
      <c r="P142" s="11" t="n">
        <f aca="false">MAX(E142:O142)</f>
        <v>-210.053819962476</v>
      </c>
      <c r="Q142" s="12" t="n">
        <f aca="false">INDEX($E$3:$O$3,MATCH(P142,E142:O142,0))</f>
        <v>0</v>
      </c>
      <c r="R142" s="20" t="n">
        <v>0</v>
      </c>
      <c r="S142" s="14" t="n">
        <f aca="false">IF(ABS(Q142-R142)&lt;0.000000001,1,0)</f>
        <v>1</v>
      </c>
      <c r="T142" s="21" t="n">
        <f aca="false">ABS(P142-B142)</f>
        <v>0</v>
      </c>
      <c r="U142" s="16" t="n">
        <f aca="false">Alpha_keep*A142+Q142</f>
        <v>62.64375</v>
      </c>
      <c r="V142" s="14" t="n">
        <f aca="false">INDEX(GuardBlock,138,ROUND(Q142/Step_h,0)+1)</f>
        <v>1</v>
      </c>
      <c r="W142" s="22" t="n">
        <v>0</v>
      </c>
    </row>
    <row r="143" customFormat="false" ht="15" hidden="false" customHeight="false" outlineLevel="0" collapsed="false">
      <c r="A143" s="18" t="n">
        <f aca="false">Grid!A143</f>
        <v>64.5</v>
      </c>
      <c r="B143" s="19" t="n">
        <v>-209.292123625348</v>
      </c>
      <c r="C143" s="14" t="n">
        <v>138</v>
      </c>
      <c r="D143" s="11" t="n">
        <f aca="false">IF(AND($C143&gt;=6,$C143&lt;=194),Declarations!$B$25*INDEX($B$5:$B$205,$C143+1-Declarations!$E$25)+Declarations!$B$26*INDEX($B$5:$B$205,$C143+1-Declarations!$E$26)+Declarations!$B$27*INDEX($B$5:$B$205,$C143+1-Declarations!$E$27)+Declarations!$B$28*INDEX($B$5:$B$205,$C143+1-Declarations!$E$28)+Declarations!$B$29*INDEX($B$5:$B$205,$C143+1-Declarations!$E$29),"")</f>
        <v>-209.31255440674</v>
      </c>
      <c r="E143" s="16" t="n">
        <f aca="false">IF(Grid!C143=1,-Cost_k*E$3-Short_p*MAX(0,Floor_c-$A143)+Beta_q*((1-(((Alpha_keep*$A143+E$3-Lo_c)/Step_c)-MAX(6,MIN(INT(((Alpha_keep*$A143+E$3-Lo_c)/Step_c)+0.00000001),193))))*INDEX($D$5:$D$205,MAX(6,MIN(INT(((Alpha_keep*$A143+E$3-Lo_c)/Step_c)+0.00000001),193))+1)+(((Alpha_keep*$A143+E$3-Lo_c)/Step_c)-MAX(6,MIN(INT(((Alpha_keep*$A143+E$3-Lo_c)/Step_c)+0.00000001),193)))*INDEX($D$5:$D$205,MAX(6,MIN(INT(((Alpha_keep*$A143+E$3-Lo_c)/Step_c)+0.00000001),193))+2)),"")</f>
        <v>-209.292123625348</v>
      </c>
      <c r="F143" s="16" t="n">
        <f aca="false">IF(Grid!D143=1,-Cost_k*F$3-Short_p*MAX(0,Floor_c-$A143)+Beta_q*((1-(((Alpha_keep*$A143+F$3-Lo_c)/Step_c)-MAX(6,MIN(INT(((Alpha_keep*$A143+F$3-Lo_c)/Step_c)+0.00000001),193))))*INDEX($D$5:$D$205,MAX(6,MIN(INT(((Alpha_keep*$A143+F$3-Lo_c)/Step_c)+0.00000001),193))+1)+(((Alpha_keep*$A143+F$3-Lo_c)/Step_c)-MAX(6,MIN(INT(((Alpha_keep*$A143+F$3-Lo_c)/Step_c)+0.00000001),193)))*INDEX($D$5:$D$205,MAX(6,MIN(INT(((Alpha_keep*$A143+F$3-Lo_c)/Step_c)+0.00000001),193))+2)),"")</f>
        <v>-209.514679970738</v>
      </c>
      <c r="G143" s="16" t="n">
        <f aca="false">IF(Grid!E143=1,-Cost_k*G$3-Short_p*MAX(0,Floor_c-$A143)+Beta_q*((1-(((Alpha_keep*$A143+G$3-Lo_c)/Step_c)-MAX(6,MIN(INT(((Alpha_keep*$A143+G$3-Lo_c)/Step_c)+0.00000001),193))))*INDEX($D$5:$D$205,MAX(6,MIN(INT(((Alpha_keep*$A143+G$3-Lo_c)/Step_c)+0.00000001),193))+1)+(((Alpha_keep*$A143+G$3-Lo_c)/Step_c)-MAX(6,MIN(INT(((Alpha_keep*$A143+G$3-Lo_c)/Step_c)+0.00000001),193)))*INDEX($D$5:$D$205,MAX(6,MIN(INT(((Alpha_keep*$A143+G$3-Lo_c)/Step_c)+0.00000001),193))+2)),"")</f>
        <v>-209.743416810543</v>
      </c>
      <c r="H143" s="16" t="n">
        <f aca="false">IF(Grid!F143=1,-Cost_k*H$3-Short_p*MAX(0,Floor_c-$A143)+Beta_q*((1-(((Alpha_keep*$A143+H$3-Lo_c)/Step_c)-MAX(6,MIN(INT(((Alpha_keep*$A143+H$3-Lo_c)/Step_c)+0.00000001),193))))*INDEX($D$5:$D$205,MAX(6,MIN(INT(((Alpha_keep*$A143+H$3-Lo_c)/Step_c)+0.00000001),193))+1)+(((Alpha_keep*$A143+H$3-Lo_c)/Step_c)-MAX(6,MIN(INT(((Alpha_keep*$A143+H$3-Lo_c)/Step_c)+0.00000001),193)))*INDEX($D$5:$D$205,MAX(6,MIN(INT(((Alpha_keep*$A143+H$3-Lo_c)/Step_c)+0.00000001),193))+2)),"")</f>
        <v>-209.97953747058</v>
      </c>
      <c r="I143" s="16" t="n">
        <f aca="false">IF(Grid!G143=1,-Cost_k*I$3-Short_p*MAX(0,Floor_c-$A143)+Beta_q*((1-(((Alpha_keep*$A143+I$3-Lo_c)/Step_c)-MAX(6,MIN(INT(((Alpha_keep*$A143+I$3-Lo_c)/Step_c)+0.00000001),193))))*INDEX($D$5:$D$205,MAX(6,MIN(INT(((Alpha_keep*$A143+I$3-Lo_c)/Step_c)+0.00000001),193))+1)+(((Alpha_keep*$A143+I$3-Lo_c)/Step_c)-MAX(6,MIN(INT(((Alpha_keep*$A143+I$3-Lo_c)/Step_c)+0.00000001),193)))*INDEX($D$5:$D$205,MAX(6,MIN(INT(((Alpha_keep*$A143+I$3-Lo_c)/Step_c)+0.00000001),193))+2)),"")</f>
        <v>-210.220122490081</v>
      </c>
      <c r="J143" s="16" t="n">
        <f aca="false">IF(Grid!H143=1,-Cost_k*J$3-Short_p*MAX(0,Floor_c-$A143)+Beta_q*((1-(((Alpha_keep*$A143+J$3-Lo_c)/Step_c)-MAX(6,MIN(INT(((Alpha_keep*$A143+J$3-Lo_c)/Step_c)+0.00000001),193))))*INDEX($D$5:$D$205,MAX(6,MIN(INT(((Alpha_keep*$A143+J$3-Lo_c)/Step_c)+0.00000001),193))+1)+(((Alpha_keep*$A143+J$3-Lo_c)/Step_c)-MAX(6,MIN(INT(((Alpha_keep*$A143+J$3-Lo_c)/Step_c)+0.00000001),193)))*INDEX($D$5:$D$205,MAX(6,MIN(INT(((Alpha_keep*$A143+J$3-Lo_c)/Step_c)+0.00000001),193))+2)),"")</f>
        <v>-210.466065871064</v>
      </c>
      <c r="K143" s="16" t="n">
        <f aca="false">IF(Grid!I143=1,-Cost_k*K$3-Short_p*MAX(0,Floor_c-$A143)+Beta_q*((1-(((Alpha_keep*$A143+K$3-Lo_c)/Step_c)-MAX(6,MIN(INT(((Alpha_keep*$A143+K$3-Lo_c)/Step_c)+0.00000001),193))))*INDEX($D$5:$D$205,MAX(6,MIN(INT(((Alpha_keep*$A143+K$3-Lo_c)/Step_c)+0.00000001),193))+1)+(((Alpha_keep*$A143+K$3-Lo_c)/Step_c)-MAX(6,MIN(INT(((Alpha_keep*$A143+K$3-Lo_c)/Step_c)+0.00000001),193)))*INDEX($D$5:$D$205,MAX(6,MIN(INT(((Alpha_keep*$A143+K$3-Lo_c)/Step_c)+0.00000001),193))+2)),"")</f>
        <v>-210.718944520675</v>
      </c>
      <c r="L143" s="16" t="n">
        <f aca="false">IF(Grid!J143=1,-Cost_k*L$3-Short_p*MAX(0,Floor_c-$A143)+Beta_q*((1-(((Alpha_keep*$A143+L$3-Lo_c)/Step_c)-MAX(6,MIN(INT(((Alpha_keep*$A143+L$3-Lo_c)/Step_c)+0.00000001),193))))*INDEX($D$5:$D$205,MAX(6,MIN(INT(((Alpha_keep*$A143+L$3-Lo_c)/Step_c)+0.00000001),193))+1)+(((Alpha_keep*$A143+L$3-Lo_c)/Step_c)-MAX(6,MIN(INT(((Alpha_keep*$A143+L$3-Lo_c)/Step_c)+0.00000001),193)))*INDEX($D$5:$D$205,MAX(6,MIN(INT(((Alpha_keep*$A143+L$3-Lo_c)/Step_c)+0.00000001),193))+2)),"")</f>
        <v>-210.976848819789</v>
      </c>
      <c r="M143" s="16" t="n">
        <f aca="false">IF(Grid!K143=1,-Cost_k*M$3-Short_p*MAX(0,Floor_c-$A143)+Beta_q*((1-(((Alpha_keep*$A143+M$3-Lo_c)/Step_c)-MAX(6,MIN(INT(((Alpha_keep*$A143+M$3-Lo_c)/Step_c)+0.00000001),193))))*INDEX($D$5:$D$205,MAX(6,MIN(INT(((Alpha_keep*$A143+M$3-Lo_c)/Step_c)+0.00000001),193))+1)+(((Alpha_keep*$A143+M$3-Lo_c)/Step_c)-MAX(6,MIN(INT(((Alpha_keep*$A143+M$3-Lo_c)/Step_c)+0.00000001),193)))*INDEX($D$5:$D$205,MAX(6,MIN(INT(((Alpha_keep*$A143+M$3-Lo_c)/Step_c)+0.00000001),193))+2)),"")</f>
        <v>-211.239572508752</v>
      </c>
      <c r="N143" s="16" t="n">
        <f aca="false">IF(Grid!L143=1,-Cost_k*N$3-Short_p*MAX(0,Floor_c-$A143)+Beta_q*((1-(((Alpha_keep*$A143+N$3-Lo_c)/Step_c)-MAX(6,MIN(INT(((Alpha_keep*$A143+N$3-Lo_c)/Step_c)+0.00000001),193))))*INDEX($D$5:$D$205,MAX(6,MIN(INT(((Alpha_keep*$A143+N$3-Lo_c)/Step_c)+0.00000001),193))+1)+(((Alpha_keep*$A143+N$3-Lo_c)/Step_c)-MAX(6,MIN(INT(((Alpha_keep*$A143+N$3-Lo_c)/Step_c)+0.00000001),193)))*INDEX($D$5:$D$205,MAX(6,MIN(INT(((Alpha_keep*$A143+N$3-Lo_c)/Step_c)+0.00000001),193))+2)),"")</f>
        <v>-211.508624794339</v>
      </c>
      <c r="O143" s="16" t="n">
        <f aca="false">IF(Grid!M143=1,-Cost_k*O$3-Short_p*MAX(0,Floor_c-$A143)+Beta_q*((1-(((Alpha_keep*$A143+O$3-Lo_c)/Step_c)-MAX(6,MIN(INT(((Alpha_keep*$A143+O$3-Lo_c)/Step_c)+0.00000001),193))))*INDEX($D$5:$D$205,MAX(6,MIN(INT(((Alpha_keep*$A143+O$3-Lo_c)/Step_c)+0.00000001),193))+1)+(((Alpha_keep*$A143+O$3-Lo_c)/Step_c)-MAX(6,MIN(INT(((Alpha_keep*$A143+O$3-Lo_c)/Step_c)+0.00000001),193)))*INDEX($D$5:$D$205,MAX(6,MIN(INT(((Alpha_keep*$A143+O$3-Lo_c)/Step_c)+0.00000001),193))+2)),"")</f>
        <v>-211.783113521433</v>
      </c>
      <c r="P143" s="11" t="n">
        <f aca="false">MAX(E143:O143)</f>
        <v>-209.292123625348</v>
      </c>
      <c r="Q143" s="12" t="n">
        <f aca="false">INDEX($E$3:$O$3,MATCH(P143,E143:O143,0))</f>
        <v>0</v>
      </c>
      <c r="R143" s="20" t="n">
        <v>0</v>
      </c>
      <c r="S143" s="14" t="n">
        <f aca="false">IF(ABS(Q143-R143)&lt;0.000000001,1,0)</f>
        <v>1</v>
      </c>
      <c r="T143" s="21" t="n">
        <f aca="false">ABS(P143-B143)</f>
        <v>0</v>
      </c>
      <c r="U143" s="16" t="n">
        <f aca="false">Alpha_keep*A143+Q143</f>
        <v>62.8875</v>
      </c>
      <c r="V143" s="14" t="n">
        <f aca="false">INDEX(GuardBlock,139,ROUND(Q143/Step_h,0)+1)</f>
        <v>1</v>
      </c>
      <c r="W143" s="22" t="n">
        <v>0</v>
      </c>
    </row>
    <row r="144" customFormat="false" ht="15" hidden="false" customHeight="false" outlineLevel="0" collapsed="false">
      <c r="A144" s="18" t="n">
        <f aca="false">Grid!A144</f>
        <v>64.75</v>
      </c>
      <c r="B144" s="19" t="n">
        <v>-208.534084167829</v>
      </c>
      <c r="C144" s="14" t="n">
        <v>139</v>
      </c>
      <c r="D144" s="11" t="n">
        <f aca="false">IF(AND($C144&gt;=6,$C144&lt;=194),Declarations!$B$25*INDEX($B$5:$B$205,$C144+1-Declarations!$E$25)+Declarations!$B$26*INDEX($B$5:$B$205,$C144+1-Declarations!$E$26)+Declarations!$B$27*INDEX($B$5:$B$205,$C144+1-Declarations!$E$27)+Declarations!$B$28*INDEX($B$5:$B$205,$C144+1-Declarations!$E$28)+Declarations!$B$29*INDEX($B$5:$B$205,$C144+1-Declarations!$E$29),"")</f>
        <v>-208.554242999312</v>
      </c>
      <c r="E144" s="16" t="n">
        <f aca="false">IF(Grid!C144=1,-Cost_k*E$3-Short_p*MAX(0,Floor_c-$A144)+Beta_q*((1-(((Alpha_keep*$A144+E$3-Lo_c)/Step_c)-MAX(6,MIN(INT(((Alpha_keep*$A144+E$3-Lo_c)/Step_c)+0.00000001),193))))*INDEX($D$5:$D$205,MAX(6,MIN(INT(((Alpha_keep*$A144+E$3-Lo_c)/Step_c)+0.00000001),193))+1)+(((Alpha_keep*$A144+E$3-Lo_c)/Step_c)-MAX(6,MIN(INT(((Alpha_keep*$A144+E$3-Lo_c)/Step_c)+0.00000001),193)))*INDEX($D$5:$D$205,MAX(6,MIN(INT(((Alpha_keep*$A144+E$3-Lo_c)/Step_c)+0.00000001),193))+2)),"")</f>
        <v>-208.534084167829</v>
      </c>
      <c r="F144" s="16" t="n">
        <f aca="false">IF(Grid!D144=1,-Cost_k*F$3-Short_p*MAX(0,Floor_c-$A144)+Beta_q*((1-(((Alpha_keep*$A144+F$3-Lo_c)/Step_c)-MAX(6,MIN(INT(((Alpha_keep*$A144+F$3-Lo_c)/Step_c)+0.00000001),193))))*INDEX($D$5:$D$205,MAX(6,MIN(INT(((Alpha_keep*$A144+F$3-Lo_c)/Step_c)+0.00000001),193))+1)+(((Alpha_keep*$A144+F$3-Lo_c)/Step_c)-MAX(6,MIN(INT(((Alpha_keep*$A144+F$3-Lo_c)/Step_c)+0.00000001),193)))*INDEX($D$5:$D$205,MAX(6,MIN(INT(((Alpha_keep*$A144+F$3-Lo_c)/Step_c)+0.00000001),193))+2)),"")</f>
        <v>-208.762598065659</v>
      </c>
      <c r="G144" s="16" t="n">
        <f aca="false">IF(Grid!E144=1,-Cost_k*G$3-Short_p*MAX(0,Floor_c-$A144)+Beta_q*((1-(((Alpha_keep*$A144+G$3-Lo_c)/Step_c)-MAX(6,MIN(INT(((Alpha_keep*$A144+G$3-Lo_c)/Step_c)+0.00000001),193))))*INDEX($D$5:$D$205,MAX(6,MIN(INT(((Alpha_keep*$A144+G$3-Lo_c)/Step_c)+0.00000001),193))+1)+(((Alpha_keep*$A144+G$3-Lo_c)/Step_c)-MAX(6,MIN(INT(((Alpha_keep*$A144+G$3-Lo_c)/Step_c)+0.00000001),193)))*INDEX($D$5:$D$205,MAX(6,MIN(INT(((Alpha_keep*$A144+G$3-Lo_c)/Step_c)+0.00000001),193))+2)),"")</f>
        <v>-208.998565504574</v>
      </c>
      <c r="H144" s="16" t="n">
        <f aca="false">IF(Grid!F144=1,-Cost_k*H$3-Short_p*MAX(0,Floor_c-$A144)+Beta_q*((1-(((Alpha_keep*$A144+H$3-Lo_c)/Step_c)-MAX(6,MIN(INT(((Alpha_keep*$A144+H$3-Lo_c)/Step_c)+0.00000001),193))))*INDEX($D$5:$D$205,MAX(6,MIN(INT(((Alpha_keep*$A144+H$3-Lo_c)/Step_c)+0.00000001),193))+1)+(((Alpha_keep*$A144+H$3-Lo_c)/Step_c)-MAX(6,MIN(INT(((Alpha_keep*$A144+H$3-Lo_c)/Step_c)+0.00000001),193)))*INDEX($D$5:$D$205,MAX(6,MIN(INT(((Alpha_keep*$A144+H$3-Lo_c)/Step_c)+0.00000001),193))+2)),"")</f>
        <v>-209.239072961381</v>
      </c>
      <c r="I144" s="16" t="n">
        <f aca="false">IF(Grid!G144=1,-Cost_k*I$3-Short_p*MAX(0,Floor_c-$A144)+Beta_q*((1-(((Alpha_keep*$A144+I$3-Lo_c)/Step_c)-MAX(6,MIN(INT(((Alpha_keep*$A144+I$3-Lo_c)/Step_c)+0.00000001),193))))*INDEX($D$5:$D$205,MAX(6,MIN(INT(((Alpha_keep*$A144+I$3-Lo_c)/Step_c)+0.00000001),193))+1)+(((Alpha_keep*$A144+I$3-Lo_c)/Step_c)-MAX(6,MIN(INT(((Alpha_keep*$A144+I$3-Lo_c)/Step_c)+0.00000001),193)))*INDEX($D$5:$D$205,MAX(6,MIN(INT(((Alpha_keep*$A144+I$3-Lo_c)/Step_c)+0.00000001),193))+2)),"")</f>
        <v>-209.484836240865</v>
      </c>
      <c r="J144" s="16" t="n">
        <f aca="false">IF(Grid!H144=1,-Cost_k*J$3-Short_p*MAX(0,Floor_c-$A144)+Beta_q*((1-(((Alpha_keep*$A144+J$3-Lo_c)/Step_c)-MAX(6,MIN(INT(((Alpha_keep*$A144+J$3-Lo_c)/Step_c)+0.00000001),193))))*INDEX($D$5:$D$205,MAX(6,MIN(INT(((Alpha_keep*$A144+J$3-Lo_c)/Step_c)+0.00000001),193))+1)+(((Alpha_keep*$A144+J$3-Lo_c)/Step_c)-MAX(6,MIN(INT(((Alpha_keep*$A144+J$3-Lo_c)/Step_c)+0.00000001),193)))*INDEX($D$5:$D$205,MAX(6,MIN(INT(((Alpha_keep*$A144+J$3-Lo_c)/Step_c)+0.00000001),193))+2)),"")</f>
        <v>-209.737547006764</v>
      </c>
      <c r="K144" s="16" t="n">
        <f aca="false">IF(Grid!I144=1,-Cost_k*K$3-Short_p*MAX(0,Floor_c-$A144)+Beta_q*((1-(((Alpha_keep*$A144+K$3-Lo_c)/Step_c)-MAX(6,MIN(INT(((Alpha_keep*$A144+K$3-Lo_c)/Step_c)+0.00000001),193))))*INDEX($D$5:$D$205,MAX(6,MIN(INT(((Alpha_keep*$A144+K$3-Lo_c)/Step_c)+0.00000001),193))+1)+(((Alpha_keep*$A144+K$3-Lo_c)/Step_c)-MAX(6,MIN(INT(((Alpha_keep*$A144+K$3-Lo_c)/Step_c)+0.00000001),193)))*INDEX($D$5:$D$205,MAX(6,MIN(INT(((Alpha_keep*$A144+K$3-Lo_c)/Step_c)+0.00000001),193))+2)),"")</f>
        <v>-209.995360226665</v>
      </c>
      <c r="L144" s="16" t="n">
        <f aca="false">IF(Grid!J144=1,-Cost_k*L$3-Short_p*MAX(0,Floor_c-$A144)+Beta_q*((1-(((Alpha_keep*$A144+L$3-Lo_c)/Step_c)-MAX(6,MIN(INT(((Alpha_keep*$A144+L$3-Lo_c)/Step_c)+0.00000001),193))))*INDEX($D$5:$D$205,MAX(6,MIN(INT(((Alpha_keep*$A144+L$3-Lo_c)/Step_c)+0.00000001),193))+1)+(((Alpha_keep*$A144+L$3-Lo_c)/Step_c)-MAX(6,MIN(INT(((Alpha_keep*$A144+L$3-Lo_c)/Step_c)+0.00000001),193)))*INDEX($D$5:$D$205,MAX(6,MIN(INT(((Alpha_keep*$A144+L$3-Lo_c)/Step_c)+0.00000001),193))+2)),"")</f>
        <v>-210.25793937181</v>
      </c>
      <c r="M144" s="16" t="n">
        <f aca="false">IF(Grid!K144=1,-Cost_k*M$3-Short_p*MAX(0,Floor_c-$A144)+Beta_q*((1-(((Alpha_keep*$A144+M$3-Lo_c)/Step_c)-MAX(6,MIN(INT(((Alpha_keep*$A144+M$3-Lo_c)/Step_c)+0.00000001),193))))*INDEX($D$5:$D$205,MAX(6,MIN(INT(((Alpha_keep*$A144+M$3-Lo_c)/Step_c)+0.00000001),193))+1)+(((Alpha_keep*$A144+M$3-Lo_c)/Step_c)-MAX(6,MIN(INT(((Alpha_keep*$A144+M$3-Lo_c)/Step_c)+0.00000001),193)))*INDEX($D$5:$D$205,MAX(6,MIN(INT(((Alpha_keep*$A144+M$3-Lo_c)/Step_c)+0.00000001),193))+2)),"")</f>
        <v>-210.526822257038</v>
      </c>
      <c r="N144" s="16" t="n">
        <f aca="false">IF(Grid!L144=1,-Cost_k*N$3-Short_p*MAX(0,Floor_c-$A144)+Beta_q*((1-(((Alpha_keep*$A144+N$3-Lo_c)/Step_c)-MAX(6,MIN(INT(((Alpha_keep*$A144+N$3-Lo_c)/Step_c)+0.00000001),193))))*INDEX($D$5:$D$205,MAX(6,MIN(INT(((Alpha_keep*$A144+N$3-Lo_c)/Step_c)+0.00000001),193))+1)+(((Alpha_keep*$A144+N$3-Lo_c)/Step_c)-MAX(6,MIN(INT(((Alpha_keep*$A144+N$3-Lo_c)/Step_c)+0.00000001),193)))*INDEX($D$5:$D$205,MAX(6,MIN(INT(((Alpha_keep*$A144+N$3-Lo_c)/Step_c)+0.00000001),193))+2)),"")</f>
        <v>-210.801202473448</v>
      </c>
      <c r="O144" s="16" t="n">
        <f aca="false">IF(Grid!M144=1,-Cost_k*O$3-Short_p*MAX(0,Floor_c-$A144)+Beta_q*((1-(((Alpha_keep*$A144+O$3-Lo_c)/Step_c)-MAX(6,MIN(INT(((Alpha_keep*$A144+O$3-Lo_c)/Step_c)+0.00000001),193))))*INDEX($D$5:$D$205,MAX(6,MIN(INT(((Alpha_keep*$A144+O$3-Lo_c)/Step_c)+0.00000001),193))+1)+(((Alpha_keep*$A144+O$3-Lo_c)/Step_c)-MAX(6,MIN(INT(((Alpha_keep*$A144+O$3-Lo_c)/Step_c)+0.00000001),193)))*INDEX($D$5:$D$205,MAX(6,MIN(INT(((Alpha_keep*$A144+O$3-Lo_c)/Step_c)+0.00000001),193))+2)),"")</f>
        <v>-211.080161112802</v>
      </c>
      <c r="P144" s="11" t="n">
        <f aca="false">MAX(E144:O144)</f>
        <v>-208.534084167829</v>
      </c>
      <c r="Q144" s="12" t="n">
        <f aca="false">INDEX($E$3:$O$3,MATCH(P144,E144:O144,0))</f>
        <v>0</v>
      </c>
      <c r="R144" s="20" t="n">
        <v>0</v>
      </c>
      <c r="S144" s="14" t="n">
        <f aca="false">IF(ABS(Q144-R144)&lt;0.000000001,1,0)</f>
        <v>1</v>
      </c>
      <c r="T144" s="21" t="n">
        <f aca="false">ABS(P144-B144)</f>
        <v>0</v>
      </c>
      <c r="U144" s="16" t="n">
        <f aca="false">Alpha_keep*A144+Q144</f>
        <v>63.13125</v>
      </c>
      <c r="V144" s="14" t="n">
        <f aca="false">INDEX(GuardBlock,140,ROUND(Q144/Step_h,0)+1)</f>
        <v>1</v>
      </c>
      <c r="W144" s="22" t="n">
        <v>0</v>
      </c>
    </row>
    <row r="145" customFormat="false" ht="15" hidden="false" customHeight="false" outlineLevel="0" collapsed="false">
      <c r="A145" s="18" t="n">
        <f aca="false">Grid!A145</f>
        <v>65</v>
      </c>
      <c r="B145" s="19" t="n">
        <v>-207.781779320776</v>
      </c>
      <c r="C145" s="14" t="n">
        <v>140</v>
      </c>
      <c r="D145" s="11" t="n">
        <f aca="false">IF(AND($C145&gt;=6,$C145&lt;=194),Declarations!$B$25*INDEX($B$5:$B$205,$C145+1-Declarations!$E$25)+Declarations!$B$26*INDEX($B$5:$B$205,$C145+1-Declarations!$E$26)+Declarations!$B$27*INDEX($B$5:$B$205,$C145+1-Declarations!$E$27)+Declarations!$B$28*INDEX($B$5:$B$205,$C145+1-Declarations!$E$28)+Declarations!$B$29*INDEX($B$5:$B$205,$C145+1-Declarations!$E$29),"")</f>
        <v>-207.801852763987</v>
      </c>
      <c r="E145" s="16" t="n">
        <f aca="false">IF(Grid!C145=1,-Cost_k*E$3-Short_p*MAX(0,Floor_c-$A145)+Beta_q*((1-(((Alpha_keep*$A145+E$3-Lo_c)/Step_c)-MAX(6,MIN(INT(((Alpha_keep*$A145+E$3-Lo_c)/Step_c)+0.00000001),193))))*INDEX($D$5:$D$205,MAX(6,MIN(INT(((Alpha_keep*$A145+E$3-Lo_c)/Step_c)+0.00000001),193))+1)+(((Alpha_keep*$A145+E$3-Lo_c)/Step_c)-MAX(6,MIN(INT(((Alpha_keep*$A145+E$3-Lo_c)/Step_c)+0.00000001),193)))*INDEX($D$5:$D$205,MAX(6,MIN(INT(((Alpha_keep*$A145+E$3-Lo_c)/Step_c)+0.00000001),193))+2)),"")</f>
        <v>-207.781779320776</v>
      </c>
      <c r="F145" s="16" t="n">
        <f aca="false">IF(Grid!D145=1,-Cost_k*F$3-Short_p*MAX(0,Floor_c-$A145)+Beta_q*((1-(((Alpha_keep*$A145+F$3-Lo_c)/Step_c)-MAX(6,MIN(INT(((Alpha_keep*$A145+F$3-Lo_c)/Step_c)+0.00000001),193))))*INDEX($D$5:$D$205,MAX(6,MIN(INT(((Alpha_keep*$A145+F$3-Lo_c)/Step_c)+0.00000001),193))+1)+(((Alpha_keep*$A145+F$3-Lo_c)/Step_c)-MAX(6,MIN(INT(((Alpha_keep*$A145+F$3-Lo_c)/Step_c)+0.00000001),193)))*INDEX($D$5:$D$205,MAX(6,MIN(INT(((Alpha_keep*$A145+F$3-Lo_c)/Step_c)+0.00000001),193))+2)),"")</f>
        <v>-208.017593538569</v>
      </c>
      <c r="G145" s="16" t="n">
        <f aca="false">IF(Grid!E145=1,-Cost_k*G$3-Short_p*MAX(0,Floor_c-$A145)+Beta_q*((1-(((Alpha_keep*$A145+G$3-Lo_c)/Step_c)-MAX(6,MIN(INT(((Alpha_keep*$A145+G$3-Lo_c)/Step_c)+0.00000001),193))))*INDEX($D$5:$D$205,MAX(6,MIN(INT(((Alpha_keep*$A145+G$3-Lo_c)/Step_c)+0.00000001),193))+1)+(((Alpha_keep*$A145+G$3-Lo_c)/Step_c)-MAX(6,MIN(INT(((Alpha_keep*$A145+G$3-Lo_c)/Step_c)+0.00000001),193)))*INDEX($D$5:$D$205,MAX(6,MIN(INT(((Alpha_keep*$A145+G$3-Lo_c)/Step_c)+0.00000001),193))+2)),"")</f>
        <v>-208.258023432681</v>
      </c>
      <c r="H145" s="16" t="n">
        <f aca="false">IF(Grid!F145=1,-Cost_k*H$3-Short_p*MAX(0,Floor_c-$A145)+Beta_q*((1-(((Alpha_keep*$A145+H$3-Lo_c)/Step_c)-MAX(6,MIN(INT(((Alpha_keep*$A145+H$3-Lo_c)/Step_c)+0.00000001),193))))*INDEX($D$5:$D$205,MAX(6,MIN(INT(((Alpha_keep*$A145+H$3-Lo_c)/Step_c)+0.00000001),193))+1)+(((Alpha_keep*$A145+H$3-Lo_c)/Step_c)-MAX(6,MIN(INT(((Alpha_keep*$A145+H$3-Lo_c)/Step_c)+0.00000001),193)))*INDEX($D$5:$D$205,MAX(6,MIN(INT(((Alpha_keep*$A145+H$3-Lo_c)/Step_c)+0.00000001),193))+2)),"")</f>
        <v>-208.503606610666</v>
      </c>
      <c r="I145" s="16" t="n">
        <f aca="false">IF(Grid!G145=1,-Cost_k*I$3-Short_p*MAX(0,Floor_c-$A145)+Beta_q*((1-(((Alpha_keep*$A145+I$3-Lo_c)/Step_c)-MAX(6,MIN(INT(((Alpha_keep*$A145+I$3-Lo_c)/Step_c)+0.00000001),193))))*INDEX($D$5:$D$205,MAX(6,MIN(INT(((Alpha_keep*$A145+I$3-Lo_c)/Step_c)+0.00000001),193))+1)+(((Alpha_keep*$A145+I$3-Lo_c)/Step_c)-MAX(6,MIN(INT(((Alpha_keep*$A145+I$3-Lo_c)/Step_c)+0.00000001),193)))*INDEX($D$5:$D$205,MAX(6,MIN(INT(((Alpha_keep*$A145+I$3-Lo_c)/Step_c)+0.00000001),193))+2)),"")</f>
        <v>-208.756149492854</v>
      </c>
      <c r="J145" s="16" t="n">
        <f aca="false">IF(Grid!H145=1,-Cost_k*J$3-Short_p*MAX(0,Floor_c-$A145)+Beta_q*((1-(((Alpha_keep*$A145+J$3-Lo_c)/Step_c)-MAX(6,MIN(INT(((Alpha_keep*$A145+J$3-Lo_c)/Step_c)+0.00000001),193))))*INDEX($D$5:$D$205,MAX(6,MIN(INT(((Alpha_keep*$A145+J$3-Lo_c)/Step_c)+0.00000001),193))+1)+(((Alpha_keep*$A145+J$3-Lo_c)/Step_c)-MAX(6,MIN(INT(((Alpha_keep*$A145+J$3-Lo_c)/Step_c)+0.00000001),193)))*INDEX($D$5:$D$205,MAX(6,MIN(INT(((Alpha_keep*$A145+J$3-Lo_c)/Step_c)+0.00000001),193))+2)),"")</f>
        <v>-209.013871633541</v>
      </c>
      <c r="K145" s="16" t="n">
        <f aca="false">IF(Grid!I145=1,-Cost_k*K$3-Short_p*MAX(0,Floor_c-$A145)+Beta_q*((1-(((Alpha_keep*$A145+K$3-Lo_c)/Step_c)-MAX(6,MIN(INT(((Alpha_keep*$A145+K$3-Lo_c)/Step_c)+0.00000001),193))))*INDEX($D$5:$D$205,MAX(6,MIN(INT(((Alpha_keep*$A145+K$3-Lo_c)/Step_c)+0.00000001),193))+1)+(((Alpha_keep*$A145+K$3-Lo_c)/Step_c)-MAX(6,MIN(INT(((Alpha_keep*$A145+K$3-Lo_c)/Step_c)+0.00000001),193)))*INDEX($D$5:$D$205,MAX(6,MIN(INT(((Alpha_keep*$A145+K$3-Lo_c)/Step_c)+0.00000001),193))+2)),"")</f>
        <v>-209.276306234868</v>
      </c>
      <c r="L145" s="16" t="n">
        <f aca="false">IF(Grid!J145=1,-Cost_k*L$3-Short_p*MAX(0,Floor_c-$A145)+Beta_q*((1-(((Alpha_keep*$A145+L$3-Lo_c)/Step_c)-MAX(6,MIN(INT(((Alpha_keep*$A145+L$3-Lo_c)/Step_c)+0.00000001),193))))*INDEX($D$5:$D$205,MAX(6,MIN(INT(((Alpha_keep*$A145+L$3-Lo_c)/Step_c)+0.00000001),193))+1)+(((Alpha_keep*$A145+L$3-Lo_c)/Step_c)-MAX(6,MIN(INT(((Alpha_keep*$A145+L$3-Lo_c)/Step_c)+0.00000001),193)))*INDEX($D$5:$D$205,MAX(6,MIN(INT(((Alpha_keep*$A145+L$3-Lo_c)/Step_c)+0.00000001),193))+2)),"")</f>
        <v>-209.545019719736</v>
      </c>
      <c r="M145" s="16" t="n">
        <f aca="false">IF(Grid!K145=1,-Cost_k*M$3-Short_p*MAX(0,Floor_c-$A145)+Beta_q*((1-(((Alpha_keep*$A145+M$3-Lo_c)/Step_c)-MAX(6,MIN(INT(((Alpha_keep*$A145+M$3-Lo_c)/Step_c)+0.00000001),193))))*INDEX($D$5:$D$205,MAX(6,MIN(INT(((Alpha_keep*$A145+M$3-Lo_c)/Step_c)+0.00000001),193))+1)+(((Alpha_keep*$A145+M$3-Lo_c)/Step_c)-MAX(6,MIN(INT(((Alpha_keep*$A145+M$3-Lo_c)/Step_c)+0.00000001),193)))*INDEX($D$5:$D$205,MAX(6,MIN(INT(((Alpha_keep*$A145+M$3-Lo_c)/Step_c)+0.00000001),193))+2)),"")</f>
        <v>-209.819291425463</v>
      </c>
      <c r="N145" s="16" t="n">
        <f aca="false">IF(Grid!L145=1,-Cost_k*N$3-Short_p*MAX(0,Floor_c-$A145)+Beta_q*((1-(((Alpha_keep*$A145+N$3-Lo_c)/Step_c)-MAX(6,MIN(INT(((Alpha_keep*$A145+N$3-Lo_c)/Step_c)+0.00000001),193))))*INDEX($D$5:$D$205,MAX(6,MIN(INT(((Alpha_keep*$A145+N$3-Lo_c)/Step_c)+0.00000001),193))+1)+(((Alpha_keep*$A145+N$3-Lo_c)/Step_c)-MAX(6,MIN(INT(((Alpha_keep*$A145+N$3-Lo_c)/Step_c)+0.00000001),193)))*INDEX($D$5:$D$205,MAX(6,MIN(INT(((Alpha_keep*$A145+N$3-Lo_c)/Step_c)+0.00000001),193))+2)),"")</f>
        <v>-210.098130221009</v>
      </c>
      <c r="O145" s="16" t="n">
        <f aca="false">IF(Grid!M145=1,-Cost_k*O$3-Short_p*MAX(0,Floor_c-$A145)+Beta_q*((1-(((Alpha_keep*$A145+O$3-Lo_c)/Step_c)-MAX(6,MIN(INT(((Alpha_keep*$A145+O$3-Lo_c)/Step_c)+0.00000001),193))))*INDEX($D$5:$D$205,MAX(6,MIN(INT(((Alpha_keep*$A145+O$3-Lo_c)/Step_c)+0.00000001),193))+1)+(((Alpha_keep*$A145+O$3-Lo_c)/Step_c)-MAX(6,MIN(INT(((Alpha_keep*$A145+O$3-Lo_c)/Step_c)+0.00000001),193)))*INDEX($D$5:$D$205,MAX(6,MIN(INT(((Alpha_keep*$A145+O$3-Lo_c)/Step_c)+0.00000001),193))+2)),"")</f>
        <v>-210.382548939782</v>
      </c>
      <c r="P145" s="11" t="n">
        <f aca="false">MAX(E145:O145)</f>
        <v>-207.781779320776</v>
      </c>
      <c r="Q145" s="12" t="n">
        <f aca="false">INDEX($E$3:$O$3,MATCH(P145,E145:O145,0))</f>
        <v>0</v>
      </c>
      <c r="R145" s="20" t="n">
        <v>0</v>
      </c>
      <c r="S145" s="14" t="n">
        <f aca="false">IF(ABS(Q145-R145)&lt;0.000000001,1,0)</f>
        <v>1</v>
      </c>
      <c r="T145" s="21" t="n">
        <f aca="false">ABS(P145-B145)</f>
        <v>0</v>
      </c>
      <c r="U145" s="16" t="n">
        <f aca="false">Alpha_keep*A145+Q145</f>
        <v>63.375</v>
      </c>
      <c r="V145" s="14" t="n">
        <f aca="false">INDEX(GuardBlock,141,ROUND(Q145/Step_h,0)+1)</f>
        <v>1</v>
      </c>
      <c r="W145" s="22" t="n">
        <v>0</v>
      </c>
    </row>
    <row r="146" customFormat="false" ht="15" hidden="false" customHeight="false" outlineLevel="0" collapsed="false">
      <c r="A146" s="18" t="n">
        <f aca="false">Grid!A146</f>
        <v>65.25</v>
      </c>
      <c r="B146" s="19" t="n">
        <v>-207.036621572563</v>
      </c>
      <c r="C146" s="14" t="n">
        <v>141</v>
      </c>
      <c r="D146" s="11" t="n">
        <f aca="false">IF(AND($C146&gt;=6,$C146&lt;=194),Declarations!$B$25*INDEX($B$5:$B$205,$C146+1-Declarations!$E$25)+Declarations!$B$26*INDEX($B$5:$B$205,$C146+1-Declarations!$E$26)+Declarations!$B$27*INDEX($B$5:$B$205,$C146+1-Declarations!$E$27)+Declarations!$B$28*INDEX($B$5:$B$205,$C146+1-Declarations!$E$28)+Declarations!$B$29*INDEX($B$5:$B$205,$C146+1-Declarations!$E$29),"")</f>
        <v>-207.056401937735</v>
      </c>
      <c r="E146" s="16" t="n">
        <f aca="false">IF(Grid!C146=1,-Cost_k*E$3-Short_p*MAX(0,Floor_c-$A146)+Beta_q*((1-(((Alpha_keep*$A146+E$3-Lo_c)/Step_c)-MAX(6,MIN(INT(((Alpha_keep*$A146+E$3-Lo_c)/Step_c)+0.00000001),193))))*INDEX($D$5:$D$205,MAX(6,MIN(INT(((Alpha_keep*$A146+E$3-Lo_c)/Step_c)+0.00000001),193))+1)+(((Alpha_keep*$A146+E$3-Lo_c)/Step_c)-MAX(6,MIN(INT(((Alpha_keep*$A146+E$3-Lo_c)/Step_c)+0.00000001),193)))*INDEX($D$5:$D$205,MAX(6,MIN(INT(((Alpha_keep*$A146+E$3-Lo_c)/Step_c)+0.00000001),193))+2)),"")</f>
        <v>-207.036621572563</v>
      </c>
      <c r="F146" s="16" t="n">
        <f aca="false">IF(Grid!D146=1,-Cost_k*F$3-Short_p*MAX(0,Floor_c-$A146)+Beta_q*((1-(((Alpha_keep*$A146+F$3-Lo_c)/Step_c)-MAX(6,MIN(INT(((Alpha_keep*$A146+F$3-Lo_c)/Step_c)+0.00000001),193))))*INDEX($D$5:$D$205,MAX(6,MIN(INT(((Alpha_keep*$A146+F$3-Lo_c)/Step_c)+0.00000001),193))+1)+(((Alpha_keep*$A146+F$3-Lo_c)/Step_c)-MAX(6,MIN(INT(((Alpha_keep*$A146+F$3-Lo_c)/Step_c)+0.00000001),193)))*INDEX($D$5:$D$205,MAX(6,MIN(INT(((Alpha_keep*$A146+F$3-Lo_c)/Step_c)+0.00000001),193))+2)),"")</f>
        <v>-207.276973903981</v>
      </c>
      <c r="G146" s="16" t="n">
        <f aca="false">IF(Grid!E146=1,-Cost_k*G$3-Short_p*MAX(0,Floor_c-$A146)+Beta_q*((1-(((Alpha_keep*$A146+G$3-Lo_c)/Step_c)-MAX(6,MIN(INT(((Alpha_keep*$A146+G$3-Lo_c)/Step_c)+0.00000001),193))))*INDEX($D$5:$D$205,MAX(6,MIN(INT(((Alpha_keep*$A146+G$3-Lo_c)/Step_c)+0.00000001),193))+1)+(((Alpha_keep*$A146+G$3-Lo_c)/Step_c)-MAX(6,MIN(INT(((Alpha_keep*$A146+G$3-Lo_c)/Step_c)+0.00000001),193)))*INDEX($D$5:$D$205,MAX(6,MIN(INT(((Alpha_keep*$A146+G$3-Lo_c)/Step_c)+0.00000001),193))+2)),"")</f>
        <v>-207.522376980466</v>
      </c>
      <c r="H146" s="16" t="n">
        <f aca="false">IF(Grid!F146=1,-Cost_k*H$3-Short_p*MAX(0,Floor_c-$A146)+Beta_q*((1-(((Alpha_keep*$A146+H$3-Lo_c)/Step_c)-MAX(6,MIN(INT(((Alpha_keep*$A146+H$3-Lo_c)/Step_c)+0.00000001),193))))*INDEX($D$5:$D$205,MAX(6,MIN(INT(((Alpha_keep*$A146+H$3-Lo_c)/Step_c)+0.00000001),193))+1)+(((Alpha_keep*$A146+H$3-Lo_c)/Step_c)-MAX(6,MIN(INT(((Alpha_keep*$A146+H$3-Lo_c)/Step_c)+0.00000001),193)))*INDEX($D$5:$D$205,MAX(6,MIN(INT(((Alpha_keep*$A146+H$3-Lo_c)/Step_c)+0.00000001),193))+2)),"")</f>
        <v>-207.774751978944</v>
      </c>
      <c r="I146" s="16" t="n">
        <f aca="false">IF(Grid!G146=1,-Cost_k*I$3-Short_p*MAX(0,Floor_c-$A146)+Beta_q*((1-(((Alpha_keep*$A146+I$3-Lo_c)/Step_c)-MAX(6,MIN(INT(((Alpha_keep*$A146+I$3-Lo_c)/Step_c)+0.00000001),193))))*INDEX($D$5:$D$205,MAX(6,MIN(INT(((Alpha_keep*$A146+I$3-Lo_c)/Step_c)+0.00000001),193))+1)+(((Alpha_keep*$A146+I$3-Lo_c)/Step_c)-MAX(6,MIN(INT(((Alpha_keep*$A146+I$3-Lo_c)/Step_c)+0.00000001),193)))*INDEX($D$5:$D$205,MAX(6,MIN(INT(((Alpha_keep*$A146+I$3-Lo_c)/Step_c)+0.00000001),193))+2)),"")</f>
        <v>-208.032383040417</v>
      </c>
      <c r="J146" s="16" t="n">
        <f aca="false">IF(Grid!H146=1,-Cost_k*J$3-Short_p*MAX(0,Floor_c-$A146)+Beta_q*((1-(((Alpha_keep*$A146+J$3-Lo_c)/Step_c)-MAX(6,MIN(INT(((Alpha_keep*$A146+J$3-Lo_c)/Step_c)+0.00000001),193))))*INDEX($D$5:$D$205,MAX(6,MIN(INT(((Alpha_keep*$A146+J$3-Lo_c)/Step_c)+0.00000001),193))+1)+(((Alpha_keep*$A146+J$3-Lo_c)/Step_c)-MAX(6,MIN(INT(((Alpha_keep*$A146+J$3-Lo_c)/Step_c)+0.00000001),193)))*INDEX($D$5:$D$205,MAX(6,MIN(INT(((Alpha_keep*$A146+J$3-Lo_c)/Step_c)+0.00000001),193))+2)),"")</f>
        <v>-208.294673097925</v>
      </c>
      <c r="K146" s="16" t="n">
        <f aca="false">IF(Grid!I146=1,-Cost_k*K$3-Short_p*MAX(0,Floor_c-$A146)+Beta_q*((1-(((Alpha_keep*$A146+K$3-Lo_c)/Step_c)-MAX(6,MIN(INT(((Alpha_keep*$A146+K$3-Lo_c)/Step_c)+0.00000001),193))))*INDEX($D$5:$D$205,MAX(6,MIN(INT(((Alpha_keep*$A146+K$3-Lo_c)/Step_c)+0.00000001),193))+1)+(((Alpha_keep*$A146+K$3-Lo_c)/Step_c)-MAX(6,MIN(INT(((Alpha_keep*$A146+K$3-Lo_c)/Step_c)+0.00000001),193)))*INDEX($D$5:$D$205,MAX(6,MIN(INT(((Alpha_keep*$A146+K$3-Lo_c)/Step_c)+0.00000001),193))+2)),"")</f>
        <v>-208.563217182435</v>
      </c>
      <c r="L146" s="16" t="n">
        <f aca="false">IF(Grid!J146=1,-Cost_k*L$3-Short_p*MAX(0,Floor_c-$A146)+Beta_q*((1-(((Alpha_keep*$A146+L$3-Lo_c)/Step_c)-MAX(6,MIN(INT(((Alpha_keep*$A146+L$3-Lo_c)/Step_c)+0.00000001),193))))*INDEX($D$5:$D$205,MAX(6,MIN(INT(((Alpha_keep*$A146+L$3-Lo_c)/Step_c)+0.00000001),193))+1)+(((Alpha_keep*$A146+L$3-Lo_c)/Step_c)-MAX(6,MIN(INT(((Alpha_keep*$A146+L$3-Lo_c)/Step_c)+0.00000001),193)))*INDEX($D$5:$D$205,MAX(6,MIN(INT(((Alpha_keep*$A146+L$3-Lo_c)/Step_c)+0.00000001),193))+2)),"")</f>
        <v>-208.837380377478</v>
      </c>
      <c r="M146" s="16" t="n">
        <f aca="false">IF(Grid!K146=1,-Cost_k*M$3-Short_p*MAX(0,Floor_c-$A146)+Beta_q*((1-(((Alpha_keep*$A146+M$3-Lo_c)/Step_c)-MAX(6,MIN(INT(((Alpha_keep*$A146+M$3-Lo_c)/Step_c)+0.00000001),193))))*INDEX($D$5:$D$205,MAX(6,MIN(INT(((Alpha_keep*$A146+M$3-Lo_c)/Step_c)+0.00000001),193))+1)+(((Alpha_keep*$A146+M$3-Lo_c)/Step_c)-MAX(6,MIN(INT(((Alpha_keep*$A146+M$3-Lo_c)/Step_c)+0.00000001),193)))*INDEX($D$5:$D$205,MAX(6,MIN(INT(((Alpha_keep*$A146+M$3-Lo_c)/Step_c)+0.00000001),193))+2)),"")</f>
        <v>-209.116099329217</v>
      </c>
      <c r="N146" s="16" t="n">
        <f aca="false">IF(Grid!L146=1,-Cost_k*N$3-Short_p*MAX(0,Floor_c-$A146)+Beta_q*((1-(((Alpha_keep*$A146+N$3-Lo_c)/Step_c)-MAX(6,MIN(INT(((Alpha_keep*$A146+N$3-Lo_c)/Step_c)+0.00000001),193))))*INDEX($D$5:$D$205,MAX(6,MIN(INT(((Alpha_keep*$A146+N$3-Lo_c)/Step_c)+0.00000001),193))+1)+(((Alpha_keep*$A146+N$3-Lo_c)/Step_c)-MAX(6,MIN(INT(((Alpha_keep*$A146+N$3-Lo_c)/Step_c)+0.00000001),193)))*INDEX($D$5:$D$205,MAX(6,MIN(INT(((Alpha_keep*$A146+N$3-Lo_c)/Step_c)+0.00000001),193))+2)),"")</f>
        <v>-209.400358895635</v>
      </c>
      <c r="O146" s="16" t="n">
        <f aca="false">IF(Grid!M146=1,-Cost_k*O$3-Short_p*MAX(0,Floor_c-$A146)+Beta_q*((1-(((Alpha_keep*$A146+O$3-Lo_c)/Step_c)-MAX(6,MIN(INT(((Alpha_keep*$A146+O$3-Lo_c)/Step_c)+0.00000001),193))))*INDEX($D$5:$D$205,MAX(6,MIN(INT(((Alpha_keep*$A146+O$3-Lo_c)/Step_c)+0.00000001),193))+1)+(((Alpha_keep*$A146+O$3-Lo_c)/Step_c)-MAX(6,MIN(INT(((Alpha_keep*$A146+O$3-Lo_c)/Step_c)+0.00000001),193)))*INDEX($D$5:$D$205,MAX(6,MIN(INT(((Alpha_keep*$A146+O$3-Lo_c)/Step_c)+0.00000001),193))+2)),"")</f>
        <v>-209.690334006465</v>
      </c>
      <c r="P146" s="11" t="n">
        <f aca="false">MAX(E146:O146)</f>
        <v>-207.036621572563</v>
      </c>
      <c r="Q146" s="12" t="n">
        <f aca="false">INDEX($E$3:$O$3,MATCH(P146,E146:O146,0))</f>
        <v>0</v>
      </c>
      <c r="R146" s="20" t="n">
        <v>0</v>
      </c>
      <c r="S146" s="14" t="n">
        <f aca="false">IF(ABS(Q146-R146)&lt;0.000000001,1,0)</f>
        <v>1</v>
      </c>
      <c r="T146" s="21" t="n">
        <f aca="false">ABS(P146-B146)</f>
        <v>0</v>
      </c>
      <c r="U146" s="16" t="n">
        <f aca="false">Alpha_keep*A146+Q146</f>
        <v>63.61875</v>
      </c>
      <c r="V146" s="14" t="n">
        <f aca="false">INDEX(GuardBlock,142,ROUND(Q146/Step_h,0)+1)</f>
        <v>1</v>
      </c>
      <c r="W146" s="22" t="n">
        <v>0</v>
      </c>
    </row>
    <row r="147" customFormat="false" ht="15" hidden="false" customHeight="false" outlineLevel="0" collapsed="false">
      <c r="A147" s="18" t="n">
        <f aca="false">Grid!A147</f>
        <v>65.5</v>
      </c>
      <c r="B147" s="19" t="n">
        <v>-206.295924375281</v>
      </c>
      <c r="C147" s="14" t="n">
        <v>142</v>
      </c>
      <c r="D147" s="11" t="n">
        <f aca="false">IF(AND($C147&gt;=6,$C147&lt;=194),Declarations!$B$25*INDEX($B$5:$B$205,$C147+1-Declarations!$E$25)+Declarations!$B$26*INDEX($B$5:$B$205,$C147+1-Declarations!$E$26)+Declarations!$B$27*INDEX($B$5:$B$205,$C147+1-Declarations!$E$27)+Declarations!$B$28*INDEX($B$5:$B$205,$C147+1-Declarations!$E$28)+Declarations!$B$29*INDEX($B$5:$B$205,$C147+1-Declarations!$E$29),"")</f>
        <v>-206.315396202545</v>
      </c>
      <c r="E147" s="16" t="n">
        <f aca="false">IF(Grid!C147=1,-Cost_k*E$3-Short_p*MAX(0,Floor_c-$A147)+Beta_q*((1-(((Alpha_keep*$A147+E$3-Lo_c)/Step_c)-MAX(6,MIN(INT(((Alpha_keep*$A147+E$3-Lo_c)/Step_c)+0.00000001),193))))*INDEX($D$5:$D$205,MAX(6,MIN(INT(((Alpha_keep*$A147+E$3-Lo_c)/Step_c)+0.00000001),193))+1)+(((Alpha_keep*$A147+E$3-Lo_c)/Step_c)-MAX(6,MIN(INT(((Alpha_keep*$A147+E$3-Lo_c)/Step_c)+0.00000001),193)))*INDEX($D$5:$D$205,MAX(6,MIN(INT(((Alpha_keep*$A147+E$3-Lo_c)/Step_c)+0.00000001),193))+2)),"")</f>
        <v>-206.295924375281</v>
      </c>
      <c r="F147" s="16" t="n">
        <f aca="false">IF(Grid!D147=1,-Cost_k*F$3-Short_p*MAX(0,Floor_c-$A147)+Beta_q*((1-(((Alpha_keep*$A147+F$3-Lo_c)/Step_c)-MAX(6,MIN(INT(((Alpha_keep*$A147+F$3-Lo_c)/Step_c)+0.00000001),193))))*INDEX($D$5:$D$205,MAX(6,MIN(INT(((Alpha_keep*$A147+F$3-Lo_c)/Step_c)+0.00000001),193))+1)+(((Alpha_keep*$A147+F$3-Lo_c)/Step_c)-MAX(6,MIN(INT(((Alpha_keep*$A147+F$3-Lo_c)/Step_c)+0.00000001),193)))*INDEX($D$5:$D$205,MAX(6,MIN(INT(((Alpha_keep*$A147+F$3-Lo_c)/Step_c)+0.00000001),193))+2)),"")</f>
        <v>-206.541147350267</v>
      </c>
      <c r="G147" s="16" t="n">
        <f aca="false">IF(Grid!E147=1,-Cost_k*G$3-Short_p*MAX(0,Floor_c-$A147)+Beta_q*((1-(((Alpha_keep*$A147+G$3-Lo_c)/Step_c)-MAX(6,MIN(INT(((Alpha_keep*$A147+G$3-Lo_c)/Step_c)+0.00000001),193))))*INDEX($D$5:$D$205,MAX(6,MIN(INT(((Alpha_keep*$A147+G$3-Lo_c)/Step_c)+0.00000001),193))+1)+(((Alpha_keep*$A147+G$3-Lo_c)/Step_c)-MAX(6,MIN(INT(((Alpha_keep*$A147+G$3-Lo_c)/Step_c)+0.00000001),193)))*INDEX($D$5:$D$205,MAX(6,MIN(INT(((Alpha_keep*$A147+G$3-Lo_c)/Step_c)+0.00000001),193))+2)),"")</f>
        <v>-206.793354465034</v>
      </c>
      <c r="H147" s="16" t="n">
        <f aca="false">IF(Grid!F147=1,-Cost_k*H$3-Short_p*MAX(0,Floor_c-$A147)+Beta_q*((1-(((Alpha_keep*$A147+H$3-Lo_c)/Step_c)-MAX(6,MIN(INT(((Alpha_keep*$A147+H$3-Lo_c)/Step_c)+0.00000001),193))))*INDEX($D$5:$D$205,MAX(6,MIN(INT(((Alpha_keep*$A147+H$3-Lo_c)/Step_c)+0.00000001),193))+1)+(((Alpha_keep*$A147+H$3-Lo_c)/Step_c)-MAX(6,MIN(INT(((Alpha_keep*$A147+H$3-Lo_c)/Step_c)+0.00000001),193)))*INDEX($D$5:$D$205,MAX(6,MIN(INT(((Alpha_keep*$A147+H$3-Lo_c)/Step_c)+0.00000001),193))+2)),"")</f>
        <v>-207.050894447293</v>
      </c>
      <c r="I147" s="16" t="n">
        <f aca="false">IF(Grid!G147=1,-Cost_k*I$3-Short_p*MAX(0,Floor_c-$A147)+Beta_q*((1-(((Alpha_keep*$A147+I$3-Lo_c)/Step_c)-MAX(6,MIN(INT(((Alpha_keep*$A147+I$3-Lo_c)/Step_c)+0.00000001),193))))*INDEX($D$5:$D$205,MAX(6,MIN(INT(((Alpha_keep*$A147+I$3-Lo_c)/Step_c)+0.00000001),193))+1)+(((Alpha_keep*$A147+I$3-Lo_c)/Step_c)-MAX(6,MIN(INT(((Alpha_keep*$A147+I$3-Lo_c)/Step_c)+0.00000001),193)))*INDEX($D$5:$D$205,MAX(6,MIN(INT(((Alpha_keep*$A147+I$3-Lo_c)/Step_c)+0.00000001),193))+2)),"")</f>
        <v>-207.313039960983</v>
      </c>
      <c r="J147" s="16" t="n">
        <f aca="false">IF(Grid!H147=1,-Cost_k*J$3-Short_p*MAX(0,Floor_c-$A147)+Beta_q*((1-(((Alpha_keep*$A147+J$3-Lo_c)/Step_c)-MAX(6,MIN(INT(((Alpha_keep*$A147+J$3-Lo_c)/Step_c)+0.00000001),193))))*INDEX($D$5:$D$205,MAX(6,MIN(INT(((Alpha_keep*$A147+J$3-Lo_c)/Step_c)+0.00000001),193))+1)+(((Alpha_keep*$A147+J$3-Lo_c)/Step_c)-MAX(6,MIN(INT(((Alpha_keep*$A147+J$3-Lo_c)/Step_c)+0.00000001),193)))*INDEX($D$5:$D$205,MAX(6,MIN(INT(((Alpha_keep*$A147+J$3-Lo_c)/Step_c)+0.00000001),193))+2)),"")</f>
        <v>-207.581414645134</v>
      </c>
      <c r="K147" s="16" t="n">
        <f aca="false">IF(Grid!I147=1,-Cost_k*K$3-Short_p*MAX(0,Floor_c-$A147)+Beta_q*((1-(((Alpha_keep*$A147+K$3-Lo_c)/Step_c)-MAX(6,MIN(INT(((Alpha_keep*$A147+K$3-Lo_c)/Step_c)+0.00000001),193))))*INDEX($D$5:$D$205,MAX(6,MIN(INT(((Alpha_keep*$A147+K$3-Lo_c)/Step_c)+0.00000001),193))+1)+(((Alpha_keep*$A147+K$3-Lo_c)/Step_c)-MAX(6,MIN(INT(((Alpha_keep*$A147+K$3-Lo_c)/Step_c)+0.00000001),193)))*INDEX($D$5:$D$205,MAX(6,MIN(INT(((Alpha_keep*$A147+K$3-Lo_c)/Step_c)+0.00000001),193))+2)),"")</f>
        <v>-207.855469329493</v>
      </c>
      <c r="L147" s="16" t="n">
        <f aca="false">IF(Grid!J147=1,-Cost_k*L$3-Short_p*MAX(0,Floor_c-$A147)+Beta_q*((1-(((Alpha_keep*$A147+L$3-Lo_c)/Step_c)-MAX(6,MIN(INT(((Alpha_keep*$A147+L$3-Lo_c)/Step_c)+0.00000001),193))))*INDEX($D$5:$D$205,MAX(6,MIN(INT(((Alpha_keep*$A147+L$3-Lo_c)/Step_c)+0.00000001),193))+1)+(((Alpha_keep*$A147+L$3-Lo_c)/Step_c)-MAX(6,MIN(INT(((Alpha_keep*$A147+L$3-Lo_c)/Step_c)+0.00000001),193)))*INDEX($D$5:$D$205,MAX(6,MIN(INT(((Alpha_keep*$A147+L$3-Lo_c)/Step_c)+0.00000001),193))+2)),"")</f>
        <v>-208.134068437425</v>
      </c>
      <c r="M147" s="16" t="n">
        <f aca="false">IF(Grid!K147=1,-Cost_k*M$3-Short_p*MAX(0,Floor_c-$A147)+Beta_q*((1-(((Alpha_keep*$A147+M$3-Lo_c)/Step_c)-MAX(6,MIN(INT(((Alpha_keep*$A147+M$3-Lo_c)/Step_c)+0.00000001),193))))*INDEX($D$5:$D$205,MAX(6,MIN(INT(((Alpha_keep*$A147+M$3-Lo_c)/Step_c)+0.00000001),193))+1)+(((Alpha_keep*$A147+M$3-Lo_c)/Step_c)-MAX(6,MIN(INT(((Alpha_keep*$A147+M$3-Lo_c)/Step_c)+0.00000001),193)))*INDEX($D$5:$D$205,MAX(6,MIN(INT(((Alpha_keep*$A147+M$3-Lo_c)/Step_c)+0.00000001),193))+2)),"")</f>
        <v>-208.418168851489</v>
      </c>
      <c r="N147" s="16" t="n">
        <f aca="false">IF(Grid!L147=1,-Cost_k*N$3-Short_p*MAX(0,Floor_c-$A147)+Beta_q*((1-(((Alpha_keep*$A147+N$3-Lo_c)/Step_c)-MAX(6,MIN(INT(((Alpha_keep*$A147+N$3-Lo_c)/Step_c)+0.00000001),193))))*INDEX($D$5:$D$205,MAX(6,MIN(INT(((Alpha_keep*$A147+N$3-Lo_c)/Step_c)+0.00000001),193))+1)+(((Alpha_keep*$A147+N$3-Lo_c)/Step_c)-MAX(6,MIN(INT(((Alpha_keep*$A147+N$3-Lo_c)/Step_c)+0.00000001),193)))*INDEX($D$5:$D$205,MAX(6,MIN(INT(((Alpha_keep*$A147+N$3-Lo_c)/Step_c)+0.00000001),193))+2)),"")</f>
        <v>-208.708019049425</v>
      </c>
      <c r="O147" s="16" t="n">
        <f aca="false">IF(Grid!M147=1,-Cost_k*O$3-Short_p*MAX(0,Floor_c-$A147)+Beta_q*((1-(((Alpha_keep*$A147+O$3-Lo_c)/Step_c)-MAX(6,MIN(INT(((Alpha_keep*$A147+O$3-Lo_c)/Step_c)+0.00000001),193))))*INDEX($D$5:$D$205,MAX(6,MIN(INT(((Alpha_keep*$A147+O$3-Lo_c)/Step_c)+0.00000001),193))+1)+(((Alpha_keep*$A147+O$3-Lo_c)/Step_c)-MAX(6,MIN(INT(((Alpha_keep*$A147+O$3-Lo_c)/Step_c)+0.00000001),193)))*INDEX($D$5:$D$205,MAX(6,MIN(INT(((Alpha_keep*$A147+O$3-Lo_c)/Step_c)+0.00000001),193))+2)),"")</f>
        <v>-209.002554944976</v>
      </c>
      <c r="P147" s="11" t="n">
        <f aca="false">MAX(E147:O147)</f>
        <v>-206.295924375281</v>
      </c>
      <c r="Q147" s="12" t="n">
        <f aca="false">INDEX($E$3:$O$3,MATCH(P147,E147:O147,0))</f>
        <v>0</v>
      </c>
      <c r="R147" s="20" t="n">
        <v>0</v>
      </c>
      <c r="S147" s="14" t="n">
        <f aca="false">IF(ABS(Q147-R147)&lt;0.000000001,1,0)</f>
        <v>1</v>
      </c>
      <c r="T147" s="21" t="n">
        <f aca="false">ABS(P147-B147)</f>
        <v>0</v>
      </c>
      <c r="U147" s="16" t="n">
        <f aca="false">Alpha_keep*A147+Q147</f>
        <v>63.8625</v>
      </c>
      <c r="V147" s="14" t="n">
        <f aca="false">INDEX(GuardBlock,143,ROUND(Q147/Step_h,0)+1)</f>
        <v>1</v>
      </c>
      <c r="W147" s="22" t="n">
        <v>0</v>
      </c>
    </row>
    <row r="148" customFormat="false" ht="15" hidden="false" customHeight="false" outlineLevel="0" collapsed="false">
      <c r="A148" s="18" t="n">
        <f aca="false">Grid!A148</f>
        <v>65.75</v>
      </c>
      <c r="B148" s="19" t="n">
        <v>-205.559917720068</v>
      </c>
      <c r="C148" s="14" t="n">
        <v>143</v>
      </c>
      <c r="D148" s="11" t="n">
        <f aca="false">IF(AND($C148&gt;=6,$C148&lt;=194),Declarations!$B$25*INDEX($B$5:$B$205,$C148+1-Declarations!$E$25)+Declarations!$B$26*INDEX($B$5:$B$205,$C148+1-Declarations!$E$26)+Declarations!$B$27*INDEX($B$5:$B$205,$C148+1-Declarations!$E$27)+Declarations!$B$28*INDEX($B$5:$B$205,$C148+1-Declarations!$E$28)+Declarations!$B$29*INDEX($B$5:$B$205,$C148+1-Declarations!$E$29),"")</f>
        <v>-205.5792998147</v>
      </c>
      <c r="E148" s="16" t="n">
        <f aca="false">IF(Grid!C148=1,-Cost_k*E$3-Short_p*MAX(0,Floor_c-$A148)+Beta_q*((1-(((Alpha_keep*$A148+E$3-Lo_c)/Step_c)-MAX(6,MIN(INT(((Alpha_keep*$A148+E$3-Lo_c)/Step_c)+0.00000001),193))))*INDEX($D$5:$D$205,MAX(6,MIN(INT(((Alpha_keep*$A148+E$3-Lo_c)/Step_c)+0.00000001),193))+1)+(((Alpha_keep*$A148+E$3-Lo_c)/Step_c)-MAX(6,MIN(INT(((Alpha_keep*$A148+E$3-Lo_c)/Step_c)+0.00000001),193)))*INDEX($D$5:$D$205,MAX(6,MIN(INT(((Alpha_keep*$A148+E$3-Lo_c)/Step_c)+0.00000001),193))+2)),"")</f>
        <v>-205.559917720068</v>
      </c>
      <c r="F148" s="16" t="n">
        <f aca="false">IF(Grid!D148=1,-Cost_k*F$3-Short_p*MAX(0,Floor_c-$A148)+Beta_q*((1-(((Alpha_keep*$A148+F$3-Lo_c)/Step_c)-MAX(6,MIN(INT(((Alpha_keep*$A148+F$3-Lo_c)/Step_c)+0.00000001),193))))*INDEX($D$5:$D$205,MAX(6,MIN(INT(((Alpha_keep*$A148+F$3-Lo_c)/Step_c)+0.00000001),193))+1)+(((Alpha_keep*$A148+F$3-Lo_c)/Step_c)-MAX(6,MIN(INT(((Alpha_keep*$A148+F$3-Lo_c)/Step_c)+0.00000001),193)))*INDEX($D$5:$D$205,MAX(6,MIN(INT(((Alpha_keep*$A148+F$3-Lo_c)/Step_c)+0.00000001),193))+2)),"")</f>
        <v>-205.811956951124</v>
      </c>
      <c r="G148" s="16" t="n">
        <f aca="false">IF(Grid!E148=1,-Cost_k*G$3-Short_p*MAX(0,Floor_c-$A148)+Beta_q*((1-(((Alpha_keep*$A148+G$3-Lo_c)/Step_c)-MAX(6,MIN(INT(((Alpha_keep*$A148+G$3-Lo_c)/Step_c)+0.00000001),193))))*INDEX($D$5:$D$205,MAX(6,MIN(INT(((Alpha_keep*$A148+G$3-Lo_c)/Step_c)+0.00000001),193))+1)+(((Alpha_keep*$A148+G$3-Lo_c)/Step_c)-MAX(6,MIN(INT(((Alpha_keep*$A148+G$3-Lo_c)/Step_c)+0.00000001),193)))*INDEX($D$5:$D$205,MAX(6,MIN(INT(((Alpha_keep*$A148+G$3-Lo_c)/Step_c)+0.00000001),193))+2)),"")</f>
        <v>-206.069405854168</v>
      </c>
      <c r="H148" s="16" t="n">
        <f aca="false">IF(Grid!F148=1,-Cost_k*H$3-Short_p*MAX(0,Floor_c-$A148)+Beta_q*((1-(((Alpha_keep*$A148+H$3-Lo_c)/Step_c)-MAX(6,MIN(INT(((Alpha_keep*$A148+H$3-Lo_c)/Step_c)+0.00000001),193))))*INDEX($D$5:$D$205,MAX(6,MIN(INT(((Alpha_keep*$A148+H$3-Lo_c)/Step_c)+0.00000001),193))+1)+(((Alpha_keep*$A148+H$3-Lo_c)/Step_c)-MAX(6,MIN(INT(((Alpha_keep*$A148+H$3-Lo_c)/Step_c)+0.00000001),193)))*INDEX($D$5:$D$205,MAX(6,MIN(INT(((Alpha_keep*$A148+H$3-Lo_c)/Step_c)+0.00000001),193))+2)),"")</f>
        <v>-206.331406824041</v>
      </c>
      <c r="I148" s="16" t="n">
        <f aca="false">IF(Grid!G148=1,-Cost_k*I$3-Short_p*MAX(0,Floor_c-$A148)+Beta_q*((1-(((Alpha_keep*$A148+I$3-Lo_c)/Step_c)-MAX(6,MIN(INT(((Alpha_keep*$A148+I$3-Lo_c)/Step_c)+0.00000001),193))))*INDEX($D$5:$D$205,MAX(6,MIN(INT(((Alpha_keep*$A148+I$3-Lo_c)/Step_c)+0.00000001),193))+1)+(((Alpha_keep*$A148+I$3-Lo_c)/Step_c)-MAX(6,MIN(INT(((Alpha_keep*$A148+I$3-Lo_c)/Step_c)+0.00000001),193)))*INDEX($D$5:$D$205,MAX(6,MIN(INT(((Alpha_keep*$A148+I$3-Lo_c)/Step_c)+0.00000001),193))+2)),"")</f>
        <v>-206.599612107832</v>
      </c>
      <c r="J148" s="16" t="n">
        <f aca="false">IF(Grid!H148=1,-Cost_k*J$3-Short_p*MAX(0,Floor_c-$A148)+Beta_q*((1-(((Alpha_keep*$A148+J$3-Lo_c)/Step_c)-MAX(6,MIN(INT(((Alpha_keep*$A148+J$3-Lo_c)/Step_c)+0.00000001),193))))*INDEX($D$5:$D$205,MAX(6,MIN(INT(((Alpha_keep*$A148+J$3-Lo_c)/Step_c)+0.00000001),193))+1)+(((Alpha_keep*$A148+J$3-Lo_c)/Step_c)-MAX(6,MIN(INT(((Alpha_keep*$A148+J$3-Lo_c)/Step_c)+0.00000001),193)))*INDEX($D$5:$D$205,MAX(6,MIN(INT(((Alpha_keep*$A148+J$3-Lo_c)/Step_c)+0.00000001),193))+2)),"")</f>
        <v>-206.873558281508</v>
      </c>
      <c r="K148" s="16" t="n">
        <f aca="false">IF(Grid!I148=1,-Cost_k*K$3-Short_p*MAX(0,Floor_c-$A148)+Beta_q*((1-(((Alpha_keep*$A148+K$3-Lo_c)/Step_c)-MAX(6,MIN(INT(((Alpha_keep*$A148+K$3-Lo_c)/Step_c)+0.00000001),193))))*INDEX($D$5:$D$205,MAX(6,MIN(INT(((Alpha_keep*$A148+K$3-Lo_c)/Step_c)+0.00000001),193))+1)+(((Alpha_keep*$A148+K$3-Lo_c)/Step_c)-MAX(6,MIN(INT(((Alpha_keep*$A148+K$3-Lo_c)/Step_c)+0.00000001),193)))*INDEX($D$5:$D$205,MAX(6,MIN(INT(((Alpha_keep*$A148+K$3-Lo_c)/Step_c)+0.00000001),193))+2)),"")</f>
        <v>-207.152037545632</v>
      </c>
      <c r="L148" s="16" t="n">
        <f aca="false">IF(Grid!J148=1,-Cost_k*L$3-Short_p*MAX(0,Floor_c-$A148)+Beta_q*((1-(((Alpha_keep*$A148+L$3-Lo_c)/Step_c)-MAX(6,MIN(INT(((Alpha_keep*$A148+L$3-Lo_c)/Step_c)+0.00000001),193))))*INDEX($D$5:$D$205,MAX(6,MIN(INT(((Alpha_keep*$A148+L$3-Lo_c)/Step_c)+0.00000001),193))+1)+(((Alpha_keep*$A148+L$3-Lo_c)/Step_c)-MAX(6,MIN(INT(((Alpha_keep*$A148+L$3-Lo_c)/Step_c)+0.00000001),193)))*INDEX($D$5:$D$205,MAX(6,MIN(INT(((Alpha_keep*$A148+L$3-Lo_c)/Step_c)+0.00000001),193))+2)),"")</f>
        <v>-207.435978807343</v>
      </c>
      <c r="M148" s="16" t="n">
        <f aca="false">IF(Grid!K148=1,-Cost_k*M$3-Short_p*MAX(0,Floor_c-$A148)+Beta_q*((1-(((Alpha_keep*$A148+M$3-Lo_c)/Step_c)-MAX(6,MIN(INT(((Alpha_keep*$A148+M$3-Lo_c)/Step_c)+0.00000001),193))))*INDEX($D$5:$D$205,MAX(6,MIN(INT(((Alpha_keep*$A148+M$3-Lo_c)/Step_c)+0.00000001),193))+1)+(((Alpha_keep*$A148+M$3-Lo_c)/Step_c)-MAX(6,MIN(INT(((Alpha_keep*$A148+M$3-Lo_c)/Step_c)+0.00000001),193)))*INDEX($D$5:$D$205,MAX(6,MIN(INT(((Alpha_keep*$A148+M$3-Lo_c)/Step_c)+0.00000001),193))+2)),"")</f>
        <v>-207.725704092385</v>
      </c>
      <c r="N148" s="16" t="n">
        <f aca="false">IF(Grid!L148=1,-Cost_k*N$3-Short_p*MAX(0,Floor_c-$A148)+Beta_q*((1-(((Alpha_keep*$A148+N$3-Lo_c)/Step_c)-MAX(6,MIN(INT(((Alpha_keep*$A148+N$3-Lo_c)/Step_c)+0.00000001),193))))*INDEX($D$5:$D$205,MAX(6,MIN(INT(((Alpha_keep*$A148+N$3-Lo_c)/Step_c)+0.00000001),193))+1)+(((Alpha_keep*$A148+N$3-Lo_c)/Step_c)-MAX(6,MIN(INT(((Alpha_keep*$A148+N$3-Lo_c)/Step_c)+0.00000001),193)))*INDEX($D$5:$D$205,MAX(6,MIN(INT(((Alpha_keep*$A148+N$3-Lo_c)/Step_c)+0.00000001),193))+2)),"")</f>
        <v>-208.020132342717</v>
      </c>
      <c r="O148" s="16" t="n">
        <f aca="false">IF(Grid!M148=1,-Cost_k*O$3-Short_p*MAX(0,Floor_c-$A148)+Beta_q*((1-(((Alpha_keep*$A148+O$3-Lo_c)/Step_c)-MAX(6,MIN(INT(((Alpha_keep*$A148+O$3-Lo_c)/Step_c)+0.00000001),193))))*INDEX($D$5:$D$205,MAX(6,MIN(INT(((Alpha_keep*$A148+O$3-Lo_c)/Step_c)+0.00000001),193))+1)+(((Alpha_keep*$A148+O$3-Lo_c)/Step_c)-MAX(6,MIN(INT(((Alpha_keep*$A148+O$3-Lo_c)/Step_c)+0.00000001),193)))*INDEX($D$5:$D$205,MAX(6,MIN(INT(((Alpha_keep*$A148+O$3-Lo_c)/Step_c)+0.00000001),193))+2)),"")</f>
        <v>-208.319443712489</v>
      </c>
      <c r="P148" s="11" t="n">
        <f aca="false">MAX(E148:O148)</f>
        <v>-205.559917720068</v>
      </c>
      <c r="Q148" s="12" t="n">
        <f aca="false">INDEX($E$3:$O$3,MATCH(P148,E148:O148,0))</f>
        <v>0</v>
      </c>
      <c r="R148" s="20" t="n">
        <v>0</v>
      </c>
      <c r="S148" s="14" t="n">
        <f aca="false">IF(ABS(Q148-R148)&lt;0.000000001,1,0)</f>
        <v>1</v>
      </c>
      <c r="T148" s="21" t="n">
        <f aca="false">ABS(P148-B148)</f>
        <v>0</v>
      </c>
      <c r="U148" s="16" t="n">
        <f aca="false">Alpha_keep*A148+Q148</f>
        <v>64.10625</v>
      </c>
      <c r="V148" s="14" t="n">
        <f aca="false">INDEX(GuardBlock,144,ROUND(Q148/Step_h,0)+1)</f>
        <v>1</v>
      </c>
      <c r="W148" s="22" t="n">
        <v>0</v>
      </c>
    </row>
    <row r="149" customFormat="false" ht="15" hidden="false" customHeight="false" outlineLevel="0" collapsed="false">
      <c r="A149" s="18" t="n">
        <f aca="false">Grid!A149</f>
        <v>66</v>
      </c>
      <c r="B149" s="19" t="n">
        <v>-204.830559437214</v>
      </c>
      <c r="C149" s="14" t="n">
        <v>144</v>
      </c>
      <c r="D149" s="11" t="n">
        <f aca="false">IF(AND($C149&gt;=6,$C149&lt;=194),Declarations!$B$25*INDEX($B$5:$B$205,$C149+1-Declarations!$E$25)+Declarations!$B$26*INDEX($B$5:$B$205,$C149+1-Declarations!$E$26)+Declarations!$B$27*INDEX($B$5:$B$205,$C149+1-Declarations!$E$27)+Declarations!$B$28*INDEX($B$5:$B$205,$C149+1-Declarations!$E$28)+Declarations!$B$29*INDEX($B$5:$B$205,$C149+1-Declarations!$E$29),"")</f>
        <v>-204.849723031028</v>
      </c>
      <c r="E149" s="16" t="n">
        <f aca="false">IF(Grid!C149=1,-Cost_k*E$3-Short_p*MAX(0,Floor_c-$A149)+Beta_q*((1-(((Alpha_keep*$A149+E$3-Lo_c)/Step_c)-MAX(6,MIN(INT(((Alpha_keep*$A149+E$3-Lo_c)/Step_c)+0.00000001),193))))*INDEX($D$5:$D$205,MAX(6,MIN(INT(((Alpha_keep*$A149+E$3-Lo_c)/Step_c)+0.00000001),193))+1)+(((Alpha_keep*$A149+E$3-Lo_c)/Step_c)-MAX(6,MIN(INT(((Alpha_keep*$A149+E$3-Lo_c)/Step_c)+0.00000001),193)))*INDEX($D$5:$D$205,MAX(6,MIN(INT(((Alpha_keep*$A149+E$3-Lo_c)/Step_c)+0.00000001),193))+2)),"")</f>
        <v>-204.830559437214</v>
      </c>
      <c r="F149" s="16" t="n">
        <f aca="false">IF(Grid!D149=1,-Cost_k*F$3-Short_p*MAX(0,Floor_c-$A149)+Beta_q*((1-(((Alpha_keep*$A149+F$3-Lo_c)/Step_c)-MAX(6,MIN(INT(((Alpha_keep*$A149+F$3-Lo_c)/Step_c)+0.00000001),193))))*INDEX($D$5:$D$205,MAX(6,MIN(INT(((Alpha_keep*$A149+F$3-Lo_c)/Step_c)+0.00000001),193))+1)+(((Alpha_keep*$A149+F$3-Lo_c)/Step_c)-MAX(6,MIN(INT(((Alpha_keep*$A149+F$3-Lo_c)/Step_c)+0.00000001),193)))*INDEX($D$5:$D$205,MAX(6,MIN(INT(((Alpha_keep*$A149+F$3-Lo_c)/Step_c)+0.00000001),193))+2)),"")</f>
        <v>-205.087917261044</v>
      </c>
      <c r="G149" s="16" t="n">
        <f aca="false">IF(Grid!E149=1,-Cost_k*G$3-Short_p*MAX(0,Floor_c-$A149)+Beta_q*((1-(((Alpha_keep*$A149+G$3-Lo_c)/Step_c)-MAX(6,MIN(INT(((Alpha_keep*$A149+G$3-Lo_c)/Step_c)+0.00000001),193))))*INDEX($D$5:$D$205,MAX(6,MIN(INT(((Alpha_keep*$A149+G$3-Lo_c)/Step_c)+0.00000001),193))+1)+(((Alpha_keep*$A149+G$3-Lo_c)/Step_c)-MAX(6,MIN(INT(((Alpha_keep*$A149+G$3-Lo_c)/Step_c)+0.00000001),193)))*INDEX($D$5:$D$205,MAX(6,MIN(INT(((Alpha_keep*$A149+G$3-Lo_c)/Step_c)+0.00000001),193))+2)),"")</f>
        <v>-205.349773687099</v>
      </c>
      <c r="H149" s="16" t="n">
        <f aca="false">IF(Grid!F149=1,-Cost_k*H$3-Short_p*MAX(0,Floor_c-$A149)+Beta_q*((1-(((Alpha_keep*$A149+H$3-Lo_c)/Step_c)-MAX(6,MIN(INT(((Alpha_keep*$A149+H$3-Lo_c)/Step_c)+0.00000001),193))))*INDEX($D$5:$D$205,MAX(6,MIN(INT(((Alpha_keep*$A149+H$3-Lo_c)/Step_c)+0.00000001),193))+1)+(((Alpha_keep*$A149+H$3-Lo_c)/Step_c)-MAX(6,MIN(INT(((Alpha_keep*$A149+H$3-Lo_c)/Step_c)+0.00000001),193)))*INDEX($D$5:$D$205,MAX(6,MIN(INT(((Alpha_keep*$A149+H$3-Lo_c)/Step_c)+0.00000001),193))+2)),"")</f>
        <v>-205.617809570531</v>
      </c>
      <c r="I149" s="16" t="n">
        <f aca="false">IF(Grid!G149=1,-Cost_k*I$3-Short_p*MAX(0,Floor_c-$A149)+Beta_q*((1-(((Alpha_keep*$A149+I$3-Lo_c)/Step_c)-MAX(6,MIN(INT(((Alpha_keep*$A149+I$3-Lo_c)/Step_c)+0.00000001),193))))*INDEX($D$5:$D$205,MAX(6,MIN(INT(((Alpha_keep*$A149+I$3-Lo_c)/Step_c)+0.00000001),193))+1)+(((Alpha_keep*$A149+I$3-Lo_c)/Step_c)-MAX(6,MIN(INT(((Alpha_keep*$A149+I$3-Lo_c)/Step_c)+0.00000001),193)))*INDEX($D$5:$D$205,MAX(6,MIN(INT(((Alpha_keep*$A149+I$3-Lo_c)/Step_c)+0.00000001),193))+2)),"")</f>
        <v>-205.891647233523</v>
      </c>
      <c r="J149" s="16" t="n">
        <f aca="false">IF(Grid!H149=1,-Cost_k*J$3-Short_p*MAX(0,Floor_c-$A149)+Beta_q*((1-(((Alpha_keep*$A149+J$3-Lo_c)/Step_c)-MAX(6,MIN(INT(((Alpha_keep*$A149+J$3-Lo_c)/Step_c)+0.00000001),193))))*INDEX($D$5:$D$205,MAX(6,MIN(INT(((Alpha_keep*$A149+J$3-Lo_c)/Step_c)+0.00000001),193))+1)+(((Alpha_keep*$A149+J$3-Lo_c)/Step_c)-MAX(6,MIN(INT(((Alpha_keep*$A149+J$3-Lo_c)/Step_c)+0.00000001),193)))*INDEX($D$5:$D$205,MAX(6,MIN(INT(((Alpha_keep*$A149+J$3-Lo_c)/Step_c)+0.00000001),193))+2)),"")</f>
        <v>-206.17000665384</v>
      </c>
      <c r="K149" s="16" t="n">
        <f aca="false">IF(Grid!I149=1,-Cost_k*K$3-Short_p*MAX(0,Floor_c-$A149)+Beta_q*((1-(((Alpha_keep*$A149+K$3-Lo_c)/Step_c)-MAX(6,MIN(INT(((Alpha_keep*$A149+K$3-Lo_c)/Step_c)+0.00000001),193))))*INDEX($D$5:$D$205,MAX(6,MIN(INT(((Alpha_keep*$A149+K$3-Lo_c)/Step_c)+0.00000001),193))+1)+(((Alpha_keep*$A149+K$3-Lo_c)/Step_c)-MAX(6,MIN(INT(((Alpha_keep*$A149+K$3-Lo_c)/Step_c)+0.00000001),193)))*INDEX($D$5:$D$205,MAX(6,MIN(INT(((Alpha_keep*$A149+K$3-Lo_c)/Step_c)+0.00000001),193))+2)),"")</f>
        <v>-206.453788763196</v>
      </c>
      <c r="L149" s="16" t="n">
        <f aca="false">IF(Grid!J149=1,-Cost_k*L$3-Short_p*MAX(0,Floor_c-$A149)+Beta_q*((1-(((Alpha_keep*$A149+L$3-Lo_c)/Step_c)-MAX(6,MIN(INT(((Alpha_keep*$A149+L$3-Lo_c)/Step_c)+0.00000001),193))))*INDEX($D$5:$D$205,MAX(6,MIN(INT(((Alpha_keep*$A149+L$3-Lo_c)/Step_c)+0.00000001),193))+1)+(((Alpha_keep*$A149+L$3-Lo_c)/Step_c)-MAX(6,MIN(INT(((Alpha_keep*$A149+L$3-Lo_c)/Step_c)+0.00000001),193)))*INDEX($D$5:$D$205,MAX(6,MIN(INT(((Alpha_keep*$A149+L$3-Lo_c)/Step_c)+0.00000001),193))+2)),"")</f>
        <v>-206.743389135345</v>
      </c>
      <c r="M149" s="16" t="n">
        <f aca="false">IF(Grid!K149=1,-Cost_k*M$3-Short_p*MAX(0,Floor_c-$A149)+Beta_q*((1-(((Alpha_keep*$A149+M$3-Lo_c)/Step_c)-MAX(6,MIN(INT(((Alpha_keep*$A149+M$3-Lo_c)/Step_c)+0.00000001),193))))*INDEX($D$5:$D$205,MAX(6,MIN(INT(((Alpha_keep*$A149+M$3-Lo_c)/Step_c)+0.00000001),193))+1)+(((Alpha_keep*$A149+M$3-Lo_c)/Step_c)-MAX(6,MIN(INT(((Alpha_keep*$A149+M$3-Lo_c)/Step_c)+0.00000001),193)))*INDEX($D$5:$D$205,MAX(6,MIN(INT(((Alpha_keep*$A149+M$3-Lo_c)/Step_c)+0.00000001),193))+2)),"")</f>
        <v>-207.037709740457</v>
      </c>
      <c r="N149" s="16" t="n">
        <f aca="false">IF(Grid!L149=1,-Cost_k*N$3-Short_p*MAX(0,Floor_c-$A149)+Beta_q*((1-(((Alpha_keep*$A149+N$3-Lo_c)/Step_c)-MAX(6,MIN(INT(((Alpha_keep*$A149+N$3-Lo_c)/Step_c)+0.00000001),193))))*INDEX($D$5:$D$205,MAX(6,MIN(INT(((Alpha_keep*$A149+N$3-Lo_c)/Step_c)+0.00000001),193))+1)+(((Alpha_keep*$A149+N$3-Lo_c)/Step_c)-MAX(6,MIN(INT(((Alpha_keep*$A149+N$3-Lo_c)/Step_c)+0.00000001),193)))*INDEX($D$5:$D$205,MAX(6,MIN(INT(((Alpha_keep*$A149+N$3-Lo_c)/Step_c)+0.00000001),193))+2)),"")</f>
        <v>-207.33687950556</v>
      </c>
      <c r="O149" s="16" t="n">
        <f aca="false">IF(Grid!M149=1,-Cost_k*O$3-Short_p*MAX(0,Floor_c-$A149)+Beta_q*((1-(((Alpha_keep*$A149+O$3-Lo_c)/Step_c)-MAX(6,MIN(INT(((Alpha_keep*$A149+O$3-Lo_c)/Step_c)+0.00000001),193))))*INDEX($D$5:$D$205,MAX(6,MIN(INT(((Alpha_keep*$A149+O$3-Lo_c)/Step_c)+0.00000001),193))+1)+(((Alpha_keep*$A149+O$3-Lo_c)/Step_c)-MAX(6,MIN(INT(((Alpha_keep*$A149+O$3-Lo_c)/Step_c)+0.00000001),193)))*INDEX($D$5:$D$205,MAX(6,MIN(INT(((Alpha_keep*$A149+O$3-Lo_c)/Step_c)+0.00000001),193))+2)),"")</f>
        <v>-207.641610371503</v>
      </c>
      <c r="P149" s="11" t="n">
        <f aca="false">MAX(E149:O149)</f>
        <v>-204.830559437214</v>
      </c>
      <c r="Q149" s="12" t="n">
        <f aca="false">INDEX($E$3:$O$3,MATCH(P149,E149:O149,0))</f>
        <v>0</v>
      </c>
      <c r="R149" s="20" t="n">
        <v>0</v>
      </c>
      <c r="S149" s="14" t="n">
        <f aca="false">IF(ABS(Q149-R149)&lt;0.000000001,1,0)</f>
        <v>1</v>
      </c>
      <c r="T149" s="21" t="n">
        <f aca="false">ABS(P149-B149)</f>
        <v>0</v>
      </c>
      <c r="U149" s="16" t="n">
        <f aca="false">Alpha_keep*A149+Q149</f>
        <v>64.35</v>
      </c>
      <c r="V149" s="14" t="n">
        <f aca="false">INDEX(GuardBlock,145,ROUND(Q149/Step_h,0)+1)</f>
        <v>1</v>
      </c>
      <c r="W149" s="22" t="n">
        <v>0</v>
      </c>
    </row>
    <row r="150" customFormat="false" ht="15" hidden="false" customHeight="false" outlineLevel="0" collapsed="false">
      <c r="A150" s="18" t="n">
        <f aca="false">Grid!A150</f>
        <v>66.25</v>
      </c>
      <c r="B150" s="19" t="n">
        <v>-204.10642866792</v>
      </c>
      <c r="C150" s="14" t="n">
        <v>145</v>
      </c>
      <c r="D150" s="11" t="n">
        <f aca="false">IF(AND($C150&gt;=6,$C150&lt;=194),Declarations!$B$25*INDEX($B$5:$B$205,$C150+1-Declarations!$E$25)+Declarations!$B$26*INDEX($B$5:$B$205,$C150+1-Declarations!$E$26)+Declarations!$B$27*INDEX($B$5:$B$205,$C150+1-Declarations!$E$27)+Declarations!$B$28*INDEX($B$5:$B$205,$C150+1-Declarations!$E$28)+Declarations!$B$29*INDEX($B$5:$B$205,$C150+1-Declarations!$E$29),"")</f>
        <v>-204.125263247528</v>
      </c>
      <c r="E150" s="16" t="n">
        <f aca="false">IF(Grid!C150=1,-Cost_k*E$3-Short_p*MAX(0,Floor_c-$A150)+Beta_q*((1-(((Alpha_keep*$A150+E$3-Lo_c)/Step_c)-MAX(6,MIN(INT(((Alpha_keep*$A150+E$3-Lo_c)/Step_c)+0.00000001),193))))*INDEX($D$5:$D$205,MAX(6,MIN(INT(((Alpha_keep*$A150+E$3-Lo_c)/Step_c)+0.00000001),193))+1)+(((Alpha_keep*$A150+E$3-Lo_c)/Step_c)-MAX(6,MIN(INT(((Alpha_keep*$A150+E$3-Lo_c)/Step_c)+0.00000001),193)))*INDEX($D$5:$D$205,MAX(6,MIN(INT(((Alpha_keep*$A150+E$3-Lo_c)/Step_c)+0.00000001),193))+2)),"")</f>
        <v>-204.10642866792</v>
      </c>
      <c r="F150" s="16" t="n">
        <f aca="false">IF(Grid!D150=1,-Cost_k*F$3-Short_p*MAX(0,Floor_c-$A150)+Beta_q*((1-(((Alpha_keep*$A150+F$3-Lo_c)/Step_c)-MAX(6,MIN(INT(((Alpha_keep*$A150+F$3-Lo_c)/Step_c)+0.00000001),193))))*INDEX($D$5:$D$205,MAX(6,MIN(INT(((Alpha_keep*$A150+F$3-Lo_c)/Step_c)+0.00000001),193))+1)+(((Alpha_keep*$A150+F$3-Lo_c)/Step_c)-MAX(6,MIN(INT(((Alpha_keep*$A150+F$3-Lo_c)/Step_c)+0.00000001),193)))*INDEX($D$5:$D$205,MAX(6,MIN(INT(((Alpha_keep*$A150+F$3-Lo_c)/Step_c)+0.00000001),193))+2)),"")</f>
        <v>-204.368140550157</v>
      </c>
      <c r="G150" s="16" t="n">
        <f aca="false">IF(Grid!E150=1,-Cost_k*G$3-Short_p*MAX(0,Floor_c-$A150)+Beta_q*((1-(((Alpha_keep*$A150+G$3-Lo_c)/Step_c)-MAX(6,MIN(INT(((Alpha_keep*$A150+G$3-Lo_c)/Step_c)+0.00000001),193))))*INDEX($D$5:$D$205,MAX(6,MIN(INT(((Alpha_keep*$A150+G$3-Lo_c)/Step_c)+0.00000001),193))+1)+(((Alpha_keep*$A150+G$3-Lo_c)/Step_c)-MAX(6,MIN(INT(((Alpha_keep*$A150+G$3-Lo_c)/Step_c)+0.00000001),193)))*INDEX($D$5:$D$205,MAX(6,MIN(INT(((Alpha_keep*$A150+G$3-Lo_c)/Step_c)+0.00000001),193))+2)),"")</f>
        <v>-204.63600703323</v>
      </c>
      <c r="H150" s="16" t="n">
        <f aca="false">IF(Grid!F150=1,-Cost_k*H$3-Short_p*MAX(0,Floor_c-$A150)+Beta_q*((1-(((Alpha_keep*$A150+H$3-Lo_c)/Step_c)-MAX(6,MIN(INT(((Alpha_keep*$A150+H$3-Lo_c)/Step_c)+0.00000001),193))))*INDEX($D$5:$D$205,MAX(6,MIN(INT(((Alpha_keep*$A150+H$3-Lo_c)/Step_c)+0.00000001),193))+1)+(((Alpha_keep*$A150+H$3-Lo_c)/Step_c)-MAX(6,MIN(INT(((Alpha_keep*$A150+H$3-Lo_c)/Step_c)+0.00000001),193)))*INDEX($D$5:$D$205,MAX(6,MIN(INT(((Alpha_keep*$A150+H$3-Lo_c)/Step_c)+0.00000001),193))+2)),"")</f>
        <v>-204.909736185538</v>
      </c>
      <c r="I150" s="16" t="n">
        <f aca="false">IF(Grid!G150=1,-Cost_k*I$3-Short_p*MAX(0,Floor_c-$A150)+Beta_q*((1-(((Alpha_keep*$A150+I$3-Lo_c)/Step_c)-MAX(6,MIN(INT(((Alpha_keep*$A150+I$3-Lo_c)/Step_c)+0.00000001),193))))*INDEX($D$5:$D$205,MAX(6,MIN(INT(((Alpha_keep*$A150+I$3-Lo_c)/Step_c)+0.00000001),193))+1)+(((Alpha_keep*$A150+I$3-Lo_c)/Step_c)-MAX(6,MIN(INT(((Alpha_keep*$A150+I$3-Lo_c)/Step_c)+0.00000001),193)))*INDEX($D$5:$D$205,MAX(6,MIN(INT(((Alpha_keep*$A150+I$3-Lo_c)/Step_c)+0.00000001),193))+2)),"")</f>
        <v>-205.187975762048</v>
      </c>
      <c r="J150" s="16" t="n">
        <f aca="false">IF(Grid!H150=1,-Cost_k*J$3-Short_p*MAX(0,Floor_c-$A150)+Beta_q*((1-(((Alpha_keep*$A150+J$3-Lo_c)/Step_c)-MAX(6,MIN(INT(((Alpha_keep*$A150+J$3-Lo_c)/Step_c)+0.00000001),193))))*INDEX($D$5:$D$205,MAX(6,MIN(INT(((Alpha_keep*$A150+J$3-Lo_c)/Step_c)+0.00000001),193))+1)+(((Alpha_keep*$A150+J$3-Lo_c)/Step_c)-MAX(6,MIN(INT(((Alpha_keep*$A150+J$3-Lo_c)/Step_c)+0.00000001),193)))*INDEX($D$5:$D$205,MAX(6,MIN(INT(((Alpha_keep*$A150+J$3-Lo_c)/Step_c)+0.00000001),193))+2)),"")</f>
        <v>-205.47159871905</v>
      </c>
      <c r="K150" s="16" t="n">
        <f aca="false">IF(Grid!I150=1,-Cost_k*K$3-Short_p*MAX(0,Floor_c-$A150)+Beta_q*((1-(((Alpha_keep*$A150+K$3-Lo_c)/Step_c)-MAX(6,MIN(INT(((Alpha_keep*$A150+K$3-Lo_c)/Step_c)+0.00000001),193))))*INDEX($D$5:$D$205,MAX(6,MIN(INT(((Alpha_keep*$A150+K$3-Lo_c)/Step_c)+0.00000001),193))+1)+(((Alpha_keep*$A150+K$3-Lo_c)/Step_c)-MAX(6,MIN(INT(((Alpha_keep*$A150+K$3-Lo_c)/Step_c)+0.00000001),193)))*INDEX($D$5:$D$205,MAX(6,MIN(INT(((Alpha_keep*$A150+K$3-Lo_c)/Step_c)+0.00000001),193))+2)),"")</f>
        <v>-205.761074178305</v>
      </c>
      <c r="L150" s="16" t="n">
        <f aca="false">IF(Grid!J150=1,-Cost_k*L$3-Short_p*MAX(0,Floor_c-$A150)+Beta_q*((1-(((Alpha_keep*$A150+L$3-Lo_c)/Step_c)-MAX(6,MIN(INT(((Alpha_keep*$A150+L$3-Lo_c)/Step_c)+0.00000001),193))))*INDEX($D$5:$D$205,MAX(6,MIN(INT(((Alpha_keep*$A150+L$3-Lo_c)/Step_c)+0.00000001),193))+1)+(((Alpha_keep*$A150+L$3-Lo_c)/Step_c)-MAX(6,MIN(INT(((Alpha_keep*$A150+L$3-Lo_c)/Step_c)+0.00000001),193)))*INDEX($D$5:$D$205,MAX(6,MIN(INT(((Alpha_keep*$A150+L$3-Lo_c)/Step_c)+0.00000001),193))+2)),"")</f>
        <v>-206.055287138197</v>
      </c>
      <c r="M150" s="16" t="n">
        <f aca="false">IF(Grid!K150=1,-Cost_k*M$3-Short_p*MAX(0,Floor_c-$A150)+Beta_q*((1-(((Alpha_keep*$A150+M$3-Lo_c)/Step_c)-MAX(6,MIN(INT(((Alpha_keep*$A150+M$3-Lo_c)/Step_c)+0.00000001),193))))*INDEX($D$5:$D$205,MAX(6,MIN(INT(((Alpha_keep*$A150+M$3-Lo_c)/Step_c)+0.00000001),193))+1)+(((Alpha_keep*$A150+M$3-Lo_c)/Step_c)-MAX(6,MIN(INT(((Alpha_keep*$A150+M$3-Lo_c)/Step_c)+0.00000001),193)))*INDEX($D$5:$D$205,MAX(6,MIN(INT(((Alpha_keep*$A150+M$3-Lo_c)/Step_c)+0.00000001),193))+2)),"")</f>
        <v>-206.35431529863</v>
      </c>
      <c r="N150" s="16" t="n">
        <f aca="false">IF(Grid!L150=1,-Cost_k*N$3-Short_p*MAX(0,Floor_c-$A150)+Beta_q*((1-(((Alpha_keep*$A150+N$3-Lo_c)/Step_c)-MAX(6,MIN(INT(((Alpha_keep*$A150+N$3-Lo_c)/Step_c)+0.00000001),193))))*INDEX($D$5:$D$205,MAX(6,MIN(INT(((Alpha_keep*$A150+N$3-Lo_c)/Step_c)+0.00000001),193))+1)+(((Alpha_keep*$A150+N$3-Lo_c)/Step_c)-MAX(6,MIN(INT(((Alpha_keep*$A150+N$3-Lo_c)/Step_c)+0.00000001),193)))*INDEX($D$5:$D$205,MAX(6,MIN(INT(((Alpha_keep*$A150+N$3-Lo_c)/Step_c)+0.00000001),193))+2)),"")</f>
        <v>-206.658911002776</v>
      </c>
      <c r="O150" s="16" t="n">
        <f aca="false">IF(Grid!M150=1,-Cost_k*O$3-Short_p*MAX(0,Floor_c-$A150)+Beta_q*((1-(((Alpha_keep*$A150+O$3-Lo_c)/Step_c)-MAX(6,MIN(INT(((Alpha_keep*$A150+O$3-Lo_c)/Step_c)+0.00000001),193))))*INDEX($D$5:$D$205,MAX(6,MIN(INT(((Alpha_keep*$A150+O$3-Lo_c)/Step_c)+0.00000001),193))+1)+(((Alpha_keep*$A150+O$3-Lo_c)/Step_c)-MAX(6,MIN(INT(((Alpha_keep*$A150+O$3-Lo_c)/Step_c)+0.00000001),193)))*INDEX($D$5:$D$205,MAX(6,MIN(INT(((Alpha_keep*$A150+O$3-Lo_c)/Step_c)+0.00000001),193))+2)),"")</f>
        <v>-206.968486601738</v>
      </c>
      <c r="P150" s="11" t="n">
        <f aca="false">MAX(E150:O150)</f>
        <v>-204.10642866792</v>
      </c>
      <c r="Q150" s="12" t="n">
        <f aca="false">INDEX($E$3:$O$3,MATCH(P150,E150:O150,0))</f>
        <v>0</v>
      </c>
      <c r="R150" s="20" t="n">
        <v>0</v>
      </c>
      <c r="S150" s="14" t="n">
        <f aca="false">IF(ABS(Q150-R150)&lt;0.000000001,1,0)</f>
        <v>1</v>
      </c>
      <c r="T150" s="21" t="n">
        <f aca="false">ABS(P150-B150)</f>
        <v>0</v>
      </c>
      <c r="U150" s="16" t="n">
        <f aca="false">Alpha_keep*A150+Q150</f>
        <v>64.59375</v>
      </c>
      <c r="V150" s="14" t="n">
        <f aca="false">INDEX(GuardBlock,146,ROUND(Q150/Step_h,0)+1)</f>
        <v>1</v>
      </c>
      <c r="W150" s="22" t="n">
        <v>0</v>
      </c>
    </row>
    <row r="151" customFormat="false" ht="15" hidden="false" customHeight="false" outlineLevel="0" collapsed="false">
      <c r="A151" s="18" t="n">
        <f aca="false">Grid!A151</f>
        <v>66.5</v>
      </c>
      <c r="B151" s="19" t="n">
        <v>-203.386507413215</v>
      </c>
      <c r="C151" s="14" t="n">
        <v>146</v>
      </c>
      <c r="D151" s="11" t="n">
        <f aca="false">IF(AND($C151&gt;=6,$C151&lt;=194),Declarations!$B$25*INDEX($B$5:$B$205,$C151+1-Declarations!$E$25)+Declarations!$B$26*INDEX($B$5:$B$205,$C151+1-Declarations!$E$26)+Declarations!$B$27*INDEX($B$5:$B$205,$C151+1-Declarations!$E$27)+Declarations!$B$28*INDEX($B$5:$B$205,$C151+1-Declarations!$E$28)+Declarations!$B$29*INDEX($B$5:$B$205,$C151+1-Declarations!$E$29),"")</f>
        <v>-203.405213101754</v>
      </c>
      <c r="E151" s="16" t="n">
        <f aca="false">IF(Grid!C151=1,-Cost_k*E$3-Short_p*MAX(0,Floor_c-$A151)+Beta_q*((1-(((Alpha_keep*$A151+E$3-Lo_c)/Step_c)-MAX(6,MIN(INT(((Alpha_keep*$A151+E$3-Lo_c)/Step_c)+0.00000001),193))))*INDEX($D$5:$D$205,MAX(6,MIN(INT(((Alpha_keep*$A151+E$3-Lo_c)/Step_c)+0.00000001),193))+1)+(((Alpha_keep*$A151+E$3-Lo_c)/Step_c)-MAX(6,MIN(INT(((Alpha_keep*$A151+E$3-Lo_c)/Step_c)+0.00000001),193)))*INDEX($D$5:$D$205,MAX(6,MIN(INT(((Alpha_keep*$A151+E$3-Lo_c)/Step_c)+0.00000001),193))+2)),"")</f>
        <v>-203.386507413215</v>
      </c>
      <c r="F151" s="16" t="n">
        <f aca="false">IF(Grid!D151=1,-Cost_k*F$3-Short_p*MAX(0,Floor_c-$A151)+Beta_q*((1-(((Alpha_keep*$A151+F$3-Lo_c)/Step_c)-MAX(6,MIN(INT(((Alpha_keep*$A151+F$3-Lo_c)/Step_c)+0.00000001),193))))*INDEX($D$5:$D$205,MAX(6,MIN(INT(((Alpha_keep*$A151+F$3-Lo_c)/Step_c)+0.00000001),193))+1)+(((Alpha_keep*$A151+F$3-Lo_c)/Step_c)-MAX(6,MIN(INT(((Alpha_keep*$A151+F$3-Lo_c)/Step_c)+0.00000001),193)))*INDEX($D$5:$D$205,MAX(6,MIN(INT(((Alpha_keep*$A151+F$3-Lo_c)/Step_c)+0.00000001),193))+2)),"")</f>
        <v>-203.654204495928</v>
      </c>
      <c r="G151" s="16" t="n">
        <f aca="false">IF(Grid!E151=1,-Cost_k*G$3-Short_p*MAX(0,Floor_c-$A151)+Beta_q*((1-(((Alpha_keep*$A151+G$3-Lo_c)/Step_c)-MAX(6,MIN(INT(((Alpha_keep*$A151+G$3-Lo_c)/Step_c)+0.00000001),193))))*INDEX($D$5:$D$205,MAX(6,MIN(INT(((Alpha_keep*$A151+G$3-Lo_c)/Step_c)+0.00000001),193))+1)+(((Alpha_keep*$A151+G$3-Lo_c)/Step_c)-MAX(6,MIN(INT(((Alpha_keep*$A151+G$3-Lo_c)/Step_c)+0.00000001),193)))*INDEX($D$5:$D$205,MAX(6,MIN(INT(((Alpha_keep*$A151+G$3-Lo_c)/Step_c)+0.00000001),193))+2)),"")</f>
        <v>-203.927825137553</v>
      </c>
      <c r="H151" s="16" t="n">
        <f aca="false">IF(Grid!F151=1,-Cost_k*H$3-Short_p*MAX(0,Floor_c-$A151)+Beta_q*((1-(((Alpha_keep*$A151+H$3-Lo_c)/Step_c)-MAX(6,MIN(INT(((Alpha_keep*$A151+H$3-Lo_c)/Step_c)+0.00000001),193))))*INDEX($D$5:$D$205,MAX(6,MIN(INT(((Alpha_keep*$A151+H$3-Lo_c)/Step_c)+0.00000001),193))+1)+(((Alpha_keep*$A151+H$3-Lo_c)/Step_c)-MAX(6,MIN(INT(((Alpha_keep*$A151+H$3-Lo_c)/Step_c)+0.00000001),193)))*INDEX($D$5:$D$205,MAX(6,MIN(INT(((Alpha_keep*$A151+H$3-Lo_c)/Step_c)+0.00000001),193))+2)),"")</f>
        <v>-204.205944870256</v>
      </c>
      <c r="I151" s="16" t="n">
        <f aca="false">IF(Grid!G151=1,-Cost_k*I$3-Short_p*MAX(0,Floor_c-$A151)+Beta_q*((1-(((Alpha_keep*$A151+I$3-Lo_c)/Step_c)-MAX(6,MIN(INT(((Alpha_keep*$A151+I$3-Lo_c)/Step_c)+0.00000001),193))))*INDEX($D$5:$D$205,MAX(6,MIN(INT(((Alpha_keep*$A151+I$3-Lo_c)/Step_c)+0.00000001),193))+1)+(((Alpha_keep*$A151+I$3-Lo_c)/Step_c)-MAX(6,MIN(INT(((Alpha_keep*$A151+I$3-Lo_c)/Step_c)+0.00000001),193)))*INDEX($D$5:$D$205,MAX(6,MIN(INT(((Alpha_keep*$A151+I$3-Lo_c)/Step_c)+0.00000001),193))+2)),"")</f>
        <v>-204.489408674904</v>
      </c>
      <c r="J151" s="16" t="n">
        <f aca="false">IF(Grid!H151=1,-Cost_k*J$3-Short_p*MAX(0,Floor_c-$A151)+Beta_q*((1-(((Alpha_keep*$A151+J$3-Lo_c)/Step_c)-MAX(6,MIN(INT(((Alpha_keep*$A151+J$3-Lo_c)/Step_c)+0.00000001),193))))*INDEX($D$5:$D$205,MAX(6,MIN(INT(((Alpha_keep*$A151+J$3-Lo_c)/Step_c)+0.00000001),193))+1)+(((Alpha_keep*$A151+J$3-Lo_c)/Step_c)-MAX(6,MIN(INT(((Alpha_keep*$A151+J$3-Lo_c)/Step_c)+0.00000001),193)))*INDEX($D$5:$D$205,MAX(6,MIN(INT(((Alpha_keep*$A151+J$3-Lo_c)/Step_c)+0.00000001),193))+2)),"")</f>
        <v>-204.778759221265</v>
      </c>
      <c r="K151" s="16" t="n">
        <f aca="false">IF(Grid!I151=1,-Cost_k*K$3-Short_p*MAX(0,Floor_c-$A151)+Beta_q*((1-(((Alpha_keep*$A151+K$3-Lo_c)/Step_c)-MAX(6,MIN(INT(((Alpha_keep*$A151+K$3-Lo_c)/Step_c)+0.00000001),193))))*INDEX($D$5:$D$205,MAX(6,MIN(INT(((Alpha_keep*$A151+K$3-Lo_c)/Step_c)+0.00000001),193))+1)+(((Alpha_keep*$A151+K$3-Lo_c)/Step_c)-MAX(6,MIN(INT(((Alpha_keep*$A151+K$3-Lo_c)/Step_c)+0.00000001),193)))*INDEX($D$5:$D$205,MAX(6,MIN(INT(((Alpha_keep*$A151+K$3-Lo_c)/Step_c)+0.00000001),193))+2)),"")</f>
        <v>-205.072864535938</v>
      </c>
      <c r="L151" s="16" t="n">
        <f aca="false">IF(Grid!J151=1,-Cost_k*L$3-Short_p*MAX(0,Floor_c-$A151)+Beta_q*((1-(((Alpha_keep*$A151+L$3-Lo_c)/Step_c)-MAX(6,MIN(INT(((Alpha_keep*$A151+L$3-Lo_c)/Step_c)+0.00000001),193))))*INDEX($D$5:$D$205,MAX(6,MIN(INT(((Alpha_keep*$A151+L$3-Lo_c)/Step_c)+0.00000001),193))+1)+(((Alpha_keep*$A151+L$3-Lo_c)/Step_c)-MAX(6,MIN(INT(((Alpha_keep*$A151+L$3-Lo_c)/Step_c)+0.00000001),193)))*INDEX($D$5:$D$205,MAX(6,MIN(INT(((Alpha_keep*$A151+L$3-Lo_c)/Step_c)+0.00000001),193))+2)),"")</f>
        <v>-205.371751091701</v>
      </c>
      <c r="M151" s="16" t="n">
        <f aca="false">IF(Grid!K151=1,-Cost_k*M$3-Short_p*MAX(0,Floor_c-$A151)+Beta_q*((1-(((Alpha_keep*$A151+M$3-Lo_c)/Step_c)-MAX(6,MIN(INT(((Alpha_keep*$A151+M$3-Lo_c)/Step_c)+0.00000001),193))))*INDEX($D$5:$D$205,MAX(6,MIN(INT(((Alpha_keep*$A151+M$3-Lo_c)/Step_c)+0.00000001),193))+1)+(((Alpha_keep*$A151+M$3-Lo_c)/Step_c)-MAX(6,MIN(INT(((Alpha_keep*$A151+M$3-Lo_c)/Step_c)+0.00000001),193)))*INDEX($D$5:$D$205,MAX(6,MIN(INT(((Alpha_keep*$A151+M$3-Lo_c)/Step_c)+0.00000001),193))+2)),"")</f>
        <v>-205.676211634048</v>
      </c>
      <c r="N151" s="16" t="n">
        <f aca="false">IF(Grid!L151=1,-Cost_k*N$3-Short_p*MAX(0,Floor_c-$A151)+Beta_q*((1-(((Alpha_keep*$A151+N$3-Lo_c)/Step_c)-MAX(6,MIN(INT(((Alpha_keep*$A151+N$3-Lo_c)/Step_c)+0.00000001),193))))*INDEX($D$5:$D$205,MAX(6,MIN(INT(((Alpha_keep*$A151+N$3-Lo_c)/Step_c)+0.00000001),193))+1)+(((Alpha_keep*$A151+N$3-Lo_c)/Step_c)-MAX(6,MIN(INT(((Alpha_keep*$A151+N$3-Lo_c)/Step_c)+0.00000001),193)))*INDEX($D$5:$D$205,MAX(6,MIN(INT(((Alpha_keep*$A151+N$3-Lo_c)/Step_c)+0.00000001),193))+2)),"")</f>
        <v>-205.985680509686</v>
      </c>
      <c r="O151" s="16" t="n">
        <f aca="false">IF(Grid!M151=1,-Cost_k*O$3-Short_p*MAX(0,Floor_c-$A151)+Beta_q*((1-(((Alpha_keep*$A151+O$3-Lo_c)/Step_c)-MAX(6,MIN(INT(((Alpha_keep*$A151+O$3-Lo_c)/Step_c)+0.00000001),193))))*INDEX($D$5:$D$205,MAX(6,MIN(INT(((Alpha_keep*$A151+O$3-Lo_c)/Step_c)+0.00000001),193))+1)+(((Alpha_keep*$A151+O$3-Lo_c)/Step_c)-MAX(6,MIN(INT(((Alpha_keep*$A151+O$3-Lo_c)/Step_c)+0.00000001),193)))*INDEX($D$5:$D$205,MAX(6,MIN(INT(((Alpha_keep*$A151+O$3-Lo_c)/Step_c)+0.00000001),193))+2)),"")</f>
        <v>-206.299646944199</v>
      </c>
      <c r="P151" s="11" t="n">
        <f aca="false">MAX(E151:O151)</f>
        <v>-203.386507413215</v>
      </c>
      <c r="Q151" s="12" t="n">
        <f aca="false">INDEX($E$3:$O$3,MATCH(P151,E151:O151,0))</f>
        <v>0</v>
      </c>
      <c r="R151" s="20" t="n">
        <v>0</v>
      </c>
      <c r="S151" s="14" t="n">
        <f aca="false">IF(ABS(Q151-R151)&lt;0.000000001,1,0)</f>
        <v>1</v>
      </c>
      <c r="T151" s="21" t="n">
        <f aca="false">ABS(P151-B151)</f>
        <v>0</v>
      </c>
      <c r="U151" s="16" t="n">
        <f aca="false">Alpha_keep*A151+Q151</f>
        <v>64.8375</v>
      </c>
      <c r="V151" s="14" t="n">
        <f aca="false">INDEX(GuardBlock,147,ROUND(Q151/Step_h,0)+1)</f>
        <v>1</v>
      </c>
      <c r="W151" s="22" t="n">
        <v>0</v>
      </c>
    </row>
    <row r="152" customFormat="false" ht="15" hidden="false" customHeight="false" outlineLevel="0" collapsed="false">
      <c r="A152" s="18" t="n">
        <f aca="false">Grid!A152</f>
        <v>66.75</v>
      </c>
      <c r="B152" s="19" t="n">
        <v>-202.672401958627</v>
      </c>
      <c r="C152" s="14" t="n">
        <v>147</v>
      </c>
      <c r="D152" s="11" t="n">
        <f aca="false">IF(AND($C152&gt;=6,$C152&lt;=194),Declarations!$B$25*INDEX($B$5:$B$205,$C152+1-Declarations!$E$25)+Declarations!$B$26*INDEX($B$5:$B$205,$C152+1-Declarations!$E$26)+Declarations!$B$27*INDEX($B$5:$B$205,$C152+1-Declarations!$E$27)+Declarations!$B$28*INDEX($B$5:$B$205,$C152+1-Declarations!$E$28)+Declarations!$B$29*INDEX($B$5:$B$205,$C152+1-Declarations!$E$29),"")</f>
        <v>-202.690963727208</v>
      </c>
      <c r="E152" s="16" t="n">
        <f aca="false">IF(Grid!C152=1,-Cost_k*E$3-Short_p*MAX(0,Floor_c-$A152)+Beta_q*((1-(((Alpha_keep*$A152+E$3-Lo_c)/Step_c)-MAX(6,MIN(INT(((Alpha_keep*$A152+E$3-Lo_c)/Step_c)+0.00000001),193))))*INDEX($D$5:$D$205,MAX(6,MIN(INT(((Alpha_keep*$A152+E$3-Lo_c)/Step_c)+0.00000001),193))+1)+(((Alpha_keep*$A152+E$3-Lo_c)/Step_c)-MAX(6,MIN(INT(((Alpha_keep*$A152+E$3-Lo_c)/Step_c)+0.00000001),193)))*INDEX($D$5:$D$205,MAX(6,MIN(INT(((Alpha_keep*$A152+E$3-Lo_c)/Step_c)+0.00000001),193))+2)),"")</f>
        <v>-202.672401958627</v>
      </c>
      <c r="F152" s="16" t="n">
        <f aca="false">IF(Grid!D152=1,-Cost_k*F$3-Short_p*MAX(0,Floor_c-$A152)+Beta_q*((1-(((Alpha_keep*$A152+F$3-Lo_c)/Step_c)-MAX(6,MIN(INT(((Alpha_keep*$A152+F$3-Lo_c)/Step_c)+0.00000001),193))))*INDEX($D$5:$D$205,MAX(6,MIN(INT(((Alpha_keep*$A152+F$3-Lo_c)/Step_c)+0.00000001),193))+1)+(((Alpha_keep*$A152+F$3-Lo_c)/Step_c)-MAX(6,MIN(INT(((Alpha_keep*$A152+F$3-Lo_c)/Step_c)+0.00000001),193)))*INDEX($D$5:$D$205,MAX(6,MIN(INT(((Alpha_keep*$A152+F$3-Lo_c)/Step_c)+0.00000001),193))+2)),"")</f>
        <v>-202.945914089568</v>
      </c>
      <c r="G152" s="16" t="n">
        <f aca="false">IF(Grid!E152=1,-Cost_k*G$3-Short_p*MAX(0,Floor_c-$A152)+Beta_q*((1-(((Alpha_keep*$A152+G$3-Lo_c)/Step_c)-MAX(6,MIN(INT(((Alpha_keep*$A152+G$3-Lo_c)/Step_c)+0.00000001),193))))*INDEX($D$5:$D$205,MAX(6,MIN(INT(((Alpha_keep*$A152+G$3-Lo_c)/Step_c)+0.00000001),193))+1)+(((Alpha_keep*$A152+G$3-Lo_c)/Step_c)-MAX(6,MIN(INT(((Alpha_keep*$A152+G$3-Lo_c)/Step_c)+0.00000001),193)))*INDEX($D$5:$D$205,MAX(6,MIN(INT(((Alpha_keep*$A152+G$3-Lo_c)/Step_c)+0.00000001),193))+2)),"")</f>
        <v>-203.223913978463</v>
      </c>
      <c r="H152" s="16" t="n">
        <f aca="false">IF(Grid!F152=1,-Cost_k*H$3-Short_p*MAX(0,Floor_c-$A152)+Beta_q*((1-(((Alpha_keep*$A152+H$3-Lo_c)/Step_c)-MAX(6,MIN(INT(((Alpha_keep*$A152+H$3-Lo_c)/Step_c)+0.00000001),193))))*INDEX($D$5:$D$205,MAX(6,MIN(INT(((Alpha_keep*$A152+H$3-Lo_c)/Step_c)+0.00000001),193))+1)+(((Alpha_keep*$A152+H$3-Lo_c)/Step_c)-MAX(6,MIN(INT(((Alpha_keep*$A152+H$3-Lo_c)/Step_c)+0.00000001),193)))*INDEX($D$5:$D$205,MAX(6,MIN(INT(((Alpha_keep*$A152+H$3-Lo_c)/Step_c)+0.00000001),193))+2)),"")</f>
        <v>-203.507218630758</v>
      </c>
      <c r="I152" s="16" t="n">
        <f aca="false">IF(Grid!G152=1,-Cost_k*I$3-Short_p*MAX(0,Floor_c-$A152)+Beta_q*((1-(((Alpha_keep*$A152+I$3-Lo_c)/Step_c)-MAX(6,MIN(INT(((Alpha_keep*$A152+I$3-Lo_c)/Step_c)+0.00000001),193))))*INDEX($D$5:$D$205,MAX(6,MIN(INT(((Alpha_keep*$A152+I$3-Lo_c)/Step_c)+0.00000001),193))+1)+(((Alpha_keep*$A152+I$3-Lo_c)/Step_c)-MAX(6,MIN(INT(((Alpha_keep*$A152+I$3-Lo_c)/Step_c)+0.00000001),193)))*INDEX($D$5:$D$205,MAX(6,MIN(INT(((Alpha_keep*$A152+I$3-Lo_c)/Step_c)+0.00000001),193))+2)),"")</f>
        <v>-203.796444264225</v>
      </c>
      <c r="J152" s="16" t="n">
        <f aca="false">IF(Grid!H152=1,-Cost_k*J$3-Short_p*MAX(0,Floor_c-$A152)+Beta_q*((1-(((Alpha_keep*$A152+J$3-Lo_c)/Step_c)-MAX(6,MIN(INT(((Alpha_keep*$A152+J$3-Lo_c)/Step_c)+0.00000001),193))))*INDEX($D$5:$D$205,MAX(6,MIN(INT(((Alpha_keep*$A152+J$3-Lo_c)/Step_c)+0.00000001),193))+1)+(((Alpha_keep*$A152+J$3-Lo_c)/Step_c)-MAX(6,MIN(INT(((Alpha_keep*$A152+J$3-Lo_c)/Step_c)+0.00000001),193)))*INDEX($D$5:$D$205,MAX(6,MIN(INT(((Alpha_keep*$A152+J$3-Lo_c)/Step_c)+0.00000001),193))+2)),"")</f>
        <v>-204.090441933678</v>
      </c>
      <c r="K152" s="16" t="n">
        <f aca="false">IF(Grid!I152=1,-Cost_k*K$3-Short_p*MAX(0,Floor_c-$A152)+Beta_q*((1-(((Alpha_keep*$A152+K$3-Lo_c)/Step_c)-MAX(6,MIN(INT(((Alpha_keep*$A152+K$3-Lo_c)/Step_c)+0.00000001),193))))*INDEX($D$5:$D$205,MAX(6,MIN(INT(((Alpha_keep*$A152+K$3-Lo_c)/Step_c)+0.00000001),193))+1)+(((Alpha_keep*$A152+K$3-Lo_c)/Step_c)-MAX(6,MIN(INT(((Alpha_keep*$A152+K$3-Lo_c)/Step_c)+0.00000001),193)))*INDEX($D$5:$D$205,MAX(6,MIN(INT(((Alpha_keep*$A152+K$3-Lo_c)/Step_c)+0.00000001),193))+2)),"")</f>
        <v>-204.389186884772</v>
      </c>
      <c r="L152" s="16" t="n">
        <f aca="false">IF(Grid!J152=1,-Cost_k*L$3-Short_p*MAX(0,Floor_c-$A152)+Beta_q*((1-(((Alpha_keep*$A152+L$3-Lo_c)/Step_c)-MAX(6,MIN(INT(((Alpha_keep*$A152+L$3-Lo_c)/Step_c)+0.00000001),193))))*INDEX($D$5:$D$205,MAX(6,MIN(INT(((Alpha_keep*$A152+L$3-Lo_c)/Step_c)+0.00000001),193))+1)+(((Alpha_keep*$A152+L$3-Lo_c)/Step_c)-MAX(6,MIN(INT(((Alpha_keep*$A152+L$3-Lo_c)/Step_c)+0.00000001),193)))*INDEX($D$5:$D$205,MAX(6,MIN(INT(((Alpha_keep*$A152+L$3-Lo_c)/Step_c)+0.00000001),193))+2)),"")</f>
        <v>-204.693512265321</v>
      </c>
      <c r="M152" s="16" t="n">
        <f aca="false">IF(Grid!K152=1,-Cost_k*M$3-Short_p*MAX(0,Floor_c-$A152)+Beta_q*((1-(((Alpha_keep*$A152+M$3-Lo_c)/Step_c)-MAX(6,MIN(INT(((Alpha_keep*$A152+M$3-Lo_c)/Step_c)+0.00000001),193))))*INDEX($D$5:$D$205,MAX(6,MIN(INT(((Alpha_keep*$A152+M$3-Lo_c)/Step_c)+0.00000001),193))+1)+(((Alpha_keep*$A152+M$3-Lo_c)/Step_c)-MAX(6,MIN(INT(((Alpha_keep*$A152+M$3-Lo_c)/Step_c)+0.00000001),193)))*INDEX($D$5:$D$205,MAX(6,MIN(INT(((Alpha_keep*$A152+M$3-Lo_c)/Step_c)+0.00000001),193))+2)),"")</f>
        <v>-205.002874417634</v>
      </c>
      <c r="N152" s="16" t="n">
        <f aca="false">IF(Grid!L152=1,-Cost_k*N$3-Short_p*MAX(0,Floor_c-$A152)+Beta_q*((1-(((Alpha_keep*$A152+N$3-Lo_c)/Step_c)-MAX(6,MIN(INT(((Alpha_keep*$A152+N$3-Lo_c)/Step_c)+0.00000001),193))))*INDEX($D$5:$D$205,MAX(6,MIN(INT(((Alpha_keep*$A152+N$3-Lo_c)/Step_c)+0.00000001),193))+1)+(((Alpha_keep*$A152+N$3-Lo_c)/Step_c)-MAX(6,MIN(INT(((Alpha_keep*$A152+N$3-Lo_c)/Step_c)+0.00000001),193)))*INDEX($D$5:$D$205,MAX(6,MIN(INT(((Alpha_keep*$A152+N$3-Lo_c)/Step_c)+0.00000001),193))+2)),"")</f>
        <v>-205.316717798402</v>
      </c>
      <c r="O152" s="16" t="n">
        <f aca="false">IF(Grid!M152=1,-Cost_k*O$3-Short_p*MAX(0,Floor_c-$A152)+Beta_q*((1-(((Alpha_keep*$A152+O$3-Lo_c)/Step_c)-MAX(6,MIN(INT(((Alpha_keep*$A152+O$3-Lo_c)/Step_c)+0.00000001),193))))*INDEX($D$5:$D$205,MAX(6,MIN(INT(((Alpha_keep*$A152+O$3-Lo_c)/Step_c)+0.00000001),193))+1)+(((Alpha_keep*$A152+O$3-Lo_c)/Step_c)-MAX(6,MIN(INT(((Alpha_keep*$A152+O$3-Lo_c)/Step_c)+0.00000001),193)))*INDEX($D$5:$D$205,MAX(6,MIN(INT(((Alpha_keep*$A152+O$3-Lo_c)/Step_c)+0.00000001),193))+2)),"")</f>
        <v>-205.635653391673</v>
      </c>
      <c r="P152" s="11" t="n">
        <f aca="false">MAX(E152:O152)</f>
        <v>-202.672401958627</v>
      </c>
      <c r="Q152" s="12" t="n">
        <f aca="false">INDEX($E$3:$O$3,MATCH(P152,E152:O152,0))</f>
        <v>0</v>
      </c>
      <c r="R152" s="20" t="n">
        <v>0</v>
      </c>
      <c r="S152" s="14" t="n">
        <f aca="false">IF(ABS(Q152-R152)&lt;0.000000001,1,0)</f>
        <v>1</v>
      </c>
      <c r="T152" s="21" t="n">
        <f aca="false">ABS(P152-B152)</f>
        <v>0</v>
      </c>
      <c r="U152" s="16" t="n">
        <f aca="false">Alpha_keep*A152+Q152</f>
        <v>65.08125</v>
      </c>
      <c r="V152" s="14" t="n">
        <f aca="false">INDEX(GuardBlock,148,ROUND(Q152/Step_h,0)+1)</f>
        <v>1</v>
      </c>
      <c r="W152" s="22" t="n">
        <v>0</v>
      </c>
    </row>
    <row r="153" customFormat="false" ht="15" hidden="false" customHeight="false" outlineLevel="0" collapsed="false">
      <c r="A153" s="18" t="n">
        <f aca="false">Grid!A153</f>
        <v>67</v>
      </c>
      <c r="B153" s="19" t="n">
        <v>-201.964003041583</v>
      </c>
      <c r="C153" s="14" t="n">
        <v>148</v>
      </c>
      <c r="D153" s="11" t="n">
        <f aca="false">IF(AND($C153&gt;=6,$C153&lt;=194),Declarations!$B$25*INDEX($B$5:$B$205,$C153+1-Declarations!$E$25)+Declarations!$B$26*INDEX($B$5:$B$205,$C153+1-Declarations!$E$26)+Declarations!$B$27*INDEX($B$5:$B$205,$C153+1-Declarations!$E$27)+Declarations!$B$28*INDEX($B$5:$B$205,$C153+1-Declarations!$E$28)+Declarations!$B$29*INDEX($B$5:$B$205,$C153+1-Declarations!$E$29),"")</f>
        <v>-201.982251194564</v>
      </c>
      <c r="E153" s="16" t="n">
        <f aca="false">IF(Grid!C153=1,-Cost_k*E$3-Short_p*MAX(0,Floor_c-$A153)+Beta_q*((1-(((Alpha_keep*$A153+E$3-Lo_c)/Step_c)-MAX(6,MIN(INT(((Alpha_keep*$A153+E$3-Lo_c)/Step_c)+0.00000001),193))))*INDEX($D$5:$D$205,MAX(6,MIN(INT(((Alpha_keep*$A153+E$3-Lo_c)/Step_c)+0.00000001),193))+1)+(((Alpha_keep*$A153+E$3-Lo_c)/Step_c)-MAX(6,MIN(INT(((Alpha_keep*$A153+E$3-Lo_c)/Step_c)+0.00000001),193)))*INDEX($D$5:$D$205,MAX(6,MIN(INT(((Alpha_keep*$A153+E$3-Lo_c)/Step_c)+0.00000001),193))+2)),"")</f>
        <v>-201.964003041583</v>
      </c>
      <c r="F153" s="16" t="n">
        <f aca="false">IF(Grid!D153=1,-Cost_k*F$3-Short_p*MAX(0,Floor_c-$A153)+Beta_q*((1-(((Alpha_keep*$A153+F$3-Lo_c)/Step_c)-MAX(6,MIN(INT(((Alpha_keep*$A153+F$3-Lo_c)/Step_c)+0.00000001),193))))*INDEX($D$5:$D$205,MAX(6,MIN(INT(((Alpha_keep*$A153+F$3-Lo_c)/Step_c)+0.00000001),193))+1)+(((Alpha_keep*$A153+F$3-Lo_c)/Step_c)-MAX(6,MIN(INT(((Alpha_keep*$A153+F$3-Lo_c)/Step_c)+0.00000001),193)))*INDEX($D$5:$D$205,MAX(6,MIN(INT(((Alpha_keep*$A153+F$3-Lo_c)/Step_c)+0.00000001),193))+2)),"")</f>
        <v>-202.241883086671</v>
      </c>
      <c r="G153" s="16" t="n">
        <f aca="false">IF(Grid!E153=1,-Cost_k*G$3-Short_p*MAX(0,Floor_c-$A153)+Beta_q*((1-(((Alpha_keep*$A153+G$3-Lo_c)/Step_c)-MAX(6,MIN(INT(((Alpha_keep*$A153+G$3-Lo_c)/Step_c)+0.00000001),193))))*INDEX($D$5:$D$205,MAX(6,MIN(INT(((Alpha_keep*$A153+G$3-Lo_c)/Step_c)+0.00000001),193))+1)+(((Alpha_keep*$A153+G$3-Lo_c)/Step_c)-MAX(6,MIN(INT(((Alpha_keep*$A153+G$3-Lo_c)/Step_c)+0.00000001),193)))*INDEX($D$5:$D$205,MAX(6,MIN(INT(((Alpha_keep*$A153+G$3-Lo_c)/Step_c)+0.00000001),193))+2)),"")</f>
        <v>-202.525028586611</v>
      </c>
      <c r="H153" s="16" t="n">
        <f aca="false">IF(Grid!F153=1,-Cost_k*H$3-Short_p*MAX(0,Floor_c-$A153)+Beta_q*((1-(((Alpha_keep*$A153+H$3-Lo_c)/Step_c)-MAX(6,MIN(INT(((Alpha_keep*$A153+H$3-Lo_c)/Step_c)+0.00000001),193))))*INDEX($D$5:$D$205,MAX(6,MIN(INT(((Alpha_keep*$A153+H$3-Lo_c)/Step_c)+0.00000001),193))+1)+(((Alpha_keep*$A153+H$3-Lo_c)/Step_c)-MAX(6,MIN(INT(((Alpha_keep*$A153+H$3-Lo_c)/Step_c)+0.00000001),193)))*INDEX($D$5:$D$205,MAX(6,MIN(INT(((Alpha_keep*$A153+H$3-Lo_c)/Step_c)+0.00000001),193))+2)),"")</f>
        <v>-202.814129307185</v>
      </c>
      <c r="I153" s="16" t="n">
        <f aca="false">IF(Grid!G153=1,-Cost_k*I$3-Short_p*MAX(0,Floor_c-$A153)+Beta_q*((1-(((Alpha_keep*$A153+I$3-Lo_c)/Step_c)-MAX(6,MIN(INT(((Alpha_keep*$A153+I$3-Lo_c)/Step_c)+0.00000001),193))))*INDEX($D$5:$D$205,MAX(6,MIN(INT(((Alpha_keep*$A153+I$3-Lo_c)/Step_c)+0.00000001),193))+1)+(((Alpha_keep*$A153+I$3-Lo_c)/Step_c)-MAX(6,MIN(INT(((Alpha_keep*$A153+I$3-Lo_c)/Step_c)+0.00000001),193)))*INDEX($D$5:$D$205,MAX(6,MIN(INT(((Alpha_keep*$A153+I$3-Lo_c)/Step_c)+0.00000001),193))+2)),"")</f>
        <v>-203.108019331418</v>
      </c>
      <c r="J153" s="16" t="n">
        <f aca="false">IF(Grid!H153=1,-Cost_k*J$3-Short_p*MAX(0,Floor_c-$A153)+Beta_q*((1-(((Alpha_keep*$A153+J$3-Lo_c)/Step_c)-MAX(6,MIN(INT(((Alpha_keep*$A153+J$3-Lo_c)/Step_c)+0.00000001),193))))*INDEX($D$5:$D$205,MAX(6,MIN(INT(((Alpha_keep*$A153+J$3-Lo_c)/Step_c)+0.00000001),193))+1)+(((Alpha_keep*$A153+J$3-Lo_c)/Step_c)-MAX(6,MIN(INT(((Alpha_keep*$A153+J$3-Lo_c)/Step_c)+0.00000001),193)))*INDEX($D$5:$D$205,MAX(6,MIN(INT(((Alpha_keep*$A153+J$3-Lo_c)/Step_c)+0.00000001),193))+2)),"")</f>
        <v>-203.406622677842</v>
      </c>
      <c r="K153" s="16" t="n">
        <f aca="false">IF(Grid!I153=1,-Cost_k*K$3-Short_p*MAX(0,Floor_c-$A153)+Beta_q*((1-(((Alpha_keep*$A153+K$3-Lo_c)/Step_c)-MAX(6,MIN(INT(((Alpha_keep*$A153+K$3-Lo_c)/Step_c)+0.00000001),193))))*INDEX($D$5:$D$205,MAX(6,MIN(INT(((Alpha_keep*$A153+K$3-Lo_c)/Step_c)+0.00000001),193))+1)+(((Alpha_keep*$A153+K$3-Lo_c)/Step_c)-MAX(6,MIN(INT(((Alpha_keep*$A153+K$3-Lo_c)/Step_c)+0.00000001),193)))*INDEX($D$5:$D$205,MAX(6,MIN(INT(((Alpha_keep*$A153+K$3-Lo_c)/Step_c)+0.00000001),193))+2)),"")</f>
        <v>-203.710812896594</v>
      </c>
      <c r="L153" s="16" t="n">
        <f aca="false">IF(Grid!J153=1,-Cost_k*L$3-Short_p*MAX(0,Floor_c-$A153)+Beta_q*((1-(((Alpha_keep*$A153+L$3-Lo_c)/Step_c)-MAX(6,MIN(INT(((Alpha_keep*$A153+L$3-Lo_c)/Step_c)+0.00000001),193))))*INDEX($D$5:$D$205,MAX(6,MIN(INT(((Alpha_keep*$A153+L$3-Lo_c)/Step_c)+0.00000001),193))+1)+(((Alpha_keep*$A153+L$3-Lo_c)/Step_c)-MAX(6,MIN(INT(((Alpha_keep*$A153+L$3-Lo_c)/Step_c)+0.00000001),193)))*INDEX($D$5:$D$205,MAX(6,MIN(INT(((Alpha_keep*$A153+L$3-Lo_c)/Step_c)+0.00000001),193))+2)),"")</f>
        <v>-204.020068325582</v>
      </c>
      <c r="M153" s="16" t="n">
        <f aca="false">IF(Grid!K153=1,-Cost_k*M$3-Short_p*MAX(0,Floor_c-$A153)+Beta_q*((1-(((Alpha_keep*$A153+M$3-Lo_c)/Step_c)-MAX(6,MIN(INT(((Alpha_keep*$A153+M$3-Lo_c)/Step_c)+0.00000001),193))))*INDEX($D$5:$D$205,MAX(6,MIN(INT(((Alpha_keep*$A153+M$3-Lo_c)/Step_c)+0.00000001),193))+1)+(((Alpha_keep*$A153+M$3-Lo_c)/Step_c)-MAX(6,MIN(INT(((Alpha_keep*$A153+M$3-Lo_c)/Step_c)+0.00000001),193)))*INDEX($D$5:$D$205,MAX(6,MIN(INT(((Alpha_keep*$A153+M$3-Lo_c)/Step_c)+0.00000001),193))+2)),"")</f>
        <v>-204.333788652604</v>
      </c>
      <c r="N153" s="16" t="n">
        <f aca="false">IF(Grid!L153=1,-Cost_k*N$3-Short_p*MAX(0,Floor_c-$A153)+Beta_q*((1-(((Alpha_keep*$A153+N$3-Lo_c)/Step_c)-MAX(6,MIN(INT(((Alpha_keep*$A153+N$3-Lo_c)/Step_c)+0.00000001),193))))*INDEX($D$5:$D$205,MAX(6,MIN(INT(((Alpha_keep*$A153+N$3-Lo_c)/Step_c)+0.00000001),193))+1)+(((Alpha_keep*$A153+N$3-Lo_c)/Step_c)-MAX(6,MIN(INT(((Alpha_keep*$A153+N$3-Lo_c)/Step_c)+0.00000001),193)))*INDEX($D$5:$D$205,MAX(6,MIN(INT(((Alpha_keep*$A153+N$3-Lo_c)/Step_c)+0.00000001),193))+2)),"")</f>
        <v>-204.652588110386</v>
      </c>
      <c r="O153" s="16" t="n">
        <f aca="false">IF(Grid!M153=1,-Cost_k*O$3-Short_p*MAX(0,Floor_c-$A153)+Beta_q*((1-(((Alpha_keep*$A153+O$3-Lo_c)/Step_c)-MAX(6,MIN(INT(((Alpha_keep*$A153+O$3-Lo_c)/Step_c)+0.00000001),193))))*INDEX($D$5:$D$205,MAX(6,MIN(INT(((Alpha_keep*$A153+O$3-Lo_c)/Step_c)+0.00000001),193))+1)+(((Alpha_keep*$A153+O$3-Lo_c)/Step_c)-MAX(6,MIN(INT(((Alpha_keep*$A153+O$3-Lo_c)/Step_c)+0.00000001),193)))*INDEX($D$5:$D$205,MAX(6,MIN(INT(((Alpha_keep*$A153+O$3-Lo_c)/Step_c)+0.00000001),193))+2)),"")</f>
        <v>-204.976552573738</v>
      </c>
      <c r="P153" s="11" t="n">
        <f aca="false">MAX(E153:O153)</f>
        <v>-201.964003041583</v>
      </c>
      <c r="Q153" s="12" t="n">
        <f aca="false">INDEX($E$3:$O$3,MATCH(P153,E153:O153,0))</f>
        <v>0</v>
      </c>
      <c r="R153" s="20" t="n">
        <v>0</v>
      </c>
      <c r="S153" s="14" t="n">
        <f aca="false">IF(ABS(Q153-R153)&lt;0.000000001,1,0)</f>
        <v>1</v>
      </c>
      <c r="T153" s="21" t="n">
        <f aca="false">ABS(P153-B153)</f>
        <v>0</v>
      </c>
      <c r="U153" s="16" t="n">
        <f aca="false">Alpha_keep*A153+Q153</f>
        <v>65.325</v>
      </c>
      <c r="V153" s="14" t="n">
        <f aca="false">INDEX(GuardBlock,149,ROUND(Q153/Step_h,0)+1)</f>
        <v>1</v>
      </c>
      <c r="W153" s="22" t="n">
        <v>0</v>
      </c>
    </row>
    <row r="154" customFormat="false" ht="15" hidden="false" customHeight="false" outlineLevel="0" collapsed="false">
      <c r="A154" s="18" t="n">
        <f aca="false">Grid!A154</f>
        <v>67.25</v>
      </c>
      <c r="B154" s="19" t="n">
        <v>-201.259852194879</v>
      </c>
      <c r="C154" s="14" t="n">
        <v>149</v>
      </c>
      <c r="D154" s="11" t="n">
        <f aca="false">IF(AND($C154&gt;=6,$C154&lt;=194),Declarations!$B$25*INDEX($B$5:$B$205,$C154+1-Declarations!$E$25)+Declarations!$B$26*INDEX($B$5:$B$205,$C154+1-Declarations!$E$26)+Declarations!$B$27*INDEX($B$5:$B$205,$C154+1-Declarations!$E$27)+Declarations!$B$28*INDEX($B$5:$B$205,$C154+1-Declarations!$E$28)+Declarations!$B$29*INDEX($B$5:$B$205,$C154+1-Declarations!$E$29),"")</f>
        <v>-201.277910534622</v>
      </c>
      <c r="E154" s="16" t="n">
        <f aca="false">IF(Grid!C154=1,-Cost_k*E$3-Short_p*MAX(0,Floor_c-$A154)+Beta_q*((1-(((Alpha_keep*$A154+E$3-Lo_c)/Step_c)-MAX(6,MIN(INT(((Alpha_keep*$A154+E$3-Lo_c)/Step_c)+0.00000001),193))))*INDEX($D$5:$D$205,MAX(6,MIN(INT(((Alpha_keep*$A154+E$3-Lo_c)/Step_c)+0.00000001),193))+1)+(((Alpha_keep*$A154+E$3-Lo_c)/Step_c)-MAX(6,MIN(INT(((Alpha_keep*$A154+E$3-Lo_c)/Step_c)+0.00000001),193)))*INDEX($D$5:$D$205,MAX(6,MIN(INT(((Alpha_keep*$A154+E$3-Lo_c)/Step_c)+0.00000001),193))+2)),"")</f>
        <v>-201.259852194879</v>
      </c>
      <c r="F154" s="16" t="n">
        <f aca="false">IF(Grid!D154=1,-Cost_k*F$3-Short_p*MAX(0,Floor_c-$A154)+Beta_q*((1-(((Alpha_keep*$A154+F$3-Lo_c)/Step_c)-MAX(6,MIN(INT(((Alpha_keep*$A154+F$3-Lo_c)/Step_c)+0.00000001),193))))*INDEX($D$5:$D$205,MAX(6,MIN(INT(((Alpha_keep*$A154+F$3-Lo_c)/Step_c)+0.00000001),193))+1)+(((Alpha_keep*$A154+F$3-Lo_c)/Step_c)-MAX(6,MIN(INT(((Alpha_keep*$A154+F$3-Lo_c)/Step_c)+0.00000001),193)))*INDEX($D$5:$D$205,MAX(6,MIN(INT(((Alpha_keep*$A154+F$3-Lo_c)/Step_c)+0.00000001),193))+2)),"")</f>
        <v>-201.542838542465</v>
      </c>
      <c r="G154" s="16" t="n">
        <f aca="false">IF(Grid!E154=1,-Cost_k*G$3-Short_p*MAX(0,Floor_c-$A154)+Beta_q*((1-(((Alpha_keep*$A154+G$3-Lo_c)/Step_c)-MAX(6,MIN(INT(((Alpha_keep*$A154+G$3-Lo_c)/Step_c)+0.00000001),193))))*INDEX($D$5:$D$205,MAX(6,MIN(INT(((Alpha_keep*$A154+G$3-Lo_c)/Step_c)+0.00000001),193))+1)+(((Alpha_keep*$A154+G$3-Lo_c)/Step_c)-MAX(6,MIN(INT(((Alpha_keep*$A154+G$3-Lo_c)/Step_c)+0.00000001),193)))*INDEX($D$5:$D$205,MAX(6,MIN(INT(((Alpha_keep*$A154+G$3-Lo_c)/Step_c)+0.00000001),193))+2)),"")</f>
        <v>-201.831814350146</v>
      </c>
      <c r="H154" s="16" t="n">
        <f aca="false">IF(Grid!F154=1,-Cost_k*H$3-Short_p*MAX(0,Floor_c-$A154)+Beta_q*((1-(((Alpha_keep*$A154+H$3-Lo_c)/Step_c)-MAX(6,MIN(INT(((Alpha_keep*$A154+H$3-Lo_c)/Step_c)+0.00000001),193))))*INDEX($D$5:$D$205,MAX(6,MIN(INT(((Alpha_keep*$A154+H$3-Lo_c)/Step_c)+0.00000001),193))+1)+(((Alpha_keep*$A154+H$3-Lo_c)/Step_c)-MAX(6,MIN(INT(((Alpha_keep*$A154+H$3-Lo_c)/Step_c)+0.00000001),193)))*INDEX($D$5:$D$205,MAX(6,MIN(INT(((Alpha_keep*$A154+H$3-Lo_c)/Step_c)+0.00000001),193))+2)),"")</f>
        <v>-202.125596729158</v>
      </c>
      <c r="I154" s="16" t="n">
        <f aca="false">IF(Grid!G154=1,-Cost_k*I$3-Short_p*MAX(0,Floor_c-$A154)+Beta_q*((1-(((Alpha_keep*$A154+I$3-Lo_c)/Step_c)-MAX(6,MIN(INT(((Alpha_keep*$A154+I$3-Lo_c)/Step_c)+0.00000001),193))))*INDEX($D$5:$D$205,MAX(6,MIN(INT(((Alpha_keep*$A154+I$3-Lo_c)/Step_c)+0.00000001),193))+1)+(((Alpha_keep*$A154+I$3-Lo_c)/Step_c)-MAX(6,MIN(INT(((Alpha_keep*$A154+I$3-Lo_c)/Step_c)+0.00000001),193)))*INDEX($D$5:$D$205,MAX(6,MIN(INT(((Alpha_keep*$A154+I$3-Lo_c)/Step_c)+0.00000001),193))+2)),"")</f>
        <v>-202.424058470913</v>
      </c>
      <c r="J154" s="16" t="n">
        <f aca="false">IF(Grid!H154=1,-Cost_k*J$3-Short_p*MAX(0,Floor_c-$A154)+Beta_q*((1-(((Alpha_keep*$A154+J$3-Lo_c)/Step_c)-MAX(6,MIN(INT(((Alpha_keep*$A154+J$3-Lo_c)/Step_c)+0.00000001),193))))*INDEX($D$5:$D$205,MAX(6,MIN(INT(((Alpha_keep*$A154+J$3-Lo_c)/Step_c)+0.00000001),193))+1)+(((Alpha_keep*$A154+J$3-Lo_c)/Step_c)-MAX(6,MIN(INT(((Alpha_keep*$A154+J$3-Lo_c)/Step_c)+0.00000001),193)))*INDEX($D$5:$D$205,MAX(6,MIN(INT(((Alpha_keep*$A154+J$3-Lo_c)/Step_c)+0.00000001),193))+2)),"")</f>
        <v>-202.728113527866</v>
      </c>
      <c r="K154" s="16" t="n">
        <f aca="false">IF(Grid!I154=1,-Cost_k*K$3-Short_p*MAX(0,Floor_c-$A154)+Beta_q*((1-(((Alpha_keep*$A154+K$3-Lo_c)/Step_c)-MAX(6,MIN(INT(((Alpha_keep*$A154+K$3-Lo_c)/Step_c)+0.00000001),193))))*INDEX($D$5:$D$205,MAX(6,MIN(INT(((Alpha_keep*$A154+K$3-Lo_c)/Step_c)+0.00000001),193))+1)+(((Alpha_keep*$A154+K$3-Lo_c)/Step_c)-MAX(6,MIN(INT(((Alpha_keep*$A154+K$3-Lo_c)/Step_c)+0.00000001),193)))*INDEX($D$5:$D$205,MAX(6,MIN(INT(((Alpha_keep*$A154+K$3-Lo_c)/Step_c)+0.00000001),193))+2)),"")</f>
        <v>-203.037262233531</v>
      </c>
      <c r="L154" s="16" t="n">
        <f aca="false">IF(Grid!J154=1,-Cost_k*L$3-Short_p*MAX(0,Floor_c-$A154)+Beta_q*((1-(((Alpha_keep*$A154+L$3-Lo_c)/Step_c)-MAX(6,MIN(INT(((Alpha_keep*$A154+L$3-Lo_c)/Step_c)+0.00000001),193))))*INDEX($D$5:$D$205,MAX(6,MIN(INT(((Alpha_keep*$A154+L$3-Lo_c)/Step_c)+0.00000001),193))+1)+(((Alpha_keep*$A154+L$3-Lo_c)/Step_c)-MAX(6,MIN(INT(((Alpha_keep*$A154+L$3-Lo_c)/Step_c)+0.00000001),193)))*INDEX($D$5:$D$205,MAX(6,MIN(INT(((Alpha_keep*$A154+L$3-Lo_c)/Step_c)+0.00000001),193))+2)),"")</f>
        <v>-203.350859506807</v>
      </c>
      <c r="M154" s="16" t="n">
        <f aca="false">IF(Grid!K154=1,-Cost_k*M$3-Short_p*MAX(0,Floor_c-$A154)+Beta_q*((1-(((Alpha_keep*$A154+M$3-Lo_c)/Step_c)-MAX(6,MIN(INT(((Alpha_keep*$A154+M$3-Lo_c)/Step_c)+0.00000001),193))))*INDEX($D$5:$D$205,MAX(6,MIN(INT(((Alpha_keep*$A154+M$3-Lo_c)/Step_c)+0.00000001),193))+1)+(((Alpha_keep*$A154+M$3-Lo_c)/Step_c)-MAX(6,MIN(INT(((Alpha_keep*$A154+M$3-Lo_c)/Step_c)+0.00000001),193)))*INDEX($D$5:$D$205,MAX(6,MIN(INT(((Alpha_keep*$A154+M$3-Lo_c)/Step_c)+0.00000001),193))+2)),"")</f>
        <v>-203.669522829098</v>
      </c>
      <c r="N154" s="16" t="n">
        <f aca="false">IF(Grid!L154=1,-Cost_k*N$3-Short_p*MAX(0,Floor_c-$A154)+Beta_q*((1-(((Alpha_keep*$A154+N$3-Lo_c)/Step_c)-MAX(6,MIN(INT(((Alpha_keep*$A154+N$3-Lo_c)/Step_c)+0.00000001),193))))*INDEX($D$5:$D$205,MAX(6,MIN(INT(((Alpha_keep*$A154+N$3-Lo_c)/Step_c)+0.00000001),193))+1)+(((Alpha_keep*$A154+N$3-Lo_c)/Step_c)-MAX(6,MIN(INT(((Alpha_keep*$A154+N$3-Lo_c)/Step_c)+0.00000001),193)))*INDEX($D$5:$D$205,MAX(6,MIN(INT(((Alpha_keep*$A154+N$3-Lo_c)/Step_c)+0.00000001),193))+2)),"")</f>
        <v>-203.993374524796</v>
      </c>
      <c r="O154" s="16" t="n">
        <f aca="false">IF(Grid!M154=1,-Cost_k*O$3-Short_p*MAX(0,Floor_c-$A154)+Beta_q*((1-(((Alpha_keep*$A154+O$3-Lo_c)/Step_c)-MAX(6,MIN(INT(((Alpha_keep*$A154+O$3-Lo_c)/Step_c)+0.00000001),193))))*INDEX($D$5:$D$205,MAX(6,MIN(INT(((Alpha_keep*$A154+O$3-Lo_c)/Step_c)+0.00000001),193))+1)+(((Alpha_keep*$A154+O$3-Lo_c)/Step_c)-MAX(6,MIN(INT(((Alpha_keep*$A154+O$3-Lo_c)/Step_c)+0.00000001),193)))*INDEX($D$5:$D$205,MAX(6,MIN(INT(((Alpha_keep*$A154+O$3-Lo_c)/Step_c)+0.00000001),193))+2)),"")</f>
        <v>-204.321700169469</v>
      </c>
      <c r="P154" s="11" t="n">
        <f aca="false">MAX(E154:O154)</f>
        <v>-201.259852194879</v>
      </c>
      <c r="Q154" s="12" t="n">
        <f aca="false">INDEX($E$3:$O$3,MATCH(P154,E154:O154,0))</f>
        <v>0</v>
      </c>
      <c r="R154" s="20" t="n">
        <v>0</v>
      </c>
      <c r="S154" s="14" t="n">
        <f aca="false">IF(ABS(Q154-R154)&lt;0.000000001,1,0)</f>
        <v>1</v>
      </c>
      <c r="T154" s="21" t="n">
        <f aca="false">ABS(P154-B154)</f>
        <v>0</v>
      </c>
      <c r="U154" s="16" t="n">
        <f aca="false">Alpha_keep*A154+Q154</f>
        <v>65.56875</v>
      </c>
      <c r="V154" s="14" t="n">
        <f aca="false">INDEX(GuardBlock,150,ROUND(Q154/Step_h,0)+1)</f>
        <v>1</v>
      </c>
      <c r="W154" s="22" t="n">
        <v>0</v>
      </c>
    </row>
    <row r="155" customFormat="false" ht="15" hidden="false" customHeight="false" outlineLevel="0" collapsed="false">
      <c r="A155" s="18" t="n">
        <f aca="false">Grid!A155</f>
        <v>67.5</v>
      </c>
      <c r="B155" s="19" t="n">
        <v>-200.560648498319</v>
      </c>
      <c r="C155" s="14" t="n">
        <v>150</v>
      </c>
      <c r="D155" s="11" t="n">
        <f aca="false">IF(AND($C155&gt;=6,$C155&lt;=194),Declarations!$B$25*INDEX($B$5:$B$205,$C155+1-Declarations!$E$25)+Declarations!$B$26*INDEX($B$5:$B$205,$C155+1-Declarations!$E$26)+Declarations!$B$27*INDEX($B$5:$B$205,$C155+1-Declarations!$E$27)+Declarations!$B$28*INDEX($B$5:$B$205,$C155+1-Declarations!$E$28)+Declarations!$B$29*INDEX($B$5:$B$205,$C155+1-Declarations!$E$29),"")</f>
        <v>-200.578610715696</v>
      </c>
      <c r="E155" s="16" t="n">
        <f aca="false">IF(Grid!C155=1,-Cost_k*E$3-Short_p*MAX(0,Floor_c-$A155)+Beta_q*((1-(((Alpha_keep*$A155+E$3-Lo_c)/Step_c)-MAX(6,MIN(INT(((Alpha_keep*$A155+E$3-Lo_c)/Step_c)+0.00000001),193))))*INDEX($D$5:$D$205,MAX(6,MIN(INT(((Alpha_keep*$A155+E$3-Lo_c)/Step_c)+0.00000001),193))+1)+(((Alpha_keep*$A155+E$3-Lo_c)/Step_c)-MAX(6,MIN(INT(((Alpha_keep*$A155+E$3-Lo_c)/Step_c)+0.00000001),193)))*INDEX($D$5:$D$205,MAX(6,MIN(INT(((Alpha_keep*$A155+E$3-Lo_c)/Step_c)+0.00000001),193))+2)),"")</f>
        <v>-200.560648498319</v>
      </c>
      <c r="F155" s="16" t="n">
        <f aca="false">IF(Grid!D155=1,-Cost_k*F$3-Short_p*MAX(0,Floor_c-$A155)+Beta_q*((1-(((Alpha_keep*$A155+F$3-Lo_c)/Step_c)-MAX(6,MIN(INT(((Alpha_keep*$A155+F$3-Lo_c)/Step_c)+0.00000001),193))))*INDEX($D$5:$D$205,MAX(6,MIN(INT(((Alpha_keep*$A155+F$3-Lo_c)/Step_c)+0.00000001),193))+1)+(((Alpha_keep*$A155+F$3-Lo_c)/Step_c)-MAX(6,MIN(INT(((Alpha_keep*$A155+F$3-Lo_c)/Step_c)+0.00000001),193)))*INDEX($D$5:$D$205,MAX(6,MIN(INT(((Alpha_keep*$A155+F$3-Lo_c)/Step_c)+0.00000001),193))+2)),"")</f>
        <v>-200.849499393106</v>
      </c>
      <c r="G155" s="16" t="n">
        <f aca="false">IF(Grid!E155=1,-Cost_k*G$3-Short_p*MAX(0,Floor_c-$A155)+Beta_q*((1-(((Alpha_keep*$A155+G$3-Lo_c)/Step_c)-MAX(6,MIN(INT(((Alpha_keep*$A155+G$3-Lo_c)/Step_c)+0.00000001),193))))*INDEX($D$5:$D$205,MAX(6,MIN(INT(((Alpha_keep*$A155+G$3-Lo_c)/Step_c)+0.00000001),193))+1)+(((Alpha_keep*$A155+G$3-Lo_c)/Step_c)-MAX(6,MIN(INT(((Alpha_keep*$A155+G$3-Lo_c)/Step_c)+0.00000001),193)))*INDEX($D$5:$D$205,MAX(6,MIN(INT(((Alpha_keep*$A155+G$3-Lo_c)/Step_c)+0.00000001),193))+2)),"")</f>
        <v>-201.143174126899</v>
      </c>
      <c r="H155" s="16" t="n">
        <f aca="false">IF(Grid!F155=1,-Cost_k*H$3-Short_p*MAX(0,Floor_c-$A155)+Beta_q*((1-(((Alpha_keep*$A155+H$3-Lo_c)/Step_c)-MAX(6,MIN(INT(((Alpha_keep*$A155+H$3-Lo_c)/Step_c)+0.00000001),193))))*INDEX($D$5:$D$205,MAX(6,MIN(INT(((Alpha_keep*$A155+H$3-Lo_c)/Step_c)+0.00000001),193))+1)+(((Alpha_keep*$A155+H$3-Lo_c)/Step_c)-MAX(6,MIN(INT(((Alpha_keep*$A155+H$3-Lo_c)/Step_c)+0.00000001),193)))*INDEX($D$5:$D$205,MAX(6,MIN(INT(((Alpha_keep*$A155+H$3-Lo_c)/Step_c)+0.00000001),193))+2)),"")</f>
        <v>-201.441494263983</v>
      </c>
      <c r="I155" s="16" t="n">
        <f aca="false">IF(Grid!G155=1,-Cost_k*I$3-Short_p*MAX(0,Floor_c-$A155)+Beta_q*((1-(((Alpha_keep*$A155+I$3-Lo_c)/Step_c)-MAX(6,MIN(INT(((Alpha_keep*$A155+I$3-Lo_c)/Step_c)+0.00000001),193))))*INDEX($D$5:$D$205,MAX(6,MIN(INT(((Alpha_keep*$A155+I$3-Lo_c)/Step_c)+0.00000001),193))+1)+(((Alpha_keep*$A155+I$3-Lo_c)/Step_c)-MAX(6,MIN(INT(((Alpha_keep*$A155+I$3-Lo_c)/Step_c)+0.00000001),193)))*INDEX($D$5:$D$205,MAX(6,MIN(INT(((Alpha_keep*$A155+I$3-Lo_c)/Step_c)+0.00000001),193))+2)),"")</f>
        <v>-201.745414159139</v>
      </c>
      <c r="J155" s="16" t="n">
        <f aca="false">IF(Grid!H155=1,-Cost_k*J$3-Short_p*MAX(0,Floor_c-$A155)+Beta_q*((1-(((Alpha_keep*$A155+J$3-Lo_c)/Step_c)-MAX(6,MIN(INT(((Alpha_keep*$A155+J$3-Lo_c)/Step_c)+0.00000001),193))))*INDEX($D$5:$D$205,MAX(6,MIN(INT(((Alpha_keep*$A155+J$3-Lo_c)/Step_c)+0.00000001),193))+1)+(((Alpha_keep*$A155+J$3-Lo_c)/Step_c)-MAX(6,MIN(INT(((Alpha_keep*$A155+J$3-Lo_c)/Step_c)+0.00000001),193)))*INDEX($D$5:$D$205,MAX(6,MIN(INT(((Alpha_keep*$A155+J$3-Lo_c)/Step_c)+0.00000001),193))+2)),"")</f>
        <v>-202.054456141479</v>
      </c>
      <c r="K155" s="16" t="n">
        <f aca="false">IF(Grid!I155=1,-Cost_k*K$3-Short_p*MAX(0,Floor_c-$A155)+Beta_q*((1-(((Alpha_keep*$A155+K$3-Lo_c)/Step_c)-MAX(6,MIN(INT(((Alpha_keep*$A155+K$3-Lo_c)/Step_c)+0.00000001),193))))*INDEX($D$5:$D$205,MAX(6,MIN(INT(((Alpha_keep*$A155+K$3-Lo_c)/Step_c)+0.00000001),193))+1)+(((Alpha_keep*$A155+K$3-Lo_c)/Step_c)-MAX(6,MIN(INT(((Alpha_keep*$A155+K$3-Lo_c)/Step_c)+0.00000001),193)))*INDEX($D$5:$D$205,MAX(6,MIN(INT(((Alpha_keep*$A155+K$3-Lo_c)/Step_c)+0.00000001),193))+2)),"")</f>
        <v>-202.367930361009</v>
      </c>
      <c r="L155" s="16" t="n">
        <f aca="false">IF(Grid!J155=1,-Cost_k*L$3-Short_p*MAX(0,Floor_c-$A155)+Beta_q*((1-(((Alpha_keep*$A155+L$3-Lo_c)/Step_c)-MAX(6,MIN(INT(((Alpha_keep*$A155+L$3-Lo_c)/Step_c)+0.00000001),193))))*INDEX($D$5:$D$205,MAX(6,MIN(INT(((Alpha_keep*$A155+L$3-Lo_c)/Step_c)+0.00000001),193))+1)+(((Alpha_keep*$A155+L$3-Lo_c)/Step_c)-MAX(6,MIN(INT(((Alpha_keep*$A155+L$3-Lo_c)/Step_c)+0.00000001),193)))*INDEX($D$5:$D$205,MAX(6,MIN(INT(((Alpha_keep*$A155+L$3-Lo_c)/Step_c)+0.00000001),193))+2)),"")</f>
        <v>-202.68645754781</v>
      </c>
      <c r="M155" s="16" t="n">
        <f aca="false">IF(Grid!K155=1,-Cost_k*M$3-Short_p*MAX(0,Floor_c-$A155)+Beta_q*((1-(((Alpha_keep*$A155+M$3-Lo_c)/Step_c)-MAX(6,MIN(INT(((Alpha_keep*$A155+M$3-Lo_c)/Step_c)+0.00000001),193))))*INDEX($D$5:$D$205,MAX(6,MIN(INT(((Alpha_keep*$A155+M$3-Lo_c)/Step_c)+0.00000001),193))+1)+(((Alpha_keep*$A155+M$3-Lo_c)/Step_c)-MAX(6,MIN(INT(((Alpha_keep*$A155+M$3-Lo_c)/Step_c)+0.00000001),193)))*INDEX($D$5:$D$205,MAX(6,MIN(INT(((Alpha_keep*$A155+M$3-Lo_c)/Step_c)+0.00000001),193))+2)),"")</f>
        <v>-203.010196475855</v>
      </c>
      <c r="N155" s="16" t="n">
        <f aca="false">IF(Grid!L155=1,-Cost_k*N$3-Short_p*MAX(0,Floor_c-$A155)+Beta_q*((1-(((Alpha_keep*$A155+N$3-Lo_c)/Step_c)-MAX(6,MIN(INT(((Alpha_keep*$A155+N$3-Lo_c)/Step_c)+0.00000001),193))))*INDEX($D$5:$D$205,MAX(6,MIN(INT(((Alpha_keep*$A155+N$3-Lo_c)/Step_c)+0.00000001),193))+1)+(((Alpha_keep*$A155+N$3-Lo_c)/Step_c)-MAX(6,MIN(INT(((Alpha_keep*$A155+N$3-Lo_c)/Step_c)+0.00000001),193)))*INDEX($D$5:$D$205,MAX(6,MIN(INT(((Alpha_keep*$A155+N$3-Lo_c)/Step_c)+0.00000001),193))+2)),"")</f>
        <v>-203.338412694435</v>
      </c>
      <c r="O155" s="16" t="n">
        <f aca="false">IF(Grid!M155=1,-Cost_k*O$3-Short_p*MAX(0,Floor_c-$A155)+Beta_q*((1-(((Alpha_keep*$A155+O$3-Lo_c)/Step_c)-MAX(6,MIN(INT(((Alpha_keep*$A155+O$3-Lo_c)/Step_c)+0.00000001),193))))*INDEX($D$5:$D$205,MAX(6,MIN(INT(((Alpha_keep*$A155+O$3-Lo_c)/Step_c)+0.00000001),193))+1)+(((Alpha_keep*$A155+O$3-Lo_c)/Step_c)-MAX(6,MIN(INT(((Alpha_keep*$A155+O$3-Lo_c)/Step_c)+0.00000001),193)))*INDEX($D$5:$D$205,MAX(6,MIN(INT(((Alpha_keep*$A155+O$3-Lo_c)/Step_c)+0.00000001),193))+2)),"")</f>
        <v>-203.671194605329</v>
      </c>
      <c r="P155" s="11" t="n">
        <f aca="false">MAX(E155:O155)</f>
        <v>-200.560648498319</v>
      </c>
      <c r="Q155" s="12" t="n">
        <f aca="false">INDEX($E$3:$O$3,MATCH(P155,E155:O155,0))</f>
        <v>0</v>
      </c>
      <c r="R155" s="20" t="n">
        <v>0</v>
      </c>
      <c r="S155" s="14" t="n">
        <f aca="false">IF(ABS(Q155-R155)&lt;0.000000001,1,0)</f>
        <v>1</v>
      </c>
      <c r="T155" s="21" t="n">
        <f aca="false">ABS(P155-B155)</f>
        <v>0</v>
      </c>
      <c r="U155" s="16" t="n">
        <f aca="false">Alpha_keep*A155+Q155</f>
        <v>65.8125</v>
      </c>
      <c r="V155" s="14" t="n">
        <f aca="false">INDEX(GuardBlock,151,ROUND(Q155/Step_h,0)+1)</f>
        <v>1</v>
      </c>
      <c r="W155" s="22" t="n">
        <v>0</v>
      </c>
    </row>
    <row r="156" customFormat="false" ht="15" hidden="false" customHeight="false" outlineLevel="0" collapsed="false">
      <c r="A156" s="18" t="n">
        <f aca="false">Grid!A156</f>
        <v>67.75</v>
      </c>
      <c r="B156" s="19" t="n">
        <v>-199.867184436066</v>
      </c>
      <c r="C156" s="14" t="n">
        <v>151</v>
      </c>
      <c r="D156" s="11" t="n">
        <f aca="false">IF(AND($C156&gt;=6,$C156&lt;=194),Declarations!$B$25*INDEX($B$5:$B$205,$C156+1-Declarations!$E$25)+Declarations!$B$26*INDEX($B$5:$B$205,$C156+1-Declarations!$E$26)+Declarations!$B$27*INDEX($B$5:$B$205,$C156+1-Declarations!$E$27)+Declarations!$B$28*INDEX($B$5:$B$205,$C156+1-Declarations!$E$28)+Declarations!$B$29*INDEX($B$5:$B$205,$C156+1-Declarations!$E$29),"")</f>
        <v>-199.884887625531</v>
      </c>
      <c r="E156" s="16" t="n">
        <f aca="false">IF(Grid!C156=1,-Cost_k*E$3-Short_p*MAX(0,Floor_c-$A156)+Beta_q*((1-(((Alpha_keep*$A156+E$3-Lo_c)/Step_c)-MAX(6,MIN(INT(((Alpha_keep*$A156+E$3-Lo_c)/Step_c)+0.00000001),193))))*INDEX($D$5:$D$205,MAX(6,MIN(INT(((Alpha_keep*$A156+E$3-Lo_c)/Step_c)+0.00000001),193))+1)+(((Alpha_keep*$A156+E$3-Lo_c)/Step_c)-MAX(6,MIN(INT(((Alpha_keep*$A156+E$3-Lo_c)/Step_c)+0.00000001),193)))*INDEX($D$5:$D$205,MAX(6,MIN(INT(((Alpha_keep*$A156+E$3-Lo_c)/Step_c)+0.00000001),193))+2)),"")</f>
        <v>-199.867184436066</v>
      </c>
      <c r="F156" s="16" t="n">
        <f aca="false">IF(Grid!D156=1,-Cost_k*F$3-Short_p*MAX(0,Floor_c-$A156)+Beta_q*((1-(((Alpha_keep*$A156+F$3-Lo_c)/Step_c)-MAX(6,MIN(INT(((Alpha_keep*$A156+F$3-Lo_c)/Step_c)+0.00000001),193))))*INDEX($D$5:$D$205,MAX(6,MIN(INT(((Alpha_keep*$A156+F$3-Lo_c)/Step_c)+0.00000001),193))+1)+(((Alpha_keep*$A156+F$3-Lo_c)/Step_c)-MAX(6,MIN(INT(((Alpha_keep*$A156+F$3-Lo_c)/Step_c)+0.00000001),193)))*INDEX($D$5:$D$205,MAX(6,MIN(INT(((Alpha_keep*$A156+F$3-Lo_c)/Step_c)+0.00000001),193))+2)),"")</f>
        <v>-200.160751524639</v>
      </c>
      <c r="G156" s="16" t="n">
        <f aca="false">IF(Grid!E156=1,-Cost_k*G$3-Short_p*MAX(0,Floor_c-$A156)+Beta_q*((1-(((Alpha_keep*$A156+G$3-Lo_c)/Step_c)-MAX(6,MIN(INT(((Alpha_keep*$A156+G$3-Lo_c)/Step_c)+0.00000001),193))))*INDEX($D$5:$D$205,MAX(6,MIN(INT(((Alpha_keep*$A156+G$3-Lo_c)/Step_c)+0.00000001),193))+1)+(((Alpha_keep*$A156+G$3-Lo_c)/Step_c)-MAX(6,MIN(INT(((Alpha_keep*$A156+G$3-Lo_c)/Step_c)+0.00000001),193)))*INDEX($D$5:$D$205,MAX(6,MIN(INT(((Alpha_keep*$A156+G$3-Lo_c)/Step_c)+0.00000001),193))+2)),"")</f>
        <v>-200.458930057054</v>
      </c>
      <c r="H156" s="16" t="n">
        <f aca="false">IF(Grid!F156=1,-Cost_k*H$3-Short_p*MAX(0,Floor_c-$A156)+Beta_q*((1-(((Alpha_keep*$A156+H$3-Lo_c)/Step_c)-MAX(6,MIN(INT(((Alpha_keep*$A156+H$3-Lo_c)/Step_c)+0.00000001),193))))*INDEX($D$5:$D$205,MAX(6,MIN(INT(((Alpha_keep*$A156+H$3-Lo_c)/Step_c)+0.00000001),193))+1)+(((Alpha_keep*$A156+H$3-Lo_c)/Step_c)-MAX(6,MIN(INT(((Alpha_keep*$A156+H$3-Lo_c)/Step_c)+0.00000001),193)))*INDEX($D$5:$D$205,MAX(6,MIN(INT(((Alpha_keep*$A156+H$3-Lo_c)/Step_c)+0.00000001),193))+2)),"")</f>
        <v>-200.762714790411</v>
      </c>
      <c r="I156" s="16" t="n">
        <f aca="false">IF(Grid!G156=1,-Cost_k*I$3-Short_p*MAX(0,Floor_c-$A156)+Beta_q*((1-(((Alpha_keep*$A156+I$3-Lo_c)/Step_c)-MAX(6,MIN(INT(((Alpha_keep*$A156+I$3-Lo_c)/Step_c)+0.00000001),193))))*INDEX($D$5:$D$205,MAX(6,MIN(INT(((Alpha_keep*$A156+I$3-Lo_c)/Step_c)+0.00000001),193))+1)+(((Alpha_keep*$A156+I$3-Lo_c)/Step_c)-MAX(6,MIN(INT(((Alpha_keep*$A156+I$3-Lo_c)/Step_c)+0.00000001),193)))*INDEX($D$5:$D$205,MAX(6,MIN(INT(((Alpha_keep*$A156+I$3-Lo_c)/Step_c)+0.00000001),193))+2)),"")</f>
        <v>-201.071650049427</v>
      </c>
      <c r="J156" s="16" t="n">
        <f aca="false">IF(Grid!H156=1,-Cost_k*J$3-Short_p*MAX(0,Floor_c-$A156)+Beta_q*((1-(((Alpha_keep*$A156+J$3-Lo_c)/Step_c)-MAX(6,MIN(INT(((Alpha_keep*$A156+J$3-Lo_c)/Step_c)+0.00000001),193))))*INDEX($D$5:$D$205,MAX(6,MIN(INT(((Alpha_keep*$A156+J$3-Lo_c)/Step_c)+0.00000001),193))+1)+(((Alpha_keep*$A156+J$3-Lo_c)/Step_c)-MAX(6,MIN(INT(((Alpha_keep*$A156+J$3-Lo_c)/Step_c)+0.00000001),193)))*INDEX($D$5:$D$205,MAX(6,MIN(INT(((Alpha_keep*$A156+J$3-Lo_c)/Step_c)+0.00000001),193))+2)),"")</f>
        <v>-201.385001215212</v>
      </c>
      <c r="K156" s="16" t="n">
        <f aca="false">IF(Grid!I156=1,-Cost_k*K$3-Short_p*MAX(0,Floor_c-$A156)+Beta_q*((1-(((Alpha_keep*$A156+K$3-Lo_c)/Step_c)-MAX(6,MIN(INT(((Alpha_keep*$A156+K$3-Lo_c)/Step_c)+0.00000001),193))))*INDEX($D$5:$D$205,MAX(6,MIN(INT(((Alpha_keep*$A156+K$3-Lo_c)/Step_c)+0.00000001),193))+1)+(((Alpha_keep*$A156+K$3-Lo_c)/Step_c)-MAX(6,MIN(INT(((Alpha_keep*$A156+K$3-Lo_c)/Step_c)+0.00000001),193)))*INDEX($D$5:$D$205,MAX(6,MIN(INT(((Alpha_keep*$A156+K$3-Lo_c)/Step_c)+0.00000001),193))+2)),"")</f>
        <v>-201.703392266523</v>
      </c>
      <c r="L156" s="16" t="n">
        <f aca="false">IF(Grid!J156=1,-Cost_k*L$3-Short_p*MAX(0,Floor_c-$A156)+Beta_q*((1-(((Alpha_keep*$A156+L$3-Lo_c)/Step_c)-MAX(6,MIN(INT(((Alpha_keep*$A156+L$3-Lo_c)/Step_c)+0.00000001),193))))*INDEX($D$5:$D$205,MAX(6,MIN(INT(((Alpha_keep*$A156+L$3-Lo_c)/Step_c)+0.00000001),193))+1)+(((Alpha_keep*$A156+L$3-Lo_c)/Step_c)-MAX(6,MIN(INT(((Alpha_keep*$A156+L$3-Lo_c)/Step_c)+0.00000001),193)))*INDEX($D$5:$D$205,MAX(6,MIN(INT(((Alpha_keep*$A156+L$3-Lo_c)/Step_c)+0.00000001),193))+2)),"")</f>
        <v>-202.027018426913</v>
      </c>
      <c r="M156" s="16" t="n">
        <f aca="false">IF(Grid!K156=1,-Cost_k*M$3-Short_p*MAX(0,Floor_c-$A156)+Beta_q*((1-(((Alpha_keep*$A156+M$3-Lo_c)/Step_c)-MAX(6,MIN(INT(((Alpha_keep*$A156+M$3-Lo_c)/Step_c)+0.00000001),193))))*INDEX($D$5:$D$205,MAX(6,MIN(INT(((Alpha_keep*$A156+M$3-Lo_c)/Step_c)+0.00000001),193))+1)+(((Alpha_keep*$A156+M$3-Lo_c)/Step_c)-MAX(6,MIN(INT(((Alpha_keep*$A156+M$3-Lo_c)/Step_c)+0.00000001),193)))*INDEX($D$5:$D$205,MAX(6,MIN(INT(((Alpha_keep*$A156+M$3-Lo_c)/Step_c)+0.00000001),193))+2)),"")</f>
        <v>-202.355125219401</v>
      </c>
      <c r="N156" s="16" t="n">
        <f aca="false">IF(Grid!L156=1,-Cost_k*N$3-Short_p*MAX(0,Floor_c-$A156)+Beta_q*((1-(((Alpha_keep*$A156+N$3-Lo_c)/Step_c)-MAX(6,MIN(INT(((Alpha_keep*$A156+N$3-Lo_c)/Step_c)+0.00000001),193))))*INDEX($D$5:$D$205,MAX(6,MIN(INT(((Alpha_keep*$A156+N$3-Lo_c)/Step_c)+0.00000001),193))+1)+(((Alpha_keep*$A156+N$3-Lo_c)/Step_c)-MAX(6,MIN(INT(((Alpha_keep*$A156+N$3-Lo_c)/Step_c)+0.00000001),193)))*INDEX($D$5:$D$205,MAX(6,MIN(INT(((Alpha_keep*$A156+N$3-Lo_c)/Step_c)+0.00000001),193))+2)),"")</f>
        <v>-202.687778839341</v>
      </c>
      <c r="O156" s="16" t="n">
        <f aca="false">IF(Grid!M156=1,-Cost_k*O$3-Short_p*MAX(0,Floor_c-$A156)+Beta_q*((1-(((Alpha_keep*$A156+O$3-Lo_c)/Step_c)-MAX(6,MIN(INT(((Alpha_keep*$A156+O$3-Lo_c)/Step_c)+0.00000001),193))))*INDEX($D$5:$D$205,MAX(6,MIN(INT(((Alpha_keep*$A156+O$3-Lo_c)/Step_c)+0.00000001),193))+1)+(((Alpha_keep*$A156+O$3-Lo_c)/Step_c)-MAX(6,MIN(INT(((Alpha_keep*$A156+O$3-Lo_c)/Step_c)+0.00000001),193)))*INDEX($D$5:$D$205,MAX(6,MIN(INT(((Alpha_keep*$A156+O$3-Lo_c)/Step_c)+0.00000001),193))+2)),"")</f>
        <v>-203.025487456632</v>
      </c>
      <c r="P156" s="11" t="n">
        <f aca="false">MAX(E156:O156)</f>
        <v>-199.867184436066</v>
      </c>
      <c r="Q156" s="12" t="n">
        <f aca="false">INDEX($E$3:$O$3,MATCH(P156,E156:O156,0))</f>
        <v>0</v>
      </c>
      <c r="R156" s="20" t="n">
        <v>0</v>
      </c>
      <c r="S156" s="14" t="n">
        <f aca="false">IF(ABS(Q156-R156)&lt;0.000000001,1,0)</f>
        <v>1</v>
      </c>
      <c r="T156" s="21" t="n">
        <f aca="false">ABS(P156-B156)</f>
        <v>0</v>
      </c>
      <c r="U156" s="16" t="n">
        <f aca="false">Alpha_keep*A156+Q156</f>
        <v>66.05625</v>
      </c>
      <c r="V156" s="14" t="n">
        <f aca="false">INDEX(GuardBlock,152,ROUND(Q156/Step_h,0)+1)</f>
        <v>1</v>
      </c>
      <c r="W156" s="22" t="n">
        <v>0</v>
      </c>
    </row>
    <row r="157" customFormat="false" ht="15" hidden="false" customHeight="false" outlineLevel="0" collapsed="false">
      <c r="A157" s="18" t="n">
        <f aca="false">Grid!A157</f>
        <v>68</v>
      </c>
      <c r="B157" s="19" t="n">
        <v>-199.178328922379</v>
      </c>
      <c r="C157" s="14" t="n">
        <v>152</v>
      </c>
      <c r="D157" s="11" t="n">
        <f aca="false">IF(AND($C157&gt;=6,$C157&lt;=194),Declarations!$B$25*INDEX($B$5:$B$205,$C157+1-Declarations!$E$25)+Declarations!$B$26*INDEX($B$5:$B$205,$C157+1-Declarations!$E$26)+Declarations!$B$27*INDEX($B$5:$B$205,$C157+1-Declarations!$E$27)+Declarations!$B$28*INDEX($B$5:$B$205,$C157+1-Declarations!$E$28)+Declarations!$B$29*INDEX($B$5:$B$205,$C157+1-Declarations!$E$29),"")</f>
        <v>-199.195784011286</v>
      </c>
      <c r="E157" s="16" t="n">
        <f aca="false">IF(Grid!C157=1,-Cost_k*E$3-Short_p*MAX(0,Floor_c-$A157)+Beta_q*((1-(((Alpha_keep*$A157+E$3-Lo_c)/Step_c)-MAX(6,MIN(INT(((Alpha_keep*$A157+E$3-Lo_c)/Step_c)+0.00000001),193))))*INDEX($D$5:$D$205,MAX(6,MIN(INT(((Alpha_keep*$A157+E$3-Lo_c)/Step_c)+0.00000001),193))+1)+(((Alpha_keep*$A157+E$3-Lo_c)/Step_c)-MAX(6,MIN(INT(((Alpha_keep*$A157+E$3-Lo_c)/Step_c)+0.00000001),193)))*INDEX($D$5:$D$205,MAX(6,MIN(INT(((Alpha_keep*$A157+E$3-Lo_c)/Step_c)+0.00000001),193))+2)),"")</f>
        <v>-199.178328922379</v>
      </c>
      <c r="F157" s="16" t="n">
        <f aca="false">IF(Grid!D157=1,-Cost_k*F$3-Short_p*MAX(0,Floor_c-$A157)+Beta_q*((1-(((Alpha_keep*$A157+F$3-Lo_c)/Step_c)-MAX(6,MIN(INT(((Alpha_keep*$A157+F$3-Lo_c)/Step_c)+0.00000001),193))))*INDEX($D$5:$D$205,MAX(6,MIN(INT(((Alpha_keep*$A157+F$3-Lo_c)/Step_c)+0.00000001),193))+1)+(((Alpha_keep*$A157+F$3-Lo_c)/Step_c)-MAX(6,MIN(INT(((Alpha_keep*$A157+F$3-Lo_c)/Step_c)+0.00000001),193)))*INDEX($D$5:$D$205,MAX(6,MIN(INT(((Alpha_keep*$A157+F$3-Lo_c)/Step_c)+0.00000001),193))+2)),"")</f>
        <v>-199.476365850125</v>
      </c>
      <c r="G157" s="16" t="n">
        <f aca="false">IF(Grid!E157=1,-Cost_k*G$3-Short_p*MAX(0,Floor_c-$A157)+Beta_q*((1-(((Alpha_keep*$A157+G$3-Lo_c)/Step_c)-MAX(6,MIN(INT(((Alpha_keep*$A157+G$3-Lo_c)/Step_c)+0.00000001),193))))*INDEX($D$5:$D$205,MAX(6,MIN(INT(((Alpha_keep*$A157+G$3-Lo_c)/Step_c)+0.00000001),193))+1)+(((Alpha_keep*$A157+G$3-Lo_c)/Step_c)-MAX(6,MIN(INT(((Alpha_keep*$A157+G$3-Lo_c)/Step_c)+0.00000001),193)))*INDEX($D$5:$D$205,MAX(6,MIN(INT(((Alpha_keep*$A157+G$3-Lo_c)/Step_c)+0.00000001),193))+2)),"")</f>
        <v>-199.780015421684</v>
      </c>
      <c r="H157" s="16" t="n">
        <f aca="false">IF(Grid!F157=1,-Cost_k*H$3-Short_p*MAX(0,Floor_c-$A157)+Beta_q*((1-(((Alpha_keep*$A157+H$3-Lo_c)/Step_c)-MAX(6,MIN(INT(((Alpha_keep*$A157+H$3-Lo_c)/Step_c)+0.00000001),193))))*INDEX($D$5:$D$205,MAX(6,MIN(INT(((Alpha_keep*$A157+H$3-Lo_c)/Step_c)+0.00000001),193))+1)+(((Alpha_keep*$A157+H$3-Lo_c)/Step_c)-MAX(6,MIN(INT(((Alpha_keep*$A157+H$3-Lo_c)/Step_c)+0.00000001),193)))*INDEX($D$5:$D$205,MAX(6,MIN(INT(((Alpha_keep*$A157+H$3-Lo_c)/Step_c)+0.00000001),193))+2)),"")</f>
        <v>-200.088843957375</v>
      </c>
      <c r="I157" s="16" t="n">
        <f aca="false">IF(Grid!G157=1,-Cost_k*I$3-Short_p*MAX(0,Floor_c-$A157)+Beta_q*((1-(((Alpha_keep*$A157+I$3-Lo_c)/Step_c)-MAX(6,MIN(INT(((Alpha_keep*$A157+I$3-Lo_c)/Step_c)+0.00000001),193))))*INDEX($D$5:$D$205,MAX(6,MIN(INT(((Alpha_keep*$A157+I$3-Lo_c)/Step_c)+0.00000001),193))+1)+(((Alpha_keep*$A157+I$3-Lo_c)/Step_c)-MAX(6,MIN(INT(((Alpha_keep*$A157+I$3-Lo_c)/Step_c)+0.00000001),193)))*INDEX($D$5:$D$205,MAX(6,MIN(INT(((Alpha_keep*$A157+I$3-Lo_c)/Step_c)+0.00000001),193))+2)),"")</f>
        <v>-200.402072069415</v>
      </c>
      <c r="J157" s="16" t="n">
        <f aca="false">IF(Grid!H157=1,-Cost_k*J$3-Short_p*MAX(0,Floor_c-$A157)+Beta_q*((1-(((Alpha_keep*$A157+J$3-Lo_c)/Step_c)-MAX(6,MIN(INT(((Alpha_keep*$A157+J$3-Lo_c)/Step_c)+0.00000001),193))))*INDEX($D$5:$D$205,MAX(6,MIN(INT(((Alpha_keep*$A157+J$3-Lo_c)/Step_c)+0.00000001),193))+1)+(((Alpha_keep*$A157+J$3-Lo_c)/Step_c)-MAX(6,MIN(INT(((Alpha_keep*$A157+J$3-Lo_c)/Step_c)+0.00000001),193)))*INDEX($D$5:$D$205,MAX(6,MIN(INT(((Alpha_keep*$A157+J$3-Lo_c)/Step_c)+0.00000001),193))+2)),"")</f>
        <v>-200.720326985235</v>
      </c>
      <c r="K157" s="16" t="n">
        <f aca="false">IF(Grid!I157=1,-Cost_k*K$3-Short_p*MAX(0,Floor_c-$A157)+Beta_q*((1-(((Alpha_keep*$A157+K$3-Lo_c)/Step_c)-MAX(6,MIN(INT(((Alpha_keep*$A157+K$3-Lo_c)/Step_c)+0.00000001),193))))*INDEX($D$5:$D$205,MAX(6,MIN(INT(((Alpha_keep*$A157+K$3-Lo_c)/Step_c)+0.00000001),193))+1)+(((Alpha_keep*$A157+K$3-Lo_c)/Step_c)-MAX(6,MIN(INT(((Alpha_keep*$A157+K$3-Lo_c)/Step_c)+0.00000001),193)))*INDEX($D$5:$D$205,MAX(6,MIN(INT(((Alpha_keep*$A157+K$3-Lo_c)/Step_c)+0.00000001),193))+2)),"")</f>
        <v>-201.043840377972</v>
      </c>
      <c r="L157" s="16" t="n">
        <f aca="false">IF(Grid!J157=1,-Cost_k*L$3-Short_p*MAX(0,Floor_c-$A157)+Beta_q*((1-(((Alpha_keep*$A157+L$3-Lo_c)/Step_c)-MAX(6,MIN(INT(((Alpha_keep*$A157+L$3-Lo_c)/Step_c)+0.00000001),193))))*INDEX($D$5:$D$205,MAX(6,MIN(INT(((Alpha_keep*$A157+L$3-Lo_c)/Step_c)+0.00000001),193))+1)+(((Alpha_keep*$A157+L$3-Lo_c)/Step_c)-MAX(6,MIN(INT(((Alpha_keep*$A157+L$3-Lo_c)/Step_c)+0.00000001),193)))*INDEX($D$5:$D$205,MAX(6,MIN(INT(((Alpha_keep*$A157+L$3-Lo_c)/Step_c)+0.00000001),193))+2)),"")</f>
        <v>-201.371837744368</v>
      </c>
      <c r="M157" s="16" t="n">
        <f aca="false">IF(Grid!K157=1,-Cost_k*M$3-Short_p*MAX(0,Floor_c-$A157)+Beta_q*((1-(((Alpha_keep*$A157+M$3-Lo_c)/Step_c)-MAX(6,MIN(INT(((Alpha_keep*$A157+M$3-Lo_c)/Step_c)+0.00000001),193))))*INDEX($D$5:$D$205,MAX(6,MIN(INT(((Alpha_keep*$A157+M$3-Lo_c)/Step_c)+0.00000001),193))+1)+(((Alpha_keep*$A157+M$3-Lo_c)/Step_c)-MAX(6,MIN(INT(((Alpha_keep*$A157+M$3-Lo_c)/Step_c)+0.00000001),193)))*INDEX($D$5:$D$205,MAX(6,MIN(INT(((Alpha_keep*$A157+M$3-Lo_c)/Step_c)+0.00000001),193))+2)),"")</f>
        <v>-201.704363073352</v>
      </c>
      <c r="N157" s="16" t="n">
        <f aca="false">IF(Grid!L157=1,-Cost_k*N$3-Short_p*MAX(0,Floor_c-$A157)+Beta_q*((1-(((Alpha_keep*$A157+N$3-Lo_c)/Step_c)-MAX(6,MIN(INT(((Alpha_keep*$A157+N$3-Lo_c)/Step_c)+0.00000001),193))))*INDEX($D$5:$D$205,MAX(6,MIN(INT(((Alpha_keep*$A157+N$3-Lo_c)/Step_c)+0.00000001),193))+1)+(((Alpha_keep*$A157+N$3-Lo_c)/Step_c)-MAX(6,MIN(INT(((Alpha_keep*$A157+N$3-Lo_c)/Step_c)+0.00000001),193)))*INDEX($D$5:$D$205,MAX(6,MIN(INT(((Alpha_keep*$A157+N$3-Lo_c)/Step_c)+0.00000001),193))+2)),"")</f>
        <v>-202.041951915339</v>
      </c>
      <c r="O157" s="16" t="n">
        <f aca="false">IF(Grid!M157=1,-Cost_k*O$3-Short_p*MAX(0,Floor_c-$A157)+Beta_q*((1-(((Alpha_keep*$A157+O$3-Lo_c)/Step_c)-MAX(6,MIN(INT(((Alpha_keep*$A157+O$3-Lo_c)/Step_c)+0.00000001),193))))*INDEX($D$5:$D$205,MAX(6,MIN(INT(((Alpha_keep*$A157+O$3-Lo_c)/Step_c)+0.00000001),193))+1)+(((Alpha_keep*$A157+O$3-Lo_c)/Step_c)-MAX(6,MIN(INT(((Alpha_keep*$A157+O$3-Lo_c)/Step_c)+0.00000001),193)))*INDEX($D$5:$D$205,MAX(6,MIN(INT(((Alpha_keep*$A157+O$3-Lo_c)/Step_c)+0.00000001),193))+2)),"")</f>
        <v>-202.384204987919</v>
      </c>
      <c r="P157" s="11" t="n">
        <f aca="false">MAX(E157:O157)</f>
        <v>-199.178328922379</v>
      </c>
      <c r="Q157" s="12" t="n">
        <f aca="false">INDEX($E$3:$O$3,MATCH(P157,E157:O157,0))</f>
        <v>0</v>
      </c>
      <c r="R157" s="20" t="n">
        <v>0</v>
      </c>
      <c r="S157" s="14" t="n">
        <f aca="false">IF(ABS(Q157-R157)&lt;0.000000001,1,0)</f>
        <v>1</v>
      </c>
      <c r="T157" s="21" t="n">
        <f aca="false">ABS(P157-B157)</f>
        <v>0</v>
      </c>
      <c r="U157" s="16" t="n">
        <f aca="false">Alpha_keep*A157+Q157</f>
        <v>66.3</v>
      </c>
      <c r="V157" s="14" t="n">
        <f aca="false">INDEX(GuardBlock,153,ROUND(Q157/Step_h,0)+1)</f>
        <v>1</v>
      </c>
      <c r="W157" s="22" t="n">
        <v>0</v>
      </c>
    </row>
    <row r="158" customFormat="false" ht="15" hidden="false" customHeight="false" outlineLevel="0" collapsed="false">
      <c r="A158" s="18" t="n">
        <f aca="false">Grid!A158</f>
        <v>68.25</v>
      </c>
      <c r="B158" s="19" t="n">
        <v>-198.493801643195</v>
      </c>
      <c r="C158" s="14" t="n">
        <v>153</v>
      </c>
      <c r="D158" s="11" t="n">
        <f aca="false">IF(AND($C158&gt;=6,$C158&lt;=194),Declarations!$B$25*INDEX($B$5:$B$205,$C158+1-Declarations!$E$25)+Declarations!$B$26*INDEX($B$5:$B$205,$C158+1-Declarations!$E$26)+Declarations!$B$27*INDEX($B$5:$B$205,$C158+1-Declarations!$E$27)+Declarations!$B$28*INDEX($B$5:$B$205,$C158+1-Declarations!$E$28)+Declarations!$B$29*INDEX($B$5:$B$205,$C158+1-Declarations!$E$29),"")</f>
        <v>-198.511162987394</v>
      </c>
      <c r="E158" s="16" t="n">
        <f aca="false">IF(Grid!C158=1,-Cost_k*E$3-Short_p*MAX(0,Floor_c-$A158)+Beta_q*((1-(((Alpha_keep*$A158+E$3-Lo_c)/Step_c)-MAX(6,MIN(INT(((Alpha_keep*$A158+E$3-Lo_c)/Step_c)+0.00000001),193))))*INDEX($D$5:$D$205,MAX(6,MIN(INT(((Alpha_keep*$A158+E$3-Lo_c)/Step_c)+0.00000001),193))+1)+(((Alpha_keep*$A158+E$3-Lo_c)/Step_c)-MAX(6,MIN(INT(((Alpha_keep*$A158+E$3-Lo_c)/Step_c)+0.00000001),193)))*INDEX($D$5:$D$205,MAX(6,MIN(INT(((Alpha_keep*$A158+E$3-Lo_c)/Step_c)+0.00000001),193))+2)),"")</f>
        <v>-198.493801643195</v>
      </c>
      <c r="F158" s="16" t="n">
        <f aca="false">IF(Grid!D158=1,-Cost_k*F$3-Short_p*MAX(0,Floor_c-$A158)+Beta_q*((1-(((Alpha_keep*$A158+F$3-Lo_c)/Step_c)-MAX(6,MIN(INT(((Alpha_keep*$A158+F$3-Lo_c)/Step_c)+0.00000001),193))))*INDEX($D$5:$D$205,MAX(6,MIN(INT(((Alpha_keep*$A158+F$3-Lo_c)/Step_c)+0.00000001),193))+1)+(((Alpha_keep*$A158+F$3-Lo_c)/Step_c)-MAX(6,MIN(INT(((Alpha_keep*$A158+F$3-Lo_c)/Step_c)+0.00000001),193)))*INDEX($D$5:$D$205,MAX(6,MIN(INT(((Alpha_keep*$A158+F$3-Lo_c)/Step_c)+0.00000001),193))+2)),"")</f>
        <v>-198.797316052957</v>
      </c>
      <c r="G158" s="16" t="n">
        <f aca="false">IF(Grid!E158=1,-Cost_k*G$3-Short_p*MAX(0,Floor_c-$A158)+Beta_q*((1-(((Alpha_keep*$A158+G$3-Lo_c)/Step_c)-MAX(6,MIN(INT(((Alpha_keep*$A158+G$3-Lo_c)/Step_c)+0.00000001),193))))*INDEX($D$5:$D$205,MAX(6,MIN(INT(((Alpha_keep*$A158+G$3-Lo_c)/Step_c)+0.00000001),193))+1)+(((Alpha_keep*$A158+G$3-Lo_c)/Step_c)-MAX(6,MIN(INT(((Alpha_keep*$A158+G$3-Lo_c)/Step_c)+0.00000001),193)))*INDEX($D$5:$D$205,MAX(6,MIN(INT(((Alpha_keep*$A158+G$3-Lo_c)/Step_c)+0.00000001),193))+2)),"")</f>
        <v>-199.106037865323</v>
      </c>
      <c r="H158" s="16" t="n">
        <f aca="false">IF(Grid!F158=1,-Cost_k*H$3-Short_p*MAX(0,Floor_c-$A158)+Beta_q*((1-(((Alpha_keep*$A158+H$3-Lo_c)/Step_c)-MAX(6,MIN(INT(((Alpha_keep*$A158+H$3-Lo_c)/Step_c)+0.00000001),193))))*INDEX($D$5:$D$205,MAX(6,MIN(INT(((Alpha_keep*$A158+H$3-Lo_c)/Step_c)+0.00000001),193))+1)+(((Alpha_keep*$A158+H$3-Lo_c)/Step_c)-MAX(6,MIN(INT(((Alpha_keep*$A158+H$3-Lo_c)/Step_c)+0.00000001),193)))*INDEX($D$5:$D$205,MAX(6,MIN(INT(((Alpha_keep*$A158+H$3-Lo_c)/Step_c)+0.00000001),193))+2)),"")</f>
        <v>-199.419142923617</v>
      </c>
      <c r="I158" s="16" t="n">
        <f aca="false">IF(Grid!G158=1,-Cost_k*I$3-Short_p*MAX(0,Floor_c-$A158)+Beta_q*((1-(((Alpha_keep*$A158+I$3-Lo_c)/Step_c)-MAX(6,MIN(INT(((Alpha_keep*$A158+I$3-Lo_c)/Step_c)+0.00000001),193))))*INDEX($D$5:$D$205,MAX(6,MIN(INT(((Alpha_keep*$A158+I$3-Lo_c)/Step_c)+0.00000001),193))+1)+(((Alpha_keep*$A158+I$3-Lo_c)/Step_c)-MAX(6,MIN(INT(((Alpha_keep*$A158+I$3-Lo_c)/Step_c)+0.00000001),193)))*INDEX($D$5:$D$205,MAX(6,MIN(INT(((Alpha_keep*$A158+I$3-Lo_c)/Step_c)+0.00000001),193))+2)),"")</f>
        <v>-199.737261703947</v>
      </c>
      <c r="J158" s="16" t="n">
        <f aca="false">IF(Grid!H158=1,-Cost_k*J$3-Short_p*MAX(0,Floor_c-$A158)+Beta_q*((1-(((Alpha_keep*$A158+J$3-Lo_c)/Step_c)-MAX(6,MIN(INT(((Alpha_keep*$A158+J$3-Lo_c)/Step_c)+0.00000001),193))))*INDEX($D$5:$D$205,MAX(6,MIN(INT(((Alpha_keep*$A158+J$3-Lo_c)/Step_c)+0.00000001),193))+1)+(((Alpha_keep*$A158+J$3-Lo_c)/Step_c)-MAX(6,MIN(INT(((Alpha_keep*$A158+J$3-Lo_c)/Step_c)+0.00000001),193)))*INDEX($D$5:$D$205,MAX(6,MIN(INT(((Alpha_keep*$A158+J$3-Lo_c)/Step_c)+0.00000001),193))+2)),"")</f>
        <v>-200.06066232903</v>
      </c>
      <c r="K158" s="16" t="n">
        <f aca="false">IF(Grid!I158=1,-Cost_k*K$3-Short_p*MAX(0,Floor_c-$A158)+Beta_q*((1-(((Alpha_keep*$A158+K$3-Lo_c)/Step_c)-MAX(6,MIN(INT(((Alpha_keep*$A158+K$3-Lo_c)/Step_c)+0.00000001),193))))*INDEX($D$5:$D$205,MAX(6,MIN(INT(((Alpha_keep*$A158+K$3-Lo_c)/Step_c)+0.00000001),193))+1)+(((Alpha_keep*$A158+K$3-Lo_c)/Step_c)-MAX(6,MIN(INT(((Alpha_keep*$A158+K$3-Lo_c)/Step_c)+0.00000001),193)))*INDEX($D$5:$D$205,MAX(6,MIN(INT(((Alpha_keep*$A158+K$3-Lo_c)/Step_c)+0.00000001),193))+2)),"")</f>
        <v>-200.388550269334</v>
      </c>
      <c r="L158" s="16" t="n">
        <f aca="false">IF(Grid!J158=1,-Cost_k*L$3-Short_p*MAX(0,Floor_c-$A158)+Beta_q*((1-(((Alpha_keep*$A158+L$3-Lo_c)/Step_c)-MAX(6,MIN(INT(((Alpha_keep*$A158+L$3-Lo_c)/Step_c)+0.00000001),193))))*INDEX($D$5:$D$205,MAX(6,MIN(INT(((Alpha_keep*$A158+L$3-Lo_c)/Step_c)+0.00000001),193))+1)+(((Alpha_keep*$A158+L$3-Lo_c)/Step_c)-MAX(6,MIN(INT(((Alpha_keep*$A158+L$3-Lo_c)/Step_c)+0.00000001),193)))*INDEX($D$5:$D$205,MAX(6,MIN(INT(((Alpha_keep*$A158+L$3-Lo_c)/Step_c)+0.00000001),193))+2)),"")</f>
        <v>-200.720947307363</v>
      </c>
      <c r="M158" s="16" t="n">
        <f aca="false">IF(Grid!K158=1,-Cost_k*M$3-Short_p*MAX(0,Floor_c-$A158)+Beta_q*((1-(((Alpha_keep*$A158+M$3-Lo_c)/Step_c)-MAX(6,MIN(INT(((Alpha_keep*$A158+M$3-Lo_c)/Step_c)+0.00000001),193))))*INDEX($D$5:$D$205,MAX(6,MIN(INT(((Alpha_keep*$A158+M$3-Lo_c)/Step_c)+0.00000001),193))+1)+(((Alpha_keep*$A158+M$3-Lo_c)/Step_c)-MAX(6,MIN(INT(((Alpha_keep*$A158+M$3-Lo_c)/Step_c)+0.00000001),193)))*INDEX($D$5:$D$205,MAX(6,MIN(INT(((Alpha_keep*$A158+M$3-Lo_c)/Step_c)+0.00000001),193))+2)),"")</f>
        <v>-201.058416374045</v>
      </c>
      <c r="N158" s="16" t="n">
        <f aca="false">IF(Grid!L158=1,-Cost_k*N$3-Short_p*MAX(0,Floor_c-$A158)+Beta_q*((1-(((Alpha_keep*$A158+N$3-Lo_c)/Step_c)-MAX(6,MIN(INT(((Alpha_keep*$A158+N$3-Lo_c)/Step_c)+0.00000001),193))))*INDEX($D$5:$D$205,MAX(6,MIN(INT(((Alpha_keep*$A158+N$3-Lo_c)/Step_c)+0.00000001),193))+1)+(((Alpha_keep*$A158+N$3-Lo_c)/Step_c)-MAX(6,MIN(INT(((Alpha_keep*$A158+N$3-Lo_c)/Step_c)+0.00000001),193)))*INDEX($D$5:$D$205,MAX(6,MIN(INT(((Alpha_keep*$A158+N$3-Lo_c)/Step_c)+0.00000001),193))+2)),"")</f>
        <v>-201.400565519019</v>
      </c>
      <c r="O158" s="16" t="n">
        <f aca="false">IF(Grid!M158=1,-Cost_k*O$3-Short_p*MAX(0,Floor_c-$A158)+Beta_q*((1-(((Alpha_keep*$A158+O$3-Lo_c)/Step_c)-MAX(6,MIN(INT(((Alpha_keep*$A158+O$3-Lo_c)/Step_c)+0.00000001),193))))*INDEX($D$5:$D$205,MAX(6,MIN(INT(((Alpha_keep*$A158+O$3-Lo_c)/Step_c)+0.00000001),193))+1)+(((Alpha_keep*$A158+O$3-Lo_c)/Step_c)-MAX(6,MIN(INT(((Alpha_keep*$A158+O$3-Lo_c)/Step_c)+0.00000001),193)))*INDEX($D$5:$D$205,MAX(6,MIN(INT(((Alpha_keep*$A158+O$3-Lo_c)/Step_c)+0.00000001),193))+2)),"")</f>
        <v>-201.746954753331</v>
      </c>
      <c r="P158" s="11" t="n">
        <f aca="false">MAX(E158:O158)</f>
        <v>-198.493801643195</v>
      </c>
      <c r="Q158" s="12" t="n">
        <f aca="false">INDEX($E$3:$O$3,MATCH(P158,E158:O158,0))</f>
        <v>0</v>
      </c>
      <c r="R158" s="20" t="n">
        <v>0</v>
      </c>
      <c r="S158" s="14" t="n">
        <f aca="false">IF(ABS(Q158-R158)&lt;0.000000001,1,0)</f>
        <v>1</v>
      </c>
      <c r="T158" s="21" t="n">
        <f aca="false">ABS(P158-B158)</f>
        <v>0</v>
      </c>
      <c r="U158" s="16" t="n">
        <f aca="false">Alpha_keep*A158+Q158</f>
        <v>66.54375</v>
      </c>
      <c r="V158" s="14" t="n">
        <f aca="false">INDEX(GuardBlock,154,ROUND(Q158/Step_h,0)+1)</f>
        <v>1</v>
      </c>
      <c r="W158" s="22" t="n">
        <v>0</v>
      </c>
    </row>
    <row r="159" customFormat="false" ht="15" hidden="false" customHeight="false" outlineLevel="0" collapsed="false">
      <c r="A159" s="18" t="n">
        <f aca="false">Grid!A159</f>
        <v>68.5</v>
      </c>
      <c r="B159" s="19" t="n">
        <v>-197.814616684229</v>
      </c>
      <c r="C159" s="14" t="n">
        <v>154</v>
      </c>
      <c r="D159" s="11" t="n">
        <f aca="false">IF(AND($C159&gt;=6,$C159&lt;=194),Declarations!$B$25*INDEX($B$5:$B$205,$C159+1-Declarations!$E$25)+Declarations!$B$26*INDEX($B$5:$B$205,$C159+1-Declarations!$E$26)+Declarations!$B$27*INDEX($B$5:$B$205,$C159+1-Declarations!$E$27)+Declarations!$B$28*INDEX($B$5:$B$205,$C159+1-Declarations!$E$28)+Declarations!$B$29*INDEX($B$5:$B$205,$C159+1-Declarations!$E$29),"")</f>
        <v>-197.831797344438</v>
      </c>
      <c r="E159" s="16" t="n">
        <f aca="false">IF(Grid!C159=1,-Cost_k*E$3-Short_p*MAX(0,Floor_c-$A159)+Beta_q*((1-(((Alpha_keep*$A159+E$3-Lo_c)/Step_c)-MAX(6,MIN(INT(((Alpha_keep*$A159+E$3-Lo_c)/Step_c)+0.00000001),193))))*INDEX($D$5:$D$205,MAX(6,MIN(INT(((Alpha_keep*$A159+E$3-Lo_c)/Step_c)+0.00000001),193))+1)+(((Alpha_keep*$A159+E$3-Lo_c)/Step_c)-MAX(6,MIN(INT(((Alpha_keep*$A159+E$3-Lo_c)/Step_c)+0.00000001),193)))*INDEX($D$5:$D$205,MAX(6,MIN(INT(((Alpha_keep*$A159+E$3-Lo_c)/Step_c)+0.00000001),193))+2)),"")</f>
        <v>-197.814616684229</v>
      </c>
      <c r="F159" s="16" t="n">
        <f aca="false">IF(Grid!D159=1,-Cost_k*F$3-Short_p*MAX(0,Floor_c-$A159)+Beta_q*((1-(((Alpha_keep*$A159+F$3-Lo_c)/Step_c)-MAX(6,MIN(INT(((Alpha_keep*$A159+F$3-Lo_c)/Step_c)+0.00000001),193))))*INDEX($D$5:$D$205,MAX(6,MIN(INT(((Alpha_keep*$A159+F$3-Lo_c)/Step_c)+0.00000001),193))+1)+(((Alpha_keep*$A159+F$3-Lo_c)/Step_c)-MAX(6,MIN(INT(((Alpha_keep*$A159+F$3-Lo_c)/Step_c)+0.00000001),193)))*INDEX($D$5:$D$205,MAX(6,MIN(INT(((Alpha_keep*$A159+F$3-Lo_c)/Step_c)+0.00000001),193))+2)),"")</f>
        <v>-198.123231773271</v>
      </c>
      <c r="G159" s="16" t="n">
        <f aca="false">IF(Grid!E159=1,-Cost_k*G$3-Short_p*MAX(0,Floor_c-$A159)+Beta_q*((1-(((Alpha_keep*$A159+G$3-Lo_c)/Step_c)-MAX(6,MIN(INT(((Alpha_keep*$A159+G$3-Lo_c)/Step_c)+0.00000001),193))))*INDEX($D$5:$D$205,MAX(6,MIN(INT(((Alpha_keep*$A159+G$3-Lo_c)/Step_c)+0.00000001),193))+1)+(((Alpha_keep*$A159+G$3-Lo_c)/Step_c)-MAX(6,MIN(INT(((Alpha_keep*$A159+G$3-Lo_c)/Step_c)+0.00000001),193)))*INDEX($D$5:$D$205,MAX(6,MIN(INT(((Alpha_keep*$A159+G$3-Lo_c)/Step_c)+0.00000001),193))+2)),"")</f>
        <v>-198.43621377782</v>
      </c>
      <c r="H159" s="16" t="n">
        <f aca="false">IF(Grid!F159=1,-Cost_k*H$3-Short_p*MAX(0,Floor_c-$A159)+Beta_q*((1-(((Alpha_keep*$A159+H$3-Lo_c)/Step_c)-MAX(6,MIN(INT(((Alpha_keep*$A159+H$3-Lo_c)/Step_c)+0.00000001),193))))*INDEX($D$5:$D$205,MAX(6,MIN(INT(((Alpha_keep*$A159+H$3-Lo_c)/Step_c)+0.00000001),193))+1)+(((Alpha_keep*$A159+H$3-Lo_c)/Step_c)-MAX(6,MIN(INT(((Alpha_keep*$A159+H$3-Lo_c)/Step_c)+0.00000001),193)))*INDEX($D$5:$D$205,MAX(6,MIN(INT(((Alpha_keep*$A159+H$3-Lo_c)/Step_c)+0.00000001),193))+2)),"")</f>
        <v>-198.75419642266</v>
      </c>
      <c r="I159" s="16" t="n">
        <f aca="false">IF(Grid!G159=1,-Cost_k*I$3-Short_p*MAX(0,Floor_c-$A159)+Beta_q*((1-(((Alpha_keep*$A159+I$3-Lo_c)/Step_c)-MAX(6,MIN(INT(((Alpha_keep*$A159+I$3-Lo_c)/Step_c)+0.00000001),193))))*INDEX($D$5:$D$205,MAX(6,MIN(INT(((Alpha_keep*$A159+I$3-Lo_c)/Step_c)+0.00000001),193))+1)+(((Alpha_keep*$A159+I$3-Lo_c)/Step_c)-MAX(6,MIN(INT(((Alpha_keep*$A159+I$3-Lo_c)/Step_c)+0.00000001),193)))*INDEX($D$5:$D$205,MAX(6,MIN(INT(((Alpha_keep*$A159+I$3-Lo_c)/Step_c)+0.00000001),193))+2)),"")</f>
        <v>-199.077484280089</v>
      </c>
      <c r="J159" s="16" t="n">
        <f aca="false">IF(Grid!H159=1,-Cost_k*J$3-Short_p*MAX(0,Floor_c-$A159)+Beta_q*((1-(((Alpha_keep*$A159+J$3-Lo_c)/Step_c)-MAX(6,MIN(INT(((Alpha_keep*$A159+J$3-Lo_c)/Step_c)+0.00000001),193))))*INDEX($D$5:$D$205,MAX(6,MIN(INT(((Alpha_keep*$A159+J$3-Lo_c)/Step_c)+0.00000001),193))+1)+(((Alpha_keep*$A159+J$3-Lo_c)/Step_c)-MAX(6,MIN(INT(((Alpha_keep*$A159+J$3-Lo_c)/Step_c)+0.00000001),193)))*INDEX($D$5:$D$205,MAX(6,MIN(INT(((Alpha_keep*$A159+J$3-Lo_c)/Step_c)+0.00000001),193))+2)),"")</f>
        <v>-199.405262794301</v>
      </c>
      <c r="K159" s="16" t="n">
        <f aca="false">IF(Grid!I159=1,-Cost_k*K$3-Short_p*MAX(0,Floor_c-$A159)+Beta_q*((1-(((Alpha_keep*$A159+K$3-Lo_c)/Step_c)-MAX(6,MIN(INT(((Alpha_keep*$A159+K$3-Lo_c)/Step_c)+0.00000001),193))))*INDEX($D$5:$D$205,MAX(6,MIN(INT(((Alpha_keep*$A159+K$3-Lo_c)/Step_c)+0.00000001),193))+1)+(((Alpha_keep*$A159+K$3-Lo_c)/Step_c)-MAX(6,MIN(INT(((Alpha_keep*$A159+K$3-Lo_c)/Step_c)+0.00000001),193)))*INDEX($D$5:$D$205,MAX(6,MIN(INT(((Alpha_keep*$A159+K$3-Lo_c)/Step_c)+0.00000001),193))+2)),"")</f>
        <v>-199.737531541374</v>
      </c>
      <c r="L159" s="16" t="n">
        <f aca="false">IF(Grid!J159=1,-Cost_k*L$3-Short_p*MAX(0,Floor_c-$A159)+Beta_q*((1-(((Alpha_keep*$A159+L$3-Lo_c)/Step_c)-MAX(6,MIN(INT(((Alpha_keep*$A159+L$3-Lo_c)/Step_c)+0.00000001),193))))*INDEX($D$5:$D$205,MAX(6,MIN(INT(((Alpha_keep*$A159+L$3-Lo_c)/Step_c)+0.00000001),193))+1)+(((Alpha_keep*$A159+L$3-Lo_c)/Step_c)-MAX(6,MIN(INT(((Alpha_keep*$A159+L$3-Lo_c)/Step_c)+0.00000001),193)))*INDEX($D$5:$D$205,MAX(6,MIN(INT(((Alpha_keep*$A159+L$3-Lo_c)/Step_c)+0.00000001),193))+2)),"")</f>
        <v>-200.074880832752</v>
      </c>
      <c r="M159" s="16" t="n">
        <f aca="false">IF(Grid!K159=1,-Cost_k*M$3-Short_p*MAX(0,Floor_c-$A159)+Beta_q*((1-(((Alpha_keep*$A159+M$3-Lo_c)/Step_c)-MAX(6,MIN(INT(((Alpha_keep*$A159+M$3-Lo_c)/Step_c)+0.00000001),193))))*INDEX($D$5:$D$205,MAX(6,MIN(INT(((Alpha_keep*$A159+M$3-Lo_c)/Step_c)+0.00000001),193))+1)+(((Alpha_keep*$A159+M$3-Lo_c)/Step_c)-MAX(6,MIN(INT(((Alpha_keep*$A159+M$3-Lo_c)/Step_c)+0.00000001),193)))*INDEX($D$5:$D$205,MAX(6,MIN(INT(((Alpha_keep*$A159+M$3-Lo_c)/Step_c)+0.00000001),193))+2)),"")</f>
        <v>-200.41692605012</v>
      </c>
      <c r="N159" s="16" t="n">
        <f aca="false">IF(Grid!L159=1,-Cost_k*N$3-Short_p*MAX(0,Floor_c-$A159)+Beta_q*((1-(((Alpha_keep*$A159+N$3-Lo_c)/Step_c)-MAX(6,MIN(INT(((Alpha_keep*$A159+N$3-Lo_c)/Step_c)+0.00000001),193))))*INDEX($D$5:$D$205,MAX(6,MIN(INT(((Alpha_keep*$A159+N$3-Lo_c)/Step_c)+0.00000001),193))+1)+(((Alpha_keep*$A159+N$3-Lo_c)/Step_c)-MAX(6,MIN(INT(((Alpha_keep*$A159+N$3-Lo_c)/Step_c)+0.00000001),193)))*INDEX($D$5:$D$205,MAX(6,MIN(INT(((Alpha_keep*$A159+N$3-Lo_c)/Step_c)+0.00000001),193))+2)),"")</f>
        <v>-200.763199501811</v>
      </c>
      <c r="O159" s="16" t="n">
        <f aca="false">IF(Grid!M159=1,-Cost_k*O$3-Short_p*MAX(0,Floor_c-$A159)+Beta_q*((1-(((Alpha_keep*$A159+O$3-Lo_c)/Step_c)-MAX(6,MIN(INT(((Alpha_keep*$A159+O$3-Lo_c)/Step_c)+0.00000001),193))))*INDEX($D$5:$D$205,MAX(6,MIN(INT(((Alpha_keep*$A159+O$3-Lo_c)/Step_c)+0.00000001),193))+1)+(((Alpha_keep*$A159+O$3-Lo_c)/Step_c)-MAX(6,MIN(INT(((Alpha_keep*$A159+O$3-Lo_c)/Step_c)+0.00000001),193)))*INDEX($D$5:$D$205,MAX(6,MIN(INT(((Alpha_keep*$A159+O$3-Lo_c)/Step_c)+0.00000001),193))+2)),"")</f>
        <v>-201.114143645565</v>
      </c>
      <c r="P159" s="11" t="n">
        <f aca="false">MAX(E159:O159)</f>
        <v>-197.814616684229</v>
      </c>
      <c r="Q159" s="12" t="n">
        <f aca="false">INDEX($E$3:$O$3,MATCH(P159,E159:O159,0))</f>
        <v>0</v>
      </c>
      <c r="R159" s="20" t="n">
        <v>0</v>
      </c>
      <c r="S159" s="14" t="n">
        <f aca="false">IF(ABS(Q159-R159)&lt;0.000000001,1,0)</f>
        <v>1</v>
      </c>
      <c r="T159" s="21" t="n">
        <f aca="false">ABS(P159-B159)</f>
        <v>0</v>
      </c>
      <c r="U159" s="16" t="n">
        <f aca="false">Alpha_keep*A159+Q159</f>
        <v>66.7875</v>
      </c>
      <c r="V159" s="14" t="n">
        <f aca="false">INDEX(GuardBlock,155,ROUND(Q159/Step_h,0)+1)</f>
        <v>1</v>
      </c>
      <c r="W159" s="22" t="n">
        <v>0</v>
      </c>
    </row>
    <row r="160" customFormat="false" ht="15" hidden="false" customHeight="false" outlineLevel="0" collapsed="false">
      <c r="A160" s="18" t="n">
        <f aca="false">Grid!A160</f>
        <v>68.75</v>
      </c>
      <c r="B160" s="19" t="n">
        <v>-197.140425681219</v>
      </c>
      <c r="C160" s="14" t="n">
        <v>155</v>
      </c>
      <c r="D160" s="11" t="n">
        <f aca="false">IF(AND($C160&gt;=6,$C160&lt;=194),Declarations!$B$25*INDEX($B$5:$B$205,$C160+1-Declarations!$E$25)+Declarations!$B$26*INDEX($B$5:$B$205,$C160+1-Declarations!$E$26)+Declarations!$B$27*INDEX($B$5:$B$205,$C160+1-Declarations!$E$27)+Declarations!$B$28*INDEX($B$5:$B$205,$C160+1-Declarations!$E$28)+Declarations!$B$29*INDEX($B$5:$B$205,$C160+1-Declarations!$E$29),"")</f>
        <v>-197.157338242644</v>
      </c>
      <c r="E160" s="16" t="n">
        <f aca="false">IF(Grid!C160=1,-Cost_k*E$3-Short_p*MAX(0,Floor_c-$A160)+Beta_q*((1-(((Alpha_keep*$A160+E$3-Lo_c)/Step_c)-MAX(6,MIN(INT(((Alpha_keep*$A160+E$3-Lo_c)/Step_c)+0.00000001),193))))*INDEX($D$5:$D$205,MAX(6,MIN(INT(((Alpha_keep*$A160+E$3-Lo_c)/Step_c)+0.00000001),193))+1)+(((Alpha_keep*$A160+E$3-Lo_c)/Step_c)-MAX(6,MIN(INT(((Alpha_keep*$A160+E$3-Lo_c)/Step_c)+0.00000001),193)))*INDEX($D$5:$D$205,MAX(6,MIN(INT(((Alpha_keep*$A160+E$3-Lo_c)/Step_c)+0.00000001),193))+2)),"")</f>
        <v>-197.140425681219</v>
      </c>
      <c r="F160" s="16" t="n">
        <f aca="false">IF(Grid!D160=1,-Cost_k*F$3-Short_p*MAX(0,Floor_c-$A160)+Beta_q*((1-(((Alpha_keep*$A160+F$3-Lo_c)/Step_c)-MAX(6,MIN(INT(((Alpha_keep*$A160+F$3-Lo_c)/Step_c)+0.00000001),193))))*INDEX($D$5:$D$205,MAX(6,MIN(INT(((Alpha_keep*$A160+F$3-Lo_c)/Step_c)+0.00000001),193))+1)+(((Alpha_keep*$A160+F$3-Lo_c)/Step_c)-MAX(6,MIN(INT(((Alpha_keep*$A160+F$3-Lo_c)/Step_c)+0.00000001),193)))*INDEX($D$5:$D$205,MAX(6,MIN(INT(((Alpha_keep*$A160+F$3-Lo_c)/Step_c)+0.00000001),193))+2)),"")</f>
        <v>-197.453284632022</v>
      </c>
      <c r="G160" s="16" t="n">
        <f aca="false">IF(Grid!E160=1,-Cost_k*G$3-Short_p*MAX(0,Floor_c-$A160)+Beta_q*((1-(((Alpha_keep*$A160+G$3-Lo_c)/Step_c)-MAX(6,MIN(INT(((Alpha_keep*$A160+G$3-Lo_c)/Step_c)+0.00000001),193))))*INDEX($D$5:$D$205,MAX(6,MIN(INT(((Alpha_keep*$A160+G$3-Lo_c)/Step_c)+0.00000001),193))+1)+(((Alpha_keep*$A160+G$3-Lo_c)/Step_c)-MAX(6,MIN(INT(((Alpha_keep*$A160+G$3-Lo_c)/Step_c)+0.00000001),193)))*INDEX($D$5:$D$205,MAX(6,MIN(INT(((Alpha_keep*$A160+G$3-Lo_c)/Step_c)+0.00000001),193))+2)),"")</f>
        <v>-197.771131141372</v>
      </c>
      <c r="H160" s="16" t="n">
        <f aca="false">IF(Grid!F160=1,-Cost_k*H$3-Short_p*MAX(0,Floor_c-$A160)+Beta_q*((1-(((Alpha_keep*$A160+H$3-Lo_c)/Step_c)-MAX(6,MIN(INT(((Alpha_keep*$A160+H$3-Lo_c)/Step_c)+0.00000001),193))))*INDEX($D$5:$D$205,MAX(6,MIN(INT(((Alpha_keep*$A160+H$3-Lo_c)/Step_c)+0.00000001),193))+1)+(((Alpha_keep*$A160+H$3-Lo_c)/Step_c)-MAX(6,MIN(INT(((Alpha_keep*$A160+H$3-Lo_c)/Step_c)+0.00000001),193)))*INDEX($D$5:$D$205,MAX(6,MIN(INT(((Alpha_keep*$A160+H$3-Lo_c)/Step_c)+0.00000001),193))+2)),"")</f>
        <v>-198.094306231147</v>
      </c>
      <c r="I160" s="16" t="n">
        <f aca="false">IF(Grid!G160=1,-Cost_k*I$3-Short_p*MAX(0,Floor_c-$A160)+Beta_q*((1-(((Alpha_keep*$A160+I$3-Lo_c)/Step_c)-MAX(6,MIN(INT(((Alpha_keep*$A160+I$3-Lo_c)/Step_c)+0.00000001),193))))*INDEX($D$5:$D$205,MAX(6,MIN(INT(((Alpha_keep*$A160+I$3-Lo_c)/Step_c)+0.00000001),193))+1)+(((Alpha_keep*$A160+I$3-Lo_c)/Step_c)-MAX(6,MIN(INT(((Alpha_keep*$A160+I$3-Lo_c)/Step_c)+0.00000001),193)))*INDEX($D$5:$D$205,MAX(6,MIN(INT(((Alpha_keep*$A160+I$3-Lo_c)/Step_c)+0.00000001),193))+2)),"")</f>
        <v>-198.421975319267</v>
      </c>
      <c r="J160" s="16" t="n">
        <f aca="false">IF(Grid!H160=1,-Cost_k*J$3-Short_p*MAX(0,Floor_c-$A160)+Beta_q*((1-(((Alpha_keep*$A160+J$3-Lo_c)/Step_c)-MAX(6,MIN(INT(((Alpha_keep*$A160+J$3-Lo_c)/Step_c)+0.00000001),193))))*INDEX($D$5:$D$205,MAX(6,MIN(INT(((Alpha_keep*$A160+J$3-Lo_c)/Step_c)+0.00000001),193))+1)+(((Alpha_keep*$A160+J$3-Lo_c)/Step_c)-MAX(6,MIN(INT(((Alpha_keep*$A160+J$3-Lo_c)/Step_c)+0.00000001),193)))*INDEX($D$5:$D$205,MAX(6,MIN(INT(((Alpha_keep*$A160+J$3-Lo_c)/Step_c)+0.00000001),193))+2)),"")</f>
        <v>-198.754115775386</v>
      </c>
      <c r="K160" s="16" t="n">
        <f aca="false">IF(Grid!I160=1,-Cost_k*K$3-Short_p*MAX(0,Floor_c-$A160)+Beta_q*((1-(((Alpha_keep*$A160+K$3-Lo_c)/Step_c)-MAX(6,MIN(INT(((Alpha_keep*$A160+K$3-Lo_c)/Step_c)+0.00000001),193))))*INDEX($D$5:$D$205,MAX(6,MIN(INT(((Alpha_keep*$A160+K$3-Lo_c)/Step_c)+0.00000001),193))+1)+(((Alpha_keep*$A160+K$3-Lo_c)/Step_c)-MAX(6,MIN(INT(((Alpha_keep*$A160+K$3-Lo_c)/Step_c)+0.00000001),193)))*INDEX($D$5:$D$205,MAX(6,MIN(INT(((Alpha_keep*$A160+K$3-Lo_c)/Step_c)+0.00000001),193))+2)),"")</f>
        <v>-199.091345291459</v>
      </c>
      <c r="L160" s="16" t="n">
        <f aca="false">IF(Grid!J160=1,-Cost_k*L$3-Short_p*MAX(0,Floor_c-$A160)+Beta_q*((1-(((Alpha_keep*$A160+L$3-Lo_c)/Step_c)-MAX(6,MIN(INT(((Alpha_keep*$A160+L$3-Lo_c)/Step_c)+0.00000001),193))))*INDEX($D$5:$D$205,MAX(6,MIN(INT(((Alpha_keep*$A160+L$3-Lo_c)/Step_c)+0.00000001),193))+1)+(((Alpha_keep*$A160+L$3-Lo_c)/Step_c)-MAX(6,MIN(INT(((Alpha_keep*$A160+L$3-Lo_c)/Step_c)+0.00000001),193)))*INDEX($D$5:$D$205,MAX(6,MIN(INT(((Alpha_keep*$A160+L$3-Lo_c)/Step_c)+0.00000001),193))+2)),"")</f>
        <v>-199.433286581221</v>
      </c>
      <c r="M160" s="16" t="n">
        <f aca="false">IF(Grid!K160=1,-Cost_k*M$3-Short_p*MAX(0,Floor_c-$A160)+Beta_q*((1-(((Alpha_keep*$A160+M$3-Lo_c)/Step_c)-MAX(6,MIN(INT(((Alpha_keep*$A160+M$3-Lo_c)/Step_c)+0.00000001),193))))*INDEX($D$5:$D$205,MAX(6,MIN(INT(((Alpha_keep*$A160+M$3-Lo_c)/Step_c)+0.00000001),193))+1)+(((Alpha_keep*$A160+M$3-Lo_c)/Step_c)-MAX(6,MIN(INT(((Alpha_keep*$A160+M$3-Lo_c)/Step_c)+0.00000001),193)))*INDEX($D$5:$D$205,MAX(6,MIN(INT(((Alpha_keep*$A160+M$3-Lo_c)/Step_c)+0.00000001),193))+2)),"")</f>
        <v>-199.779444250291</v>
      </c>
      <c r="N160" s="16" t="n">
        <f aca="false">IF(Grid!L160=1,-Cost_k*N$3-Short_p*MAX(0,Floor_c-$A160)+Beta_q*((1-(((Alpha_keep*$A160+N$3-Lo_c)/Step_c)-MAX(6,MIN(INT(((Alpha_keep*$A160+N$3-Lo_c)/Step_c)+0.00000001),193))))*INDEX($D$5:$D$205,MAX(6,MIN(INT(((Alpha_keep*$A160+N$3-Lo_c)/Step_c)+0.00000001),193))+1)+(((Alpha_keep*$A160+N$3-Lo_c)/Step_c)-MAX(6,MIN(INT(((Alpha_keep*$A160+N$3-Lo_c)/Step_c)+0.00000001),193)))*INDEX($D$5:$D$205,MAX(6,MIN(INT(((Alpha_keep*$A160+N$3-Lo_c)/Step_c)+0.00000001),193))+2)),"")</f>
        <v>-200.130266046886</v>
      </c>
      <c r="O160" s="16" t="n">
        <f aca="false">IF(Grid!M160=1,-Cost_k*O$3-Short_p*MAX(0,Floor_c-$A160)+Beta_q*((1-(((Alpha_keep*$A160+O$3-Lo_c)/Step_c)-MAX(6,MIN(INT(((Alpha_keep*$A160+O$3-Lo_c)/Step_c)+0.00000001),193))))*INDEX($D$5:$D$205,MAX(6,MIN(INT(((Alpha_keep*$A160+O$3-Lo_c)/Step_c)+0.00000001),193))+1)+(((Alpha_keep*$A160+O$3-Lo_c)/Step_c)-MAX(6,MIN(INT(((Alpha_keep*$A160+O$3-Lo_c)/Step_c)+0.00000001),193)))*INDEX($D$5:$D$205,MAX(6,MIN(INT(((Alpha_keep*$A160+O$3-Lo_c)/Step_c)+0.00000001),193))+2)),"")</f>
        <v>-200.485897676584</v>
      </c>
      <c r="P160" s="11" t="n">
        <f aca="false">MAX(E160:O160)</f>
        <v>-197.140425681219</v>
      </c>
      <c r="Q160" s="12" t="n">
        <f aca="false">INDEX($E$3:$O$3,MATCH(P160,E160:O160,0))</f>
        <v>0</v>
      </c>
      <c r="R160" s="20" t="n">
        <v>0</v>
      </c>
      <c r="S160" s="14" t="n">
        <f aca="false">IF(ABS(Q160-R160)&lt;0.000000001,1,0)</f>
        <v>1</v>
      </c>
      <c r="T160" s="21" t="n">
        <f aca="false">ABS(P160-B160)</f>
        <v>0</v>
      </c>
      <c r="U160" s="16" t="n">
        <f aca="false">Alpha_keep*A160+Q160</f>
        <v>67.03125</v>
      </c>
      <c r="V160" s="14" t="n">
        <f aca="false">INDEX(GuardBlock,156,ROUND(Q160/Step_h,0)+1)</f>
        <v>1</v>
      </c>
      <c r="W160" s="22" t="n">
        <v>0</v>
      </c>
    </row>
    <row r="161" customFormat="false" ht="15" hidden="false" customHeight="false" outlineLevel="0" collapsed="false">
      <c r="A161" s="18" t="n">
        <f aca="false">Grid!A161</f>
        <v>69</v>
      </c>
      <c r="B161" s="19" t="n">
        <v>-196.470355486225</v>
      </c>
      <c r="C161" s="14" t="n">
        <v>156</v>
      </c>
      <c r="D161" s="11" t="n">
        <f aca="false">IF(AND($C161&gt;=6,$C161&lt;=194),Declarations!$B$25*INDEX($B$5:$B$205,$C161+1-Declarations!$E$25)+Declarations!$B$26*INDEX($B$5:$B$205,$C161+1-Declarations!$E$26)+Declarations!$B$27*INDEX($B$5:$B$205,$C161+1-Declarations!$E$27)+Declarations!$B$28*INDEX($B$5:$B$205,$C161+1-Declarations!$E$28)+Declarations!$B$29*INDEX($B$5:$B$205,$C161+1-Declarations!$E$29),"")</f>
        <v>-196.487136488201</v>
      </c>
      <c r="E161" s="16" t="n">
        <f aca="false">IF(Grid!C161=1,-Cost_k*E$3-Short_p*MAX(0,Floor_c-$A161)+Beta_q*((1-(((Alpha_keep*$A161+E$3-Lo_c)/Step_c)-MAX(6,MIN(INT(((Alpha_keep*$A161+E$3-Lo_c)/Step_c)+0.00000001),193))))*INDEX($D$5:$D$205,MAX(6,MIN(INT(((Alpha_keep*$A161+E$3-Lo_c)/Step_c)+0.00000001),193))+1)+(((Alpha_keep*$A161+E$3-Lo_c)/Step_c)-MAX(6,MIN(INT(((Alpha_keep*$A161+E$3-Lo_c)/Step_c)+0.00000001),193)))*INDEX($D$5:$D$205,MAX(6,MIN(INT(((Alpha_keep*$A161+E$3-Lo_c)/Step_c)+0.00000001),193))+2)),"")</f>
        <v>-196.470355486225</v>
      </c>
      <c r="F161" s="16" t="n">
        <f aca="false">IF(Grid!D161=1,-Cost_k*F$3-Short_p*MAX(0,Floor_c-$A161)+Beta_q*((1-(((Alpha_keep*$A161+F$3-Lo_c)/Step_c)-MAX(6,MIN(INT(((Alpha_keep*$A161+F$3-Lo_c)/Step_c)+0.00000001),193))))*INDEX($D$5:$D$205,MAX(6,MIN(INT(((Alpha_keep*$A161+F$3-Lo_c)/Step_c)+0.00000001),193))+1)+(((Alpha_keep*$A161+F$3-Lo_c)/Step_c)-MAX(6,MIN(INT(((Alpha_keep*$A161+F$3-Lo_c)/Step_c)+0.00000001),193)))*INDEX($D$5:$D$205,MAX(6,MIN(INT(((Alpha_keep*$A161+F$3-Lo_c)/Step_c)+0.00000001),193))+2)),"")</f>
        <v>-196.788065860084</v>
      </c>
      <c r="G161" s="16" t="n">
        <f aca="false">IF(Grid!E161=1,-Cost_k*G$3-Short_p*MAX(0,Floor_c-$A161)+Beta_q*((1-(((Alpha_keep*$A161+G$3-Lo_c)/Step_c)-MAX(6,MIN(INT(((Alpha_keep*$A161+G$3-Lo_c)/Step_c)+0.00000001),193))))*INDEX($D$5:$D$205,MAX(6,MIN(INT(((Alpha_keep*$A161+G$3-Lo_c)/Step_c)+0.00000001),193))+1)+(((Alpha_keep*$A161+G$3-Lo_c)/Step_c)-MAX(6,MIN(INT(((Alpha_keep*$A161+G$3-Lo_c)/Step_c)+0.00000001),193)))*INDEX($D$5:$D$205,MAX(6,MIN(INT(((Alpha_keep*$A161+G$3-Lo_c)/Step_c)+0.00000001),193))+2)),"")</f>
        <v>-197.111128182206</v>
      </c>
      <c r="H161" s="16" t="n">
        <f aca="false">IF(Grid!F161=1,-Cost_k*H$3-Short_p*MAX(0,Floor_c-$A161)+Beta_q*((1-(((Alpha_keep*$A161+H$3-Lo_c)/Step_c)-MAX(6,MIN(INT(((Alpha_keep*$A161+H$3-Lo_c)/Step_c)+0.00000001),193))))*INDEX($D$5:$D$205,MAX(6,MIN(INT(((Alpha_keep*$A161+H$3-Lo_c)/Step_c)+0.00000001),193))+1)+(((Alpha_keep*$A161+H$3-Lo_c)/Step_c)-MAX(6,MIN(INT(((Alpha_keep*$A161+H$3-Lo_c)/Step_c)+0.00000001),193)))*INDEX($D$5:$D$205,MAX(6,MIN(INT(((Alpha_keep*$A161+H$3-Lo_c)/Step_c)+0.00000001),193))+2)),"")</f>
        <v>-197.438687844234</v>
      </c>
      <c r="I161" s="16" t="n">
        <f aca="false">IF(Grid!G161=1,-Cost_k*I$3-Short_p*MAX(0,Floor_c-$A161)+Beta_q*((1-(((Alpha_keep*$A161+I$3-Lo_c)/Step_c)-MAX(6,MIN(INT(((Alpha_keep*$A161+I$3-Lo_c)/Step_c)+0.00000001),193))))*INDEX($D$5:$D$205,MAX(6,MIN(INT(((Alpha_keep*$A161+I$3-Lo_c)/Step_c)+0.00000001),193))+1)+(((Alpha_keep*$A161+I$3-Lo_c)/Step_c)-MAX(6,MIN(INT(((Alpha_keep*$A161+I$3-Lo_c)/Step_c)+0.00000001),193)))*INDEX($D$5:$D$205,MAX(6,MIN(INT(((Alpha_keep*$A161+I$3-Lo_c)/Step_c)+0.00000001),193))+2)),"")</f>
        <v>-197.770700009397</v>
      </c>
      <c r="J161" s="16" t="n">
        <f aca="false">IF(Grid!H161=1,-Cost_k*J$3-Short_p*MAX(0,Floor_c-$A161)+Beta_q*((1-(((Alpha_keep*$A161+J$3-Lo_c)/Step_c)-MAX(6,MIN(INT(((Alpha_keep*$A161+J$3-Lo_c)/Step_c)+0.00000001),193))))*INDEX($D$5:$D$205,MAX(6,MIN(INT(((Alpha_keep*$A161+J$3-Lo_c)/Step_c)+0.00000001),193))+1)+(((Alpha_keep*$A161+J$3-Lo_c)/Step_c)-MAX(6,MIN(INT(((Alpha_keep*$A161+J$3-Lo_c)/Step_c)+0.00000001),193)))*INDEX($D$5:$D$205,MAX(6,MIN(INT(((Alpha_keep*$A161+J$3-Lo_c)/Step_c)+0.00000001),193))+2)),"")</f>
        <v>-198.107809750165</v>
      </c>
      <c r="K161" s="16" t="n">
        <f aca="false">IF(Grid!I161=1,-Cost_k*K$3-Short_p*MAX(0,Floor_c-$A161)+Beta_q*((1-(((Alpha_keep*$A161+K$3-Lo_c)/Step_c)-MAX(6,MIN(INT(((Alpha_keep*$A161+K$3-Lo_c)/Step_c)+0.00000001),193))))*INDEX($D$5:$D$205,MAX(6,MIN(INT(((Alpha_keep*$A161+K$3-Lo_c)/Step_c)+0.00000001),193))+1)+(((Alpha_keep*$A161+K$3-Lo_c)/Step_c)-MAX(6,MIN(INT(((Alpha_keep*$A161+K$3-Lo_c)/Step_c)+0.00000001),193)))*INDEX($D$5:$D$205,MAX(6,MIN(INT(((Alpha_keep*$A161+K$3-Lo_c)/Step_c)+0.00000001),193))+2)),"")</f>
        <v>-198.449647112322</v>
      </c>
      <c r="L161" s="16" t="n">
        <f aca="false">IF(Grid!J161=1,-Cost_k*L$3-Short_p*MAX(0,Floor_c-$A161)+Beta_q*((1-(((Alpha_keep*$A161+L$3-Lo_c)/Step_c)-MAX(6,MIN(INT(((Alpha_keep*$A161+L$3-Lo_c)/Step_c)+0.00000001),193))))*INDEX($D$5:$D$205,MAX(6,MIN(INT(((Alpha_keep*$A161+L$3-Lo_c)/Step_c)+0.00000001),193))+1)+(((Alpha_keep*$A161+L$3-Lo_c)/Step_c)-MAX(6,MIN(INT(((Alpha_keep*$A161+L$3-Lo_c)/Step_c)+0.00000001),193)))*INDEX($D$5:$D$205,MAX(6,MIN(INT(((Alpha_keep*$A161+L$3-Lo_c)/Step_c)+0.00000001),193))+2)),"")</f>
        <v>-198.795688998771</v>
      </c>
      <c r="M161" s="16" t="n">
        <f aca="false">IF(Grid!K161=1,-Cost_k*M$3-Short_p*MAX(0,Floor_c-$A161)+Beta_q*((1-(((Alpha_keep*$A161+M$3-Lo_c)/Step_c)-MAX(6,MIN(INT(((Alpha_keep*$A161+M$3-Lo_c)/Step_c)+0.00000001),193))))*INDEX($D$5:$D$205,MAX(6,MIN(INT(((Alpha_keep*$A161+M$3-Lo_c)/Step_c)+0.00000001),193))+1)+(((Alpha_keep*$A161+M$3-Lo_c)/Step_c)-MAX(6,MIN(INT(((Alpha_keep*$A161+M$3-Lo_c)/Step_c)+0.00000001),193)))*INDEX($D$5:$D$205,MAX(6,MIN(INT(((Alpha_keep*$A161+M$3-Lo_c)/Step_c)+0.00000001),193))+2)),"")</f>
        <v>-199.146388448207</v>
      </c>
      <c r="N161" s="16" t="n">
        <f aca="false">IF(Grid!L161=1,-Cost_k*N$3-Short_p*MAX(0,Floor_c-$A161)+Beta_q*((1-(((Alpha_keep*$A161+N$3-Lo_c)/Step_c)-MAX(6,MIN(INT(((Alpha_keep*$A161+N$3-Lo_c)/Step_c)+0.00000001),193))))*INDEX($D$5:$D$205,MAX(6,MIN(INT(((Alpha_keep*$A161+N$3-Lo_c)/Step_c)+0.00000001),193))+1)+(((Alpha_keep*$A161+N$3-Lo_c)/Step_c)-MAX(6,MIN(INT(((Alpha_keep*$A161+N$3-Lo_c)/Step_c)+0.00000001),193)))*INDEX($D$5:$D$205,MAX(6,MIN(INT(((Alpha_keep*$A161+N$3-Lo_c)/Step_c)+0.00000001),193))+2)),"")</f>
        <v>-199.501914541399</v>
      </c>
      <c r="O161" s="16" t="n">
        <f aca="false">IF(Grid!M161=1,-Cost_k*O$3-Short_p*MAX(0,Floor_c-$A161)+Beta_q*((1-(((Alpha_keep*$A161+O$3-Lo_c)/Step_c)-MAX(6,MIN(INT(((Alpha_keep*$A161+O$3-Lo_c)/Step_c)+0.00000001),193))))*INDEX($D$5:$D$205,MAX(6,MIN(INT(((Alpha_keep*$A161+O$3-Lo_c)/Step_c)+0.00000001),193))+1)+(((Alpha_keep*$A161+O$3-Lo_c)/Step_c)-MAX(6,MIN(INT(((Alpha_keep*$A161+O$3-Lo_c)/Step_c)+0.00000001),193)))*INDEX($D$5:$D$205,MAX(6,MIN(INT(((Alpha_keep*$A161+O$3-Lo_c)/Step_c)+0.00000001),193))+2)),"")</f>
        <v>-199.861658473629</v>
      </c>
      <c r="P161" s="11" t="n">
        <f aca="false">MAX(E161:O161)</f>
        <v>-196.470355486225</v>
      </c>
      <c r="Q161" s="12" t="n">
        <f aca="false">INDEX($E$3:$O$3,MATCH(P161,E161:O161,0))</f>
        <v>0</v>
      </c>
      <c r="R161" s="20" t="n">
        <v>0</v>
      </c>
      <c r="S161" s="14" t="n">
        <f aca="false">IF(ABS(Q161-R161)&lt;0.000000001,1,0)</f>
        <v>1</v>
      </c>
      <c r="T161" s="21" t="n">
        <f aca="false">ABS(P161-B161)</f>
        <v>0</v>
      </c>
      <c r="U161" s="16" t="n">
        <f aca="false">Alpha_keep*A161+Q161</f>
        <v>67.275</v>
      </c>
      <c r="V161" s="14" t="n">
        <f aca="false">INDEX(GuardBlock,157,ROUND(Q161/Step_h,0)+1)</f>
        <v>1</v>
      </c>
      <c r="W161" s="22" t="n">
        <v>0</v>
      </c>
    </row>
    <row r="162" customFormat="false" ht="15" hidden="false" customHeight="false" outlineLevel="0" collapsed="false">
      <c r="A162" s="18" t="n">
        <f aca="false">Grid!A162</f>
        <v>69.25</v>
      </c>
      <c r="B162" s="19" t="n">
        <v>-195.805000578797</v>
      </c>
      <c r="C162" s="14" t="n">
        <v>157</v>
      </c>
      <c r="D162" s="11" t="n">
        <f aca="false">IF(AND($C162&gt;=6,$C162&lt;=194),Declarations!$B$25*INDEX($B$5:$B$205,$C162+1-Declarations!$E$25)+Declarations!$B$26*INDEX($B$5:$B$205,$C162+1-Declarations!$E$26)+Declarations!$B$27*INDEX($B$5:$B$205,$C162+1-Declarations!$E$27)+Declarations!$B$28*INDEX($B$5:$B$205,$C162+1-Declarations!$E$28)+Declarations!$B$29*INDEX($B$5:$B$205,$C162+1-Declarations!$E$29),"")</f>
        <v>-195.821677716436</v>
      </c>
      <c r="E162" s="16" t="n">
        <f aca="false">IF(Grid!C162=1,-Cost_k*E$3-Short_p*MAX(0,Floor_c-$A162)+Beta_q*((1-(((Alpha_keep*$A162+E$3-Lo_c)/Step_c)-MAX(6,MIN(INT(((Alpha_keep*$A162+E$3-Lo_c)/Step_c)+0.00000001),193))))*INDEX($D$5:$D$205,MAX(6,MIN(INT(((Alpha_keep*$A162+E$3-Lo_c)/Step_c)+0.00000001),193))+1)+(((Alpha_keep*$A162+E$3-Lo_c)/Step_c)-MAX(6,MIN(INT(((Alpha_keep*$A162+E$3-Lo_c)/Step_c)+0.00000001),193)))*INDEX($D$5:$D$205,MAX(6,MIN(INT(((Alpha_keep*$A162+E$3-Lo_c)/Step_c)+0.00000001),193))+2)),"")</f>
        <v>-195.805000578797</v>
      </c>
      <c r="F162" s="16" t="n">
        <f aca="false">IF(Grid!D162=1,-Cost_k*F$3-Short_p*MAX(0,Floor_c-$A162)+Beta_q*((1-(((Alpha_keep*$A162+F$3-Lo_c)/Step_c)-MAX(6,MIN(INT(((Alpha_keep*$A162+F$3-Lo_c)/Step_c)+0.00000001),193))))*INDEX($D$5:$D$205,MAX(6,MIN(INT(((Alpha_keep*$A162+F$3-Lo_c)/Step_c)+0.00000001),193))+1)+(((Alpha_keep*$A162+F$3-Lo_c)/Step_c)-MAX(6,MIN(INT(((Alpha_keep*$A162+F$3-Lo_c)/Step_c)+0.00000001),193)))*INDEX($D$5:$D$205,MAX(6,MIN(INT(((Alpha_keep*$A162+F$3-Lo_c)/Step_c)+0.00000001),193))+2)),"")</f>
        <v>-196.127950133264</v>
      </c>
      <c r="G162" s="16" t="n">
        <f aca="false">IF(Grid!E162=1,-Cost_k*G$3-Short_p*MAX(0,Floor_c-$A162)+Beta_q*((1-(((Alpha_keep*$A162+G$3-Lo_c)/Step_c)-MAX(6,MIN(INT(((Alpha_keep*$A162+G$3-Lo_c)/Step_c)+0.00000001),193))))*INDEX($D$5:$D$205,MAX(6,MIN(INT(((Alpha_keep*$A162+G$3-Lo_c)/Step_c)+0.00000001),193))+1)+(((Alpha_keep*$A162+G$3-Lo_c)/Step_c)-MAX(6,MIN(INT(((Alpha_keep*$A162+G$3-Lo_c)/Step_c)+0.00000001),193)))*INDEX($D$5:$D$205,MAX(6,MIN(INT(((Alpha_keep*$A162+G$3-Lo_c)/Step_c)+0.00000001),193))+2)),"")</f>
        <v>-196.4554003692</v>
      </c>
      <c r="H162" s="16" t="n">
        <f aca="false">IF(Grid!F162=1,-Cost_k*H$3-Short_p*MAX(0,Floor_c-$A162)+Beta_q*((1-(((Alpha_keep*$A162+H$3-Lo_c)/Step_c)-MAX(6,MIN(INT(((Alpha_keep*$A162+H$3-Lo_c)/Step_c)+0.00000001),193))))*INDEX($D$5:$D$205,MAX(6,MIN(INT(((Alpha_keep*$A162+H$3-Lo_c)/Step_c)+0.00000001),193))+1)+(((Alpha_keep*$A162+H$3-Lo_c)/Step_c)-MAX(6,MIN(INT(((Alpha_keep*$A162+H$3-Lo_c)/Step_c)+0.00000001),193)))*INDEX($D$5:$D$205,MAX(6,MIN(INT(((Alpha_keep*$A162+H$3-Lo_c)/Step_c)+0.00000001),193))+2)),"")</f>
        <v>-196.787284243408</v>
      </c>
      <c r="I162" s="16" t="n">
        <f aca="false">IF(Grid!G162=1,-Cost_k*I$3-Short_p*MAX(0,Floor_c-$A162)+Beta_q*((1-(((Alpha_keep*$A162+I$3-Lo_c)/Step_c)-MAX(6,MIN(INT(((Alpha_keep*$A162+I$3-Lo_c)/Step_c)+0.00000001),193))))*INDEX($D$5:$D$205,MAX(6,MIN(INT(((Alpha_keep*$A162+I$3-Lo_c)/Step_c)+0.00000001),193))+1)+(((Alpha_keep*$A162+I$3-Lo_c)/Step_c)-MAX(6,MIN(INT(((Alpha_keep*$A162+I$3-Lo_c)/Step_c)+0.00000001),193)))*INDEX($D$5:$D$205,MAX(6,MIN(INT(((Alpha_keep*$A162+I$3-Lo_c)/Step_c)+0.00000001),193))+2)),"")</f>
        <v>-197.124274208872</v>
      </c>
      <c r="J162" s="16" t="n">
        <f aca="false">IF(Grid!H162=1,-Cost_k*J$3-Short_p*MAX(0,Floor_c-$A162)+Beta_q*((1-(((Alpha_keep*$A162+J$3-Lo_c)/Step_c)-MAX(6,MIN(INT(((Alpha_keep*$A162+J$3-Lo_c)/Step_c)+0.00000001),193))))*INDEX($D$5:$D$205,MAX(6,MIN(INT(((Alpha_keep*$A162+J$3-Lo_c)/Step_c)+0.00000001),193))+1)+(((Alpha_keep*$A162+J$3-Lo_c)/Step_c)-MAX(6,MIN(INT(((Alpha_keep*$A162+J$3-Lo_c)/Step_c)+0.00000001),193)))*INDEX($D$5:$D$205,MAX(6,MIN(INT(((Alpha_keep*$A162+J$3-Lo_c)/Step_c)+0.00000001),193))+2)),"")</f>
        <v>-197.466007643423</v>
      </c>
      <c r="K162" s="16" t="n">
        <f aca="false">IF(Grid!I162=1,-Cost_k*K$3-Short_p*MAX(0,Floor_c-$A162)+Beta_q*((1-(((Alpha_keep*$A162+K$3-Lo_c)/Step_c)-MAX(6,MIN(INT(((Alpha_keep*$A162+K$3-Lo_c)/Step_c)+0.00000001),193))))*INDEX($D$5:$D$205,MAX(6,MIN(INT(((Alpha_keep*$A162+K$3-Lo_c)/Step_c)+0.00000001),193))+1)+(((Alpha_keep*$A162+K$3-Lo_c)/Step_c)-MAX(6,MIN(INT(((Alpha_keep*$A162+K$3-Lo_c)/Step_c)+0.00000001),193)))*INDEX($D$5:$D$205,MAX(6,MIN(INT(((Alpha_keep*$A162+K$3-Lo_c)/Step_c)+0.00000001),193))+2)),"")</f>
        <v>-197.811933747251</v>
      </c>
      <c r="L162" s="16" t="n">
        <f aca="false">IF(Grid!J162=1,-Cost_k*L$3-Short_p*MAX(0,Floor_c-$A162)+Beta_q*((1-(((Alpha_keep*$A162+L$3-Lo_c)/Step_c)-MAX(6,MIN(INT(((Alpha_keep*$A162+L$3-Lo_c)/Step_c)+0.00000001),193))))*INDEX($D$5:$D$205,MAX(6,MIN(INT(((Alpha_keep*$A162+L$3-Lo_c)/Step_c)+0.00000001),193))+1)+(((Alpha_keep*$A162+L$3-Lo_c)/Step_c)-MAX(6,MIN(INT(((Alpha_keep*$A162+L$3-Lo_c)/Step_c)+0.00000001),193)))*INDEX($D$5:$D$205,MAX(6,MIN(INT(((Alpha_keep*$A162+L$3-Lo_c)/Step_c)+0.00000001),193))+2)),"")</f>
        <v>-198.162510849528</v>
      </c>
      <c r="M162" s="16" t="n">
        <f aca="false">IF(Grid!K162=1,-Cost_k*M$3-Short_p*MAX(0,Floor_c-$A162)+Beta_q*((1-(((Alpha_keep*$A162+M$3-Lo_c)/Step_c)-MAX(6,MIN(INT(((Alpha_keep*$A162+M$3-Lo_c)/Step_c)+0.00000001),193))))*INDEX($D$5:$D$205,MAX(6,MIN(INT(((Alpha_keep*$A162+M$3-Lo_c)/Step_c)+0.00000001),193))+1)+(((Alpha_keep*$A162+M$3-Lo_c)/Step_c)-MAX(6,MIN(INT(((Alpha_keep*$A162+M$3-Lo_c)/Step_c)+0.00000001),193)))*INDEX($D$5:$D$205,MAX(6,MIN(INT(((Alpha_keep*$A162+M$3-Lo_c)/Step_c)+0.00000001),193))+2)),"")</f>
        <v>-198.517931406214</v>
      </c>
      <c r="N162" s="16" t="n">
        <f aca="false">IF(Grid!L162=1,-Cost_k*N$3-Short_p*MAX(0,Floor_c-$A162)+Beta_q*((1-(((Alpha_keep*$A162+N$3-Lo_c)/Step_c)-MAX(6,MIN(INT(((Alpha_keep*$A162+N$3-Lo_c)/Step_c)+0.00000001),193))))*INDEX($D$5:$D$205,MAX(6,MIN(INT(((Alpha_keep*$A162+N$3-Lo_c)/Step_c)+0.00000001),193))+1)+(((Alpha_keep*$A162+N$3-Lo_c)/Step_c)-MAX(6,MIN(INT(((Alpha_keep*$A162+N$3-Lo_c)/Step_c)+0.00000001),193)))*INDEX($D$5:$D$205,MAX(6,MIN(INT(((Alpha_keep*$A162+N$3-Lo_c)/Step_c)+0.00000001),193))+2)),"")</f>
        <v>-198.877570707236</v>
      </c>
      <c r="O162" s="16" t="n">
        <f aca="false">IF(Grid!M162=1,-Cost_k*O$3-Short_p*MAX(0,Floor_c-$A162)+Beta_q*((1-(((Alpha_keep*$A162+O$3-Lo_c)/Step_c)-MAX(6,MIN(INT(((Alpha_keep*$A162+O$3-Lo_c)/Step_c)+0.00000001),193))))*INDEX($D$5:$D$205,MAX(6,MIN(INT(((Alpha_keep*$A162+O$3-Lo_c)/Step_c)+0.00000001),193))+1)+(((Alpha_keep*$A162+O$3-Lo_c)/Step_c)-MAX(6,MIN(INT(((Alpha_keep*$A162+O$3-Lo_c)/Step_c)+0.00000001),193)))*INDEX($D$5:$D$205,MAX(6,MIN(INT(((Alpha_keep*$A162+O$3-Lo_c)/Step_c)+0.00000001),193))+2)),"")</f>
        <v>-199.241436612993</v>
      </c>
      <c r="P162" s="11" t="n">
        <f aca="false">MAX(E162:O162)</f>
        <v>-195.805000578797</v>
      </c>
      <c r="Q162" s="12" t="n">
        <f aca="false">INDEX($E$3:$O$3,MATCH(P162,E162:O162,0))</f>
        <v>0</v>
      </c>
      <c r="R162" s="20" t="n">
        <v>0</v>
      </c>
      <c r="S162" s="14" t="n">
        <f aca="false">IF(ABS(Q162-R162)&lt;0.000000001,1,0)</f>
        <v>1</v>
      </c>
      <c r="T162" s="21" t="n">
        <f aca="false">ABS(P162-B162)</f>
        <v>0</v>
      </c>
      <c r="U162" s="16" t="n">
        <f aca="false">Alpha_keep*A162+Q162</f>
        <v>67.51875</v>
      </c>
      <c r="V162" s="14" t="n">
        <f aca="false">INDEX(GuardBlock,158,ROUND(Q162/Step_h,0)+1)</f>
        <v>1</v>
      </c>
      <c r="W162" s="22" t="n">
        <v>0</v>
      </c>
    </row>
    <row r="163" customFormat="false" ht="15" hidden="false" customHeight="false" outlineLevel="0" collapsed="false">
      <c r="A163" s="18" t="n">
        <f aca="false">Grid!A163</f>
        <v>69.5</v>
      </c>
      <c r="B163" s="19" t="n">
        <v>-195.144772084323</v>
      </c>
      <c r="C163" s="14" t="n">
        <v>158</v>
      </c>
      <c r="D163" s="11" t="n">
        <f aca="false">IF(AND($C163&gt;=6,$C163&lt;=194),Declarations!$B$25*INDEX($B$5:$B$205,$C163+1-Declarations!$E$25)+Declarations!$B$26*INDEX($B$5:$B$205,$C163+1-Declarations!$E$26)+Declarations!$B$27*INDEX($B$5:$B$205,$C163+1-Declarations!$E$27)+Declarations!$B$28*INDEX($B$5:$B$205,$C163+1-Declarations!$E$28)+Declarations!$B$29*INDEX($B$5:$B$205,$C163+1-Declarations!$E$29),"")</f>
        <v>-195.161230840695</v>
      </c>
      <c r="E163" s="16" t="n">
        <f aca="false">IF(Grid!C163=1,-Cost_k*E$3-Short_p*MAX(0,Floor_c-$A163)+Beta_q*((1-(((Alpha_keep*$A163+E$3-Lo_c)/Step_c)-MAX(6,MIN(INT(((Alpha_keep*$A163+E$3-Lo_c)/Step_c)+0.00000001),193))))*INDEX($D$5:$D$205,MAX(6,MIN(INT(((Alpha_keep*$A163+E$3-Lo_c)/Step_c)+0.00000001),193))+1)+(((Alpha_keep*$A163+E$3-Lo_c)/Step_c)-MAX(6,MIN(INT(((Alpha_keep*$A163+E$3-Lo_c)/Step_c)+0.00000001),193)))*INDEX($D$5:$D$205,MAX(6,MIN(INT(((Alpha_keep*$A163+E$3-Lo_c)/Step_c)+0.00000001),193))+2)),"")</f>
        <v>-195.144772084323</v>
      </c>
      <c r="F163" s="16" t="n">
        <f aca="false">IF(Grid!D163=1,-Cost_k*F$3-Short_p*MAX(0,Floor_c-$A163)+Beta_q*((1-(((Alpha_keep*$A163+F$3-Lo_c)/Step_c)-MAX(6,MIN(INT(((Alpha_keep*$A163+F$3-Lo_c)/Step_c)+0.00000001),193))))*INDEX($D$5:$D$205,MAX(6,MIN(INT(((Alpha_keep*$A163+F$3-Lo_c)/Step_c)+0.00000001),193))+1)+(((Alpha_keep*$A163+F$3-Lo_c)/Step_c)-MAX(6,MIN(INT(((Alpha_keep*$A163+F$3-Lo_c)/Step_c)+0.00000001),193)))*INDEX($D$5:$D$205,MAX(6,MIN(INT(((Alpha_keep*$A163+F$3-Lo_c)/Step_c)+0.00000001),193))+2)),"")</f>
        <v>-195.472112894166</v>
      </c>
      <c r="G163" s="16" t="n">
        <f aca="false">IF(Grid!E163=1,-Cost_k*G$3-Short_p*MAX(0,Floor_c-$A163)+Beta_q*((1-(((Alpha_keep*$A163+G$3-Lo_c)/Step_c)-MAX(6,MIN(INT(((Alpha_keep*$A163+G$3-Lo_c)/Step_c)+0.00000001),193))))*INDEX($D$5:$D$205,MAX(6,MIN(INT(((Alpha_keep*$A163+G$3-Lo_c)/Step_c)+0.00000001),193))+1)+(((Alpha_keep*$A163+G$3-Lo_c)/Step_c)-MAX(6,MIN(INT(((Alpha_keep*$A163+G$3-Lo_c)/Step_c)+0.00000001),193)))*INDEX($D$5:$D$205,MAX(6,MIN(INT(((Alpha_keep*$A163+G$3-Lo_c)/Step_c)+0.00000001),193))+2)),"")</f>
        <v>-195.803868477419</v>
      </c>
      <c r="H163" s="16" t="n">
        <f aca="false">IF(Grid!F163=1,-Cost_k*H$3-Short_p*MAX(0,Floor_c-$A163)+Beta_q*((1-(((Alpha_keep*$A163+H$3-Lo_c)/Step_c)-MAX(6,MIN(INT(((Alpha_keep*$A163+H$3-Lo_c)/Step_c)+0.00000001),193))))*INDEX($D$5:$D$205,MAX(6,MIN(INT(((Alpha_keep*$A163+H$3-Lo_c)/Step_c)+0.00000001),193))+1)+(((Alpha_keep*$A163+H$3-Lo_c)/Step_c)-MAX(6,MIN(INT(((Alpha_keep*$A163+H$3-Lo_c)/Step_c)+0.00000001),193)))*INDEX($D$5:$D$205,MAX(6,MIN(INT(((Alpha_keep*$A163+H$3-Lo_c)/Step_c)+0.00000001),193))+2)),"")</f>
        <v>-196.140738667579</v>
      </c>
      <c r="I163" s="16" t="n">
        <f aca="false">IF(Grid!G163=1,-Cost_k*I$3-Short_p*MAX(0,Floor_c-$A163)+Beta_q*((1-(((Alpha_keep*$A163+I$3-Lo_c)/Step_c)-MAX(6,MIN(INT(((Alpha_keep*$A163+I$3-Lo_c)/Step_c)+0.00000001),193))))*INDEX($D$5:$D$205,MAX(6,MIN(INT(((Alpha_keep*$A163+I$3-Lo_c)/Step_c)+0.00000001),193))+1)+(((Alpha_keep*$A163+I$3-Lo_c)/Step_c)-MAX(6,MIN(INT(((Alpha_keep*$A163+I$3-Lo_c)/Step_c)+0.00000001),193)))*INDEX($D$5:$D$205,MAX(6,MIN(INT(((Alpha_keep*$A163+I$3-Lo_c)/Step_c)+0.00000001),193))+2)),"")</f>
        <v>-196.482368174524</v>
      </c>
      <c r="J163" s="16" t="n">
        <f aca="false">IF(Grid!H163=1,-Cost_k*J$3-Short_p*MAX(0,Floor_c-$A163)+Beta_q*((1-(((Alpha_keep*$A163+J$3-Lo_c)/Step_c)-MAX(6,MIN(INT(((Alpha_keep*$A163+J$3-Lo_c)/Step_c)+0.00000001),193))))*INDEX($D$5:$D$205,MAX(6,MIN(INT(((Alpha_keep*$A163+J$3-Lo_c)/Step_c)+0.00000001),193))+1)+(((Alpha_keep*$A163+J$3-Lo_c)/Step_c)-MAX(6,MIN(INT(((Alpha_keep*$A163+J$3-Lo_c)/Step_c)+0.00000001),193)))*INDEX($D$5:$D$205,MAX(6,MIN(INT(((Alpha_keep*$A163+J$3-Lo_c)/Step_c)+0.00000001),193))+2)),"")</f>
        <v>-196.828178495731</v>
      </c>
      <c r="K163" s="16" t="n">
        <f aca="false">IF(Grid!I163=1,-Cost_k*K$3-Short_p*MAX(0,Floor_c-$A163)+Beta_q*((1-(((Alpha_keep*$A163+K$3-Lo_c)/Step_c)-MAX(6,MIN(INT(((Alpha_keep*$A163+K$3-Lo_c)/Step_c)+0.00000001),193))))*INDEX($D$5:$D$205,MAX(6,MIN(INT(((Alpha_keep*$A163+K$3-Lo_c)/Step_c)+0.00000001),193))+1)+(((Alpha_keep*$A163+K$3-Lo_c)/Step_c)-MAX(6,MIN(INT(((Alpha_keep*$A163+K$3-Lo_c)/Step_c)+0.00000001),193)))*INDEX($D$5:$D$205,MAX(6,MIN(INT(((Alpha_keep*$A163+K$3-Lo_c)/Step_c)+0.00000001),193))+2)),"")</f>
        <v>-197.178633250849</v>
      </c>
      <c r="L163" s="16" t="n">
        <f aca="false">IF(Grid!J163=1,-Cost_k*L$3-Short_p*MAX(0,Floor_c-$A163)+Beta_q*((1-(((Alpha_keep*$A163+L$3-Lo_c)/Step_c)-MAX(6,MIN(INT(((Alpha_keep*$A163+L$3-Lo_c)/Step_c)+0.00000001),193))))*INDEX($D$5:$D$205,MAX(6,MIN(INT(((Alpha_keep*$A163+L$3-Lo_c)/Step_c)+0.00000001),193))+1)+(((Alpha_keep*$A163+L$3-Lo_c)/Step_c)-MAX(6,MIN(INT(((Alpha_keep*$A163+L$3-Lo_c)/Step_c)+0.00000001),193)))*INDEX($D$5:$D$205,MAX(6,MIN(INT(((Alpha_keep*$A163+L$3-Lo_c)/Step_c)+0.00000001),193))+2)),"")</f>
        <v>-197.533948271029</v>
      </c>
      <c r="M163" s="16" t="n">
        <f aca="false">IF(Grid!K163=1,-Cost_k*M$3-Short_p*MAX(0,Floor_c-$A163)+Beta_q*((1-(((Alpha_keep*$A163+M$3-Lo_c)/Step_c)-MAX(6,MIN(INT(((Alpha_keep*$A163+M$3-Lo_c)/Step_c)+0.00000001),193))))*INDEX($D$5:$D$205,MAX(6,MIN(INT(((Alpha_keep*$A163+M$3-Lo_c)/Step_c)+0.00000001),193))+1)+(((Alpha_keep*$A163+M$3-Lo_c)/Step_c)-MAX(6,MIN(INT(((Alpha_keep*$A163+M$3-Lo_c)/Step_c)+0.00000001),193)))*INDEX($D$5:$D$205,MAX(6,MIN(INT(((Alpha_keep*$A163+M$3-Lo_c)/Step_c)+0.00000001),193))+2)),"")</f>
        <v>-197.893482940843</v>
      </c>
      <c r="N163" s="16" t="n">
        <f aca="false">IF(Grid!L163=1,-Cost_k*N$3-Short_p*MAX(0,Floor_c-$A163)+Beta_q*((1-(((Alpha_keep*$A163+N$3-Lo_c)/Step_c)-MAX(6,MIN(INT(((Alpha_keep*$A163+N$3-Lo_c)/Step_c)+0.00000001),193))))*INDEX($D$5:$D$205,MAX(6,MIN(INT(((Alpha_keep*$A163+N$3-Lo_c)/Step_c)+0.00000001),193))+1)+(((Alpha_keep*$A163+N$3-Lo_c)/Step_c)-MAX(6,MIN(INT(((Alpha_keep*$A163+N$3-Lo_c)/Step_c)+0.00000001),193)))*INDEX($D$5:$D$205,MAX(6,MIN(INT(((Alpha_keep*$A163+N$3-Lo_c)/Step_c)+0.00000001),193))+2)),"")</f>
        <v>-198.257230429924</v>
      </c>
      <c r="O163" s="16" t="n">
        <f aca="false">IF(Grid!M163=1,-Cost_k*O$3-Short_p*MAX(0,Floor_c-$A163)+Beta_q*((1-(((Alpha_keep*$A163+O$3-Lo_c)/Step_c)-MAX(6,MIN(INT(((Alpha_keep*$A163+O$3-Lo_c)/Step_c)+0.00000001),193))))*INDEX($D$5:$D$205,MAX(6,MIN(INT(((Alpha_keep*$A163+O$3-Lo_c)/Step_c)+0.00000001),193))+1)+(((Alpha_keep*$A163+O$3-Lo_c)/Step_c)-MAX(6,MIN(INT(((Alpha_keep*$A163+O$3-Lo_c)/Step_c)+0.00000001),193)))*INDEX($D$5:$D$205,MAX(6,MIN(INT(((Alpha_keep*$A163+O$3-Lo_c)/Step_c)+0.00000001),193))+2)),"")</f>
        <v>-198.625696717278</v>
      </c>
      <c r="P163" s="11" t="n">
        <f aca="false">MAX(E163:O163)</f>
        <v>-195.144772084323</v>
      </c>
      <c r="Q163" s="12" t="n">
        <f aca="false">INDEX($E$3:$O$3,MATCH(P163,E163:O163,0))</f>
        <v>0</v>
      </c>
      <c r="R163" s="20" t="n">
        <v>0</v>
      </c>
      <c r="S163" s="14" t="n">
        <f aca="false">IF(ABS(Q163-R163)&lt;0.000000001,1,0)</f>
        <v>1</v>
      </c>
      <c r="T163" s="21" t="n">
        <f aca="false">ABS(P163-B163)</f>
        <v>0</v>
      </c>
      <c r="U163" s="16" t="n">
        <f aca="false">Alpha_keep*A163+Q163</f>
        <v>67.7625</v>
      </c>
      <c r="V163" s="14" t="n">
        <f aca="false">INDEX(GuardBlock,159,ROUND(Q163/Step_h,0)+1)</f>
        <v>1</v>
      </c>
      <c r="W163" s="22" t="n">
        <v>0</v>
      </c>
    </row>
    <row r="164" customFormat="false" ht="15" hidden="false" customHeight="false" outlineLevel="0" collapsed="false">
      <c r="A164" s="18" t="n">
        <f aca="false">Grid!A164</f>
        <v>69.75</v>
      </c>
      <c r="B164" s="19" t="n">
        <v>-194.488825419133</v>
      </c>
      <c r="C164" s="14" t="n">
        <v>159</v>
      </c>
      <c r="D164" s="11" t="n">
        <f aca="false">IF(AND($C164&gt;=6,$C164&lt;=194),Declarations!$B$25*INDEX($B$5:$B$205,$C164+1-Declarations!$E$25)+Declarations!$B$26*INDEX($B$5:$B$205,$C164+1-Declarations!$E$26)+Declarations!$B$27*INDEX($B$5:$B$205,$C164+1-Declarations!$E$27)+Declarations!$B$28*INDEX($B$5:$B$205,$C164+1-Declarations!$E$28)+Declarations!$B$29*INDEX($B$5:$B$205,$C164+1-Declarations!$E$29),"")</f>
        <v>-194.505107220162</v>
      </c>
      <c r="E164" s="16" t="n">
        <f aca="false">IF(Grid!C164=1,-Cost_k*E$3-Short_p*MAX(0,Floor_c-$A164)+Beta_q*((1-(((Alpha_keep*$A164+E$3-Lo_c)/Step_c)-MAX(6,MIN(INT(((Alpha_keep*$A164+E$3-Lo_c)/Step_c)+0.00000001),193))))*INDEX($D$5:$D$205,MAX(6,MIN(INT(((Alpha_keep*$A164+E$3-Lo_c)/Step_c)+0.00000001),193))+1)+(((Alpha_keep*$A164+E$3-Lo_c)/Step_c)-MAX(6,MIN(INT(((Alpha_keep*$A164+E$3-Lo_c)/Step_c)+0.00000001),193)))*INDEX($D$5:$D$205,MAX(6,MIN(INT(((Alpha_keep*$A164+E$3-Lo_c)/Step_c)+0.00000001),193))+2)),"")</f>
        <v>-194.488825419133</v>
      </c>
      <c r="F164" s="16" t="n">
        <f aca="false">IF(Grid!D164=1,-Cost_k*F$3-Short_p*MAX(0,Floor_c-$A164)+Beta_q*((1-(((Alpha_keep*$A164+F$3-Lo_c)/Step_c)-MAX(6,MIN(INT(((Alpha_keep*$A164+F$3-Lo_c)/Step_c)+0.00000001),193))))*INDEX($D$5:$D$205,MAX(6,MIN(INT(((Alpha_keep*$A164+F$3-Lo_c)/Step_c)+0.00000001),193))+1)+(((Alpha_keep*$A164+F$3-Lo_c)/Step_c)-MAX(6,MIN(INT(((Alpha_keep*$A164+F$3-Lo_c)/Step_c)+0.00000001),193)))*INDEX($D$5:$D$205,MAX(6,MIN(INT(((Alpha_keep*$A164+F$3-Lo_c)/Step_c)+0.00000001),193))+2)),"")</f>
        <v>-194.820452711431</v>
      </c>
      <c r="G164" s="16" t="n">
        <f aca="false">IF(Grid!E164=1,-Cost_k*G$3-Short_p*MAX(0,Floor_c-$A164)+Beta_q*((1-(((Alpha_keep*$A164+G$3-Lo_c)/Step_c)-MAX(6,MIN(INT(((Alpha_keep*$A164+G$3-Lo_c)/Step_c)+0.00000001),193))))*INDEX($D$5:$D$205,MAX(6,MIN(INT(((Alpha_keep*$A164+G$3-Lo_c)/Step_c)+0.00000001),193))+1)+(((Alpha_keep*$A164+G$3-Lo_c)/Step_c)-MAX(6,MIN(INT(((Alpha_keep*$A164+G$3-Lo_c)/Step_c)+0.00000001),193)))*INDEX($D$5:$D$205,MAX(6,MIN(INT(((Alpha_keep*$A164+G$3-Lo_c)/Step_c)+0.00000001),193))+2)),"")</f>
        <v>-195.157203126285</v>
      </c>
      <c r="H164" s="16" t="n">
        <f aca="false">IF(Grid!F164=1,-Cost_k*H$3-Short_p*MAX(0,Floor_c-$A164)+Beta_q*((1-(((Alpha_keep*$A164+H$3-Lo_c)/Step_c)-MAX(6,MIN(INT(((Alpha_keep*$A164+H$3-Lo_c)/Step_c)+0.00000001),193))))*INDEX($D$5:$D$205,MAX(6,MIN(INT(((Alpha_keep*$A164+H$3-Lo_c)/Step_c)+0.00000001),193))+1)+(((Alpha_keep*$A164+H$3-Lo_c)/Step_c)-MAX(6,MIN(INT(((Alpha_keep*$A164+H$3-Lo_c)/Step_c)+0.00000001),193)))*INDEX($D$5:$D$205,MAX(6,MIN(INT(((Alpha_keep*$A164+H$3-Lo_c)/Step_c)+0.00000001),193))+2)),"")</f>
        <v>-195.498728705625</v>
      </c>
      <c r="I164" s="16" t="n">
        <f aca="false">IF(Grid!G164=1,-Cost_k*I$3-Short_p*MAX(0,Floor_c-$A164)+Beta_q*((1-(((Alpha_keep*$A164+I$3-Lo_c)/Step_c)-MAX(6,MIN(INT(((Alpha_keep*$A164+I$3-Lo_c)/Step_c)+0.00000001),193))))*INDEX($D$5:$D$205,MAX(6,MIN(INT(((Alpha_keep*$A164+I$3-Lo_c)/Step_c)+0.00000001),193))+1)+(((Alpha_keep*$A164+I$3-Lo_c)/Step_c)-MAX(6,MIN(INT(((Alpha_keep*$A164+I$3-Lo_c)/Step_c)+0.00000001),193)))*INDEX($D$5:$D$205,MAX(6,MIN(INT(((Alpha_keep*$A164+I$3-Lo_c)/Step_c)+0.00000001),193))+2)),"")</f>
        <v>-195.844423244211</v>
      </c>
      <c r="J164" s="16" t="n">
        <f aca="false">IF(Grid!H164=1,-Cost_k*J$3-Short_p*MAX(0,Floor_c-$A164)+Beta_q*((1-(((Alpha_keep*$A164+J$3-Lo_c)/Step_c)-MAX(6,MIN(INT(((Alpha_keep*$A164+J$3-Lo_c)/Step_c)+0.00000001),193))))*INDEX($D$5:$D$205,MAX(6,MIN(INT(((Alpha_keep*$A164+J$3-Lo_c)/Step_c)+0.00000001),193))+1)+(((Alpha_keep*$A164+J$3-Lo_c)/Step_c)-MAX(6,MIN(INT(((Alpha_keep*$A164+J$3-Lo_c)/Step_c)+0.00000001),193)))*INDEX($D$5:$D$205,MAX(6,MIN(INT(((Alpha_keep*$A164+J$3-Lo_c)/Step_c)+0.00000001),193))+2)),"")</f>
        <v>-196.194755652169</v>
      </c>
      <c r="K164" s="16" t="n">
        <f aca="false">IF(Grid!I164=1,-Cost_k*K$3-Short_p*MAX(0,Floor_c-$A164)+Beta_q*((1-(((Alpha_keep*$A164+K$3-Lo_c)/Step_c)-MAX(6,MIN(INT(((Alpha_keep*$A164+K$3-Lo_c)/Step_c)+0.00000001),193))))*INDEX($D$5:$D$205,MAX(6,MIN(INT(((Alpha_keep*$A164+K$3-Lo_c)/Step_c)+0.00000001),193))+1)+(((Alpha_keep*$A164+K$3-Lo_c)/Step_c)-MAX(6,MIN(INT(((Alpha_keep*$A164+K$3-Lo_c)/Step_c)+0.00000001),193)))*INDEX($D$5:$D$205,MAX(6,MIN(INT(((Alpha_keep*$A164+K$3-Lo_c)/Step_c)+0.00000001),193))+2)),"")</f>
        <v>-196.549965135844</v>
      </c>
      <c r="L164" s="16" t="n">
        <f aca="false">IF(Grid!J164=1,-Cost_k*L$3-Short_p*MAX(0,Floor_c-$A164)+Beta_q*((1-(((Alpha_keep*$A164+L$3-Lo_c)/Step_c)-MAX(6,MIN(INT(((Alpha_keep*$A164+L$3-Lo_c)/Step_c)+0.00000001),193))))*INDEX($D$5:$D$205,MAX(6,MIN(INT(((Alpha_keep*$A164+L$3-Lo_c)/Step_c)+0.00000001),193))+1)+(((Alpha_keep*$A164+L$3-Lo_c)/Step_c)-MAX(6,MIN(INT(((Alpha_keep*$A164+L$3-Lo_c)/Step_c)+0.00000001),193)))*INDEX($D$5:$D$205,MAX(6,MIN(INT(((Alpha_keep*$A164+L$3-Lo_c)/Step_c)+0.00000001),193))+2)),"")</f>
        <v>-196.90939517445</v>
      </c>
      <c r="M164" s="16" t="n">
        <f aca="false">IF(Grid!K164=1,-Cost_k*M$3-Short_p*MAX(0,Floor_c-$A164)+Beta_q*((1-(((Alpha_keep*$A164+M$3-Lo_c)/Step_c)-MAX(6,MIN(INT(((Alpha_keep*$A164+M$3-Lo_c)/Step_c)+0.00000001),193))))*INDEX($D$5:$D$205,MAX(6,MIN(INT(((Alpha_keep*$A164+M$3-Lo_c)/Step_c)+0.00000001),193))+1)+(((Alpha_keep*$A164+M$3-Lo_c)/Step_c)-MAX(6,MIN(INT(((Alpha_keep*$A164+M$3-Lo_c)/Step_c)+0.00000001),193)))*INDEX($D$5:$D$205,MAX(6,MIN(INT(((Alpha_keep*$A164+M$3-Lo_c)/Step_c)+0.00000001),193))+2)),"")</f>
        <v>-197.273024246855</v>
      </c>
      <c r="N164" s="16" t="n">
        <f aca="false">IF(Grid!L164=1,-Cost_k*N$3-Short_p*MAX(0,Floor_c-$A164)+Beta_q*((1-(((Alpha_keep*$A164+N$3-Lo_c)/Step_c)-MAX(6,MIN(INT(((Alpha_keep*$A164+N$3-Lo_c)/Step_c)+0.00000001),193))))*INDEX($D$5:$D$205,MAX(6,MIN(INT(((Alpha_keep*$A164+N$3-Lo_c)/Step_c)+0.00000001),193))+1)+(((Alpha_keep*$A164+N$3-Lo_c)/Step_c)-MAX(6,MIN(INT(((Alpha_keep*$A164+N$3-Lo_c)/Step_c)+0.00000001),193)))*INDEX($D$5:$D$205,MAX(6,MIN(INT(((Alpha_keep*$A164+N$3-Lo_c)/Step_c)+0.00000001),193))+2)),"")</f>
        <v>-197.641381051912</v>
      </c>
      <c r="O164" s="16" t="n">
        <f aca="false">IF(Grid!M164=1,-Cost_k*O$3-Short_p*MAX(0,Floor_c-$A164)+Beta_q*((1-(((Alpha_keep*$A164+O$3-Lo_c)/Step_c)-MAX(6,MIN(INT(((Alpha_keep*$A164+O$3-Lo_c)/Step_c)+0.00000001),193))))*INDEX($D$5:$D$205,MAX(6,MIN(INT(((Alpha_keep*$A164+O$3-Lo_c)/Step_c)+0.00000001),193))+1)+(((Alpha_keep*$A164+O$3-Lo_c)/Step_c)-MAX(6,MIN(INT(((Alpha_keep*$A164+O$3-Lo_c)/Step_c)+0.00000001),193)))*INDEX($D$5:$D$205,MAX(6,MIN(INT(((Alpha_keep*$A164+O$3-Lo_c)/Step_c)+0.00000001),193))+2)),"")</f>
        <v>-198.014107182382</v>
      </c>
      <c r="P164" s="11" t="n">
        <f aca="false">MAX(E164:O164)</f>
        <v>-194.488825419133</v>
      </c>
      <c r="Q164" s="12" t="n">
        <f aca="false">INDEX($E$3:$O$3,MATCH(P164,E164:O164,0))</f>
        <v>0</v>
      </c>
      <c r="R164" s="20" t="n">
        <v>0</v>
      </c>
      <c r="S164" s="14" t="n">
        <f aca="false">IF(ABS(Q164-R164)&lt;0.000000001,1,0)</f>
        <v>1</v>
      </c>
      <c r="T164" s="21" t="n">
        <f aca="false">ABS(P164-B164)</f>
        <v>0</v>
      </c>
      <c r="U164" s="16" t="n">
        <f aca="false">Alpha_keep*A164+Q164</f>
        <v>68.00625</v>
      </c>
      <c r="V164" s="14" t="n">
        <f aca="false">INDEX(GuardBlock,160,ROUND(Q164/Step_h,0)+1)</f>
        <v>1</v>
      </c>
      <c r="W164" s="22" t="n">
        <v>0</v>
      </c>
    </row>
    <row r="165" customFormat="false" ht="15" hidden="false" customHeight="false" outlineLevel="0" collapsed="false">
      <c r="A165" s="18" t="n">
        <f aca="false">Grid!A165</f>
        <v>70</v>
      </c>
      <c r="B165" s="19" t="n">
        <v>-193.837036945442</v>
      </c>
      <c r="C165" s="14" t="n">
        <v>160</v>
      </c>
      <c r="D165" s="11" t="n">
        <f aca="false">IF(AND($C165&gt;=6,$C165&lt;=194),Declarations!$B$25*INDEX($B$5:$B$205,$C165+1-Declarations!$E$25)+Declarations!$B$26*INDEX($B$5:$B$205,$C165+1-Declarations!$E$26)+Declarations!$B$27*INDEX($B$5:$B$205,$C165+1-Declarations!$E$27)+Declarations!$B$28*INDEX($B$5:$B$205,$C165+1-Declarations!$E$28)+Declarations!$B$29*INDEX($B$5:$B$205,$C165+1-Declarations!$E$29),"")</f>
        <v>-193.853269769738</v>
      </c>
      <c r="E165" s="16" t="n">
        <f aca="false">IF(Grid!C165=1,-Cost_k*E$3-Short_p*MAX(0,Floor_c-$A165)+Beta_q*((1-(((Alpha_keep*$A165+E$3-Lo_c)/Step_c)-MAX(6,MIN(INT(((Alpha_keep*$A165+E$3-Lo_c)/Step_c)+0.00000001),193))))*INDEX($D$5:$D$205,MAX(6,MIN(INT(((Alpha_keep*$A165+E$3-Lo_c)/Step_c)+0.00000001),193))+1)+(((Alpha_keep*$A165+E$3-Lo_c)/Step_c)-MAX(6,MIN(INT(((Alpha_keep*$A165+E$3-Lo_c)/Step_c)+0.00000001),193)))*INDEX($D$5:$D$205,MAX(6,MIN(INT(((Alpha_keep*$A165+E$3-Lo_c)/Step_c)+0.00000001),193))+2)),"")</f>
        <v>-193.837036945442</v>
      </c>
      <c r="F165" s="16" t="n">
        <f aca="false">IF(Grid!D165=1,-Cost_k*F$3-Short_p*MAX(0,Floor_c-$A165)+Beta_q*((1-(((Alpha_keep*$A165+F$3-Lo_c)/Step_c)-MAX(6,MIN(INT(((Alpha_keep*$A165+F$3-Lo_c)/Step_c)+0.00000001),193))))*INDEX($D$5:$D$205,MAX(6,MIN(INT(((Alpha_keep*$A165+F$3-Lo_c)/Step_c)+0.00000001),193))+1)+(((Alpha_keep*$A165+F$3-Lo_c)/Step_c)-MAX(6,MIN(INT(((Alpha_keep*$A165+F$3-Lo_c)/Step_c)+0.00000001),193)))*INDEX($D$5:$D$205,MAX(6,MIN(INT(((Alpha_keep*$A165+F$3-Lo_c)/Step_c)+0.00000001),193))+2)),"")</f>
        <v>-194.173667584992</v>
      </c>
      <c r="G165" s="16" t="n">
        <f aca="false">IF(Grid!E165=1,-Cost_k*G$3-Short_p*MAX(0,Floor_c-$A165)+Beta_q*((1-(((Alpha_keep*$A165+G$3-Lo_c)/Step_c)-MAX(6,MIN(INT(((Alpha_keep*$A165+G$3-Lo_c)/Step_c)+0.00000001),193))))*INDEX($D$5:$D$205,MAX(6,MIN(INT(((Alpha_keep*$A165+G$3-Lo_c)/Step_c)+0.00000001),193))+1)+(((Alpha_keep*$A165+G$3-Lo_c)/Step_c)-MAX(6,MIN(INT(((Alpha_keep*$A165+G$3-Lo_c)/Step_c)+0.00000001),193)))*INDEX($D$5:$D$205,MAX(6,MIN(INT(((Alpha_keep*$A165+G$3-Lo_c)/Step_c)+0.00000001),193))+2)),"")</f>
        <v>-194.515089236726</v>
      </c>
      <c r="H165" s="16" t="n">
        <f aca="false">IF(Grid!F165=1,-Cost_k*H$3-Short_p*MAX(0,Floor_c-$A165)+Beta_q*((1-(((Alpha_keep*$A165+H$3-Lo_c)/Step_c)-MAX(6,MIN(INT(((Alpha_keep*$A165+H$3-Lo_c)/Step_c)+0.00000001),193))))*INDEX($D$5:$D$205,MAX(6,MIN(INT(((Alpha_keep*$A165+H$3-Lo_c)/Step_c)+0.00000001),193))+1)+(((Alpha_keep*$A165+H$3-Lo_c)/Step_c)-MAX(6,MIN(INT(((Alpha_keep*$A165+H$3-Lo_c)/Step_c)+0.00000001),193)))*INDEX($D$5:$D$205,MAX(6,MIN(INT(((Alpha_keep*$A165+H$3-Lo_c)/Step_c)+0.00000001),193))+2)),"")</f>
        <v>-194.860667992691</v>
      </c>
      <c r="I165" s="16" t="n">
        <f aca="false">IF(Grid!G165=1,-Cost_k*I$3-Short_p*MAX(0,Floor_c-$A165)+Beta_q*((1-(((Alpha_keep*$A165+I$3-Lo_c)/Step_c)-MAX(6,MIN(INT(((Alpha_keep*$A165+I$3-Lo_c)/Step_c)+0.00000001),193))))*INDEX($D$5:$D$205,MAX(6,MIN(INT(((Alpha_keep*$A165+I$3-Lo_c)/Step_c)+0.00000001),193))+1)+(((Alpha_keep*$A165+I$3-Lo_c)/Step_c)-MAX(6,MIN(INT(((Alpha_keep*$A165+I$3-Lo_c)/Step_c)+0.00000001),193)))*INDEX($D$5:$D$205,MAX(6,MIN(INT(((Alpha_keep*$A165+I$3-Lo_c)/Step_c)+0.00000001),193))+2)),"")</f>
        <v>-195.21087805349</v>
      </c>
      <c r="J165" s="16" t="n">
        <f aca="false">IF(Grid!H165=1,-Cost_k*J$3-Short_p*MAX(0,Floor_c-$A165)+Beta_q*((1-(((Alpha_keep*$A165+J$3-Lo_c)/Step_c)-MAX(6,MIN(INT(((Alpha_keep*$A165+J$3-Lo_c)/Step_c)+0.00000001),193))))*INDEX($D$5:$D$205,MAX(6,MIN(INT(((Alpha_keep*$A165+J$3-Lo_c)/Step_c)+0.00000001),193))+1)+(((Alpha_keep*$A165+J$3-Lo_c)/Step_c)-MAX(6,MIN(INT(((Alpha_keep*$A165+J$3-Lo_c)/Step_c)+0.00000001),193)))*INDEX($D$5:$D$205,MAX(6,MIN(INT(((Alpha_keep*$A165+J$3-Lo_c)/Step_c)+0.00000001),193))+2)),"")</f>
        <v>-195.565982000659</v>
      </c>
      <c r="K165" s="16" t="n">
        <f aca="false">IF(Grid!I165=1,-Cost_k*K$3-Short_p*MAX(0,Floor_c-$A165)+Beta_q*((1-(((Alpha_keep*$A165+K$3-Lo_c)/Step_c)-MAX(6,MIN(INT(((Alpha_keep*$A165+K$3-Lo_c)/Step_c)+0.00000001),193))))*INDEX($D$5:$D$205,MAX(6,MIN(INT(((Alpha_keep*$A165+K$3-Lo_c)/Step_c)+0.00000001),193))+1)+(((Alpha_keep*$A165+K$3-Lo_c)/Step_c)-MAX(6,MIN(INT(((Alpha_keep*$A165+K$3-Lo_c)/Step_c)+0.00000001),193)))*INDEX($D$5:$D$205,MAX(6,MIN(INT(((Alpha_keep*$A165+K$3-Lo_c)/Step_c)+0.00000001),193))+2)),"")</f>
        <v>-195.925307408057</v>
      </c>
      <c r="L165" s="16" t="n">
        <f aca="false">IF(Grid!J165=1,-Cost_k*L$3-Short_p*MAX(0,Floor_c-$A165)+Beta_q*((1-(((Alpha_keep*$A165+L$3-Lo_c)/Step_c)-MAX(6,MIN(INT(((Alpha_keep*$A165+L$3-Lo_c)/Step_c)+0.00000001),193))))*INDEX($D$5:$D$205,MAX(6,MIN(INT(((Alpha_keep*$A165+L$3-Lo_c)/Step_c)+0.00000001),193))+1)+(((Alpha_keep*$A165+L$3-Lo_c)/Step_c)-MAX(6,MIN(INT(((Alpha_keep*$A165+L$3-Lo_c)/Step_c)+0.00000001),193)))*INDEX($D$5:$D$205,MAX(6,MIN(INT(((Alpha_keep*$A165+L$3-Lo_c)/Step_c)+0.00000001),193))+2)),"")</f>
        <v>-196.288818063786</v>
      </c>
      <c r="M165" s="16" t="n">
        <f aca="false">IF(Grid!K165=1,-Cost_k*M$3-Short_p*MAX(0,Floor_c-$A165)+Beta_q*((1-(((Alpha_keep*$A165+M$3-Lo_c)/Step_c)-MAX(6,MIN(INT(((Alpha_keep*$A165+M$3-Lo_c)/Step_c)+0.00000001),193))))*INDEX($D$5:$D$205,MAX(6,MIN(INT(((Alpha_keep*$A165+M$3-Lo_c)/Step_c)+0.00000001),193))+1)+(((Alpha_keep*$A165+M$3-Lo_c)/Step_c)-MAX(6,MIN(INT(((Alpha_keep*$A165+M$3-Lo_c)/Step_c)+0.00000001),193)))*INDEX($D$5:$D$205,MAX(6,MIN(INT(((Alpha_keep*$A165+M$3-Lo_c)/Step_c)+0.00000001),193))+2)),"")</f>
        <v>-196.657065386546</v>
      </c>
      <c r="N165" s="16" t="n">
        <f aca="false">IF(Grid!L165=1,-Cost_k*N$3-Short_p*MAX(0,Floor_c-$A165)+Beta_q*((1-(((Alpha_keep*$A165+N$3-Lo_c)/Step_c)-MAX(6,MIN(INT(((Alpha_keep*$A165+N$3-Lo_c)/Step_c)+0.00000001),193))))*INDEX($D$5:$D$205,MAX(6,MIN(INT(((Alpha_keep*$A165+N$3-Lo_c)/Step_c)+0.00000001),193))+1)+(((Alpha_keep*$A165+N$3-Lo_c)/Step_c)-MAX(6,MIN(INT(((Alpha_keep*$A165+N$3-Lo_c)/Step_c)+0.00000001),193)))*INDEX($D$5:$D$205,MAX(6,MIN(INT(((Alpha_keep*$A165+N$3-Lo_c)/Step_c)+0.00000001),193))+2)),"")</f>
        <v>-197.029692001199</v>
      </c>
      <c r="O165" s="16" t="n">
        <f aca="false">IF(Grid!M165=1,-Cost_k*O$3-Short_p*MAX(0,Floor_c-$A165)+Beta_q*((1-(((Alpha_keep*$A165+O$3-Lo_c)/Step_c)-MAX(6,MIN(INT(((Alpha_keep*$A165+O$3-Lo_c)/Step_c)+0.00000001),193))))*INDEX($D$5:$D$205,MAX(6,MIN(INT(((Alpha_keep*$A165+O$3-Lo_c)/Step_c)+0.00000001),193))+1)+(((Alpha_keep*$A165+O$3-Lo_c)/Step_c)-MAX(6,MIN(INT(((Alpha_keep*$A165+O$3-Lo_c)/Step_c)+0.00000001),193)))*INDEX($D$5:$D$205,MAX(6,MIN(INT(((Alpha_keep*$A165+O$3-Lo_c)/Step_c)+0.00000001),193))+2)),"")</f>
        <v>-197.406299248514</v>
      </c>
      <c r="P165" s="11" t="n">
        <f aca="false">MAX(E165:O165)</f>
        <v>-193.837036945442</v>
      </c>
      <c r="Q165" s="12" t="n">
        <f aca="false">INDEX($E$3:$O$3,MATCH(P165,E165:O165,0))</f>
        <v>0</v>
      </c>
      <c r="R165" s="20" t="n">
        <v>0</v>
      </c>
      <c r="S165" s="14" t="n">
        <f aca="false">IF(ABS(Q165-R165)&lt;0.000000001,1,0)</f>
        <v>1</v>
      </c>
      <c r="T165" s="21" t="n">
        <f aca="false">ABS(P165-B165)</f>
        <v>0</v>
      </c>
      <c r="U165" s="16" t="n">
        <f aca="false">Alpha_keep*A165+Q165</f>
        <v>68.25</v>
      </c>
      <c r="V165" s="14" t="n">
        <f aca="false">INDEX(GuardBlock,161,ROUND(Q165/Step_h,0)+1)</f>
        <v>1</v>
      </c>
      <c r="W165" s="22" t="n">
        <v>0</v>
      </c>
    </row>
    <row r="166" customFormat="false" ht="15" hidden="false" customHeight="false" outlineLevel="0" collapsed="false">
      <c r="A166" s="18" t="n">
        <f aca="false">Grid!A166</f>
        <v>70.25</v>
      </c>
      <c r="B166" s="19" t="n">
        <v>-193.190251819003</v>
      </c>
      <c r="C166" s="14" t="n">
        <v>161</v>
      </c>
      <c r="D166" s="11" t="n">
        <f aca="false">IF(AND($C166&gt;=6,$C166&lt;=194),Declarations!$B$25*INDEX($B$5:$B$205,$C166+1-Declarations!$E$25)+Declarations!$B$26*INDEX($B$5:$B$205,$C166+1-Declarations!$E$26)+Declarations!$B$27*INDEX($B$5:$B$205,$C166+1-Declarations!$E$27)+Declarations!$B$28*INDEX($B$5:$B$205,$C166+1-Declarations!$E$28)+Declarations!$B$29*INDEX($B$5:$B$205,$C166+1-Declarations!$E$29),"")</f>
        <v>-193.206283204861</v>
      </c>
      <c r="E166" s="16" t="n">
        <f aca="false">IF(Grid!C166=1,-Cost_k*E$3-Short_p*MAX(0,Floor_c-$A166)+Beta_q*((1-(((Alpha_keep*$A166+E$3-Lo_c)/Step_c)-MAX(6,MIN(INT(((Alpha_keep*$A166+E$3-Lo_c)/Step_c)+0.00000001),193))))*INDEX($D$5:$D$205,MAX(6,MIN(INT(((Alpha_keep*$A166+E$3-Lo_c)/Step_c)+0.00000001),193))+1)+(((Alpha_keep*$A166+E$3-Lo_c)/Step_c)-MAX(6,MIN(INT(((Alpha_keep*$A166+E$3-Lo_c)/Step_c)+0.00000001),193)))*INDEX($D$5:$D$205,MAX(6,MIN(INT(((Alpha_keep*$A166+E$3-Lo_c)/Step_c)+0.00000001),193))+2)),"")</f>
        <v>-193.190251819003</v>
      </c>
      <c r="F166" s="16" t="n">
        <f aca="false">IF(Grid!D166=1,-Cost_k*F$3-Short_p*MAX(0,Floor_c-$A166)+Beta_q*((1-(((Alpha_keep*$A166+F$3-Lo_c)/Step_c)-MAX(6,MIN(INT(((Alpha_keep*$A166+F$3-Lo_c)/Step_c)+0.00000001),193))))*INDEX($D$5:$D$205,MAX(6,MIN(INT(((Alpha_keep*$A166+F$3-Lo_c)/Step_c)+0.00000001),193))+1)+(((Alpha_keep*$A166+F$3-Lo_c)/Step_c)-MAX(6,MIN(INT(((Alpha_keep*$A166+F$3-Lo_c)/Step_c)+0.00000001),193)))*INDEX($D$5:$D$205,MAX(6,MIN(INT(((Alpha_keep*$A166+F$3-Lo_c)/Step_c)+0.00000001),193))+2)),"")</f>
        <v>-193.531553695432</v>
      </c>
      <c r="G166" s="16" t="n">
        <f aca="false">IF(Grid!E166=1,-Cost_k*G$3-Short_p*MAX(0,Floor_c-$A166)+Beta_q*((1-(((Alpha_keep*$A166+G$3-Lo_c)/Step_c)-MAX(6,MIN(INT(((Alpha_keep*$A166+G$3-Lo_c)/Step_c)+0.00000001),193))))*INDEX($D$5:$D$205,MAX(6,MIN(INT(((Alpha_keep*$A166+G$3-Lo_c)/Step_c)+0.00000001),193))+1)+(((Alpha_keep*$A166+G$3-Lo_c)/Step_c)-MAX(6,MIN(INT(((Alpha_keep*$A166+G$3-Lo_c)/Step_c)+0.00000001),193)))*INDEX($D$5:$D$205,MAX(6,MIN(INT(((Alpha_keep*$A166+G$3-Lo_c)/Step_c)+0.00000001),193))+2)),"")</f>
        <v>-193.877028523792</v>
      </c>
      <c r="H166" s="16" t="n">
        <f aca="false">IF(Grid!F166=1,-Cost_k*H$3-Short_p*MAX(0,Floor_c-$A166)+Beta_q*((1-(((Alpha_keep*$A166+H$3-Lo_c)/Step_c)-MAX(6,MIN(INT(((Alpha_keep*$A166+H$3-Lo_c)/Step_c)+0.00000001),193))))*INDEX($D$5:$D$205,MAX(6,MIN(INT(((Alpha_keep*$A166+H$3-Lo_c)/Step_c)+0.00000001),193))+1)+(((Alpha_keep*$A166+H$3-Lo_c)/Step_c)-MAX(6,MIN(INT(((Alpha_keep*$A166+H$3-Lo_c)/Step_c)+0.00000001),193)))*INDEX($D$5:$D$205,MAX(6,MIN(INT(((Alpha_keep*$A166+H$3-Lo_c)/Step_c)+0.00000001),193))+2)),"")</f>
        <v>-194.22712280197</v>
      </c>
      <c r="I166" s="16" t="n">
        <f aca="false">IF(Grid!G166=1,-Cost_k*I$3-Short_p*MAX(0,Floor_c-$A166)+Beta_q*((1-(((Alpha_keep*$A166+I$3-Lo_c)/Step_c)-MAX(6,MIN(INT(((Alpha_keep*$A166+I$3-Lo_c)/Step_c)+0.00000001),193))))*INDEX($D$5:$D$205,MAX(6,MIN(INT(((Alpha_keep*$A166+I$3-Lo_c)/Step_c)+0.00000001),193))+1)+(((Alpha_keep*$A166+I$3-Lo_c)/Step_c)-MAX(6,MIN(INT(((Alpha_keep*$A166+I$3-Lo_c)/Step_c)+0.00000001),193)))*INDEX($D$5:$D$205,MAX(6,MIN(INT(((Alpha_keep*$A166+I$3-Lo_c)/Step_c)+0.00000001),193))+2)),"")</f>
        <v>-194.58210440198</v>
      </c>
      <c r="J166" s="16" t="n">
        <f aca="false">IF(Grid!H166=1,-Cost_k*J$3-Short_p*MAX(0,Floor_c-$A166)+Beta_q*((1-(((Alpha_keep*$A166+J$3-Lo_c)/Step_c)-MAX(6,MIN(INT(((Alpha_keep*$A166+J$3-Lo_c)/Step_c)+0.00000001),193))))*INDEX($D$5:$D$205,MAX(6,MIN(INT(((Alpha_keep*$A166+J$3-Lo_c)/Step_c)+0.00000001),193))+1)+(((Alpha_keep*$A166+J$3-Lo_c)/Step_c)-MAX(6,MIN(INT(((Alpha_keep*$A166+J$3-Lo_c)/Step_c)+0.00000001),193)))*INDEX($D$5:$D$205,MAX(6,MIN(INT(((Alpha_keep*$A166+J$3-Lo_c)/Step_c)+0.00000001),193))+2)),"")</f>
        <v>-194.941324272872</v>
      </c>
      <c r="K166" s="16" t="n">
        <f aca="false">IF(Grid!I166=1,-Cost_k*K$3-Short_p*MAX(0,Floor_c-$A166)+Beta_q*((1-(((Alpha_keep*$A166+K$3-Lo_c)/Step_c)-MAX(6,MIN(INT(((Alpha_keep*$A166+K$3-Lo_c)/Step_c)+0.00000001),193))))*INDEX($D$5:$D$205,MAX(6,MIN(INT(((Alpha_keep*$A166+K$3-Lo_c)/Step_c)+0.00000001),193))+1)+(((Alpha_keep*$A166+K$3-Lo_c)/Step_c)-MAX(6,MIN(INT(((Alpha_keep*$A166+K$3-Lo_c)/Step_c)+0.00000001),193)))*INDEX($D$5:$D$205,MAX(6,MIN(INT(((Alpha_keep*$A166+K$3-Lo_c)/Step_c)+0.00000001),193))+2)),"")</f>
        <v>-195.304730297392</v>
      </c>
      <c r="L166" s="16" t="n">
        <f aca="false">IF(Grid!J166=1,-Cost_k*L$3-Short_p*MAX(0,Floor_c-$A166)+Beta_q*((1-(((Alpha_keep*$A166+L$3-Lo_c)/Step_c)-MAX(6,MIN(INT(((Alpha_keep*$A166+L$3-Lo_c)/Step_c)+0.00000001),193))))*INDEX($D$5:$D$205,MAX(6,MIN(INT(((Alpha_keep*$A166+L$3-Lo_c)/Step_c)+0.00000001),193))+1)+(((Alpha_keep*$A166+L$3-Lo_c)/Step_c)-MAX(6,MIN(INT(((Alpha_keep*$A166+L$3-Lo_c)/Step_c)+0.00000001),193)))*INDEX($D$5:$D$205,MAX(6,MIN(INT(((Alpha_keep*$A166+L$3-Lo_c)/Step_c)+0.00000001),193))+2)),"")</f>
        <v>-195.672859203477</v>
      </c>
      <c r="M166" s="16" t="n">
        <f aca="false">IF(Grid!K166=1,-Cost_k*M$3-Short_p*MAX(0,Floor_c-$A166)+Beta_q*((1-(((Alpha_keep*$A166+M$3-Lo_c)/Step_c)-MAX(6,MIN(INT(((Alpha_keep*$A166+M$3-Lo_c)/Step_c)+0.00000001),193))))*INDEX($D$5:$D$205,MAX(6,MIN(INT(((Alpha_keep*$A166+M$3-Lo_c)/Step_c)+0.00000001),193))+1)+(((Alpha_keep*$A166+M$3-Lo_c)/Step_c)-MAX(6,MIN(INT(((Alpha_keep*$A166+M$3-Lo_c)/Step_c)+0.00000001),193)))*INDEX($D$5:$D$205,MAX(6,MIN(INT(((Alpha_keep*$A166+M$3-Lo_c)/Step_c)+0.00000001),193))+2)),"")</f>
        <v>-196.045376335832</v>
      </c>
      <c r="N166" s="16" t="n">
        <f aca="false">IF(Grid!L166=1,-Cost_k*N$3-Short_p*MAX(0,Floor_c-$A166)+Beta_q*((1-(((Alpha_keep*$A166+N$3-Lo_c)/Step_c)-MAX(6,MIN(INT(((Alpha_keep*$A166+N$3-Lo_c)/Step_c)+0.00000001),193))))*INDEX($D$5:$D$205,MAX(6,MIN(INT(((Alpha_keep*$A166+N$3-Lo_c)/Step_c)+0.00000001),193))+1)+(((Alpha_keep*$A166+N$3-Lo_c)/Step_c)-MAX(6,MIN(INT(((Alpha_keep*$A166+N$3-Lo_c)/Step_c)+0.00000001),193)))*INDEX($D$5:$D$205,MAX(6,MIN(INT(((Alpha_keep*$A166+N$3-Lo_c)/Step_c)+0.00000001),193))+2)),"")</f>
        <v>-196.421884067332</v>
      </c>
      <c r="O166" s="16" t="n">
        <f aca="false">IF(Grid!M166=1,-Cost_k*O$3-Short_p*MAX(0,Floor_c-$A166)+Beta_q*((1-(((Alpha_keep*$A166+O$3-Lo_c)/Step_c)-MAX(6,MIN(INT(((Alpha_keep*$A166+O$3-Lo_c)/Step_c)+0.00000001),193))))*INDEX($D$5:$D$205,MAX(6,MIN(INT(((Alpha_keep*$A166+O$3-Lo_c)/Step_c)+0.00000001),193))+1)+(((Alpha_keep*$A166+O$3-Lo_c)/Step_c)-MAX(6,MIN(INT(((Alpha_keep*$A166+O$3-Lo_c)/Step_c)+0.00000001),193)))*INDEX($D$5:$D$205,MAX(6,MIN(INT(((Alpha_keep*$A166+O$3-Lo_c)/Step_c)+0.00000001),193))+2)),"")</f>
        <v>-196.802712837803</v>
      </c>
      <c r="P166" s="11" t="n">
        <f aca="false">MAX(E166:O166)</f>
        <v>-193.190251819003</v>
      </c>
      <c r="Q166" s="12" t="n">
        <f aca="false">INDEX($E$3:$O$3,MATCH(P166,E166:O166,0))</f>
        <v>0</v>
      </c>
      <c r="R166" s="20" t="n">
        <v>0</v>
      </c>
      <c r="S166" s="14" t="n">
        <f aca="false">IF(ABS(Q166-R166)&lt;0.000000001,1,0)</f>
        <v>1</v>
      </c>
      <c r="T166" s="21" t="n">
        <f aca="false">ABS(P166-B166)</f>
        <v>0</v>
      </c>
      <c r="U166" s="16" t="n">
        <f aca="false">Alpha_keep*A166+Q166</f>
        <v>68.49375</v>
      </c>
      <c r="V166" s="14" t="n">
        <f aca="false">INDEX(GuardBlock,162,ROUND(Q166/Step_h,0)+1)</f>
        <v>1</v>
      </c>
      <c r="W166" s="22" t="n">
        <v>0</v>
      </c>
    </row>
    <row r="167" customFormat="false" ht="15" hidden="false" customHeight="false" outlineLevel="0" collapsed="false">
      <c r="A167" s="18" t="n">
        <f aca="false">Grid!A167</f>
        <v>70.5</v>
      </c>
      <c r="B167" s="19" t="n">
        <v>-192.548018154139</v>
      </c>
      <c r="C167" s="14" t="n">
        <v>162</v>
      </c>
      <c r="D167" s="11" t="n">
        <f aca="false">IF(AND($C167&gt;=6,$C167&lt;=194),Declarations!$B$25*INDEX($B$5:$B$205,$C167+1-Declarations!$E$25)+Declarations!$B$26*INDEX($B$5:$B$205,$C167+1-Declarations!$E$26)+Declarations!$B$27*INDEX($B$5:$B$205,$C167+1-Declarations!$E$27)+Declarations!$B$28*INDEX($B$5:$B$205,$C167+1-Declarations!$E$28)+Declarations!$B$29*INDEX($B$5:$B$205,$C167+1-Declarations!$E$29),"")</f>
        <v>-192.56378153276</v>
      </c>
      <c r="E167" s="16" t="n">
        <f aca="false">IF(Grid!C167=1,-Cost_k*E$3-Short_p*MAX(0,Floor_c-$A167)+Beta_q*((1-(((Alpha_keep*$A167+E$3-Lo_c)/Step_c)-MAX(6,MIN(INT(((Alpha_keep*$A167+E$3-Lo_c)/Step_c)+0.00000001),193))))*INDEX($D$5:$D$205,MAX(6,MIN(INT(((Alpha_keep*$A167+E$3-Lo_c)/Step_c)+0.00000001),193))+1)+(((Alpha_keep*$A167+E$3-Lo_c)/Step_c)-MAX(6,MIN(INT(((Alpha_keep*$A167+E$3-Lo_c)/Step_c)+0.00000001),193)))*INDEX($D$5:$D$205,MAX(6,MIN(INT(((Alpha_keep*$A167+E$3-Lo_c)/Step_c)+0.00000001),193))+2)),"")</f>
        <v>-192.548018154139</v>
      </c>
      <c r="F167" s="16" t="n">
        <f aca="false">IF(Grid!D167=1,-Cost_k*F$3-Short_p*MAX(0,Floor_c-$A167)+Beta_q*((1-(((Alpha_keep*$A167+F$3-Lo_c)/Step_c)-MAX(6,MIN(INT(((Alpha_keep*$A167+F$3-Lo_c)/Step_c)+0.00000001),193))))*INDEX($D$5:$D$205,MAX(6,MIN(INT(((Alpha_keep*$A167+F$3-Lo_c)/Step_c)+0.00000001),193))+1)+(((Alpha_keep*$A167+F$3-Lo_c)/Step_c)-MAX(6,MIN(INT(((Alpha_keep*$A167+F$3-Lo_c)/Step_c)+0.00000001),193)))*INDEX($D$5:$D$205,MAX(6,MIN(INT(((Alpha_keep*$A167+F$3-Lo_c)/Step_c)+0.00000001),193))+2)),"")</f>
        <v>-192.893389054893</v>
      </c>
      <c r="G167" s="16" t="n">
        <f aca="false">IF(Grid!E167=1,-Cost_k*G$3-Short_p*MAX(0,Floor_c-$A167)+Beta_q*((1-(((Alpha_keep*$A167+G$3-Lo_c)/Step_c)-MAX(6,MIN(INT(((Alpha_keep*$A167+G$3-Lo_c)/Step_c)+0.00000001),193))))*INDEX($D$5:$D$205,MAX(6,MIN(INT(((Alpha_keep*$A167+G$3-Lo_c)/Step_c)+0.00000001),193))+1)+(((Alpha_keep*$A167+G$3-Lo_c)/Step_c)-MAX(6,MIN(INT(((Alpha_keep*$A167+G$3-Lo_c)/Step_c)+0.00000001),193)))*INDEX($D$5:$D$205,MAX(6,MIN(INT(((Alpha_keep*$A167+G$3-Lo_c)/Step_c)+0.00000001),193))+2)),"")</f>
        <v>-193.24336755045</v>
      </c>
      <c r="H167" s="16" t="n">
        <f aca="false">IF(Grid!F167=1,-Cost_k*H$3-Short_p*MAX(0,Floor_c-$A167)+Beta_q*((1-(((Alpha_keep*$A167+H$3-Lo_c)/Step_c)-MAX(6,MIN(INT(((Alpha_keep*$A167+H$3-Lo_c)/Step_c)+0.00000001),193))))*INDEX($D$5:$D$205,MAX(6,MIN(INT(((Alpha_keep*$A167+H$3-Lo_c)/Step_c)+0.00000001),193))+1)+(((Alpha_keep*$A167+H$3-Lo_c)/Step_c)-MAX(6,MIN(INT(((Alpha_keep*$A167+H$3-Lo_c)/Step_c)+0.00000001),193)))*INDEX($D$5:$D$205,MAX(6,MIN(INT(((Alpha_keep*$A167+H$3-Lo_c)/Step_c)+0.00000001),193))+2)),"")</f>
        <v>-193.598226803301</v>
      </c>
      <c r="I167" s="16" t="n">
        <f aca="false">IF(Grid!G167=1,-Cost_k*I$3-Short_p*MAX(0,Floor_c-$A167)+Beta_q*((1-(((Alpha_keep*$A167+I$3-Lo_c)/Step_c)-MAX(6,MIN(INT(((Alpha_keep*$A167+I$3-Lo_c)/Step_c)+0.00000001),193))))*INDEX($D$5:$D$205,MAX(6,MIN(INT(((Alpha_keep*$A167+I$3-Lo_c)/Step_c)+0.00000001),193))+1)+(((Alpha_keep*$A167+I$3-Lo_c)/Step_c)-MAX(6,MIN(INT(((Alpha_keep*$A167+I$3-Lo_c)/Step_c)+0.00000001),193)))*INDEX($D$5:$D$205,MAX(6,MIN(INT(((Alpha_keep*$A167+I$3-Lo_c)/Step_c)+0.00000001),193))+2)),"")</f>
        <v>-193.957341137687</v>
      </c>
      <c r="J167" s="16" t="n">
        <f aca="false">IF(Grid!H167=1,-Cost_k*J$3-Short_p*MAX(0,Floor_c-$A167)+Beta_q*((1-(((Alpha_keep*$A167+J$3-Lo_c)/Step_c)-MAX(6,MIN(INT(((Alpha_keep*$A167+J$3-Lo_c)/Step_c)+0.00000001),193))))*INDEX($D$5:$D$205,MAX(6,MIN(INT(((Alpha_keep*$A167+J$3-Lo_c)/Step_c)+0.00000001),193))+1)+(((Alpha_keep*$A167+J$3-Lo_c)/Step_c)-MAX(6,MIN(INT(((Alpha_keep*$A167+J$3-Lo_c)/Step_c)+0.00000001),193)))*INDEX($D$5:$D$205,MAX(6,MIN(INT(((Alpha_keep*$A167+J$3-Lo_c)/Step_c)+0.00000001),193))+2)),"")</f>
        <v>-194.320642530999</v>
      </c>
      <c r="K167" s="16" t="n">
        <f aca="false">IF(Grid!I167=1,-Cost_k*K$3-Short_p*MAX(0,Floor_c-$A167)+Beta_q*((1-(((Alpha_keep*$A167+K$3-Lo_c)/Step_c)-MAX(6,MIN(INT(((Alpha_keep*$A167+K$3-Lo_c)/Step_c)+0.00000001),193))))*INDEX($D$5:$D$205,MAX(6,MIN(INT(((Alpha_keep*$A167+K$3-Lo_c)/Step_c)+0.00000001),193))+1)+(((Alpha_keep*$A167+K$3-Lo_c)/Step_c)-MAX(6,MIN(INT(((Alpha_keep*$A167+K$3-Lo_c)/Step_c)+0.00000001),193)))*INDEX($D$5:$D$205,MAX(6,MIN(INT(((Alpha_keep*$A167+K$3-Lo_c)/Step_c)+0.00000001),193))+2)),"")</f>
        <v>-194.688653020408</v>
      </c>
      <c r="L167" s="16" t="n">
        <f aca="false">IF(Grid!J167=1,-Cost_k*L$3-Short_p*MAX(0,Floor_c-$A167)+Beta_q*((1-(((Alpha_keep*$A167+L$3-Lo_c)/Step_c)-MAX(6,MIN(INT(((Alpha_keep*$A167+L$3-Lo_c)/Step_c)+0.00000001),193))))*INDEX($D$5:$D$205,MAX(6,MIN(INT(((Alpha_keep*$A167+L$3-Lo_c)/Step_c)+0.00000001),193))+1)+(((Alpha_keep*$A167+L$3-Lo_c)/Step_c)-MAX(6,MIN(INT(((Alpha_keep*$A167+L$3-Lo_c)/Step_c)+0.00000001),193)))*INDEX($D$5:$D$205,MAX(6,MIN(INT(((Alpha_keep*$A167+L$3-Lo_c)/Step_c)+0.00000001),193))+2)),"")</f>
        <v>-195.061060670466</v>
      </c>
      <c r="M167" s="16" t="n">
        <f aca="false">IF(Grid!K167=1,-Cost_k*M$3-Short_p*MAX(0,Floor_c-$A167)+Beta_q*((1-(((Alpha_keep*$A167+M$3-Lo_c)/Step_c)-MAX(6,MIN(INT(((Alpha_keep*$A167+M$3-Lo_c)/Step_c)+0.00000001),193))))*INDEX($D$5:$D$205,MAX(6,MIN(INT(((Alpha_keep*$A167+M$3-Lo_c)/Step_c)+0.00000001),193))+1)+(((Alpha_keep*$A167+M$3-Lo_c)/Step_c)-MAX(6,MIN(INT(((Alpha_keep*$A167+M$3-Lo_c)/Step_c)+0.00000001),193)))*INDEX($D$5:$D$205,MAX(6,MIN(INT(((Alpha_keep*$A167+M$3-Lo_c)/Step_c)+0.00000001),193))+2)),"")</f>
        <v>-195.437468886149</v>
      </c>
      <c r="N167" s="16" t="n">
        <f aca="false">IF(Grid!L167=1,-Cost_k*N$3-Short_p*MAX(0,Floor_c-$A167)+Beta_q*((1-(((Alpha_keep*$A167+N$3-Lo_c)/Step_c)-MAX(6,MIN(INT(((Alpha_keep*$A167+N$3-Lo_c)/Step_c)+0.00000001),193))))*INDEX($D$5:$D$205,MAX(6,MIN(INT(((Alpha_keep*$A167+N$3-Lo_c)/Step_c)+0.00000001),193))+1)+(((Alpha_keep*$A167+N$3-Lo_c)/Step_c)-MAX(6,MIN(INT(((Alpha_keep*$A167+N$3-Lo_c)/Step_c)+0.00000001),193)))*INDEX($D$5:$D$205,MAX(6,MIN(INT(((Alpha_keep*$A167+N$3-Lo_c)/Step_c)+0.00000001),193))+2)),"")</f>
        <v>-195.818189412437</v>
      </c>
      <c r="O167" s="16" t="n">
        <f aca="false">IF(Grid!M167=1,-Cost_k*O$3-Short_p*MAX(0,Floor_c-$A167)+Beta_q*((1-(((Alpha_keep*$A167+O$3-Lo_c)/Step_c)-MAX(6,MIN(INT(((Alpha_keep*$A167+O$3-Lo_c)/Step_c)+0.00000001),193))))*INDEX($D$5:$D$205,MAX(6,MIN(INT(((Alpha_keep*$A167+O$3-Lo_c)/Step_c)+0.00000001),193))+1)+(((Alpha_keep*$A167+O$3-Lo_c)/Step_c)-MAX(6,MIN(INT(((Alpha_keep*$A167+O$3-Lo_c)/Step_c)+0.00000001),193)))*INDEX($D$5:$D$205,MAX(6,MIN(INT(((Alpha_keep*$A167+O$3-Lo_c)/Step_c)+0.00000001),193))+2)),"")</f>
        <v>-196.203323303605</v>
      </c>
      <c r="P167" s="11" t="n">
        <f aca="false">MAX(E167:O167)</f>
        <v>-192.548018154139</v>
      </c>
      <c r="Q167" s="12" t="n">
        <f aca="false">INDEX($E$3:$O$3,MATCH(P167,E167:O167,0))</f>
        <v>0</v>
      </c>
      <c r="R167" s="20" t="n">
        <v>0</v>
      </c>
      <c r="S167" s="14" t="n">
        <f aca="false">IF(ABS(Q167-R167)&lt;0.000000001,1,0)</f>
        <v>1</v>
      </c>
      <c r="T167" s="21" t="n">
        <f aca="false">ABS(P167-B167)</f>
        <v>0</v>
      </c>
      <c r="U167" s="16" t="n">
        <f aca="false">Alpha_keep*A167+Q167</f>
        <v>68.7375</v>
      </c>
      <c r="V167" s="14" t="n">
        <f aca="false">INDEX(GuardBlock,163,ROUND(Q167/Step_h,0)+1)</f>
        <v>1</v>
      </c>
      <c r="W167" s="22" t="n">
        <v>0</v>
      </c>
    </row>
    <row r="168" customFormat="false" ht="15" hidden="false" customHeight="false" outlineLevel="0" collapsed="false">
      <c r="A168" s="18" t="n">
        <f aca="false">Grid!A168</f>
        <v>70.75</v>
      </c>
      <c r="B168" s="19" t="n">
        <v>-191.909749585994</v>
      </c>
      <c r="C168" s="14" t="n">
        <v>163</v>
      </c>
      <c r="D168" s="11" t="n">
        <f aca="false">IF(AND($C168&gt;=6,$C168&lt;=194),Declarations!$B$25*INDEX($B$5:$B$205,$C168+1-Declarations!$E$25)+Declarations!$B$26*INDEX($B$5:$B$205,$C168+1-Declarations!$E$26)+Declarations!$B$27*INDEX($B$5:$B$205,$C168+1-Declarations!$E$27)+Declarations!$B$28*INDEX($B$5:$B$205,$C168+1-Declarations!$E$28)+Declarations!$B$29*INDEX($B$5:$B$205,$C168+1-Declarations!$E$29),"")</f>
        <v>-191.92535648106</v>
      </c>
      <c r="E168" s="16" t="n">
        <f aca="false">IF(Grid!C168=1,-Cost_k*E$3-Short_p*MAX(0,Floor_c-$A168)+Beta_q*((1-(((Alpha_keep*$A168+E$3-Lo_c)/Step_c)-MAX(6,MIN(INT(((Alpha_keep*$A168+E$3-Lo_c)/Step_c)+0.00000001),193))))*INDEX($D$5:$D$205,MAX(6,MIN(INT(((Alpha_keep*$A168+E$3-Lo_c)/Step_c)+0.00000001),193))+1)+(((Alpha_keep*$A168+E$3-Lo_c)/Step_c)-MAX(6,MIN(INT(((Alpha_keep*$A168+E$3-Lo_c)/Step_c)+0.00000001),193)))*INDEX($D$5:$D$205,MAX(6,MIN(INT(((Alpha_keep*$A168+E$3-Lo_c)/Step_c)+0.00000001),193))+2)),"")</f>
        <v>-191.909749585994</v>
      </c>
      <c r="F168" s="16" t="n">
        <f aca="false">IF(Grid!D168=1,-Cost_k*F$3-Short_p*MAX(0,Floor_c-$A168)+Beta_q*((1-(((Alpha_keep*$A168+F$3-Lo_c)/Step_c)-MAX(6,MIN(INT(((Alpha_keep*$A168+F$3-Lo_c)/Step_c)+0.00000001),193))))*INDEX($D$5:$D$205,MAX(6,MIN(INT(((Alpha_keep*$A168+F$3-Lo_c)/Step_c)+0.00000001),193))+1)+(((Alpha_keep*$A168+F$3-Lo_c)/Step_c)-MAX(6,MIN(INT(((Alpha_keep*$A168+F$3-Lo_c)/Step_c)+0.00000001),193)))*INDEX($D$5:$D$205,MAX(6,MIN(INT(((Alpha_keep*$A168+F$3-Lo_c)/Step_c)+0.00000001),193))+2)),"")</f>
        <v>-192.25961229893</v>
      </c>
      <c r="G168" s="16" t="n">
        <f aca="false">IF(Grid!E168=1,-Cost_k*G$3-Short_p*MAX(0,Floor_c-$A168)+Beta_q*((1-(((Alpha_keep*$A168+G$3-Lo_c)/Step_c)-MAX(6,MIN(INT(((Alpha_keep*$A168+G$3-Lo_c)/Step_c)+0.00000001),193))))*INDEX($D$5:$D$205,MAX(6,MIN(INT(((Alpha_keep*$A168+G$3-Lo_c)/Step_c)+0.00000001),193))+1)+(((Alpha_keep*$A168+G$3-Lo_c)/Step_c)-MAX(6,MIN(INT(((Alpha_keep*$A168+G$3-Lo_c)/Step_c)+0.00000001),193)))*INDEX($D$5:$D$205,MAX(6,MIN(INT(((Alpha_keep*$A168+G$3-Lo_c)/Step_c)+0.00000001),193))+2)),"")</f>
        <v>-192.614349204622</v>
      </c>
      <c r="H168" s="16" t="n">
        <f aca="false">IF(Grid!F168=1,-Cost_k*H$3-Short_p*MAX(0,Floor_c-$A168)+Beta_q*((1-(((Alpha_keep*$A168+H$3-Lo_c)/Step_c)-MAX(6,MIN(INT(((Alpha_keep*$A168+H$3-Lo_c)/Step_c)+0.00000001),193))))*INDEX($D$5:$D$205,MAX(6,MIN(INT(((Alpha_keep*$A168+H$3-Lo_c)/Step_c)+0.00000001),193))+1)+(((Alpha_keep*$A168+H$3-Lo_c)/Step_c)-MAX(6,MIN(INT(((Alpha_keep*$A168+H$3-Lo_c)/Step_c)+0.00000001),193)))*INDEX($D$5:$D$205,MAX(6,MIN(INT(((Alpha_keep*$A168+H$3-Lo_c)/Step_c)+0.00000001),193))+2)),"")</f>
        <v>-192.973358002502</v>
      </c>
      <c r="I168" s="16" t="n">
        <f aca="false">IF(Grid!G168=1,-Cost_k*I$3-Short_p*MAX(0,Floor_c-$A168)+Beta_q*((1-(((Alpha_keep*$A168+I$3-Lo_c)/Step_c)-MAX(6,MIN(INT(((Alpha_keep*$A168+I$3-Lo_c)/Step_c)+0.00000001),193))))*INDEX($D$5:$D$205,MAX(6,MIN(INT(((Alpha_keep*$A168+I$3-Lo_c)/Step_c)+0.00000001),193))+1)+(((Alpha_keep*$A168+I$3-Lo_c)/Step_c)-MAX(6,MIN(INT(((Alpha_keep*$A168+I$3-Lo_c)/Step_c)+0.00000001),193)))*INDEX($D$5:$D$205,MAX(6,MIN(INT(((Alpha_keep*$A168+I$3-Lo_c)/Step_c)+0.00000001),193))+2)),"")</f>
        <v>-193.336554764606</v>
      </c>
      <c r="J168" s="16" t="n">
        <f aca="false">IF(Grid!H168=1,-Cost_k*J$3-Short_p*MAX(0,Floor_c-$A168)+Beta_q*((1-(((Alpha_keep*$A168+J$3-Lo_c)/Step_c)-MAX(6,MIN(INT(((Alpha_keep*$A168+J$3-Lo_c)/Step_c)+0.00000001),193))))*INDEX($D$5:$D$205,MAX(6,MIN(INT(((Alpha_keep*$A168+J$3-Lo_c)/Step_c)+0.00000001),193))+1)+(((Alpha_keep*$A168+J$3-Lo_c)/Step_c)-MAX(6,MIN(INT(((Alpha_keep*$A168+J$3-Lo_c)/Step_c)+0.00000001),193)))*INDEX($D$5:$D$205,MAX(6,MIN(INT(((Alpha_keep*$A168+J$3-Lo_c)/Step_c)+0.00000001),193))+2)),"")</f>
        <v>-193.704446837339</v>
      </c>
      <c r="K168" s="16" t="n">
        <f aca="false">IF(Grid!I168=1,-Cost_k*K$3-Short_p*MAX(0,Floor_c-$A168)+Beta_q*((1-(((Alpha_keep*$A168+K$3-Lo_c)/Step_c)-MAX(6,MIN(INT(((Alpha_keep*$A168+K$3-Lo_c)/Step_c)+0.00000001),193))))*INDEX($D$5:$D$205,MAX(6,MIN(INT(((Alpha_keep*$A168+K$3-Lo_c)/Step_c)+0.00000001),193))+1)+(((Alpha_keep*$A168+K$3-Lo_c)/Step_c)-MAX(6,MIN(INT(((Alpha_keep*$A168+K$3-Lo_c)/Step_c)+0.00000001),193)))*INDEX($D$5:$D$205,MAX(6,MIN(INT(((Alpha_keep*$A168+K$3-Lo_c)/Step_c)+0.00000001),193))+2)),"")</f>
        <v>-194.0767450051</v>
      </c>
      <c r="L168" s="16" t="n">
        <f aca="false">IF(Grid!J168=1,-Cost_k*L$3-Short_p*MAX(0,Floor_c-$A168)+Beta_q*((1-(((Alpha_keep*$A168+L$3-Lo_c)/Step_c)-MAX(6,MIN(INT(((Alpha_keep*$A168+L$3-Lo_c)/Step_c)+0.00000001),193))))*INDEX($D$5:$D$205,MAX(6,MIN(INT(((Alpha_keep*$A168+L$3-Lo_c)/Step_c)+0.00000001),193))+1)+(((Alpha_keep*$A168+L$3-Lo_c)/Step_c)-MAX(6,MIN(INT(((Alpha_keep*$A168+L$3-Lo_c)/Step_c)+0.00000001),193)))*INDEX($D$5:$D$205,MAX(6,MIN(INT(((Alpha_keep*$A168+L$3-Lo_c)/Step_c)+0.00000001),193))+2)),"")</f>
        <v>-194.453053704966</v>
      </c>
      <c r="M168" s="16" t="n">
        <f aca="false">IF(Grid!K168=1,-Cost_k*M$3-Short_p*MAX(0,Floor_c-$A168)+Beta_q*((1-(((Alpha_keep*$A168+M$3-Lo_c)/Step_c)-MAX(6,MIN(INT(((Alpha_keep*$A168+M$3-Lo_c)/Step_c)+0.00000001),193))))*INDEX($D$5:$D$205,MAX(6,MIN(INT(((Alpha_keep*$A168+M$3-Lo_c)/Step_c)+0.00000001),193))+1)+(((Alpha_keep*$A168+M$3-Lo_c)/Step_c)-MAX(6,MIN(INT(((Alpha_keep*$A168+M$3-Lo_c)/Step_c)+0.00000001),193)))*INDEX($D$5:$D$205,MAX(6,MIN(INT(((Alpha_keep*$A168+M$3-Lo_c)/Step_c)+0.00000001),193))+2)),"")</f>
        <v>-194.833665987071</v>
      </c>
      <c r="N168" s="16" t="n">
        <f aca="false">IF(Grid!L168=1,-Cost_k*N$3-Short_p*MAX(0,Floor_c-$A168)+Beta_q*((1-(((Alpha_keep*$A168+N$3-Lo_c)/Step_c)-MAX(6,MIN(INT(((Alpha_keep*$A168+N$3-Lo_c)/Step_c)+0.00000001),193))))*INDEX($D$5:$D$205,MAX(6,MIN(INT(((Alpha_keep*$A168+N$3-Lo_c)/Step_c)+0.00000001),193))+1)+(((Alpha_keep*$A168+N$3-Lo_c)/Step_c)-MAX(6,MIN(INT(((Alpha_keep*$A168+N$3-Lo_c)/Step_c)+0.00000001),193)))*INDEX($D$5:$D$205,MAX(6,MIN(INT(((Alpha_keep*$A168+N$3-Lo_c)/Step_c)+0.00000001),193))+2)),"")</f>
        <v>-195.21868943412</v>
      </c>
      <c r="O168" s="16" t="n">
        <f aca="false">IF(Grid!M168=1,-Cost_k*O$3-Short_p*MAX(0,Floor_c-$A168)+Beta_q*((1-(((Alpha_keep*$A168+O$3-Lo_c)/Step_c)-MAX(6,MIN(INT(((Alpha_keep*$A168+O$3-Lo_c)/Step_c)+0.00000001),193))))*INDEX($D$5:$D$205,MAX(6,MIN(INT(((Alpha_keep*$A168+O$3-Lo_c)/Step_c)+0.00000001),193))+1)+(((Alpha_keep*$A168+O$3-Lo_c)/Step_c)-MAX(6,MIN(INT(((Alpha_keep*$A168+O$3-Lo_c)/Step_c)+0.00000001),193)))*INDEX($D$5:$D$205,MAX(6,MIN(INT(((Alpha_keep*$A168+O$3-Lo_c)/Step_c)+0.00000001),193))+2)),"")</f>
        <v>-195.607741148471</v>
      </c>
      <c r="P168" s="11" t="n">
        <f aca="false">MAX(E168:O168)</f>
        <v>-191.909749585994</v>
      </c>
      <c r="Q168" s="12" t="n">
        <f aca="false">INDEX($E$3:$O$3,MATCH(P168,E168:O168,0))</f>
        <v>0</v>
      </c>
      <c r="R168" s="20" t="n">
        <v>0</v>
      </c>
      <c r="S168" s="14" t="n">
        <f aca="false">IF(ABS(Q168-R168)&lt;0.000000001,1,0)</f>
        <v>1</v>
      </c>
      <c r="T168" s="21" t="n">
        <f aca="false">ABS(P168-B168)</f>
        <v>0</v>
      </c>
      <c r="U168" s="16" t="n">
        <f aca="false">Alpha_keep*A168+Q168</f>
        <v>68.98125</v>
      </c>
      <c r="V168" s="14" t="n">
        <f aca="false">INDEX(GuardBlock,164,ROUND(Q168/Step_h,0)+1)</f>
        <v>1</v>
      </c>
      <c r="W168" s="22" t="n">
        <v>0</v>
      </c>
    </row>
    <row r="169" customFormat="false" ht="15" hidden="false" customHeight="false" outlineLevel="0" collapsed="false">
      <c r="A169" s="18" t="n">
        <f aca="false">Grid!A169</f>
        <v>71</v>
      </c>
      <c r="B169" s="19" t="n">
        <v>-191.27585704741</v>
      </c>
      <c r="C169" s="14" t="n">
        <v>164</v>
      </c>
      <c r="D169" s="11" t="n">
        <f aca="false">IF(AND($C169&gt;=6,$C169&lt;=194),Declarations!$B$25*INDEX($B$5:$B$205,$C169+1-Declarations!$E$25)+Declarations!$B$26*INDEX($B$5:$B$205,$C169+1-Declarations!$E$26)+Declarations!$B$27*INDEX($B$5:$B$205,$C169+1-Declarations!$E$27)+Declarations!$B$28*INDEX($B$5:$B$205,$C169+1-Declarations!$E$28)+Declarations!$B$29*INDEX($B$5:$B$205,$C169+1-Declarations!$E$29),"")</f>
        <v>-191.291365603363</v>
      </c>
      <c r="E169" s="16" t="n">
        <f aca="false">IF(Grid!C169=1,-Cost_k*E$3-Short_p*MAX(0,Floor_c-$A169)+Beta_q*((1-(((Alpha_keep*$A169+E$3-Lo_c)/Step_c)-MAX(6,MIN(INT(((Alpha_keep*$A169+E$3-Lo_c)/Step_c)+0.00000001),193))))*INDEX($D$5:$D$205,MAX(6,MIN(INT(((Alpha_keep*$A169+E$3-Lo_c)/Step_c)+0.00000001),193))+1)+(((Alpha_keep*$A169+E$3-Lo_c)/Step_c)-MAX(6,MIN(INT(((Alpha_keep*$A169+E$3-Lo_c)/Step_c)+0.00000001),193)))*INDEX($D$5:$D$205,MAX(6,MIN(INT(((Alpha_keep*$A169+E$3-Lo_c)/Step_c)+0.00000001),193))+2)),"")</f>
        <v>-191.27585704741</v>
      </c>
      <c r="F169" s="16" t="n">
        <f aca="false">IF(Grid!D169=1,-Cost_k*F$3-Short_p*MAX(0,Floor_c-$A169)+Beta_q*((1-(((Alpha_keep*$A169+F$3-Lo_c)/Step_c)-MAX(6,MIN(INT(((Alpha_keep*$A169+F$3-Lo_c)/Step_c)+0.00000001),193))))*INDEX($D$5:$D$205,MAX(6,MIN(INT(((Alpha_keep*$A169+F$3-Lo_c)/Step_c)+0.00000001),193))+1)+(((Alpha_keep*$A169+F$3-Lo_c)/Step_c)-MAX(6,MIN(INT(((Alpha_keep*$A169+F$3-Lo_c)/Step_c)+0.00000001),193)))*INDEX($D$5:$D$205,MAX(6,MIN(INT(((Alpha_keep*$A169+F$3-Lo_c)/Step_c)+0.00000001),193))+2)),"")</f>
        <v>-191.630471605943</v>
      </c>
      <c r="G169" s="16" t="n">
        <f aca="false">IF(Grid!E169=1,-Cost_k*G$3-Short_p*MAX(0,Floor_c-$A169)+Beta_q*((1-(((Alpha_keep*$A169+G$3-Lo_c)/Step_c)-MAX(6,MIN(INT(((Alpha_keep*$A169+G$3-Lo_c)/Step_c)+0.00000001),193))))*INDEX($D$5:$D$205,MAX(6,MIN(INT(((Alpha_keep*$A169+G$3-Lo_c)/Step_c)+0.00000001),193))+1)+(((Alpha_keep*$A169+G$3-Lo_c)/Step_c)-MAX(6,MIN(INT(((Alpha_keep*$A169+G$3-Lo_c)/Step_c)+0.00000001),193)))*INDEX($D$5:$D$205,MAX(6,MIN(INT(((Alpha_keep*$A169+G$3-Lo_c)/Step_c)+0.00000001),193))+2)),"")</f>
        <v>-191.989374867317</v>
      </c>
      <c r="H169" s="16" t="n">
        <f aca="false">IF(Grid!F169=1,-Cost_k*H$3-Short_p*MAX(0,Floor_c-$A169)+Beta_q*((1-(((Alpha_keep*$A169+H$3-Lo_c)/Step_c)-MAX(6,MIN(INT(((Alpha_keep*$A169+H$3-Lo_c)/Step_c)+0.00000001),193))))*INDEX($D$5:$D$205,MAX(6,MIN(INT(((Alpha_keep*$A169+H$3-Lo_c)/Step_c)+0.00000001),193))+1)+(((Alpha_keep*$A169+H$3-Lo_c)/Step_c)-MAX(6,MIN(INT(((Alpha_keep*$A169+H$3-Lo_c)/Step_c)+0.00000001),193)))*INDEX($D$5:$D$205,MAX(6,MIN(INT(((Alpha_keep*$A169+H$3-Lo_c)/Step_c)+0.00000001),193))+2)),"")</f>
        <v>-192.352466998213</v>
      </c>
      <c r="I169" s="16" t="n">
        <f aca="false">IF(Grid!G169=1,-Cost_k*I$3-Short_p*MAX(0,Floor_c-$A169)+Beta_q*((1-(((Alpha_keep*$A169+I$3-Lo_c)/Step_c)-MAX(6,MIN(INT(((Alpha_keep*$A169+I$3-Lo_c)/Step_c)+0.00000001),193))))*INDEX($D$5:$D$205,MAX(6,MIN(INT(((Alpha_keep*$A169+I$3-Lo_c)/Step_c)+0.00000001),193))+1)+(((Alpha_keep*$A169+I$3-Lo_c)/Step_c)-MAX(6,MIN(INT(((Alpha_keep*$A169+I$3-Lo_c)/Step_c)+0.00000001),193)))*INDEX($D$5:$D$205,MAX(6,MIN(INT(((Alpha_keep*$A169+I$3-Lo_c)/Step_c)+0.00000001),193))+2)),"")</f>
        <v>-192.72024065427</v>
      </c>
      <c r="J169" s="16" t="n">
        <f aca="false">IF(Grid!H169=1,-Cost_k*J$3-Short_p*MAX(0,Floor_c-$A169)+Beta_q*((1-(((Alpha_keep*$A169+J$3-Lo_c)/Step_c)-MAX(6,MIN(INT(((Alpha_keep*$A169+J$3-Lo_c)/Step_c)+0.00000001),193))))*INDEX($D$5:$D$205,MAX(6,MIN(INT(((Alpha_keep*$A169+J$3-Lo_c)/Step_c)+0.00000001),193))+1)+(((Alpha_keep*$A169+J$3-Lo_c)/Step_c)-MAX(6,MIN(INT(((Alpha_keep*$A169+J$3-Lo_c)/Step_c)+0.00000001),193)))*INDEX($D$5:$D$205,MAX(6,MIN(INT(((Alpha_keep*$A169+J$3-Lo_c)/Step_c)+0.00000001),193))+2)),"")</f>
        <v>-193.092429339733</v>
      </c>
      <c r="K169" s="16" t="n">
        <f aca="false">IF(Grid!I169=1,-Cost_k*K$3-Short_p*MAX(0,Floor_c-$A169)+Beta_q*((1-(((Alpha_keep*$A169+K$3-Lo_c)/Step_c)-MAX(6,MIN(INT(((Alpha_keep*$A169+K$3-Lo_c)/Step_c)+0.00000001),193))))*INDEX($D$5:$D$205,MAX(6,MIN(INT(((Alpha_keep*$A169+K$3-Lo_c)/Step_c)+0.00000001),193))+1)+(((Alpha_keep*$A169+K$3-Lo_c)/Step_c)-MAX(6,MIN(INT(((Alpha_keep*$A169+K$3-Lo_c)/Step_c)+0.00000001),193)))*INDEX($D$5:$D$205,MAX(6,MIN(INT(((Alpha_keep*$A169+K$3-Lo_c)/Step_c)+0.00000001),193))+2)),"")</f>
        <v>-193.468638523783</v>
      </c>
      <c r="L169" s="16" t="n">
        <f aca="false">IF(Grid!J169=1,-Cost_k*L$3-Short_p*MAX(0,Floor_c-$A169)+Beta_q*((1-(((Alpha_keep*$A169+L$3-Lo_c)/Step_c)-MAX(6,MIN(INT(((Alpha_keep*$A169+L$3-Lo_c)/Step_c)+0.00000001),193))))*INDEX($D$5:$D$205,MAX(6,MIN(INT(((Alpha_keep*$A169+L$3-Lo_c)/Step_c)+0.00000001),193))+1)+(((Alpha_keep*$A169+L$3-Lo_c)/Step_c)-MAX(6,MIN(INT(((Alpha_keep*$A169+L$3-Lo_c)/Step_c)+0.00000001),193)))*INDEX($D$5:$D$205,MAX(6,MIN(INT(((Alpha_keep*$A169+L$3-Lo_c)/Step_c)+0.00000001),193))+2)),"")</f>
        <v>-193.849142561704</v>
      </c>
      <c r="M169" s="16" t="n">
        <f aca="false">IF(Grid!K169=1,-Cost_k*M$3-Short_p*MAX(0,Floor_c-$A169)+Beta_q*((1-(((Alpha_keep*$A169+M$3-Lo_c)/Step_c)-MAX(6,MIN(INT(((Alpha_keep*$A169+M$3-Lo_c)/Step_c)+0.00000001),193))))*INDEX($D$5:$D$205,MAX(6,MIN(INT(((Alpha_keep*$A169+M$3-Lo_c)/Step_c)+0.00000001),193))+1)+(((Alpha_keep*$A169+M$3-Lo_c)/Step_c)-MAX(6,MIN(INT(((Alpha_keep*$A169+M$3-Lo_c)/Step_c)+0.00000001),193)))*INDEX($D$5:$D$205,MAX(6,MIN(INT(((Alpha_keep*$A169+M$3-Lo_c)/Step_c)+0.00000001),193))+2)),"")</f>
        <v>-194.234055564635</v>
      </c>
      <c r="N169" s="16" t="n">
        <f aca="false">IF(Grid!L169=1,-Cost_k*N$3-Short_p*MAX(0,Floor_c-$A169)+Beta_q*((1-(((Alpha_keep*$A169+N$3-Lo_c)/Step_c)-MAX(6,MIN(INT(((Alpha_keep*$A169+N$3-Lo_c)/Step_c)+0.00000001),193))))*INDEX($D$5:$D$205,MAX(6,MIN(INT(((Alpha_keep*$A169+N$3-Lo_c)/Step_c)+0.00000001),193))+1)+(((Alpha_keep*$A169+N$3-Lo_c)/Step_c)-MAX(6,MIN(INT(((Alpha_keep*$A169+N$3-Lo_c)/Step_c)+0.00000001),193)))*INDEX($D$5:$D$205,MAX(6,MIN(INT(((Alpha_keep*$A169+N$3-Lo_c)/Step_c)+0.00000001),193))+2)),"")</f>
        <v>-194.623007361826</v>
      </c>
      <c r="O169" s="16" t="n">
        <f aca="false">IF(Grid!M169=1,-Cost_k*O$3-Short_p*MAX(0,Floor_c-$A169)+Beta_q*((1-(((Alpha_keep*$A169+O$3-Lo_c)/Step_c)-MAX(6,MIN(INT(((Alpha_keep*$A169+O$3-Lo_c)/Step_c)+0.00000001),193))))*INDEX($D$5:$D$205,MAX(6,MIN(INT(((Alpha_keep*$A169+O$3-Lo_c)/Step_c)+0.00000001),193))+1)+(((Alpha_keep*$A169+O$3-Lo_c)/Step_c)-MAX(6,MIN(INT(((Alpha_keep*$A169+O$3-Lo_c)/Step_c)+0.00000001),193)))*INDEX($D$5:$D$205,MAX(6,MIN(INT(((Alpha_keep*$A169+O$3-Lo_c)/Step_c)+0.00000001),193))+2)),"")</f>
        <v>-195.015947467938</v>
      </c>
      <c r="P169" s="11" t="n">
        <f aca="false">MAX(E169:O169)</f>
        <v>-191.27585704741</v>
      </c>
      <c r="Q169" s="12" t="n">
        <f aca="false">INDEX($E$3:$O$3,MATCH(P169,E169:O169,0))</f>
        <v>0</v>
      </c>
      <c r="R169" s="20" t="n">
        <v>0</v>
      </c>
      <c r="S169" s="14" t="n">
        <f aca="false">IF(ABS(Q169-R169)&lt;0.000000001,1,0)</f>
        <v>1</v>
      </c>
      <c r="T169" s="21" t="n">
        <f aca="false">ABS(P169-B169)</f>
        <v>0</v>
      </c>
      <c r="U169" s="16" t="n">
        <f aca="false">Alpha_keep*A169+Q169</f>
        <v>69.225</v>
      </c>
      <c r="V169" s="14" t="n">
        <f aca="false">INDEX(GuardBlock,165,ROUND(Q169/Step_h,0)+1)</f>
        <v>1</v>
      </c>
      <c r="W169" s="22" t="n">
        <v>0</v>
      </c>
    </row>
    <row r="170" customFormat="false" ht="15" hidden="false" customHeight="false" outlineLevel="0" collapsed="false">
      <c r="A170" s="18" t="n">
        <f aca="false">Grid!A170</f>
        <v>71.25</v>
      </c>
      <c r="B170" s="19" t="n">
        <v>-190.646594007263</v>
      </c>
      <c r="C170" s="14" t="n">
        <v>165</v>
      </c>
      <c r="D170" s="11" t="n">
        <f aca="false">IF(AND($C170&gt;=6,$C170&lt;=194),Declarations!$B$25*INDEX($B$5:$B$205,$C170+1-Declarations!$E$25)+Declarations!$B$26*INDEX($B$5:$B$205,$C170+1-Declarations!$E$26)+Declarations!$B$27*INDEX($B$5:$B$205,$C170+1-Declarations!$E$27)+Declarations!$B$28*INDEX($B$5:$B$205,$C170+1-Declarations!$E$28)+Declarations!$B$29*INDEX($B$5:$B$205,$C170+1-Declarations!$E$29),"")</f>
        <v>-190.661899019022</v>
      </c>
      <c r="E170" s="16" t="n">
        <f aca="false">IF(Grid!C170=1,-Cost_k*E$3-Short_p*MAX(0,Floor_c-$A170)+Beta_q*((1-(((Alpha_keep*$A170+E$3-Lo_c)/Step_c)-MAX(6,MIN(INT(((Alpha_keep*$A170+E$3-Lo_c)/Step_c)+0.00000001),193))))*INDEX($D$5:$D$205,MAX(6,MIN(INT(((Alpha_keep*$A170+E$3-Lo_c)/Step_c)+0.00000001),193))+1)+(((Alpha_keep*$A170+E$3-Lo_c)/Step_c)-MAX(6,MIN(INT(((Alpha_keep*$A170+E$3-Lo_c)/Step_c)+0.00000001),193)))*INDEX($D$5:$D$205,MAX(6,MIN(INT(((Alpha_keep*$A170+E$3-Lo_c)/Step_c)+0.00000001),193))+2)),"")</f>
        <v>-190.646594007263</v>
      </c>
      <c r="F170" s="16" t="n">
        <f aca="false">IF(Grid!D170=1,-Cost_k*F$3-Short_p*MAX(0,Floor_c-$A170)+Beta_q*((1-(((Alpha_keep*$A170+F$3-Lo_c)/Step_c)-MAX(6,MIN(INT(((Alpha_keep*$A170+F$3-Lo_c)/Step_c)+0.00000001),193))))*INDEX($D$5:$D$205,MAX(6,MIN(INT(((Alpha_keep*$A170+F$3-Lo_c)/Step_c)+0.00000001),193))+1)+(((Alpha_keep*$A170+F$3-Lo_c)/Step_c)-MAX(6,MIN(INT(((Alpha_keep*$A170+F$3-Lo_c)/Step_c)+0.00000001),193)))*INDEX($D$5:$D$205,MAX(6,MIN(INT(((Alpha_keep*$A170+F$3-Lo_c)/Step_c)+0.00000001),193))+2)),"")</f>
        <v>-191.005391732132</v>
      </c>
      <c r="G170" s="16" t="n">
        <f aca="false">IF(Grid!E170=1,-Cost_k*G$3-Short_p*MAX(0,Floor_c-$A170)+Beta_q*((1-(((Alpha_keep*$A170+G$3-Lo_c)/Step_c)-MAX(6,MIN(INT(((Alpha_keep*$A170+G$3-Lo_c)/Step_c)+0.00000001),193))))*INDEX($D$5:$D$205,MAX(6,MIN(INT(((Alpha_keep*$A170+G$3-Lo_c)/Step_c)+0.00000001),193))+1)+(((Alpha_keep*$A170+G$3-Lo_c)/Step_c)-MAX(6,MIN(INT(((Alpha_keep*$A170+G$3-Lo_c)/Step_c)+0.00000001),193)))*INDEX($D$5:$D$205,MAX(6,MIN(INT(((Alpha_keep*$A170+G$3-Lo_c)/Step_c)+0.00000001),193))+2)),"")</f>
        <v>-191.368379231819</v>
      </c>
      <c r="H170" s="16" t="n">
        <f aca="false">IF(Grid!F170=1,-Cost_k*H$3-Short_p*MAX(0,Floor_c-$A170)+Beta_q*((1-(((Alpha_keep*$A170+H$3-Lo_c)/Step_c)-MAX(6,MIN(INT(((Alpha_keep*$A170+H$3-Lo_c)/Step_c)+0.00000001),193))))*INDEX($D$5:$D$205,MAX(6,MIN(INT(((Alpha_keep*$A170+H$3-Lo_c)/Step_c)+0.00000001),193))+1)+(((Alpha_keep*$A170+H$3-Lo_c)/Step_c)-MAX(6,MIN(INT(((Alpha_keep*$A170+H$3-Lo_c)/Step_c)+0.00000001),193)))*INDEX($D$5:$D$205,MAX(6,MIN(INT(((Alpha_keep*$A170+H$3-Lo_c)/Step_c)+0.00000001),193))+2)),"")</f>
        <v>-191.736034471201</v>
      </c>
      <c r="I170" s="16" t="n">
        <f aca="false">IF(Grid!G170=1,-Cost_k*I$3-Short_p*MAX(0,Floor_c-$A170)+Beta_q*((1-(((Alpha_keep*$A170+I$3-Lo_c)/Step_c)-MAX(6,MIN(INT(((Alpha_keep*$A170+I$3-Lo_c)/Step_c)+0.00000001),193))))*INDEX($D$5:$D$205,MAX(6,MIN(INT(((Alpha_keep*$A170+I$3-Lo_c)/Step_c)+0.00000001),193))+1)+(((Alpha_keep*$A170+I$3-Lo_c)/Step_c)-MAX(6,MIN(INT(((Alpha_keep*$A170+I$3-Lo_c)/Step_c)+0.00000001),193)))*INDEX($D$5:$D$205,MAX(6,MIN(INT(((Alpha_keep*$A170+I$3-Lo_c)/Step_c)+0.00000001),193))+2)),"")</f>
        <v>-192.108113674367</v>
      </c>
      <c r="J170" s="16" t="n">
        <f aca="false">IF(Grid!H170=1,-Cost_k*J$3-Short_p*MAX(0,Floor_c-$A170)+Beta_q*((1-(((Alpha_keep*$A170+J$3-Lo_c)/Step_c)-MAX(6,MIN(INT(((Alpha_keep*$A170+J$3-Lo_c)/Step_c)+0.00000001),193))))*INDEX($D$5:$D$205,MAX(6,MIN(INT(((Alpha_keep*$A170+J$3-Lo_c)/Step_c)+0.00000001),193))+1)+(((Alpha_keep*$A170+J$3-Lo_c)/Step_c)-MAX(6,MIN(INT(((Alpha_keep*$A170+J$3-Lo_c)/Step_c)+0.00000001),193)))*INDEX($D$5:$D$205,MAX(6,MIN(INT(((Alpha_keep*$A170+J$3-Lo_c)/Step_c)+0.00000001),193))+2)),"")</f>
        <v>-192.4842233426</v>
      </c>
      <c r="K170" s="16" t="n">
        <f aca="false">IF(Grid!I170=1,-Cost_k*K$3-Short_p*MAX(0,Floor_c-$A170)+Beta_q*((1-(((Alpha_keep*$A170+K$3-Lo_c)/Step_c)-MAX(6,MIN(INT(((Alpha_keep*$A170+K$3-Lo_c)/Step_c)+0.00000001),193))))*INDEX($D$5:$D$205,MAX(6,MIN(INT(((Alpha_keep*$A170+K$3-Lo_c)/Step_c)+0.00000001),193))+1)+(((Alpha_keep*$A170+K$3-Lo_c)/Step_c)-MAX(6,MIN(INT(((Alpha_keep*$A170+K$3-Lo_c)/Step_c)+0.00000001),193)))*INDEX($D$5:$D$205,MAX(6,MIN(INT(((Alpha_keep*$A170+K$3-Lo_c)/Step_c)+0.00000001),193))+2)),"")</f>
        <v>-192.864619136338</v>
      </c>
      <c r="L170" s="16" t="n">
        <f aca="false">IF(Grid!J170=1,-Cost_k*L$3-Short_p*MAX(0,Floor_c-$A170)+Beta_q*((1-(((Alpha_keep*$A170+L$3-Lo_c)/Step_c)-MAX(6,MIN(INT(((Alpha_keep*$A170+L$3-Lo_c)/Step_c)+0.00000001),193))))*INDEX($D$5:$D$205,MAX(6,MIN(INT(((Alpha_keep*$A170+L$3-Lo_c)/Step_c)+0.00000001),193))+1)+(((Alpha_keep*$A170+L$3-Lo_c)/Step_c)-MAX(6,MIN(INT(((Alpha_keep*$A170+L$3-Lo_c)/Step_c)+0.00000001),193)))*INDEX($D$5:$D$205,MAX(6,MIN(INT(((Alpha_keep*$A170+L$3-Lo_c)/Step_c)+0.00000001),193))+2)),"")</f>
        <v>-193.24942169515</v>
      </c>
      <c r="M170" s="16" t="n">
        <f aca="false">IF(Grid!K170=1,-Cost_k*M$3-Short_p*MAX(0,Floor_c-$A170)+Beta_q*((1-(((Alpha_keep*$A170+M$3-Lo_c)/Step_c)-MAX(6,MIN(INT(((Alpha_keep*$A170+M$3-Lo_c)/Step_c)+0.00000001),193))))*INDEX($D$5:$D$205,MAX(6,MIN(INT(((Alpha_keep*$A170+M$3-Lo_c)/Step_c)+0.00000001),193))+1)+(((Alpha_keep*$A170+M$3-Lo_c)/Step_c)-MAX(6,MIN(INT(((Alpha_keep*$A170+M$3-Lo_c)/Step_c)+0.00000001),193)))*INDEX($D$5:$D$205,MAX(6,MIN(INT(((Alpha_keep*$A170+M$3-Lo_c)/Step_c)+0.00000001),193))+2)),"")</f>
        <v>-193.63827357518</v>
      </c>
      <c r="N170" s="16" t="n">
        <f aca="false">IF(Grid!L170=1,-Cost_k*N$3-Short_p*MAX(0,Floor_c-$A170)+Beta_q*((1-(((Alpha_keep*$A170+N$3-Lo_c)/Step_c)-MAX(6,MIN(INT(((Alpha_keep*$A170+N$3-Lo_c)/Step_c)+0.00000001),193))))*INDEX($D$5:$D$205,MAX(6,MIN(INT(((Alpha_keep*$A170+N$3-Lo_c)/Step_c)+0.00000001),193))+1)+(((Alpha_keep*$A170+N$3-Lo_c)/Step_c)-MAX(6,MIN(INT(((Alpha_keep*$A170+N$3-Lo_c)/Step_c)+0.00000001),193)))*INDEX($D$5:$D$205,MAX(6,MIN(INT(((Alpha_keep*$A170+N$3-Lo_c)/Step_c)+0.00000001),193))+2)),"")</f>
        <v>-194.03111399684</v>
      </c>
      <c r="O170" s="16" t="n">
        <f aca="false">IF(Grid!M170=1,-Cost_k*O$3-Short_p*MAX(0,Floor_c-$A170)+Beta_q*((1-(((Alpha_keep*$A170+O$3-Lo_c)/Step_c)-MAX(6,MIN(INT(((Alpha_keep*$A170+O$3-Lo_c)/Step_c)+0.00000001),193))))*INDEX($D$5:$D$205,MAX(6,MIN(INT(((Alpha_keep*$A170+O$3-Lo_c)/Step_c)+0.00000001),193))+1)+(((Alpha_keep*$A170+O$3-Lo_c)/Step_c)-MAX(6,MIN(INT(((Alpha_keep*$A170+O$3-Lo_c)/Step_c)+0.00000001),193)))*INDEX($D$5:$D$205,MAX(6,MIN(INT(((Alpha_keep*$A170+O$3-Lo_c)/Step_c)+0.00000001),193))+2)),"")</f>
        <v>-194.428176746915</v>
      </c>
      <c r="P170" s="11" t="n">
        <f aca="false">MAX(E170:O170)</f>
        <v>-190.646594007263</v>
      </c>
      <c r="Q170" s="12" t="n">
        <f aca="false">INDEX($E$3:$O$3,MATCH(P170,E170:O170,0))</f>
        <v>0</v>
      </c>
      <c r="R170" s="20" t="n">
        <v>0</v>
      </c>
      <c r="S170" s="14" t="n">
        <f aca="false">IF(ABS(Q170-R170)&lt;0.000000001,1,0)</f>
        <v>1</v>
      </c>
      <c r="T170" s="21" t="n">
        <f aca="false">ABS(P170-B170)</f>
        <v>0</v>
      </c>
      <c r="U170" s="16" t="n">
        <f aca="false">Alpha_keep*A170+Q170</f>
        <v>69.46875</v>
      </c>
      <c r="V170" s="14" t="n">
        <f aca="false">INDEX(GuardBlock,166,ROUND(Q170/Step_h,0)+1)</f>
        <v>1</v>
      </c>
      <c r="W170" s="22" t="n">
        <v>0</v>
      </c>
    </row>
    <row r="171" customFormat="false" ht="15" hidden="false" customHeight="false" outlineLevel="0" collapsed="false">
      <c r="A171" s="18" t="n">
        <f aca="false">Grid!A171</f>
        <v>71.5</v>
      </c>
      <c r="B171" s="19" t="n">
        <v>-190.021408596947</v>
      </c>
      <c r="C171" s="14" t="n">
        <v>166</v>
      </c>
      <c r="D171" s="11" t="n">
        <f aca="false">IF(AND($C171&gt;=6,$C171&lt;=194),Declarations!$B$25*INDEX($B$5:$B$205,$C171+1-Declarations!$E$25)+Declarations!$B$26*INDEX($B$5:$B$205,$C171+1-Declarations!$E$26)+Declarations!$B$27*INDEX($B$5:$B$205,$C171+1-Declarations!$E$27)+Declarations!$B$28*INDEX($B$5:$B$205,$C171+1-Declarations!$E$28)+Declarations!$B$29*INDEX($B$5:$B$205,$C171+1-Declarations!$E$29),"")</f>
        <v>-190.036525495962</v>
      </c>
      <c r="E171" s="16" t="n">
        <f aca="false">IF(Grid!C171=1,-Cost_k*E$3-Short_p*MAX(0,Floor_c-$A171)+Beta_q*((1-(((Alpha_keep*$A171+E$3-Lo_c)/Step_c)-MAX(6,MIN(INT(((Alpha_keep*$A171+E$3-Lo_c)/Step_c)+0.00000001),193))))*INDEX($D$5:$D$205,MAX(6,MIN(INT(((Alpha_keep*$A171+E$3-Lo_c)/Step_c)+0.00000001),193))+1)+(((Alpha_keep*$A171+E$3-Lo_c)/Step_c)-MAX(6,MIN(INT(((Alpha_keep*$A171+E$3-Lo_c)/Step_c)+0.00000001),193)))*INDEX($D$5:$D$205,MAX(6,MIN(INT(((Alpha_keep*$A171+E$3-Lo_c)/Step_c)+0.00000001),193))+2)),"")</f>
        <v>-190.021408596947</v>
      </c>
      <c r="F171" s="16" t="n">
        <f aca="false">IF(Grid!D171=1,-Cost_k*F$3-Short_p*MAX(0,Floor_c-$A171)+Beta_q*((1-(((Alpha_keep*$A171+F$3-Lo_c)/Step_c)-MAX(6,MIN(INT(((Alpha_keep*$A171+F$3-Lo_c)/Step_c)+0.00000001),193))))*INDEX($D$5:$D$205,MAX(6,MIN(INT(((Alpha_keep*$A171+F$3-Lo_c)/Step_c)+0.00000001),193))+1)+(((Alpha_keep*$A171+F$3-Lo_c)/Step_c)-MAX(6,MIN(INT(((Alpha_keep*$A171+F$3-Lo_c)/Step_c)+0.00000001),193)))*INDEX($D$5:$D$205,MAX(6,MIN(INT(((Alpha_keep*$A171+F$3-Lo_c)/Step_c)+0.00000001),193))+2)),"")</f>
        <v>-190.384291465426</v>
      </c>
      <c r="G171" s="16" t="n">
        <f aca="false">IF(Grid!E171=1,-Cost_k*G$3-Short_p*MAX(0,Floor_c-$A171)+Beta_q*((1-(((Alpha_keep*$A171+G$3-Lo_c)/Step_c)-MAX(6,MIN(INT(((Alpha_keep*$A171+G$3-Lo_c)/Step_c)+0.00000001),193))))*INDEX($D$5:$D$205,MAX(6,MIN(INT(((Alpha_keep*$A171+G$3-Lo_c)/Step_c)+0.00000001),193))+1)+(((Alpha_keep*$A171+G$3-Lo_c)/Step_c)-MAX(6,MIN(INT(((Alpha_keep*$A171+G$3-Lo_c)/Step_c)+0.00000001),193)))*INDEX($D$5:$D$205,MAX(6,MIN(INT(((Alpha_keep*$A171+G$3-Lo_c)/Step_c)+0.00000001),193))+2)),"")</f>
        <v>-190.751828288132</v>
      </c>
      <c r="H171" s="16" t="n">
        <f aca="false">IF(Grid!F171=1,-Cost_k*H$3-Short_p*MAX(0,Floor_c-$A171)+Beta_q*((1-(((Alpha_keep*$A171+H$3-Lo_c)/Step_c)-MAX(6,MIN(INT(((Alpha_keep*$A171+H$3-Lo_c)/Step_c)+0.00000001),193))))*INDEX($D$5:$D$205,MAX(6,MIN(INT(((Alpha_keep*$A171+H$3-Lo_c)/Step_c)+0.00000001),193))+1)+(((Alpha_keep*$A171+H$3-Lo_c)/Step_c)-MAX(6,MIN(INT(((Alpha_keep*$A171+H$3-Lo_c)/Step_c)+0.00000001),193)))*INDEX($D$5:$D$205,MAX(6,MIN(INT(((Alpha_keep*$A171+H$3-Lo_c)/Step_c)+0.00000001),193))+2)),"")</f>
        <v>-191.123798009001</v>
      </c>
      <c r="I171" s="16" t="n">
        <f aca="false">IF(Grid!G171=1,-Cost_k*I$3-Short_p*MAX(0,Floor_c-$A171)+Beta_q*((1-(((Alpha_keep*$A171+I$3-Lo_c)/Step_c)-MAX(6,MIN(INT(((Alpha_keep*$A171+I$3-Lo_c)/Step_c)+0.00000001),193))))*INDEX($D$5:$D$205,MAX(6,MIN(INT(((Alpha_keep*$A171+I$3-Lo_c)/Step_c)+0.00000001),193))+1)+(((Alpha_keep*$A171+I$3-Lo_c)/Step_c)-MAX(6,MIN(INT(((Alpha_keep*$A171+I$3-Lo_c)/Step_c)+0.00000001),193)))*INDEX($D$5:$D$205,MAX(6,MIN(INT(((Alpha_keep*$A171+I$3-Lo_c)/Step_c)+0.00000001),193))+2)),"")</f>
        <v>-191.499808161417</v>
      </c>
      <c r="J171" s="16" t="n">
        <f aca="false">IF(Grid!H171=1,-Cost_k*J$3-Short_p*MAX(0,Floor_c-$A171)+Beta_q*((1-(((Alpha_keep*$A171+J$3-Lo_c)/Step_c)-MAX(6,MIN(INT(((Alpha_keep*$A171+J$3-Lo_c)/Step_c)+0.00000001),193))))*INDEX($D$5:$D$205,MAX(6,MIN(INT(((Alpha_keep*$A171+J$3-Lo_c)/Step_c)+0.00000001),193))+1)+(((Alpha_keep*$A171+J$3-Lo_c)/Step_c)-MAX(6,MIN(INT(((Alpha_keep*$A171+J$3-Lo_c)/Step_c)+0.00000001),193)))*INDEX($D$5:$D$205,MAX(6,MIN(INT(((Alpha_keep*$A171+J$3-Lo_c)/Step_c)+0.00000001),193))+2)),"")</f>
        <v>-191.880095710972</v>
      </c>
      <c r="K171" s="16" t="n">
        <f aca="false">IF(Grid!I171=1,-Cost_k*K$3-Short_p*MAX(0,Floor_c-$A171)+Beta_q*((1-(((Alpha_keep*$A171+K$3-Lo_c)/Step_c)-MAX(6,MIN(INT(((Alpha_keep*$A171+K$3-Lo_c)/Step_c)+0.00000001),193))))*INDEX($D$5:$D$205,MAX(6,MIN(INT(((Alpha_keep*$A171+K$3-Lo_c)/Step_c)+0.00000001),193))+1)+(((Alpha_keep*$A171+K$3-Lo_c)/Step_c)-MAX(6,MIN(INT(((Alpha_keep*$A171+K$3-Lo_c)/Step_c)+0.00000001),193)))*INDEX($D$5:$D$205,MAX(6,MIN(INT(((Alpha_keep*$A171+K$3-Lo_c)/Step_c)+0.00000001),193))+2)),"")</f>
        <v>-192.264787825665</v>
      </c>
      <c r="L171" s="16" t="n">
        <f aca="false">IF(Grid!J171=1,-Cost_k*L$3-Short_p*MAX(0,Floor_c-$A171)+Beta_q*((1-(((Alpha_keep*$A171+L$3-Lo_c)/Step_c)-MAX(6,MIN(INT(((Alpha_keep*$A171+L$3-Lo_c)/Step_c)+0.00000001),193))))*INDEX($D$5:$D$205,MAX(6,MIN(INT(((Alpha_keep*$A171+L$3-Lo_c)/Step_c)+0.00000001),193))+1)+(((Alpha_keep*$A171+L$3-Lo_c)/Step_c)-MAX(6,MIN(INT(((Alpha_keep*$A171+L$3-Lo_c)/Step_c)+0.00000001),193)))*INDEX($D$5:$D$205,MAX(6,MIN(INT(((Alpha_keep*$A171+L$3-Lo_c)/Step_c)+0.00000001),193))+2)),"")</f>
        <v>-192.653539788534</v>
      </c>
      <c r="M171" s="16" t="n">
        <f aca="false">IF(Grid!K171=1,-Cost_k*M$3-Short_p*MAX(0,Floor_c-$A171)+Beta_q*((1-(((Alpha_keep*$A171+M$3-Lo_c)/Step_c)-MAX(6,MIN(INT(((Alpha_keep*$A171+M$3-Lo_c)/Step_c)+0.00000001),193))))*INDEX($D$5:$D$205,MAX(6,MIN(INT(((Alpha_keep*$A171+M$3-Lo_c)/Step_c)+0.00000001),193))+1)+(((Alpha_keep*$A171+M$3-Lo_c)/Step_c)-MAX(6,MIN(INT(((Alpha_keep*$A171+M$3-Lo_c)/Step_c)+0.00000001),193)))*INDEX($D$5:$D$205,MAX(6,MIN(INT(((Alpha_keep*$A171+M$3-Lo_c)/Step_c)+0.00000001),193))+2)),"")</f>
        <v>-193.046280525742</v>
      </c>
      <c r="N171" s="16" t="n">
        <f aca="false">IF(Grid!L171=1,-Cost_k*N$3-Short_p*MAX(0,Floor_c-$A171)+Beta_q*((1-(((Alpha_keep*$A171+N$3-Lo_c)/Step_c)-MAX(6,MIN(INT(((Alpha_keep*$A171+N$3-Lo_c)/Step_c)+0.00000001),193))))*INDEX($D$5:$D$205,MAX(6,MIN(INT(((Alpha_keep*$A171+N$3-Lo_c)/Step_c)+0.00000001),193))+1)+(((Alpha_keep*$A171+N$3-Lo_c)/Step_c)-MAX(6,MIN(INT(((Alpha_keep*$A171+N$3-Lo_c)/Step_c)+0.00000001),193)))*INDEX($D$5:$D$205,MAX(6,MIN(INT(((Alpha_keep*$A171+N$3-Lo_c)/Step_c)+0.00000001),193))+2)),"")</f>
        <v>-193.443236878499</v>
      </c>
      <c r="O171" s="16" t="n">
        <f aca="false">IF(Grid!M171=1,-Cost_k*O$3-Short_p*MAX(0,Floor_c-$A171)+Beta_q*((1-(((Alpha_keep*$A171+O$3-Lo_c)/Step_c)-MAX(6,MIN(INT(((Alpha_keep*$A171+O$3-Lo_c)/Step_c)+0.00000001),193))))*INDEX($D$5:$D$205,MAX(6,MIN(INT(((Alpha_keep*$A171+O$3-Lo_c)/Step_c)+0.00000001),193))+1)+(((Alpha_keep*$A171+O$3-Lo_c)/Step_c)-MAX(6,MIN(INT(((Alpha_keep*$A171+O$3-Lo_c)/Step_c)+0.00000001),193)))*INDEX($D$5:$D$205,MAX(6,MIN(INT(((Alpha_keep*$A171+O$3-Lo_c)/Step_c)+0.00000001),193))+2)),"")</f>
        <v>-193.844282681709</v>
      </c>
      <c r="P171" s="11" t="n">
        <f aca="false">MAX(E171:O171)</f>
        <v>-190.021408596947</v>
      </c>
      <c r="Q171" s="12" t="n">
        <f aca="false">INDEX($E$3:$O$3,MATCH(P171,E171:O171,0))</f>
        <v>0</v>
      </c>
      <c r="R171" s="20" t="n">
        <v>0</v>
      </c>
      <c r="S171" s="14" t="n">
        <f aca="false">IF(ABS(Q171-R171)&lt;0.000000001,1,0)</f>
        <v>1</v>
      </c>
      <c r="T171" s="21" t="n">
        <f aca="false">ABS(P171-B171)</f>
        <v>0</v>
      </c>
      <c r="U171" s="16" t="n">
        <f aca="false">Alpha_keep*A171+Q171</f>
        <v>69.7125</v>
      </c>
      <c r="V171" s="14" t="n">
        <f aca="false">INDEX(GuardBlock,167,ROUND(Q171/Step_h,0)+1)</f>
        <v>1</v>
      </c>
      <c r="W171" s="22" t="n">
        <v>0</v>
      </c>
    </row>
    <row r="172" customFormat="false" ht="15" hidden="false" customHeight="false" outlineLevel="0" collapsed="false">
      <c r="A172" s="18" t="n">
        <f aca="false">Grid!A172</f>
        <v>71.75</v>
      </c>
      <c r="B172" s="19" t="n">
        <v>-189.400203699033</v>
      </c>
      <c r="C172" s="14" t="n">
        <v>167</v>
      </c>
      <c r="D172" s="11" t="n">
        <f aca="false">IF(AND($C172&gt;=6,$C172&lt;=194),Declarations!$B$25*INDEX($B$5:$B$205,$C172+1-Declarations!$E$25)+Declarations!$B$26*INDEX($B$5:$B$205,$C172+1-Declarations!$E$26)+Declarations!$B$27*INDEX($B$5:$B$205,$C172+1-Declarations!$E$27)+Declarations!$B$28*INDEX($B$5:$B$205,$C172+1-Declarations!$E$28)+Declarations!$B$29*INDEX($B$5:$B$205,$C172+1-Declarations!$E$29),"")</f>
        <v>-189.415235501386</v>
      </c>
      <c r="E172" s="16" t="n">
        <f aca="false">IF(Grid!C172=1,-Cost_k*E$3-Short_p*MAX(0,Floor_c-$A172)+Beta_q*((1-(((Alpha_keep*$A172+E$3-Lo_c)/Step_c)-MAX(6,MIN(INT(((Alpha_keep*$A172+E$3-Lo_c)/Step_c)+0.00000001),193))))*INDEX($D$5:$D$205,MAX(6,MIN(INT(((Alpha_keep*$A172+E$3-Lo_c)/Step_c)+0.00000001),193))+1)+(((Alpha_keep*$A172+E$3-Lo_c)/Step_c)-MAX(6,MIN(INT(((Alpha_keep*$A172+E$3-Lo_c)/Step_c)+0.00000001),193)))*INDEX($D$5:$D$205,MAX(6,MIN(INT(((Alpha_keep*$A172+E$3-Lo_c)/Step_c)+0.00000001),193))+2)),"")</f>
        <v>-189.400203699033</v>
      </c>
      <c r="F172" s="16" t="n">
        <f aca="false">IF(Grid!D172=1,-Cost_k*F$3-Short_p*MAX(0,Floor_c-$A172)+Beta_q*((1-(((Alpha_keep*$A172+F$3-Lo_c)/Step_c)-MAX(6,MIN(INT(((Alpha_keep*$A172+F$3-Lo_c)/Step_c)+0.00000001),193))))*INDEX($D$5:$D$205,MAX(6,MIN(INT(((Alpha_keep*$A172+F$3-Lo_c)/Step_c)+0.00000001),193))+1)+(((Alpha_keep*$A172+F$3-Lo_c)/Step_c)-MAX(6,MIN(INT(((Alpha_keep*$A172+F$3-Lo_c)/Step_c)+0.00000001),193)))*INDEX($D$5:$D$205,MAX(6,MIN(INT(((Alpha_keep*$A172+F$3-Lo_c)/Step_c)+0.00000001),193))+2)),"")</f>
        <v>-189.767622105063</v>
      </c>
      <c r="G172" s="16" t="n">
        <f aca="false">IF(Grid!E172=1,-Cost_k*G$3-Short_p*MAX(0,Floor_c-$A172)+Beta_q*((1-(((Alpha_keep*$A172+G$3-Lo_c)/Step_c)-MAX(6,MIN(INT(((Alpha_keep*$A172+G$3-Lo_c)/Step_c)+0.00000001),193))))*INDEX($D$5:$D$205,MAX(6,MIN(INT(((Alpha_keep*$A172+G$3-Lo_c)/Step_c)+0.00000001),193))+1)+(((Alpha_keep*$A172+G$3-Lo_c)/Step_c)-MAX(6,MIN(INT(((Alpha_keep*$A172+G$3-Lo_c)/Step_c)+0.00000001),193)))*INDEX($D$5:$D$205,MAX(6,MIN(INT(((Alpha_keep*$A172+G$3-Lo_c)/Step_c)+0.00000001),193))+2)),"")</f>
        <v>-190.139482343634</v>
      </c>
      <c r="H172" s="16" t="n">
        <f aca="false">IF(Grid!F172=1,-Cost_k*H$3-Short_p*MAX(0,Floor_c-$A172)+Beta_q*((1-(((Alpha_keep*$A172+H$3-Lo_c)/Step_c)-MAX(6,MIN(INT(((Alpha_keep*$A172+H$3-Lo_c)/Step_c)+0.00000001),193))))*INDEX($D$5:$D$205,MAX(6,MIN(INT(((Alpha_keep*$A172+H$3-Lo_c)/Step_c)+0.00000001),193))+1)+(((Alpha_keep*$A172+H$3-Lo_c)/Step_c)-MAX(6,MIN(INT(((Alpha_keep*$A172+H$3-Lo_c)/Step_c)+0.00000001),193)))*INDEX($D$5:$D$205,MAX(6,MIN(INT(((Alpha_keep*$A172+H$3-Lo_c)/Step_c)+0.00000001),193))+2)),"")</f>
        <v>-190.515392980234</v>
      </c>
      <c r="I172" s="16" t="n">
        <f aca="false">IF(Grid!G172=1,-Cost_k*I$3-Short_p*MAX(0,Floor_c-$A172)+Beta_q*((1-(((Alpha_keep*$A172+I$3-Lo_c)/Step_c)-MAX(6,MIN(INT(((Alpha_keep*$A172+I$3-Lo_c)/Step_c)+0.00000001),193))))*INDEX($D$5:$D$205,MAX(6,MIN(INT(((Alpha_keep*$A172+I$3-Lo_c)/Step_c)+0.00000001),193))+1)+(((Alpha_keep*$A172+I$3-Lo_c)/Step_c)-MAX(6,MIN(INT(((Alpha_keep*$A172+I$3-Lo_c)/Step_c)+0.00000001),193)))*INDEX($D$5:$D$205,MAX(6,MIN(INT(((Alpha_keep*$A172+I$3-Lo_c)/Step_c)+0.00000001),193))+2)),"")</f>
        <v>-190.895572285605</v>
      </c>
      <c r="J172" s="16" t="n">
        <f aca="false">IF(Grid!H172=1,-Cost_k*J$3-Short_p*MAX(0,Floor_c-$A172)+Beta_q*((1-(((Alpha_keep*$A172+J$3-Lo_c)/Step_c)-MAX(6,MIN(INT(((Alpha_keep*$A172+J$3-Lo_c)/Step_c)+0.00000001),193))))*INDEX($D$5:$D$205,MAX(6,MIN(INT(((Alpha_keep*$A172+J$3-Lo_c)/Step_c)+0.00000001),193))+1)+(((Alpha_keep*$A172+J$3-Lo_c)/Step_c)-MAX(6,MIN(INT(((Alpha_keep*$A172+J$3-Lo_c)/Step_c)+0.00000001),193)))*INDEX($D$5:$D$205,MAX(6,MIN(INT(((Alpha_keep*$A172+J$3-Lo_c)/Step_c)+0.00000001),193))+2)),"")</f>
        <v>-191.28015395618</v>
      </c>
      <c r="K172" s="16" t="n">
        <f aca="false">IF(Grid!I172=1,-Cost_k*K$3-Short_p*MAX(0,Floor_c-$A172)+Beta_q*((1-(((Alpha_keep*$A172+K$3-Lo_c)/Step_c)-MAX(6,MIN(INT(((Alpha_keep*$A172+K$3-Lo_c)/Step_c)+0.00000001),193))))*INDEX($D$5:$D$205,MAX(6,MIN(INT(((Alpha_keep*$A172+K$3-Lo_c)/Step_c)+0.00000001),193))+1)+(((Alpha_keep*$A172+K$3-Lo_c)/Step_c)-MAX(6,MIN(INT(((Alpha_keep*$A172+K$3-Lo_c)/Step_c)+0.00000001),193)))*INDEX($D$5:$D$205,MAX(6,MIN(INT(((Alpha_keep*$A172+K$3-Lo_c)/Step_c)+0.00000001),193))+2)),"")</f>
        <v>-191.668806001888</v>
      </c>
      <c r="L172" s="16" t="n">
        <f aca="false">IF(Grid!J172=1,-Cost_k*L$3-Short_p*MAX(0,Floor_c-$A172)+Beta_q*((1-(((Alpha_keep*$A172+L$3-Lo_c)/Step_c)-MAX(6,MIN(INT(((Alpha_keep*$A172+L$3-Lo_c)/Step_c)+0.00000001),193))))*INDEX($D$5:$D$205,MAX(6,MIN(INT(((Alpha_keep*$A172+L$3-Lo_c)/Step_c)+0.00000001),193))+1)+(((Alpha_keep*$A172+L$3-Lo_c)/Step_c)-MAX(6,MIN(INT(((Alpha_keep*$A172+L$3-Lo_c)/Step_c)+0.00000001),193)))*INDEX($D$5:$D$205,MAX(6,MIN(INT(((Alpha_keep*$A172+L$3-Lo_c)/Step_c)+0.00000001),193))+2)),"")</f>
        <v>-192.061447054644</v>
      </c>
      <c r="M172" s="16" t="n">
        <f aca="false">IF(Grid!K172=1,-Cost_k*M$3-Short_p*MAX(0,Floor_c-$A172)+Beta_q*((1-(((Alpha_keep*$A172+M$3-Lo_c)/Step_c)-MAX(6,MIN(INT(((Alpha_keep*$A172+M$3-Lo_c)/Step_c)+0.00000001),193))))*INDEX($D$5:$D$205,MAX(6,MIN(INT(((Alpha_keep*$A172+M$3-Lo_c)/Step_c)+0.00000001),193))+1)+(((Alpha_keep*$A172+M$3-Lo_c)/Step_c)-MAX(6,MIN(INT(((Alpha_keep*$A172+M$3-Lo_c)/Step_c)+0.00000001),193)))*INDEX($D$5:$D$205,MAX(6,MIN(INT(((Alpha_keep*$A172+M$3-Lo_c)/Step_c)+0.00000001),193))+2)),"")</f>
        <v>-192.458297010082</v>
      </c>
      <c r="N172" s="16" t="n">
        <f aca="false">IF(Grid!L172=1,-Cost_k*N$3-Short_p*MAX(0,Floor_c-$A172)+Beta_q*((1-(((Alpha_keep*$A172+N$3-Lo_c)/Step_c)-MAX(6,MIN(INT(((Alpha_keep*$A172+N$3-Lo_c)/Step_c)+0.00000001),193))))*INDEX($D$5:$D$205,MAX(6,MIN(INT(((Alpha_keep*$A172+N$3-Lo_c)/Step_c)+0.00000001),193))+1)+(((Alpha_keep*$A172+N$3-Lo_c)/Step_c)-MAX(6,MIN(INT(((Alpha_keep*$A172+N$3-Lo_c)/Step_c)+0.00000001),193)))*INDEX($D$5:$D$205,MAX(6,MIN(INT(((Alpha_keep*$A172+N$3-Lo_c)/Step_c)+0.00000001),193))+2)),"")</f>
        <v>-192.859241311335</v>
      </c>
      <c r="O172" s="16" t="n">
        <f aca="false">IF(Grid!M172=1,-Cost_k*O$3-Short_p*MAX(0,Floor_c-$A172)+Beta_q*((1-(((Alpha_keep*$A172+O$3-Lo_c)/Step_c)-MAX(6,MIN(INT(((Alpha_keep*$A172+O$3-Lo_c)/Step_c)+0.00000001),193))))*INDEX($D$5:$D$205,MAX(6,MIN(INT(((Alpha_keep*$A172+O$3-Lo_c)/Step_c)+0.00000001),193))+1)+(((Alpha_keep*$A172+O$3-Lo_c)/Step_c)-MAX(6,MIN(INT(((Alpha_keep*$A172+O$3-Lo_c)/Step_c)+0.00000001),193)))*INDEX($D$5:$D$205,MAX(6,MIN(INT(((Alpha_keep*$A172+O$3-Lo_c)/Step_c)+0.00000001),193))+2)),"")</f>
        <v>-193.264057507712</v>
      </c>
      <c r="P172" s="11" t="n">
        <f aca="false">MAX(E172:O172)</f>
        <v>-189.400203699033</v>
      </c>
      <c r="Q172" s="12" t="n">
        <f aca="false">INDEX($E$3:$O$3,MATCH(P172,E172:O172,0))</f>
        <v>0</v>
      </c>
      <c r="R172" s="20" t="n">
        <v>0</v>
      </c>
      <c r="S172" s="14" t="n">
        <f aca="false">IF(ABS(Q172-R172)&lt;0.000000001,1,0)</f>
        <v>1</v>
      </c>
      <c r="T172" s="21" t="n">
        <f aca="false">ABS(P172-B172)</f>
        <v>0</v>
      </c>
      <c r="U172" s="16" t="n">
        <f aca="false">Alpha_keep*A172+Q172</f>
        <v>69.95625</v>
      </c>
      <c r="V172" s="14" t="n">
        <f aca="false">INDEX(GuardBlock,168,ROUND(Q172/Step_h,0)+1)</f>
        <v>1</v>
      </c>
      <c r="W172" s="22" t="n">
        <v>0</v>
      </c>
    </row>
    <row r="173" customFormat="false" ht="15" hidden="false" customHeight="false" outlineLevel="0" collapsed="false">
      <c r="A173" s="18" t="n">
        <f aca="false">Grid!A173</f>
        <v>72</v>
      </c>
      <c r="B173" s="19" t="n">
        <v>-188.783415921994</v>
      </c>
      <c r="C173" s="14" t="n">
        <v>168</v>
      </c>
      <c r="D173" s="11" t="n">
        <f aca="false">IF(AND($C173&gt;=6,$C173&lt;=194),Declarations!$B$25*INDEX($B$5:$B$205,$C173+1-Declarations!$E$25)+Declarations!$B$26*INDEX($B$5:$B$205,$C173+1-Declarations!$E$26)+Declarations!$B$27*INDEX($B$5:$B$205,$C173+1-Declarations!$E$27)+Declarations!$B$28*INDEX($B$5:$B$205,$C173+1-Declarations!$E$28)+Declarations!$B$29*INDEX($B$5:$B$205,$C173+1-Declarations!$E$29),"")</f>
        <v>-188.798304024832</v>
      </c>
      <c r="E173" s="16" t="n">
        <f aca="false">IF(Grid!C173=1,-Cost_k*E$3-Short_p*MAX(0,Floor_c-$A173)+Beta_q*((1-(((Alpha_keep*$A173+E$3-Lo_c)/Step_c)-MAX(6,MIN(INT(((Alpha_keep*$A173+E$3-Lo_c)/Step_c)+0.00000001),193))))*INDEX($D$5:$D$205,MAX(6,MIN(INT(((Alpha_keep*$A173+E$3-Lo_c)/Step_c)+0.00000001),193))+1)+(((Alpha_keep*$A173+E$3-Lo_c)/Step_c)-MAX(6,MIN(INT(((Alpha_keep*$A173+E$3-Lo_c)/Step_c)+0.00000001),193)))*INDEX($D$5:$D$205,MAX(6,MIN(INT(((Alpha_keep*$A173+E$3-Lo_c)/Step_c)+0.00000001),193))+2)),"")</f>
        <v>-188.783415921994</v>
      </c>
      <c r="F173" s="16" t="n">
        <f aca="false">IF(Grid!D173=1,-Cost_k*F$3-Short_p*MAX(0,Floor_c-$A173)+Beta_q*((1-(((Alpha_keep*$A173+F$3-Lo_c)/Step_c)-MAX(6,MIN(INT(((Alpha_keep*$A173+F$3-Lo_c)/Step_c)+0.00000001),193))))*INDEX($D$5:$D$205,MAX(6,MIN(INT(((Alpha_keep*$A173+F$3-Lo_c)/Step_c)+0.00000001),193))+1)+(((Alpha_keep*$A173+F$3-Lo_c)/Step_c)-MAX(6,MIN(INT(((Alpha_keep*$A173+F$3-Lo_c)/Step_c)+0.00000001),193)))*INDEX($D$5:$D$205,MAX(6,MIN(INT(((Alpha_keep*$A173+F$3-Lo_c)/Step_c)+0.00000001),193))+2)),"")</f>
        <v>-189.155166678268</v>
      </c>
      <c r="G173" s="16" t="n">
        <f aca="false">IF(Grid!E173=1,-Cost_k*G$3-Short_p*MAX(0,Floor_c-$A173)+Beta_q*((1-(((Alpha_keep*$A173+G$3-Lo_c)/Step_c)-MAX(6,MIN(INT(((Alpha_keep*$A173+G$3-Lo_c)/Step_c)+0.00000001),193))))*INDEX($D$5:$D$205,MAX(6,MIN(INT(((Alpha_keep*$A173+G$3-Lo_c)/Step_c)+0.00000001),193))+1)+(((Alpha_keep*$A173+G$3-Lo_c)/Step_c)-MAX(6,MIN(INT(((Alpha_keep*$A173+G$3-Lo_c)/Step_c)+0.00000001),193)))*INDEX($D$5:$D$205,MAX(6,MIN(INT(((Alpha_keep*$A173+G$3-Lo_c)/Step_c)+0.00000001),193))+2)),"")</f>
        <v>-189.530977799051</v>
      </c>
      <c r="H173" s="16" t="n">
        <f aca="false">IF(Grid!F173=1,-Cost_k*H$3-Short_p*MAX(0,Floor_c-$A173)+Beta_q*((1-(((Alpha_keep*$A173+H$3-Lo_c)/Step_c)-MAX(6,MIN(INT(((Alpha_keep*$A173+H$3-Lo_c)/Step_c)+0.00000001),193))))*INDEX($D$5:$D$205,MAX(6,MIN(INT(((Alpha_keep*$A173+H$3-Lo_c)/Step_c)+0.00000001),193))+1)+(((Alpha_keep*$A173+H$3-Lo_c)/Step_c)-MAX(6,MIN(INT(((Alpha_keep*$A173+H$3-Lo_c)/Step_c)+0.00000001),193)))*INDEX($D$5:$D$205,MAX(6,MIN(INT(((Alpha_keep*$A173+H$3-Lo_c)/Step_c)+0.00000001),193))+2)),"")</f>
        <v>-189.911048860239</v>
      </c>
      <c r="I173" s="16" t="n">
        <f aca="false">IF(Grid!G173=1,-Cost_k*I$3-Short_p*MAX(0,Floor_c-$A173)+Beta_q*((1-(((Alpha_keep*$A173+I$3-Lo_c)/Step_c)-MAX(6,MIN(INT(((Alpha_keep*$A173+I$3-Lo_c)/Step_c)+0.00000001),193))))*INDEX($D$5:$D$205,MAX(6,MIN(INT(((Alpha_keep*$A173+I$3-Lo_c)/Step_c)+0.00000001),193))+1)+(((Alpha_keep*$A173+I$3-Lo_c)/Step_c)-MAX(6,MIN(INT(((Alpha_keep*$A173+I$3-Lo_c)/Step_c)+0.00000001),193)))*INDEX($D$5:$D$205,MAX(6,MIN(INT(((Alpha_keep*$A173+I$3-Lo_c)/Step_c)+0.00000001),193))+2)),"")</f>
        <v>-190.295520086694</v>
      </c>
      <c r="J173" s="16" t="n">
        <f aca="false">IF(Grid!H173=1,-Cost_k*J$3-Short_p*MAX(0,Floor_c-$A173)+Beta_q*((1-(((Alpha_keep*$A173+J$3-Lo_c)/Step_c)-MAX(6,MIN(INT(((Alpha_keep*$A173+J$3-Lo_c)/Step_c)+0.00000001),193))))*INDEX($D$5:$D$205,MAX(6,MIN(INT(((Alpha_keep*$A173+J$3-Lo_c)/Step_c)+0.00000001),193))+1)+(((Alpha_keep*$A173+J$3-Lo_c)/Step_c)-MAX(6,MIN(INT(((Alpha_keep*$A173+J$3-Lo_c)/Step_c)+0.00000001),193)))*INDEX($D$5:$D$205,MAX(6,MIN(INT(((Alpha_keep*$A173+J$3-Lo_c)/Step_c)+0.00000001),193))+2)),"")</f>
        <v>-190.684072215242</v>
      </c>
      <c r="K173" s="16" t="n">
        <f aca="false">IF(Grid!I173=1,-Cost_k*K$3-Short_p*MAX(0,Floor_c-$A173)+Beta_q*((1-(((Alpha_keep*$A173+K$3-Lo_c)/Step_c)-MAX(6,MIN(INT(((Alpha_keep*$A173+K$3-Lo_c)/Step_c)+0.00000001),193))))*INDEX($D$5:$D$205,MAX(6,MIN(INT(((Alpha_keep*$A173+K$3-Lo_c)/Step_c)+0.00000001),193))+1)+(((Alpha_keep*$A173+K$3-Lo_c)/Step_c)-MAX(6,MIN(INT(((Alpha_keep*$A173+K$3-Lo_c)/Step_c)+0.00000001),193)))*INDEX($D$5:$D$205,MAX(6,MIN(INT(((Alpha_keep*$A173+K$3-Lo_c)/Step_c)+0.00000001),193))+2)),"")</f>
        <v>-191.076613583546</v>
      </c>
      <c r="L173" s="16" t="n">
        <f aca="false">IF(Grid!J173=1,-Cost_k*L$3-Short_p*MAX(0,Floor_c-$A173)+Beta_q*((1-(((Alpha_keep*$A173+L$3-Lo_c)/Step_c)-MAX(6,MIN(INT(((Alpha_keep*$A173+L$3-Lo_c)/Step_c)+0.00000001),193))))*INDEX($D$5:$D$205,MAX(6,MIN(INT(((Alpha_keep*$A173+L$3-Lo_c)/Step_c)+0.00000001),193))+1)+(((Alpha_keep*$A173+L$3-Lo_c)/Step_c)-MAX(6,MIN(INT(((Alpha_keep*$A173+L$3-Lo_c)/Step_c)+0.00000001),193)))*INDEX($D$5:$D$205,MAX(6,MIN(INT(((Alpha_keep*$A173+L$3-Lo_c)/Step_c)+0.00000001),193))+2)),"")</f>
        <v>-191.473357141665</v>
      </c>
      <c r="M173" s="16" t="n">
        <f aca="false">IF(Grid!K173=1,-Cost_k*M$3-Short_p*MAX(0,Floor_c-$A173)+Beta_q*((1-(((Alpha_keep*$A173+M$3-Lo_c)/Step_c)-MAX(6,MIN(INT(((Alpha_keep*$A173+M$3-Lo_c)/Step_c)+0.00000001),193))))*INDEX($D$5:$D$205,MAX(6,MIN(INT(((Alpha_keep*$A173+M$3-Lo_c)/Step_c)+0.00000001),193))+1)+(((Alpha_keep*$A173+M$3-Lo_c)/Step_c)-MAX(6,MIN(INT(((Alpha_keep*$A173+M$3-Lo_c)/Step_c)+0.00000001),193)))*INDEX($D$5:$D$205,MAX(6,MIN(INT(((Alpha_keep*$A173+M$3-Lo_c)/Step_c)+0.00000001),193))+2)),"")</f>
        <v>-191.874199940962</v>
      </c>
      <c r="N173" s="16" t="n">
        <f aca="false">IF(Grid!L173=1,-Cost_k*N$3-Short_p*MAX(0,Floor_c-$A173)+Beta_q*((1-(((Alpha_keep*$A173+N$3-Lo_c)/Step_c)-MAX(6,MIN(INT(((Alpha_keep*$A173+N$3-Lo_c)/Step_c)+0.00000001),193))))*INDEX($D$5:$D$205,MAX(6,MIN(INT(((Alpha_keep*$A173+N$3-Lo_c)/Step_c)+0.00000001),193))+1)+(((Alpha_keep*$A173+N$3-Lo_c)/Step_c)-MAX(6,MIN(INT(((Alpha_keep*$A173+N$3-Lo_c)/Step_c)+0.00000001),193)))*INDEX($D$5:$D$205,MAX(6,MIN(INT(((Alpha_keep*$A173+N$3-Lo_c)/Step_c)+0.00000001),193))+2)),"")</f>
        <v>-192.278920337901</v>
      </c>
      <c r="O173" s="16" t="n">
        <f aca="false">IF(Grid!M173=1,-Cost_k*O$3-Short_p*MAX(0,Floor_c-$A173)+Beta_q*((1-(((Alpha_keep*$A173+O$3-Lo_c)/Step_c)-MAX(6,MIN(INT(((Alpha_keep*$A173+O$3-Lo_c)/Step_c)+0.00000001),193))))*INDEX($D$5:$D$205,MAX(6,MIN(INT(((Alpha_keep*$A173+O$3-Lo_c)/Step_c)+0.00000001),193))+1)+(((Alpha_keep*$A173+O$3-Lo_c)/Step_c)-MAX(6,MIN(INT(((Alpha_keep*$A173+O$3-Lo_c)/Step_c)+0.00000001),193)))*INDEX($D$5:$D$205,MAX(6,MIN(INT(((Alpha_keep*$A173+O$3-Lo_c)/Step_c)+0.00000001),193))+2)),"")</f>
        <v>-192.687591711998</v>
      </c>
      <c r="P173" s="11" t="n">
        <f aca="false">MAX(E173:O173)</f>
        <v>-188.783415921994</v>
      </c>
      <c r="Q173" s="12" t="n">
        <f aca="false">INDEX($E$3:$O$3,MATCH(P173,E173:O173,0))</f>
        <v>0</v>
      </c>
      <c r="R173" s="20" t="n">
        <v>0</v>
      </c>
      <c r="S173" s="14" t="n">
        <f aca="false">IF(ABS(Q173-R173)&lt;0.000000001,1,0)</f>
        <v>1</v>
      </c>
      <c r="T173" s="21" t="n">
        <f aca="false">ABS(P173-B173)</f>
        <v>0</v>
      </c>
      <c r="U173" s="16" t="n">
        <f aca="false">Alpha_keep*A173+Q173</f>
        <v>70.2</v>
      </c>
      <c r="V173" s="14" t="n">
        <f aca="false">INDEX(GuardBlock,169,ROUND(Q173/Step_h,0)+1)</f>
        <v>1</v>
      </c>
      <c r="W173" s="22" t="n">
        <v>0</v>
      </c>
    </row>
    <row r="174" customFormat="false" ht="15" hidden="false" customHeight="false" outlineLevel="0" collapsed="false">
      <c r="A174" s="18" t="n">
        <f aca="false">Grid!A174</f>
        <v>72.25</v>
      </c>
      <c r="B174" s="19" t="n">
        <v>-188.170851012902</v>
      </c>
      <c r="C174" s="14" t="n">
        <v>169</v>
      </c>
      <c r="D174" s="11" t="n">
        <f aca="false">IF(AND($C174&gt;=6,$C174&lt;=194),Declarations!$B$25*INDEX($B$5:$B$205,$C174+1-Declarations!$E$25)+Declarations!$B$26*INDEX($B$5:$B$205,$C174+1-Declarations!$E$26)+Declarations!$B$27*INDEX($B$5:$B$205,$C174+1-Declarations!$E$27)+Declarations!$B$28*INDEX($B$5:$B$205,$C174+1-Declarations!$E$28)+Declarations!$B$29*INDEX($B$5:$B$205,$C174+1-Declarations!$E$29),"")</f>
        <v>-188.185530530028</v>
      </c>
      <c r="E174" s="16" t="n">
        <f aca="false">IF(Grid!C174=1,-Cost_k*E$3-Short_p*MAX(0,Floor_c-$A174)+Beta_q*((1-(((Alpha_keep*$A174+E$3-Lo_c)/Step_c)-MAX(6,MIN(INT(((Alpha_keep*$A174+E$3-Lo_c)/Step_c)+0.00000001),193))))*INDEX($D$5:$D$205,MAX(6,MIN(INT(((Alpha_keep*$A174+E$3-Lo_c)/Step_c)+0.00000001),193))+1)+(((Alpha_keep*$A174+E$3-Lo_c)/Step_c)-MAX(6,MIN(INT(((Alpha_keep*$A174+E$3-Lo_c)/Step_c)+0.00000001),193)))*INDEX($D$5:$D$205,MAX(6,MIN(INT(((Alpha_keep*$A174+E$3-Lo_c)/Step_c)+0.00000001),193))+2)),"")</f>
        <v>-188.170851012902</v>
      </c>
      <c r="F174" s="16" t="n">
        <f aca="false">IF(Grid!D174=1,-Cost_k*F$3-Short_p*MAX(0,Floor_c-$A174)+Beta_q*((1-(((Alpha_keep*$A174+F$3-Lo_c)/Step_c)-MAX(6,MIN(INT(((Alpha_keep*$A174+F$3-Lo_c)/Step_c)+0.00000001),193))))*INDEX($D$5:$D$205,MAX(6,MIN(INT(((Alpha_keep*$A174+F$3-Lo_c)/Step_c)+0.00000001),193))+1)+(((Alpha_keep*$A174+F$3-Lo_c)/Step_c)-MAX(6,MIN(INT(((Alpha_keep*$A174+F$3-Lo_c)/Step_c)+0.00000001),193)))*INDEX($D$5:$D$205,MAX(6,MIN(INT(((Alpha_keep*$A174+F$3-Lo_c)/Step_c)+0.00000001),193))+2)),"")</f>
        <v>-188.546562617868</v>
      </c>
      <c r="G174" s="16" t="n">
        <f aca="false">IF(Grid!E174=1,-Cost_k*G$3-Short_p*MAX(0,Floor_c-$A174)+Beta_q*((1-(((Alpha_keep*$A174+G$3-Lo_c)/Step_c)-MAX(6,MIN(INT(((Alpha_keep*$A174+G$3-Lo_c)/Step_c)+0.00000001),193))))*INDEX($D$5:$D$205,MAX(6,MIN(INT(((Alpha_keep*$A174+G$3-Lo_c)/Step_c)+0.00000001),193))+1)+(((Alpha_keep*$A174+G$3-Lo_c)/Step_c)-MAX(6,MIN(INT(((Alpha_keep*$A174+G$3-Lo_c)/Step_c)+0.00000001),193)))*INDEX($D$5:$D$205,MAX(6,MIN(INT(((Alpha_keep*$A174+G$3-Lo_c)/Step_c)+0.00000001),193))+2)),"")</f>
        <v>-188.926525434872</v>
      </c>
      <c r="H174" s="16" t="n">
        <f aca="false">IF(Grid!F174=1,-Cost_k*H$3-Short_p*MAX(0,Floor_c-$A174)+Beta_q*((1-(((Alpha_keep*$A174+H$3-Lo_c)/Step_c)-MAX(6,MIN(INT(((Alpha_keep*$A174+H$3-Lo_c)/Step_c)+0.00000001),193))))*INDEX($D$5:$D$205,MAX(6,MIN(INT(((Alpha_keep*$A174+H$3-Lo_c)/Step_c)+0.00000001),193))+1)+(((Alpha_keep*$A174+H$3-Lo_c)/Step_c)-MAX(6,MIN(INT(((Alpha_keep*$A174+H$3-Lo_c)/Step_c)+0.00000001),193)))*INDEX($D$5:$D$205,MAX(6,MIN(INT(((Alpha_keep*$A174+H$3-Lo_c)/Step_c)+0.00000001),193))+2)),"")</f>
        <v>-189.310886217209</v>
      </c>
      <c r="I174" s="16" t="n">
        <f aca="false">IF(Grid!G174=1,-Cost_k*I$3-Short_p*MAX(0,Floor_c-$A174)+Beta_q*((1-(((Alpha_keep*$A174+I$3-Lo_c)/Step_c)-MAX(6,MIN(INT(((Alpha_keep*$A174+I$3-Lo_c)/Step_c)+0.00000001),193))))*INDEX($D$5:$D$205,MAX(6,MIN(INT(((Alpha_keep*$A174+I$3-Lo_c)/Step_c)+0.00000001),193))+1)+(((Alpha_keep*$A174+I$3-Lo_c)/Step_c)-MAX(6,MIN(INT(((Alpha_keep*$A174+I$3-Lo_c)/Step_c)+0.00000001),193)))*INDEX($D$5:$D$205,MAX(6,MIN(INT(((Alpha_keep*$A174+I$3-Lo_c)/Step_c)+0.00000001),193))+2)),"")</f>
        <v>-189.699338428596</v>
      </c>
      <c r="J174" s="16" t="n">
        <f aca="false">IF(Grid!H174=1,-Cost_k*J$3-Short_p*MAX(0,Floor_c-$A174)+Beta_q*((1-(((Alpha_keep*$A174+J$3-Lo_c)/Step_c)-MAX(6,MIN(INT(((Alpha_keep*$A174+J$3-Lo_c)/Step_c)+0.00000001),193))))*INDEX($D$5:$D$205,MAX(6,MIN(INT(((Alpha_keep*$A174+J$3-Lo_c)/Step_c)+0.00000001),193))+1)+(((Alpha_keep*$A174+J$3-Lo_c)/Step_c)-MAX(6,MIN(INT(((Alpha_keep*$A174+J$3-Lo_c)/Step_c)+0.00000001),193)))*INDEX($D$5:$D$205,MAX(6,MIN(INT(((Alpha_keep*$A174+J$3-Lo_c)/Step_c)+0.00000001),193))+2)),"")</f>
        <v>-190.091780112448</v>
      </c>
      <c r="K174" s="16" t="n">
        <f aca="false">IF(Grid!I174=1,-Cost_k*K$3-Short_p*MAX(0,Floor_c-$A174)+Beta_q*((1-(((Alpha_keep*$A174+K$3-Lo_c)/Step_c)-MAX(6,MIN(INT(((Alpha_keep*$A174+K$3-Lo_c)/Step_c)+0.00000001),193))))*INDEX($D$5:$D$205,MAX(6,MIN(INT(((Alpha_keep*$A174+K$3-Lo_c)/Step_c)+0.00000001),193))+1)+(((Alpha_keep*$A174+K$3-Lo_c)/Step_c)-MAX(6,MIN(INT(((Alpha_keep*$A174+K$3-Lo_c)/Step_c)+0.00000001),193)))*INDEX($D$5:$D$205,MAX(6,MIN(INT(((Alpha_keep*$A174+K$3-Lo_c)/Step_c)+0.00000001),193))+2)),"")</f>
        <v>-190.488417273248</v>
      </c>
      <c r="L174" s="16" t="n">
        <f aca="false">IF(Grid!J174=1,-Cost_k*L$3-Short_p*MAX(0,Floor_c-$A174)+Beta_q*((1-(((Alpha_keep*$A174+L$3-Lo_c)/Step_c)-MAX(6,MIN(INT(((Alpha_keep*$A174+L$3-Lo_c)/Step_c)+0.00000001),193))))*INDEX($D$5:$D$205,MAX(6,MIN(INT(((Alpha_keep*$A174+L$3-Lo_c)/Step_c)+0.00000001),193))+1)+(((Alpha_keep*$A174+L$3-Lo_c)/Step_c)-MAX(6,MIN(INT(((Alpha_keep*$A174+L$3-Lo_c)/Step_c)+0.00000001),193)))*INDEX($D$5:$D$205,MAX(6,MIN(INT(((Alpha_keep*$A174+L$3-Lo_c)/Step_c)+0.00000001),193))+2)),"")</f>
        <v>-190.889158570588</v>
      </c>
      <c r="M174" s="16" t="n">
        <f aca="false">IF(Grid!K174=1,-Cost_k*M$3-Short_p*MAX(0,Floor_c-$A174)+Beta_q*((1-(((Alpha_keep*$A174+M$3-Lo_c)/Step_c)-MAX(6,MIN(INT(((Alpha_keep*$A174+M$3-Lo_c)/Step_c)+0.00000001),193))))*INDEX($D$5:$D$205,MAX(6,MIN(INT(((Alpha_keep*$A174+M$3-Lo_c)/Step_c)+0.00000001),193))+1)+(((Alpha_keep*$A174+M$3-Lo_c)/Step_c)-MAX(6,MIN(INT(((Alpha_keep*$A174+M$3-Lo_c)/Step_c)+0.00000001),193)))*INDEX($D$5:$D$205,MAX(6,MIN(INT(((Alpha_keep*$A174+M$3-Lo_c)/Step_c)+0.00000001),193))+2)),"")</f>
        <v>-191.293783168091</v>
      </c>
      <c r="N174" s="16" t="n">
        <f aca="false">IF(Grid!L174=1,-Cost_k*N$3-Short_p*MAX(0,Floor_c-$A174)+Beta_q*((1-(((Alpha_keep*$A174+N$3-Lo_c)/Step_c)-MAX(6,MIN(INT(((Alpha_keep*$A174+N$3-Lo_c)/Step_c)+0.00000001),193))))*INDEX($D$5:$D$205,MAX(6,MIN(INT(((Alpha_keep*$A174+N$3-Lo_c)/Step_c)+0.00000001),193))+1)+(((Alpha_keep*$A174+N$3-Lo_c)/Step_c)-MAX(6,MIN(INT(((Alpha_keep*$A174+N$3-Lo_c)/Step_c)+0.00000001),193)))*INDEX($D$5:$D$205,MAX(6,MIN(INT(((Alpha_keep*$A174+N$3-Lo_c)/Step_c)+0.00000001),193))+2)),"")</f>
        <v>-191.70235502401</v>
      </c>
      <c r="O174" s="16" t="n">
        <f aca="false">IF(Grid!M174=1,-Cost_k*O$3-Short_p*MAX(0,Floor_c-$A174)+Beta_q*((1-(((Alpha_keep*$A174+O$3-Lo_c)/Step_c)-MAX(6,MIN(INT(((Alpha_keep*$A174+O$3-Lo_c)/Step_c)+0.00000001),193))))*INDEX($D$5:$D$205,MAX(6,MIN(INT(((Alpha_keep*$A174+O$3-Lo_c)/Step_c)+0.00000001),193))+1)+(((Alpha_keep*$A174+O$3-Lo_c)/Step_c)-MAX(6,MIN(INT(((Alpha_keep*$A174+O$3-Lo_c)/Step_c)+0.00000001),193)))*INDEX($D$5:$D$205,MAX(6,MIN(INT(((Alpha_keep*$A174+O$3-Lo_c)/Step_c)+0.00000001),193))+2)),"")</f>
        <v>-192.114935192341</v>
      </c>
      <c r="P174" s="11" t="n">
        <f aca="false">MAX(E174:O174)</f>
        <v>-188.170851012902</v>
      </c>
      <c r="Q174" s="12" t="n">
        <f aca="false">INDEX($E$3:$O$3,MATCH(P174,E174:O174,0))</f>
        <v>0</v>
      </c>
      <c r="R174" s="20" t="n">
        <v>0</v>
      </c>
      <c r="S174" s="14" t="n">
        <f aca="false">IF(ABS(Q174-R174)&lt;0.000000001,1,0)</f>
        <v>1</v>
      </c>
      <c r="T174" s="21" t="n">
        <f aca="false">ABS(P174-B174)</f>
        <v>0</v>
      </c>
      <c r="U174" s="16" t="n">
        <f aca="false">Alpha_keep*A174+Q174</f>
        <v>70.44375</v>
      </c>
      <c r="V174" s="14" t="n">
        <f aca="false">INDEX(GuardBlock,170,ROUND(Q174/Step_h,0)+1)</f>
        <v>1</v>
      </c>
      <c r="W174" s="22" t="n">
        <v>0</v>
      </c>
    </row>
    <row r="175" customFormat="false" ht="15" hidden="false" customHeight="false" outlineLevel="0" collapsed="false">
      <c r="A175" s="18" t="n">
        <f aca="false">Grid!A175</f>
        <v>72.5</v>
      </c>
      <c r="B175" s="19" t="n">
        <v>-187.562147436685</v>
      </c>
      <c r="C175" s="14" t="n">
        <v>170</v>
      </c>
      <c r="D175" s="11" t="n">
        <f aca="false">IF(AND($C175&gt;=6,$C175&lt;=194),Declarations!$B$25*INDEX($B$5:$B$205,$C175+1-Declarations!$E$25)+Declarations!$B$26*INDEX($B$5:$B$205,$C175+1-Declarations!$E$26)+Declarations!$B$27*INDEX($B$5:$B$205,$C175+1-Declarations!$E$27)+Declarations!$B$28*INDEX($B$5:$B$205,$C175+1-Declarations!$E$28)+Declarations!$B$29*INDEX($B$5:$B$205,$C175+1-Declarations!$E$29),"")</f>
        <v>-187.576681415821</v>
      </c>
      <c r="E175" s="16" t="n">
        <f aca="false">IF(Grid!C175=1,-Cost_k*E$3-Short_p*MAX(0,Floor_c-$A175)+Beta_q*((1-(((Alpha_keep*$A175+E$3-Lo_c)/Step_c)-MAX(6,MIN(INT(((Alpha_keep*$A175+E$3-Lo_c)/Step_c)+0.00000001),193))))*INDEX($D$5:$D$205,MAX(6,MIN(INT(((Alpha_keep*$A175+E$3-Lo_c)/Step_c)+0.00000001),193))+1)+(((Alpha_keep*$A175+E$3-Lo_c)/Step_c)-MAX(6,MIN(INT(((Alpha_keep*$A175+E$3-Lo_c)/Step_c)+0.00000001),193)))*INDEX($D$5:$D$205,MAX(6,MIN(INT(((Alpha_keep*$A175+E$3-Lo_c)/Step_c)+0.00000001),193))+2)),"")</f>
        <v>-187.562147436685</v>
      </c>
      <c r="F175" s="16" t="n">
        <f aca="false">IF(Grid!D175=1,-Cost_k*F$3-Short_p*MAX(0,Floor_c-$A175)+Beta_q*((1-(((Alpha_keep*$A175+F$3-Lo_c)/Step_c)-MAX(6,MIN(INT(((Alpha_keep*$A175+F$3-Lo_c)/Step_c)+0.00000001),193))))*INDEX($D$5:$D$205,MAX(6,MIN(INT(((Alpha_keep*$A175+F$3-Lo_c)/Step_c)+0.00000001),193))+1)+(((Alpha_keep*$A175+F$3-Lo_c)/Step_c)-MAX(6,MIN(INT(((Alpha_keep*$A175+F$3-Lo_c)/Step_c)+0.00000001),193)))*INDEX($D$5:$D$205,MAX(6,MIN(INT(((Alpha_keep*$A175+F$3-Lo_c)/Step_c)+0.00000001),193))+2)),"")</f>
        <v>-187.942002009506</v>
      </c>
      <c r="G175" s="16" t="n">
        <f aca="false">IF(Grid!E175=1,-Cost_k*G$3-Short_p*MAX(0,Floor_c-$A175)+Beta_q*((1-(((Alpha_keep*$A175+G$3-Lo_c)/Step_c)-MAX(6,MIN(INT(((Alpha_keep*$A175+G$3-Lo_c)/Step_c)+0.00000001),193))))*INDEX($D$5:$D$205,MAX(6,MIN(INT(((Alpha_keep*$A175+G$3-Lo_c)/Step_c)+0.00000001),193))+1)+(((Alpha_keep*$A175+G$3-Lo_c)/Step_c)-MAX(6,MIN(INT(((Alpha_keep*$A175+G$3-Lo_c)/Step_c)+0.00000001),193)))*INDEX($D$5:$D$205,MAX(6,MIN(INT(((Alpha_keep*$A175+G$3-Lo_c)/Step_c)+0.00000001),193))+2)),"")</f>
        <v>-188.326252347724</v>
      </c>
      <c r="H175" s="16" t="n">
        <f aca="false">IF(Grid!F175=1,-Cost_k*H$3-Short_p*MAX(0,Floor_c-$A175)+Beta_q*((1-(((Alpha_keep*$A175+H$3-Lo_c)/Step_c)-MAX(6,MIN(INT(((Alpha_keep*$A175+H$3-Lo_c)/Step_c)+0.00000001),193))))*INDEX($D$5:$D$205,MAX(6,MIN(INT(((Alpha_keep*$A175+H$3-Lo_c)/Step_c)+0.00000001),193))+1)+(((Alpha_keep*$A175+H$3-Lo_c)/Step_c)-MAX(6,MIN(INT(((Alpha_keep*$A175+H$3-Lo_c)/Step_c)+0.00000001),193)))*INDEX($D$5:$D$205,MAX(6,MIN(INT(((Alpha_keep*$A175+H$3-Lo_c)/Step_c)+0.00000001),193))+2)),"")</f>
        <v>-188.714604641951</v>
      </c>
      <c r="I175" s="16" t="n">
        <f aca="false">IF(Grid!G175=1,-Cost_k*I$3-Short_p*MAX(0,Floor_c-$A175)+Beta_q*((1-(((Alpha_keep*$A175+I$3-Lo_c)/Step_c)-MAX(6,MIN(INT(((Alpha_keep*$A175+I$3-Lo_c)/Step_c)+0.00000001),193))))*INDEX($D$5:$D$205,MAX(6,MIN(INT(((Alpha_keep*$A175+I$3-Lo_c)/Step_c)+0.00000001),193))+1)+(((Alpha_keep*$A175+I$3-Lo_c)/Step_c)-MAX(6,MIN(INT(((Alpha_keep*$A175+I$3-Lo_c)/Step_c)+0.00000001),193)))*INDEX($D$5:$D$205,MAX(6,MIN(INT(((Alpha_keep*$A175+I$3-Lo_c)/Step_c)+0.00000001),193))+2)),"")</f>
        <v>-189.10694664135</v>
      </c>
      <c r="J175" s="16" t="n">
        <f aca="false">IF(Grid!H175=1,-Cost_k*J$3-Short_p*MAX(0,Floor_c-$A175)+Beta_q*((1-(((Alpha_keep*$A175+J$3-Lo_c)/Step_c)-MAX(6,MIN(INT(((Alpha_keep*$A175+J$3-Lo_c)/Step_c)+0.00000001),193))))*INDEX($D$5:$D$205,MAX(6,MIN(INT(((Alpha_keep*$A175+J$3-Lo_c)/Step_c)+0.00000001),193))+1)+(((Alpha_keep*$A175+J$3-Lo_c)/Step_c)-MAX(6,MIN(INT(((Alpha_keep*$A175+J$3-Lo_c)/Step_c)+0.00000001),193)))*INDEX($D$5:$D$205,MAX(6,MIN(INT(((Alpha_keep*$A175+J$3-Lo_c)/Step_c)+0.00000001),193))+2)),"")</f>
        <v>-189.503477404832</v>
      </c>
      <c r="K175" s="16" t="n">
        <f aca="false">IF(Grid!I175=1,-Cost_k*K$3-Short_p*MAX(0,Floor_c-$A175)+Beta_q*((1-(((Alpha_keep*$A175+K$3-Lo_c)/Step_c)-MAX(6,MIN(INT(((Alpha_keep*$A175+K$3-Lo_c)/Step_c)+0.00000001),193))))*INDEX($D$5:$D$205,MAX(6,MIN(INT(((Alpha_keep*$A175+K$3-Lo_c)/Step_c)+0.00000001),193))+1)+(((Alpha_keep*$A175+K$3-Lo_c)/Step_c)-MAX(6,MIN(INT(((Alpha_keep*$A175+K$3-Lo_c)/Step_c)+0.00000001),193)))*INDEX($D$5:$D$205,MAX(6,MIN(INT(((Alpha_keep*$A175+K$3-Lo_c)/Step_c)+0.00000001),193))+2)),"")</f>
        <v>-189.904117200214</v>
      </c>
      <c r="L175" s="16" t="n">
        <f aca="false">IF(Grid!J175=1,-Cost_k*L$3-Short_p*MAX(0,Floor_c-$A175)+Beta_q*((1-(((Alpha_keep*$A175+L$3-Lo_c)/Step_c)-MAX(6,MIN(INT(((Alpha_keep*$A175+L$3-Lo_c)/Step_c)+0.00000001),193))))*INDEX($D$5:$D$205,MAX(6,MIN(INT(((Alpha_keep*$A175+L$3-Lo_c)/Step_c)+0.00000001),193))+1)+(((Alpha_keep*$A175+L$3-Lo_c)/Step_c)-MAX(6,MIN(INT(((Alpha_keep*$A175+L$3-Lo_c)/Step_c)+0.00000001),193)))*INDEX($D$5:$D$205,MAX(6,MIN(INT(((Alpha_keep*$A175+L$3-Lo_c)/Step_c)+0.00000001),193))+2)),"")</f>
        <v>-190.30864599828</v>
      </c>
      <c r="M175" s="16" t="n">
        <f aca="false">IF(Grid!K175=1,-Cost_k*M$3-Short_p*MAX(0,Floor_c-$A175)+Beta_q*((1-(((Alpha_keep*$A175+M$3-Lo_c)/Step_c)-MAX(6,MIN(INT(((Alpha_keep*$A175+M$3-Lo_c)/Step_c)+0.00000001),193))))*INDEX($D$5:$D$205,MAX(6,MIN(INT(((Alpha_keep*$A175+M$3-Lo_c)/Step_c)+0.00000001),193))+1)+(((Alpha_keep*$A175+M$3-Lo_c)/Step_c)-MAX(6,MIN(INT(((Alpha_keep*$A175+M$3-Lo_c)/Step_c)+0.00000001),193)))*INDEX($D$5:$D$205,MAX(6,MIN(INT(((Alpha_keep*$A175+M$3-Lo_c)/Step_c)+0.00000001),193))+2)),"")</f>
        <v>-190.717118336022</v>
      </c>
      <c r="N175" s="16" t="n">
        <f aca="false">IF(Grid!L175=1,-Cost_k*N$3-Short_p*MAX(0,Floor_c-$A175)+Beta_q*((1-(((Alpha_keep*$A175+N$3-Lo_c)/Step_c)-MAX(6,MIN(INT(((Alpha_keep*$A175+N$3-Lo_c)/Step_c)+0.00000001),193))))*INDEX($D$5:$D$205,MAX(6,MIN(INT(((Alpha_keep*$A175+N$3-Lo_c)/Step_c)+0.00000001),193))+1)+(((Alpha_keep*$A175+N$3-Lo_c)/Step_c)-MAX(6,MIN(INT(((Alpha_keep*$A175+N$3-Lo_c)/Step_c)+0.00000001),193)))*INDEX($D$5:$D$205,MAX(6,MIN(INT(((Alpha_keep*$A175+N$3-Lo_c)/Step_c)+0.00000001),193))+2)),"")</f>
        <v>-191.129598096326</v>
      </c>
      <c r="O175" s="16" t="n">
        <f aca="false">IF(Grid!M175=1,-Cost_k*O$3-Short_p*MAX(0,Floor_c-$A175)+Beta_q*((1-(((Alpha_keep*$A175+O$3-Lo_c)/Step_c)-MAX(6,MIN(INT(((Alpha_keep*$A175+O$3-Lo_c)/Step_c)+0.00000001),193))))*INDEX($D$5:$D$205,MAX(6,MIN(INT(((Alpha_keep*$A175+O$3-Lo_c)/Step_c)+0.00000001),193))+1)+(((Alpha_keep*$A175+O$3-Lo_c)/Step_c)-MAX(6,MIN(INT(((Alpha_keep*$A175+O$3-Lo_c)/Step_c)+0.00000001),193)))*INDEX($D$5:$D$205,MAX(6,MIN(INT(((Alpha_keep*$A175+O$3-Lo_c)/Step_c)+0.00000001),193))+2)),"")</f>
        <v>-191.545940084377</v>
      </c>
      <c r="P175" s="11" t="n">
        <f aca="false">MAX(E175:O175)</f>
        <v>-187.562147436685</v>
      </c>
      <c r="Q175" s="12" t="n">
        <f aca="false">INDEX($E$3:$O$3,MATCH(P175,E175:O175,0))</f>
        <v>0</v>
      </c>
      <c r="R175" s="20" t="n">
        <v>0</v>
      </c>
      <c r="S175" s="14" t="n">
        <f aca="false">IF(ABS(Q175-R175)&lt;0.000000001,1,0)</f>
        <v>1</v>
      </c>
      <c r="T175" s="21" t="n">
        <f aca="false">ABS(P175-B175)</f>
        <v>0</v>
      </c>
      <c r="U175" s="16" t="n">
        <f aca="false">Alpha_keep*A175+Q175</f>
        <v>70.6875</v>
      </c>
      <c r="V175" s="14" t="n">
        <f aca="false">INDEX(GuardBlock,171,ROUND(Q175/Step_h,0)+1)</f>
        <v>1</v>
      </c>
      <c r="W175" s="22" t="n">
        <v>0</v>
      </c>
    </row>
    <row r="176" customFormat="false" ht="15" hidden="false" customHeight="false" outlineLevel="0" collapsed="false">
      <c r="A176" s="18" t="n">
        <f aca="false">Grid!A176</f>
        <v>72.75</v>
      </c>
      <c r="B176" s="19" t="n">
        <v>-186.95747858414</v>
      </c>
      <c r="C176" s="14" t="n">
        <v>171</v>
      </c>
      <c r="D176" s="11" t="n">
        <f aca="false">IF(AND($C176&gt;=6,$C176&lt;=194),Declarations!$B$25*INDEX($B$5:$B$205,$C176+1-Declarations!$E$25)+Declarations!$B$26*INDEX($B$5:$B$205,$C176+1-Declarations!$E$26)+Declarations!$B$27*INDEX($B$5:$B$205,$C176+1-Declarations!$E$27)+Declarations!$B$28*INDEX($B$5:$B$205,$C176+1-Declarations!$E$28)+Declarations!$B$29*INDEX($B$5:$B$205,$C176+1-Declarations!$E$29),"")</f>
        <v>-186.971909018703</v>
      </c>
      <c r="E176" s="16" t="n">
        <f aca="false">IF(Grid!C176=1,-Cost_k*E$3-Short_p*MAX(0,Floor_c-$A176)+Beta_q*((1-(((Alpha_keep*$A176+E$3-Lo_c)/Step_c)-MAX(6,MIN(INT(((Alpha_keep*$A176+E$3-Lo_c)/Step_c)+0.00000001),193))))*INDEX($D$5:$D$205,MAX(6,MIN(INT(((Alpha_keep*$A176+E$3-Lo_c)/Step_c)+0.00000001),193))+1)+(((Alpha_keep*$A176+E$3-Lo_c)/Step_c)-MAX(6,MIN(INT(((Alpha_keep*$A176+E$3-Lo_c)/Step_c)+0.00000001),193)))*INDEX($D$5:$D$205,MAX(6,MIN(INT(((Alpha_keep*$A176+E$3-Lo_c)/Step_c)+0.00000001),193))+2)),"")</f>
        <v>-186.95747858414</v>
      </c>
      <c r="F176" s="16" t="n">
        <f aca="false">IF(Grid!D176=1,-Cost_k*F$3-Short_p*MAX(0,Floor_c-$A176)+Beta_q*((1-(((Alpha_keep*$A176+F$3-Lo_c)/Step_c)-MAX(6,MIN(INT(((Alpha_keep*$A176+F$3-Lo_c)/Step_c)+0.00000001),193))))*INDEX($D$5:$D$205,MAX(6,MIN(INT(((Alpha_keep*$A176+F$3-Lo_c)/Step_c)+0.00000001),193))+1)+(((Alpha_keep*$A176+F$3-Lo_c)/Step_c)-MAX(6,MIN(INT(((Alpha_keep*$A176+F$3-Lo_c)/Step_c)+0.00000001),193)))*INDEX($D$5:$D$205,MAX(6,MIN(INT(((Alpha_keep*$A176+F$3-Lo_c)/Step_c)+0.00000001),193))+2)),"")</f>
        <v>-187.341618478239</v>
      </c>
      <c r="G176" s="16" t="n">
        <f aca="false">IF(Grid!E176=1,-Cost_k*G$3-Short_p*MAX(0,Floor_c-$A176)+Beta_q*((1-(((Alpha_keep*$A176+G$3-Lo_c)/Step_c)-MAX(6,MIN(INT(((Alpha_keep*$A176+G$3-Lo_c)/Step_c)+0.00000001),193))))*INDEX($D$5:$D$205,MAX(6,MIN(INT(((Alpha_keep*$A176+G$3-Lo_c)/Step_c)+0.00000001),193))+1)+(((Alpha_keep*$A176+G$3-Lo_c)/Step_c)-MAX(6,MIN(INT(((Alpha_keep*$A176+G$3-Lo_c)/Step_c)+0.00000001),193)))*INDEX($D$5:$D$205,MAX(6,MIN(INT(((Alpha_keep*$A176+G$3-Lo_c)/Step_c)+0.00000001),193))+2)),"")</f>
        <v>-187.729870855305</v>
      </c>
      <c r="H176" s="16" t="n">
        <f aca="false">IF(Grid!F176=1,-Cost_k*H$3-Short_p*MAX(0,Floor_c-$A176)+Beta_q*((1-(((Alpha_keep*$A176+H$3-Lo_c)/Step_c)-MAX(6,MIN(INT(((Alpha_keep*$A176+H$3-Lo_c)/Step_c)+0.00000001),193))))*INDEX($D$5:$D$205,MAX(6,MIN(INT(((Alpha_keep*$A176+H$3-Lo_c)/Step_c)+0.00000001),193))+1)+(((Alpha_keep*$A176+H$3-Lo_c)/Step_c)-MAX(6,MIN(INT(((Alpha_keep*$A176+H$3-Lo_c)/Step_c)+0.00000001),193)))*INDEX($D$5:$D$205,MAX(6,MIN(INT(((Alpha_keep*$A176+H$3-Lo_c)/Step_c)+0.00000001),193))+2)),"")</f>
        <v>-188.122113170252</v>
      </c>
      <c r="I176" s="16" t="n">
        <f aca="false">IF(Grid!G176=1,-Cost_k*I$3-Short_p*MAX(0,Floor_c-$A176)+Beta_q*((1-(((Alpha_keep*$A176+I$3-Lo_c)/Step_c)-MAX(6,MIN(INT(((Alpha_keep*$A176+I$3-Lo_c)/Step_c)+0.00000001),193))))*INDEX($D$5:$D$205,MAX(6,MIN(INT(((Alpha_keep*$A176+I$3-Lo_c)/Step_c)+0.00000001),193))+1)+(((Alpha_keep*$A176+I$3-Lo_c)/Step_c)-MAX(6,MIN(INT(((Alpha_keep*$A176+I$3-Lo_c)/Step_c)+0.00000001),193)))*INDEX($D$5:$D$205,MAX(6,MIN(INT(((Alpha_keep*$A176+I$3-Lo_c)/Step_c)+0.00000001),193))+2)),"")</f>
        <v>-188.518537536415</v>
      </c>
      <c r="J176" s="16" t="n">
        <f aca="false">IF(Grid!H176=1,-Cost_k*J$3-Short_p*MAX(0,Floor_c-$A176)+Beta_q*((1-(((Alpha_keep*$A176+J$3-Lo_c)/Step_c)-MAX(6,MIN(INT(((Alpha_keep*$A176+J$3-Lo_c)/Step_c)+0.00000001),193))))*INDEX($D$5:$D$205,MAX(6,MIN(INT(((Alpha_keep*$A176+J$3-Lo_c)/Step_c)+0.00000001),193))+1)+(((Alpha_keep*$A176+J$3-Lo_c)/Step_c)-MAX(6,MIN(INT(((Alpha_keep*$A176+J$3-Lo_c)/Step_c)+0.00000001),193)))*INDEX($D$5:$D$205,MAX(6,MIN(INT(((Alpha_keep*$A176+J$3-Lo_c)/Step_c)+0.00000001),193))+2)),"")</f>
        <v>-188.91907582984</v>
      </c>
      <c r="K176" s="16" t="n">
        <f aca="false">IF(Grid!I176=1,-Cost_k*K$3-Short_p*MAX(0,Floor_c-$A176)+Beta_q*((1-(((Alpha_keep*$A176+K$3-Lo_c)/Step_c)-MAX(6,MIN(INT(((Alpha_keep*$A176+K$3-Lo_c)/Step_c)+0.00000001),193))))*INDEX($D$5:$D$205,MAX(6,MIN(INT(((Alpha_keep*$A176+K$3-Lo_c)/Step_c)+0.00000001),193))+1)+(((Alpha_keep*$A176+K$3-Lo_c)/Step_c)-MAX(6,MIN(INT(((Alpha_keep*$A176+K$3-Lo_c)/Step_c)+0.00000001),193)))*INDEX($D$5:$D$205,MAX(6,MIN(INT(((Alpha_keep*$A176+K$3-Lo_c)/Step_c)+0.00000001),193))+2)),"")</f>
        <v>-189.323508828469</v>
      </c>
      <c r="L176" s="16" t="n">
        <f aca="false">IF(Grid!J176=1,-Cost_k*L$3-Short_p*MAX(0,Floor_c-$A176)+Beta_q*((1-(((Alpha_keep*$A176+L$3-Lo_c)/Step_c)-MAX(6,MIN(INT(((Alpha_keep*$A176+L$3-Lo_c)/Step_c)+0.00000001),193))))*INDEX($D$5:$D$205,MAX(6,MIN(INT(((Alpha_keep*$A176+L$3-Lo_c)/Step_c)+0.00000001),193))+1)+(((Alpha_keep*$A176+L$3-Lo_c)/Step_c)-MAX(6,MIN(INT(((Alpha_keep*$A176+L$3-Lo_c)/Step_c)+0.00000001),193)))*INDEX($D$5:$D$205,MAX(6,MIN(INT(((Alpha_keep*$A176+L$3-Lo_c)/Step_c)+0.00000001),193))+2)),"")</f>
        <v>-189.731881648034</v>
      </c>
      <c r="M176" s="16" t="n">
        <f aca="false">IF(Grid!K176=1,-Cost_k*M$3-Short_p*MAX(0,Floor_c-$A176)+Beta_q*((1-(((Alpha_keep*$A176+M$3-Lo_c)/Step_c)-MAX(6,MIN(INT(((Alpha_keep*$A176+M$3-Lo_c)/Step_c)+0.00000001),193))))*INDEX($D$5:$D$205,MAX(6,MIN(INT(((Alpha_keep*$A176+M$3-Lo_c)/Step_c)+0.00000001),193))+1)+(((Alpha_keep*$A176+M$3-Lo_c)/Step_c)-MAX(6,MIN(INT(((Alpha_keep*$A176+M$3-Lo_c)/Step_c)+0.00000001),193)))*INDEX($D$5:$D$205,MAX(6,MIN(INT(((Alpha_keep*$A176+M$3-Lo_c)/Step_c)+0.00000001),193))+2)),"")</f>
        <v>-190.144261000312</v>
      </c>
      <c r="N176" s="16" t="n">
        <f aca="false">IF(Grid!L176=1,-Cost_k*N$3-Short_p*MAX(0,Floor_c-$A176)+Beta_q*((1-(((Alpha_keep*$A176+N$3-Lo_c)/Step_c)-MAX(6,MIN(INT(((Alpha_keep*$A176+N$3-Lo_c)/Step_c)+0.00000001),193))))*INDEX($D$5:$D$205,MAX(6,MIN(INT(((Alpha_keep*$A176+N$3-Lo_c)/Step_c)+0.00000001),193))+1)+(((Alpha_keep*$A176+N$3-Lo_c)/Step_c)-MAX(6,MIN(INT(((Alpha_keep*$A176+N$3-Lo_c)/Step_c)+0.00000001),193)))*INDEX($D$5:$D$205,MAX(6,MIN(INT(((Alpha_keep*$A176+N$3-Lo_c)/Step_c)+0.00000001),193))+2)),"")</f>
        <v>-190.56050771678</v>
      </c>
      <c r="O176" s="16" t="n">
        <f aca="false">IF(Grid!M176=1,-Cost_k*O$3-Short_p*MAX(0,Floor_c-$A176)+Beta_q*((1-(((Alpha_keep*$A176+O$3-Lo_c)/Step_c)-MAX(6,MIN(INT(((Alpha_keep*$A176+O$3-Lo_c)/Step_c)+0.00000001),193))))*INDEX($D$5:$D$205,MAX(6,MIN(INT(((Alpha_keep*$A176+O$3-Lo_c)/Step_c)+0.00000001),193))+1)+(((Alpha_keep*$A176+O$3-Lo_c)/Step_c)-MAX(6,MIN(INT(((Alpha_keep*$A176+O$3-Lo_c)/Step_c)+0.00000001),193)))*INDEX($D$5:$D$205,MAX(6,MIN(INT(((Alpha_keep*$A176+O$3-Lo_c)/Step_c)+0.00000001),193))+2)),"")</f>
        <v>-190.980530796636</v>
      </c>
      <c r="P176" s="11" t="n">
        <f aca="false">MAX(E176:O176)</f>
        <v>-186.95747858414</v>
      </c>
      <c r="Q176" s="12" t="n">
        <f aca="false">INDEX($E$3:$O$3,MATCH(P176,E176:O176,0))</f>
        <v>0</v>
      </c>
      <c r="R176" s="20" t="n">
        <v>0</v>
      </c>
      <c r="S176" s="14" t="n">
        <f aca="false">IF(ABS(Q176-R176)&lt;0.000000001,1,0)</f>
        <v>1</v>
      </c>
      <c r="T176" s="21" t="n">
        <f aca="false">ABS(P176-B176)</f>
        <v>0</v>
      </c>
      <c r="U176" s="16" t="n">
        <f aca="false">Alpha_keep*A176+Q176</f>
        <v>70.93125</v>
      </c>
      <c r="V176" s="14" t="n">
        <f aca="false">INDEX(GuardBlock,172,ROUND(Q176/Step_h,0)+1)</f>
        <v>1</v>
      </c>
      <c r="W176" s="22" t="n">
        <v>0</v>
      </c>
    </row>
    <row r="177" customFormat="false" ht="15" hidden="false" customHeight="false" outlineLevel="0" collapsed="false">
      <c r="A177" s="18" t="n">
        <f aca="false">Grid!A177</f>
        <v>73</v>
      </c>
      <c r="B177" s="19" t="n">
        <v>-186.356984608754</v>
      </c>
      <c r="C177" s="14" t="n">
        <v>172</v>
      </c>
      <c r="D177" s="11" t="n">
        <f aca="false">IF(AND($C177&gt;=6,$C177&lt;=194),Declarations!$B$25*INDEX($B$5:$B$205,$C177+1-Declarations!$E$25)+Declarations!$B$26*INDEX($B$5:$B$205,$C177+1-Declarations!$E$26)+Declarations!$B$27*INDEX($B$5:$B$205,$C177+1-Declarations!$E$27)+Declarations!$B$28*INDEX($B$5:$B$205,$C177+1-Declarations!$E$28)+Declarations!$B$29*INDEX($B$5:$B$205,$C177+1-Declarations!$E$29),"")</f>
        <v>-186.37124979096</v>
      </c>
      <c r="E177" s="16" t="n">
        <f aca="false">IF(Grid!C177=1,-Cost_k*E$3-Short_p*MAX(0,Floor_c-$A177)+Beta_q*((1-(((Alpha_keep*$A177+E$3-Lo_c)/Step_c)-MAX(6,MIN(INT(((Alpha_keep*$A177+E$3-Lo_c)/Step_c)+0.00000001),193))))*INDEX($D$5:$D$205,MAX(6,MIN(INT(((Alpha_keep*$A177+E$3-Lo_c)/Step_c)+0.00000001),193))+1)+(((Alpha_keep*$A177+E$3-Lo_c)/Step_c)-MAX(6,MIN(INT(((Alpha_keep*$A177+E$3-Lo_c)/Step_c)+0.00000001),193)))*INDEX($D$5:$D$205,MAX(6,MIN(INT(((Alpha_keep*$A177+E$3-Lo_c)/Step_c)+0.00000001),193))+2)),"")</f>
        <v>-186.356984608754</v>
      </c>
      <c r="F177" s="16" t="n">
        <f aca="false">IF(Grid!D177=1,-Cost_k*F$3-Short_p*MAX(0,Floor_c-$A177)+Beta_q*((1-(((Alpha_keep*$A177+F$3-Lo_c)/Step_c)-MAX(6,MIN(INT(((Alpha_keep*$A177+F$3-Lo_c)/Step_c)+0.00000001),193))))*INDEX($D$5:$D$205,MAX(6,MIN(INT(((Alpha_keep*$A177+F$3-Lo_c)/Step_c)+0.00000001),193))+1)+(((Alpha_keep*$A177+F$3-Lo_c)/Step_c)-MAX(6,MIN(INT(((Alpha_keep*$A177+F$3-Lo_c)/Step_c)+0.00000001),193)))*INDEX($D$5:$D$205,MAX(6,MIN(INT(((Alpha_keep*$A177+F$3-Lo_c)/Step_c)+0.00000001),193))+2)),"")</f>
        <v>-186.745137068659</v>
      </c>
      <c r="G177" s="16" t="n">
        <f aca="false">IF(Grid!E177=1,-Cost_k*G$3-Short_p*MAX(0,Floor_c-$A177)+Beta_q*((1-(((Alpha_keep*$A177+G$3-Lo_c)/Step_c)-MAX(6,MIN(INT(((Alpha_keep*$A177+G$3-Lo_c)/Step_c)+0.00000001),193))))*INDEX($D$5:$D$205,MAX(6,MIN(INT(((Alpha_keep*$A177+G$3-Lo_c)/Step_c)+0.00000001),193))+1)+(((Alpha_keep*$A177+G$3-Lo_c)/Step_c)-MAX(6,MIN(INT(((Alpha_keep*$A177+G$3-Lo_c)/Step_c)+0.00000001),193)))*INDEX($D$5:$D$205,MAX(6,MIN(INT(((Alpha_keep*$A177+G$3-Lo_c)/Step_c)+0.00000001),193))+2)),"")</f>
        <v>-187.137279699154</v>
      </c>
      <c r="H177" s="16" t="n">
        <f aca="false">IF(Grid!F177=1,-Cost_k*H$3-Short_p*MAX(0,Floor_c-$A177)+Beta_q*((1-(((Alpha_keep*$A177+H$3-Lo_c)/Step_c)-MAX(6,MIN(INT(((Alpha_keep*$A177+H$3-Lo_c)/Step_c)+0.00000001),193))))*INDEX($D$5:$D$205,MAX(6,MIN(INT(((Alpha_keep*$A177+H$3-Lo_c)/Step_c)+0.00000001),193))+1)+(((Alpha_keep*$A177+H$3-Lo_c)/Step_c)-MAX(6,MIN(INT(((Alpha_keep*$A177+H$3-Lo_c)/Step_c)+0.00000001),193)))*INDEX($D$5:$D$205,MAX(6,MIN(INT(((Alpha_keep*$A177+H$3-Lo_c)/Step_c)+0.00000001),193))+2)),"")</f>
        <v>-187.533597667998</v>
      </c>
      <c r="I177" s="16" t="n">
        <f aca="false">IF(Grid!G177=1,-Cost_k*I$3-Short_p*MAX(0,Floor_c-$A177)+Beta_q*((1-(((Alpha_keep*$A177+I$3-Lo_c)/Step_c)-MAX(6,MIN(INT(((Alpha_keep*$A177+I$3-Lo_c)/Step_c)+0.00000001),193))))*INDEX($D$5:$D$205,MAX(6,MIN(INT(((Alpha_keep*$A177+I$3-Lo_c)/Step_c)+0.00000001),193))+1)+(((Alpha_keep*$A177+I$3-Lo_c)/Step_c)-MAX(6,MIN(INT(((Alpha_keep*$A177+I$3-Lo_c)/Step_c)+0.00000001),193)))*INDEX($D$5:$D$205,MAX(6,MIN(INT(((Alpha_keep*$A177+I$3-Lo_c)/Step_c)+0.00000001),193))+2)),"")</f>
        <v>-187.934034459466</v>
      </c>
      <c r="J177" s="16" t="n">
        <f aca="false">IF(Grid!H177=1,-Cost_k*J$3-Short_p*MAX(0,Floor_c-$A177)+Beta_q*((1-(((Alpha_keep*$A177+J$3-Lo_c)/Step_c)-MAX(6,MIN(INT(((Alpha_keep*$A177+J$3-Lo_c)/Step_c)+0.00000001),193))))*INDEX($D$5:$D$205,MAX(6,MIN(INT(((Alpha_keep*$A177+J$3-Lo_c)/Step_c)+0.00000001),193))+1)+(((Alpha_keep*$A177+J$3-Lo_c)/Step_c)-MAX(6,MIN(INT(((Alpha_keep*$A177+J$3-Lo_c)/Step_c)+0.00000001),193)))*INDEX($D$5:$D$205,MAX(6,MIN(INT(((Alpha_keep*$A177+J$3-Lo_c)/Step_c)+0.00000001),193))+2)),"")</f>
        <v>-188.338371658658</v>
      </c>
      <c r="K177" s="16" t="n">
        <f aca="false">IF(Grid!I177=1,-Cost_k*K$3-Short_p*MAX(0,Floor_c-$A177)+Beta_q*((1-(((Alpha_keep*$A177+K$3-Lo_c)/Step_c)-MAX(6,MIN(INT(((Alpha_keep*$A177+K$3-Lo_c)/Step_c)+0.00000001),193))))*INDEX($D$5:$D$205,MAX(6,MIN(INT(((Alpha_keep*$A177+K$3-Lo_c)/Step_c)+0.00000001),193))+1)+(((Alpha_keep*$A177+K$3-Lo_c)/Step_c)-MAX(6,MIN(INT(((Alpha_keep*$A177+K$3-Lo_c)/Step_c)+0.00000001),193)))*INDEX($D$5:$D$205,MAX(6,MIN(INT(((Alpha_keep*$A177+K$3-Lo_c)/Step_c)+0.00000001),193))+2)),"")</f>
        <v>-188.746644960047</v>
      </c>
      <c r="L177" s="16" t="n">
        <f aca="false">IF(Grid!J177=1,-Cost_k*L$3-Short_p*MAX(0,Floor_c-$A177)+Beta_q*((1-(((Alpha_keep*$A177+L$3-Lo_c)/Step_c)-MAX(6,MIN(INT(((Alpha_keep*$A177+L$3-Lo_c)/Step_c)+0.00000001),193))))*INDEX($D$5:$D$205,MAX(6,MIN(INT(((Alpha_keep*$A177+L$3-Lo_c)/Step_c)+0.00000001),193))+1)+(((Alpha_keep*$A177+L$3-Lo_c)/Step_c)-MAX(6,MIN(INT(((Alpha_keep*$A177+L$3-Lo_c)/Step_c)+0.00000001),193)))*INDEX($D$5:$D$205,MAX(6,MIN(INT(((Alpha_keep*$A177+L$3-Lo_c)/Step_c)+0.00000001),193))+2)),"")</f>
        <v>-189.158923904298</v>
      </c>
      <c r="M177" s="16" t="n">
        <f aca="false">IF(Grid!K177=1,-Cost_k*M$3-Short_p*MAX(0,Floor_c-$A177)+Beta_q*((1-(((Alpha_keep*$A177+M$3-Lo_c)/Step_c)-MAX(6,MIN(INT(((Alpha_keep*$A177+M$3-Lo_c)/Step_c)+0.00000001),193))))*INDEX($D$5:$D$205,MAX(6,MIN(INT(((Alpha_keep*$A177+M$3-Lo_c)/Step_c)+0.00000001),193))+1)+(((Alpha_keep*$A177+M$3-Lo_c)/Step_c)-MAX(6,MIN(INT(((Alpha_keep*$A177+M$3-Lo_c)/Step_c)+0.00000001),193)))*INDEX($D$5:$D$205,MAX(6,MIN(INT(((Alpha_keep*$A177+M$3-Lo_c)/Step_c)+0.00000001),193))+2)),"")</f>
        <v>-189.575075349183</v>
      </c>
      <c r="N177" s="16" t="n">
        <f aca="false">IF(Grid!L177=1,-Cost_k*N$3-Short_p*MAX(0,Floor_c-$A177)+Beta_q*((1-(((Alpha_keep*$A177+N$3-Lo_c)/Step_c)-MAX(6,MIN(INT(((Alpha_keep*$A177+N$3-Lo_c)/Step_c)+0.00000001),193))))*INDEX($D$5:$D$205,MAX(6,MIN(INT(((Alpha_keep*$A177+N$3-Lo_c)/Step_c)+0.00000001),193))+1)+(((Alpha_keep*$A177+N$3-Lo_c)/Step_c)-MAX(6,MIN(INT(((Alpha_keep*$A177+N$3-Lo_c)/Step_c)+0.00000001),193)))*INDEX($D$5:$D$205,MAX(6,MIN(INT(((Alpha_keep*$A177+N$3-Lo_c)/Step_c)+0.00000001),193))+2)),"")</f>
        <v>-189.995004347109</v>
      </c>
      <c r="O177" s="16" t="n">
        <f aca="false">IF(Grid!M177=1,-Cost_k*O$3-Short_p*MAX(0,Floor_c-$A177)+Beta_q*((1-(((Alpha_keep*$A177+O$3-Lo_c)/Step_c)-MAX(6,MIN(INT(((Alpha_keep*$A177+O$3-Lo_c)/Step_c)+0.00000001),193))))*INDEX($D$5:$D$205,MAX(6,MIN(INT(((Alpha_keep*$A177+O$3-Lo_c)/Step_c)+0.00000001),193))+1)+(((Alpha_keep*$A177+O$3-Lo_c)/Step_c)-MAX(6,MIN(INT(((Alpha_keep*$A177+O$3-Lo_c)/Step_c)+0.00000001),193)))*INDEX($D$5:$D$205,MAX(6,MIN(INT(((Alpha_keep*$A177+O$3-Lo_c)/Step_c)+0.00000001),193))+2)),"")</f>
        <v>-190.418761101603</v>
      </c>
      <c r="P177" s="11" t="n">
        <f aca="false">MAX(E177:O177)</f>
        <v>-186.356984608754</v>
      </c>
      <c r="Q177" s="12" t="n">
        <f aca="false">INDEX($E$3:$O$3,MATCH(P177,E177:O177,0))</f>
        <v>0</v>
      </c>
      <c r="R177" s="20" t="n">
        <v>0</v>
      </c>
      <c r="S177" s="14" t="n">
        <f aca="false">IF(ABS(Q177-R177)&lt;0.000000001,1,0)</f>
        <v>1</v>
      </c>
      <c r="T177" s="21" t="n">
        <f aca="false">ABS(P177-B177)</f>
        <v>0</v>
      </c>
      <c r="U177" s="16" t="n">
        <f aca="false">Alpha_keep*A177+Q177</f>
        <v>71.175</v>
      </c>
      <c r="V177" s="14" t="n">
        <f aca="false">INDEX(GuardBlock,173,ROUND(Q177/Step_h,0)+1)</f>
        <v>1</v>
      </c>
      <c r="W177" s="22" t="n">
        <v>0</v>
      </c>
    </row>
    <row r="178" customFormat="false" ht="15" hidden="false" customHeight="false" outlineLevel="0" collapsed="false">
      <c r="A178" s="18" t="n">
        <f aca="false">Grid!A178</f>
        <v>73.25</v>
      </c>
      <c r="B178" s="19" t="n">
        <v>-185.760403282013</v>
      </c>
      <c r="C178" s="14" t="n">
        <v>173</v>
      </c>
      <c r="D178" s="11" t="n">
        <f aca="false">IF(AND($C178&gt;=6,$C178&lt;=194),Declarations!$B$25*INDEX($B$5:$B$205,$C178+1-Declarations!$E$25)+Declarations!$B$26*INDEX($B$5:$B$205,$C178+1-Declarations!$E$26)+Declarations!$B$27*INDEX($B$5:$B$205,$C178+1-Declarations!$E$27)+Declarations!$B$28*INDEX($B$5:$B$205,$C178+1-Declarations!$E$28)+Declarations!$B$29*INDEX($B$5:$B$205,$C178+1-Declarations!$E$29),"")</f>
        <v>-185.774493320499</v>
      </c>
      <c r="E178" s="16" t="n">
        <f aca="false">IF(Grid!C178=1,-Cost_k*E$3-Short_p*MAX(0,Floor_c-$A178)+Beta_q*((1-(((Alpha_keep*$A178+E$3-Lo_c)/Step_c)-MAX(6,MIN(INT(((Alpha_keep*$A178+E$3-Lo_c)/Step_c)+0.00000001),193))))*INDEX($D$5:$D$205,MAX(6,MIN(INT(((Alpha_keep*$A178+E$3-Lo_c)/Step_c)+0.00000001),193))+1)+(((Alpha_keep*$A178+E$3-Lo_c)/Step_c)-MAX(6,MIN(INT(((Alpha_keep*$A178+E$3-Lo_c)/Step_c)+0.00000001),193)))*INDEX($D$5:$D$205,MAX(6,MIN(INT(((Alpha_keep*$A178+E$3-Lo_c)/Step_c)+0.00000001),193))+2)),"")</f>
        <v>-185.760403282013</v>
      </c>
      <c r="F178" s="16" t="n">
        <f aca="false">IF(Grid!D178=1,-Cost_k*F$3-Short_p*MAX(0,Floor_c-$A178)+Beta_q*((1-(((Alpha_keep*$A178+F$3-Lo_c)/Step_c)-MAX(6,MIN(INT(((Alpha_keep*$A178+F$3-Lo_c)/Step_c)+0.00000001),193))))*INDEX($D$5:$D$205,MAX(6,MIN(INT(((Alpha_keep*$A178+F$3-Lo_c)/Step_c)+0.00000001),193))+1)+(((Alpha_keep*$A178+F$3-Lo_c)/Step_c)-MAX(6,MIN(INT(((Alpha_keep*$A178+F$3-Lo_c)/Step_c)+0.00000001),193)))*INDEX($D$5:$D$205,MAX(6,MIN(INT(((Alpha_keep*$A178+F$3-Lo_c)/Step_c)+0.00000001),193))+2)),"")</f>
        <v>-186.152446228056</v>
      </c>
      <c r="G178" s="16" t="n">
        <f aca="false">IF(Grid!E178=1,-Cost_k*G$3-Short_p*MAX(0,Floor_c-$A178)+Beta_q*((1-(((Alpha_keep*$A178+G$3-Lo_c)/Step_c)-MAX(6,MIN(INT(((Alpha_keep*$A178+G$3-Lo_c)/Step_c)+0.00000001),193))))*INDEX($D$5:$D$205,MAX(6,MIN(INT(((Alpha_keep*$A178+G$3-Lo_c)/Step_c)+0.00000001),193))+1)+(((Alpha_keep*$A178+G$3-Lo_c)/Step_c)-MAX(6,MIN(INT(((Alpha_keep*$A178+G$3-Lo_c)/Step_c)+0.00000001),193)))*INDEX($D$5:$D$205,MAX(6,MIN(INT(((Alpha_keep*$A178+G$3-Lo_c)/Step_c)+0.00000001),193))+2)),"")</f>
        <v>-186.548657799582</v>
      </c>
      <c r="H178" s="16" t="n">
        <f aca="false">IF(Grid!F178=1,-Cost_k*H$3-Short_p*MAX(0,Floor_c-$A178)+Beta_q*((1-(((Alpha_keep*$A178+H$3-Lo_c)/Step_c)-MAX(6,MIN(INT(((Alpha_keep*$A178+H$3-Lo_c)/Step_c)+0.00000001),193))))*INDEX($D$5:$D$205,MAX(6,MIN(INT(((Alpha_keep*$A178+H$3-Lo_c)/Step_c)+0.00000001),193))+1)+(((Alpha_keep*$A178+H$3-Lo_c)/Step_c)-MAX(6,MIN(INT(((Alpha_keep*$A178+H$3-Lo_c)/Step_c)+0.00000001),193)))*INDEX($D$5:$D$205,MAX(6,MIN(INT(((Alpha_keep*$A178+H$3-Lo_c)/Step_c)+0.00000001),193))+2)),"")</f>
        <v>-186.948993089092</v>
      </c>
      <c r="I178" s="16" t="n">
        <f aca="false">IF(Grid!G178=1,-Cost_k*I$3-Short_p*MAX(0,Floor_c-$A178)+Beta_q*((1-(((Alpha_keep*$A178+I$3-Lo_c)/Step_c)-MAX(6,MIN(INT(((Alpha_keep*$A178+I$3-Lo_c)/Step_c)+0.00000001),193))))*INDEX($D$5:$D$205,MAX(6,MIN(INT(((Alpha_keep*$A178+I$3-Lo_c)/Step_c)+0.00000001),193))+1)+(((Alpha_keep*$A178+I$3-Lo_c)/Step_c)-MAX(6,MIN(INT(((Alpha_keep*$A178+I$3-Lo_c)/Step_c)+0.00000001),193)))*INDEX($D$5:$D$205,MAX(6,MIN(INT(((Alpha_keep*$A178+I$3-Lo_c)/Step_c)+0.00000001),193))+2)),"")</f>
        <v>-187.353234488847</v>
      </c>
      <c r="J178" s="16" t="n">
        <f aca="false">IF(Grid!H178=1,-Cost_k*J$3-Short_p*MAX(0,Floor_c-$A178)+Beta_q*((1-(((Alpha_keep*$A178+J$3-Lo_c)/Step_c)-MAX(6,MIN(INT(((Alpha_keep*$A178+J$3-Lo_c)/Step_c)+0.00000001),193))))*INDEX($D$5:$D$205,MAX(6,MIN(INT(((Alpha_keep*$A178+J$3-Lo_c)/Step_c)+0.00000001),193))+1)+(((Alpha_keep*$A178+J$3-Lo_c)/Step_c)-MAX(6,MIN(INT(((Alpha_keep*$A178+J$3-Lo_c)/Step_c)+0.00000001),193)))*INDEX($D$5:$D$205,MAX(6,MIN(INT(((Alpha_keep*$A178+J$3-Lo_c)/Step_c)+0.00000001),193))+2)),"")</f>
        <v>-187.761408272059</v>
      </c>
      <c r="K178" s="16" t="n">
        <f aca="false">IF(Grid!I178=1,-Cost_k*K$3-Short_p*MAX(0,Floor_c-$A178)+Beta_q*((1-(((Alpha_keep*$A178+K$3-Lo_c)/Step_c)-MAX(6,MIN(INT(((Alpha_keep*$A178+K$3-Lo_c)/Step_c)+0.00000001),193))))*INDEX($D$5:$D$205,MAX(6,MIN(INT(((Alpha_keep*$A178+K$3-Lo_c)/Step_c)+0.00000001),193))+1)+(((Alpha_keep*$A178+K$3-Lo_c)/Step_c)-MAX(6,MIN(INT(((Alpha_keep*$A178+K$3-Lo_c)/Step_c)+0.00000001),193)))*INDEX($D$5:$D$205,MAX(6,MIN(INT(((Alpha_keep*$A178+K$3-Lo_c)/Step_c)+0.00000001),193))+2)),"")</f>
        <v>-188.173586808284</v>
      </c>
      <c r="L178" s="16" t="n">
        <f aca="false">IF(Grid!J178=1,-Cost_k*L$3-Short_p*MAX(0,Floor_c-$A178)+Beta_q*((1-(((Alpha_keep*$A178+L$3-Lo_c)/Step_c)-MAX(6,MIN(INT(((Alpha_keep*$A178+L$3-Lo_c)/Step_c)+0.00000001),193))))*INDEX($D$5:$D$205,MAX(6,MIN(INT(((Alpha_keep*$A178+L$3-Lo_c)/Step_c)+0.00000001),193))+1)+(((Alpha_keep*$A178+L$3-Lo_c)/Step_c)-MAX(6,MIN(INT(((Alpha_keep*$A178+L$3-Lo_c)/Step_c)+0.00000001),193)))*INDEX($D$5:$D$205,MAX(6,MIN(INT(((Alpha_keep*$A178+L$3-Lo_c)/Step_c)+0.00000001),193))+2)),"")</f>
        <v>-188.589642981586</v>
      </c>
      <c r="M178" s="16" t="n">
        <f aca="false">IF(Grid!K178=1,-Cost_k*M$3-Short_p*MAX(0,Floor_c-$A178)+Beta_q*((1-(((Alpha_keep*$A178+M$3-Lo_c)/Step_c)-MAX(6,MIN(INT(((Alpha_keep*$A178+M$3-Lo_c)/Step_c)+0.00000001),193))))*INDEX($D$5:$D$205,MAX(6,MIN(INT(((Alpha_keep*$A178+M$3-Lo_c)/Step_c)+0.00000001),193))+1)+(((Alpha_keep*$A178+M$3-Lo_c)/Step_c)-MAX(6,MIN(INT(((Alpha_keep*$A178+M$3-Lo_c)/Step_c)+0.00000001),193)))*INDEX($D$5:$D$205,MAX(6,MIN(INT(((Alpha_keep*$A178+M$3-Lo_c)/Step_c)+0.00000001),193))+2)),"")</f>
        <v>-189.009477897582</v>
      </c>
      <c r="N178" s="16" t="n">
        <f aca="false">IF(Grid!L178=1,-Cost_k*N$3-Short_p*MAX(0,Floor_c-$A178)+Beta_q*((1-(((Alpha_keep*$A178+N$3-Lo_c)/Step_c)-MAX(6,MIN(INT(((Alpha_keep*$A178+N$3-Lo_c)/Step_c)+0.00000001),193))))*INDEX($D$5:$D$205,MAX(6,MIN(INT(((Alpha_keep*$A178+N$3-Lo_c)/Step_c)+0.00000001),193))+1)+(((Alpha_keep*$A178+N$3-Lo_c)/Step_c)-MAX(6,MIN(INT(((Alpha_keep*$A178+N$3-Lo_c)/Step_c)+0.00000001),193)))*INDEX($D$5:$D$205,MAX(6,MIN(INT(((Alpha_keep*$A178+N$3-Lo_c)/Step_c)+0.00000001),193))+2)),"")</f>
        <v>-189.433138267311</v>
      </c>
      <c r="O178" s="16" t="n">
        <f aca="false">IF(Grid!M178=1,-Cost_k*O$3-Short_p*MAX(0,Floor_c-$A178)+Beta_q*((1-(((Alpha_keep*$A178+O$3-Lo_c)/Step_c)-MAX(6,MIN(INT(((Alpha_keep*$A178+O$3-Lo_c)/Step_c)+0.00000001),193))))*INDEX($D$5:$D$205,MAX(6,MIN(INT(((Alpha_keep*$A178+O$3-Lo_c)/Step_c)+0.00000001),193))+1)+(((Alpha_keep*$A178+O$3-Lo_c)/Step_c)-MAX(6,MIN(INT(((Alpha_keep*$A178+O$3-Lo_c)/Step_c)+0.00000001),193)))*INDEX($D$5:$D$205,MAX(6,MIN(INT(((Alpha_keep*$A178+O$3-Lo_c)/Step_c)+0.00000001),193))+2)),"")</f>
        <v>-189.860608514041</v>
      </c>
      <c r="P178" s="11" t="n">
        <f aca="false">MAX(E178:O178)</f>
        <v>-185.760403282013</v>
      </c>
      <c r="Q178" s="12" t="n">
        <f aca="false">INDEX($E$3:$O$3,MATCH(P178,E178:O178,0))</f>
        <v>0</v>
      </c>
      <c r="R178" s="20" t="n">
        <v>0</v>
      </c>
      <c r="S178" s="14" t="n">
        <f aca="false">IF(ABS(Q178-R178)&lt;0.000000001,1,0)</f>
        <v>1</v>
      </c>
      <c r="T178" s="21" t="n">
        <f aca="false">ABS(P178-B178)</f>
        <v>0</v>
      </c>
      <c r="U178" s="16" t="n">
        <f aca="false">Alpha_keep*A178+Q178</f>
        <v>71.41875</v>
      </c>
      <c r="V178" s="14" t="n">
        <f aca="false">INDEX(GuardBlock,174,ROUND(Q178/Step_h,0)+1)</f>
        <v>1</v>
      </c>
      <c r="W178" s="22" t="n">
        <v>0</v>
      </c>
    </row>
    <row r="179" customFormat="false" ht="15" hidden="false" customHeight="false" outlineLevel="0" collapsed="false">
      <c r="A179" s="18" t="n">
        <f aca="false">Grid!A179</f>
        <v>73.5</v>
      </c>
      <c r="B179" s="19" t="n">
        <v>-185.167612756958</v>
      </c>
      <c r="C179" s="14" t="n">
        <v>174</v>
      </c>
      <c r="D179" s="11" t="n">
        <f aca="false">IF(AND($C179&gt;=6,$C179&lt;=194),Declarations!$B$25*INDEX($B$5:$B$205,$C179+1-Declarations!$E$25)+Declarations!$B$26*INDEX($B$5:$B$205,$C179+1-Declarations!$E$26)+Declarations!$B$27*INDEX($B$5:$B$205,$C179+1-Declarations!$E$27)+Declarations!$B$28*INDEX($B$5:$B$205,$C179+1-Declarations!$E$28)+Declarations!$B$29*INDEX($B$5:$B$205,$C179+1-Declarations!$E$29),"")</f>
        <v>-185.181590873748</v>
      </c>
      <c r="E179" s="16" t="n">
        <f aca="false">IF(Grid!C179=1,-Cost_k*E$3-Short_p*MAX(0,Floor_c-$A179)+Beta_q*((1-(((Alpha_keep*$A179+E$3-Lo_c)/Step_c)-MAX(6,MIN(INT(((Alpha_keep*$A179+E$3-Lo_c)/Step_c)+0.00000001),193))))*INDEX($D$5:$D$205,MAX(6,MIN(INT(((Alpha_keep*$A179+E$3-Lo_c)/Step_c)+0.00000001),193))+1)+(((Alpha_keep*$A179+E$3-Lo_c)/Step_c)-MAX(6,MIN(INT(((Alpha_keep*$A179+E$3-Lo_c)/Step_c)+0.00000001),193)))*INDEX($D$5:$D$205,MAX(6,MIN(INT(((Alpha_keep*$A179+E$3-Lo_c)/Step_c)+0.00000001),193))+2)),"")</f>
        <v>-185.167612756958</v>
      </c>
      <c r="F179" s="16" t="n">
        <f aca="false">IF(Grid!D179=1,-Cost_k*F$3-Short_p*MAX(0,Floor_c-$A179)+Beta_q*((1-(((Alpha_keep*$A179+F$3-Lo_c)/Step_c)-MAX(6,MIN(INT(((Alpha_keep*$A179+F$3-Lo_c)/Step_c)+0.00000001),193))))*INDEX($D$5:$D$205,MAX(6,MIN(INT(((Alpha_keep*$A179+F$3-Lo_c)/Step_c)+0.00000001),193))+1)+(((Alpha_keep*$A179+F$3-Lo_c)/Step_c)-MAX(6,MIN(INT(((Alpha_keep*$A179+F$3-Lo_c)/Step_c)+0.00000001),193)))*INDEX($D$5:$D$205,MAX(6,MIN(INT(((Alpha_keep*$A179+F$3-Lo_c)/Step_c)+0.00000001),193))+2)),"")</f>
        <v>-185.563717931165</v>
      </c>
      <c r="G179" s="16" t="n">
        <f aca="false">IF(Grid!E179=1,-Cost_k*G$3-Short_p*MAX(0,Floor_c-$A179)+Beta_q*((1-(((Alpha_keep*$A179+G$3-Lo_c)/Step_c)-MAX(6,MIN(INT(((Alpha_keep*$A179+G$3-Lo_c)/Step_c)+0.00000001),193))))*INDEX($D$5:$D$205,MAX(6,MIN(INT(((Alpha_keep*$A179+G$3-Lo_c)/Step_c)+0.00000001),193))+1)+(((Alpha_keep*$A179+G$3-Lo_c)/Step_c)-MAX(6,MIN(INT(((Alpha_keep*$A179+G$3-Lo_c)/Step_c)+0.00000001),193)))*INDEX($D$5:$D$205,MAX(6,MIN(INT(((Alpha_keep*$A179+G$3-Lo_c)/Step_c)+0.00000001),193))+2)),"")</f>
        <v>-185.963951718719</v>
      </c>
      <c r="H179" s="16" t="n">
        <f aca="false">IF(Grid!F179=1,-Cost_k*H$3-Short_p*MAX(0,Floor_c-$A179)+Beta_q*((1-(((Alpha_keep*$A179+H$3-Lo_c)/Step_c)-MAX(6,MIN(INT(((Alpha_keep*$A179+H$3-Lo_c)/Step_c)+0.00000001),193))))*INDEX($D$5:$D$205,MAX(6,MIN(INT(((Alpha_keep*$A179+H$3-Lo_c)/Step_c)+0.00000001),193))+1)+(((Alpha_keep*$A179+H$3-Lo_c)/Step_c)-MAX(6,MIN(INT(((Alpha_keep*$A179+H$3-Lo_c)/Step_c)+0.00000001),193)))*INDEX($D$5:$D$205,MAX(6,MIN(INT(((Alpha_keep*$A179+H$3-Lo_c)/Step_c)+0.00000001),193))+2)),"")</f>
        <v>-186.368097319036</v>
      </c>
      <c r="I179" s="16" t="n">
        <f aca="false">IF(Grid!G179=1,-Cost_k*I$3-Short_p*MAX(0,Floor_c-$A179)+Beta_q*((1-(((Alpha_keep*$A179+I$3-Lo_c)/Step_c)-MAX(6,MIN(INT(((Alpha_keep*$A179+I$3-Lo_c)/Step_c)+0.00000001),193))))*INDEX($D$5:$D$205,MAX(6,MIN(INT(((Alpha_keep*$A179+I$3-Lo_c)/Step_c)+0.00000001),193))+1)+(((Alpha_keep*$A179+I$3-Lo_c)/Step_c)-MAX(6,MIN(INT(((Alpha_keep*$A179+I$3-Lo_c)/Step_c)+0.00000001),193)))*INDEX($D$5:$D$205,MAX(6,MIN(INT(((Alpha_keep*$A179+I$3-Lo_c)/Step_c)+0.00000001),193))+2)),"")</f>
        <v>-186.776171584071</v>
      </c>
      <c r="J179" s="16" t="n">
        <f aca="false">IF(Grid!H179=1,-Cost_k*J$3-Short_p*MAX(0,Floor_c-$A179)+Beta_q*((1-(((Alpha_keep*$A179+J$3-Lo_c)/Step_c)-MAX(6,MIN(INT(((Alpha_keep*$A179+J$3-Lo_c)/Step_c)+0.00000001),193))))*INDEX($D$5:$D$205,MAX(6,MIN(INT(((Alpha_keep*$A179+J$3-Lo_c)/Step_c)+0.00000001),193))+1)+(((Alpha_keep*$A179+J$3-Lo_c)/Step_c)-MAX(6,MIN(INT(((Alpha_keep*$A179+J$3-Lo_c)/Step_c)+0.00000001),193)))*INDEX($D$5:$D$205,MAX(6,MIN(INT(((Alpha_keep*$A179+J$3-Lo_c)/Step_c)+0.00000001),193))+2)),"")</f>
        <v>-187.18824971227</v>
      </c>
      <c r="K179" s="16" t="n">
        <f aca="false">IF(Grid!I179=1,-Cost_k*K$3-Short_p*MAX(0,Floor_c-$A179)+Beta_q*((1-(((Alpha_keep*$A179+K$3-Lo_c)/Step_c)-MAX(6,MIN(INT(((Alpha_keep*$A179+K$3-Lo_c)/Step_c)+0.00000001),193))))*INDEX($D$5:$D$205,MAX(6,MIN(INT(((Alpha_keep*$A179+K$3-Lo_c)/Step_c)+0.00000001),193))+1)+(((Alpha_keep*$A179+K$3-Lo_c)/Step_c)-MAX(6,MIN(INT(((Alpha_keep*$A179+K$3-Lo_c)/Step_c)+0.00000001),193)))*INDEX($D$5:$D$205,MAX(6,MIN(INT(((Alpha_keep*$A179+K$3-Lo_c)/Step_c)+0.00000001),193))+2)),"")</f>
        <v>-187.604210613989</v>
      </c>
      <c r="L179" s="16" t="n">
        <f aca="false">IF(Grid!J179=1,-Cost_k*L$3-Short_p*MAX(0,Floor_c-$A179)+Beta_q*((1-(((Alpha_keep*$A179+L$3-Lo_c)/Step_c)-MAX(6,MIN(INT(((Alpha_keep*$A179+L$3-Lo_c)/Step_c)+0.00000001),193))))*INDEX($D$5:$D$205,MAX(6,MIN(INT(((Alpha_keep*$A179+L$3-Lo_c)/Step_c)+0.00000001),193))+1)+(((Alpha_keep*$A179+L$3-Lo_c)/Step_c)-MAX(6,MIN(INT(((Alpha_keep*$A179+L$3-Lo_c)/Step_c)+0.00000001),193)))*INDEX($D$5:$D$205,MAX(6,MIN(INT(((Alpha_keep*$A179+L$3-Lo_c)/Step_c)+0.00000001),193))+2)),"")</f>
        <v>-188.023951448055</v>
      </c>
      <c r="M179" s="16" t="n">
        <f aca="false">IF(Grid!K179=1,-Cost_k*M$3-Short_p*MAX(0,Floor_c-$A179)+Beta_q*((1-(((Alpha_keep*$A179+M$3-Lo_c)/Step_c)-MAX(6,MIN(INT(((Alpha_keep*$A179+M$3-Lo_c)/Step_c)+0.00000001),193))))*INDEX($D$5:$D$205,MAX(6,MIN(INT(((Alpha_keep*$A179+M$3-Lo_c)/Step_c)+0.00000001),193))+1)+(((Alpha_keep*$A179+M$3-Lo_c)/Step_c)-MAX(6,MIN(INT(((Alpha_keep*$A179+M$3-Lo_c)/Step_c)+0.00000001),193)))*INDEX($D$5:$D$205,MAX(6,MIN(INT(((Alpha_keep*$A179+M$3-Lo_c)/Step_c)+0.00000001),193))+2)),"")</f>
        <v>-188.44751543302</v>
      </c>
      <c r="N179" s="16" t="n">
        <f aca="false">IF(Grid!L179=1,-Cost_k*N$3-Short_p*MAX(0,Floor_c-$A179)+Beta_q*((1-(((Alpha_keep*$A179+N$3-Lo_c)/Step_c)-MAX(6,MIN(INT(((Alpha_keep*$A179+N$3-Lo_c)/Step_c)+0.00000001),193))))*INDEX($D$5:$D$205,MAX(6,MIN(INT(((Alpha_keep*$A179+N$3-Lo_c)/Step_c)+0.00000001),193))+1)+(((Alpha_keep*$A179+N$3-Lo_c)/Step_c)-MAX(6,MIN(INT(((Alpha_keep*$A179+N$3-Lo_c)/Step_c)+0.00000001),193)))*INDEX($D$5:$D$205,MAX(6,MIN(INT(((Alpha_keep*$A179+N$3-Lo_c)/Step_c)+0.00000001),193))+2)),"")</f>
        <v>-188.874890980673</v>
      </c>
      <c r="O179" s="16" t="n">
        <f aca="false">IF(Grid!M179=1,-Cost_k*O$3-Short_p*MAX(0,Floor_c-$A179)+Beta_q*((1-(((Alpha_keep*$A179+O$3-Lo_c)/Step_c)-MAX(6,MIN(INT(((Alpha_keep*$A179+O$3-Lo_c)/Step_c)+0.00000001),193))))*INDEX($D$5:$D$205,MAX(6,MIN(INT(((Alpha_keep*$A179+O$3-Lo_c)/Step_c)+0.00000001),193))+1)+(((Alpha_keep*$A179+O$3-Lo_c)/Step_c)-MAX(6,MIN(INT(((Alpha_keep*$A179+O$3-Lo_c)/Step_c)+0.00000001),193)))*INDEX($D$5:$D$205,MAX(6,MIN(INT(((Alpha_keep*$A179+O$3-Lo_c)/Step_c)+0.00000001),193))+2)),"")</f>
        <v>-189.305970586809</v>
      </c>
      <c r="P179" s="11" t="n">
        <f aca="false">MAX(E179:O179)</f>
        <v>-185.167612756958</v>
      </c>
      <c r="Q179" s="12" t="n">
        <f aca="false">INDEX($E$3:$O$3,MATCH(P179,E179:O179,0))</f>
        <v>0</v>
      </c>
      <c r="R179" s="20" t="n">
        <v>0</v>
      </c>
      <c r="S179" s="14" t="n">
        <f aca="false">IF(ABS(Q179-R179)&lt;0.000000001,1,0)</f>
        <v>1</v>
      </c>
      <c r="T179" s="21" t="n">
        <f aca="false">ABS(P179-B179)</f>
        <v>0</v>
      </c>
      <c r="U179" s="16" t="n">
        <f aca="false">Alpha_keep*A179+Q179</f>
        <v>71.6625</v>
      </c>
      <c r="V179" s="14" t="n">
        <f aca="false">INDEX(GuardBlock,175,ROUND(Q179/Step_h,0)+1)</f>
        <v>1</v>
      </c>
      <c r="W179" s="22" t="n">
        <v>0</v>
      </c>
    </row>
    <row r="180" customFormat="false" ht="15" hidden="false" customHeight="false" outlineLevel="0" collapsed="false">
      <c r="A180" s="18" t="n">
        <f aca="false">Grid!A180</f>
        <v>73.75</v>
      </c>
      <c r="B180" s="19" t="n">
        <v>-184.578778062748</v>
      </c>
      <c r="C180" s="14" t="n">
        <v>175</v>
      </c>
      <c r="D180" s="11" t="n">
        <f aca="false">IF(AND($C180&gt;=6,$C180&lt;=194),Declarations!$B$25*INDEX($B$5:$B$205,$C180+1-Declarations!$E$25)+Declarations!$B$26*INDEX($B$5:$B$205,$C180+1-Declarations!$E$26)+Declarations!$B$27*INDEX($B$5:$B$205,$C180+1-Declarations!$E$27)+Declarations!$B$28*INDEX($B$5:$B$205,$C180+1-Declarations!$E$28)+Declarations!$B$29*INDEX($B$5:$B$205,$C180+1-Declarations!$E$29),"")</f>
        <v>-184.592636785262</v>
      </c>
      <c r="E180" s="16" t="n">
        <f aca="false">IF(Grid!C180=1,-Cost_k*E$3-Short_p*MAX(0,Floor_c-$A180)+Beta_q*((1-(((Alpha_keep*$A180+E$3-Lo_c)/Step_c)-MAX(6,MIN(INT(((Alpha_keep*$A180+E$3-Lo_c)/Step_c)+0.00000001),193))))*INDEX($D$5:$D$205,MAX(6,MIN(INT(((Alpha_keep*$A180+E$3-Lo_c)/Step_c)+0.00000001),193))+1)+(((Alpha_keep*$A180+E$3-Lo_c)/Step_c)-MAX(6,MIN(INT(((Alpha_keep*$A180+E$3-Lo_c)/Step_c)+0.00000001),193)))*INDEX($D$5:$D$205,MAX(6,MIN(INT(((Alpha_keep*$A180+E$3-Lo_c)/Step_c)+0.00000001),193))+2)),"")</f>
        <v>-184.578778062748</v>
      </c>
      <c r="F180" s="16" t="n">
        <f aca="false">IF(Grid!D180=1,-Cost_k*F$3-Short_p*MAX(0,Floor_c-$A180)+Beta_q*((1-(((Alpha_keep*$A180+F$3-Lo_c)/Step_c)-MAX(6,MIN(INT(((Alpha_keep*$A180+F$3-Lo_c)/Step_c)+0.00000001),193))))*INDEX($D$5:$D$205,MAX(6,MIN(INT(((Alpha_keep*$A180+F$3-Lo_c)/Step_c)+0.00000001),193))+1)+(((Alpha_keep*$A180+F$3-Lo_c)/Step_c)-MAX(6,MIN(INT(((Alpha_keep*$A180+F$3-Lo_c)/Step_c)+0.00000001),193)))*INDEX($D$5:$D$205,MAX(6,MIN(INT(((Alpha_keep*$A180+F$3-Lo_c)/Step_c)+0.00000001),193))+2)),"")</f>
        <v>-184.978910348345</v>
      </c>
      <c r="G180" s="16" t="n">
        <f aca="false">IF(Grid!E180=1,-Cost_k*G$3-Short_p*MAX(0,Floor_c-$A180)+Beta_q*((1-(((Alpha_keep*$A180+G$3-Lo_c)/Step_c)-MAX(6,MIN(INT(((Alpha_keep*$A180+G$3-Lo_c)/Step_c)+0.00000001),193))))*INDEX($D$5:$D$205,MAX(6,MIN(INT(((Alpha_keep*$A180+G$3-Lo_c)/Step_c)+0.00000001),193))+1)+(((Alpha_keep*$A180+G$3-Lo_c)/Step_c)-MAX(6,MIN(INT(((Alpha_keep*$A180+G$3-Lo_c)/Step_c)+0.00000001),193)))*INDEX($D$5:$D$205,MAX(6,MIN(INT(((Alpha_keep*$A180+G$3-Lo_c)/Step_c)+0.00000001),193))+2)),"")</f>
        <v>-185.382960149225</v>
      </c>
      <c r="H180" s="16" t="n">
        <f aca="false">IF(Grid!F180=1,-Cost_k*H$3-Short_p*MAX(0,Floor_c-$A180)+Beta_q*((1-(((Alpha_keep*$A180+H$3-Lo_c)/Step_c)-MAX(6,MIN(INT(((Alpha_keep*$A180+H$3-Lo_c)/Step_c)+0.00000001),193))))*INDEX($D$5:$D$205,MAX(6,MIN(INT(((Alpha_keep*$A180+H$3-Lo_c)/Step_c)+0.00000001),193))+1)+(((Alpha_keep*$A180+H$3-Lo_c)/Step_c)-MAX(6,MIN(INT(((Alpha_keep*$A180+H$3-Lo_c)/Step_c)+0.00000001),193)))*INDEX($D$5:$D$205,MAX(6,MIN(INT(((Alpha_keep*$A180+H$3-Lo_c)/Step_c)+0.00000001),193))+2)),"")</f>
        <v>-185.790934896083</v>
      </c>
      <c r="I180" s="16" t="n">
        <f aca="false">IF(Grid!G180=1,-Cost_k*I$3-Short_p*MAX(0,Floor_c-$A180)+Beta_q*((1-(((Alpha_keep*$A180+I$3-Lo_c)/Step_c)-MAX(6,MIN(INT(((Alpha_keep*$A180+I$3-Lo_c)/Step_c)+0.00000001),193))))*INDEX($D$5:$D$205,MAX(6,MIN(INT(((Alpha_keep*$A180+I$3-Lo_c)/Step_c)+0.00000001),193))+1)+(((Alpha_keep*$A180+I$3-Lo_c)/Step_c)-MAX(6,MIN(INT(((Alpha_keep*$A180+I$3-Lo_c)/Step_c)+0.00000001),193)))*INDEX($D$5:$D$205,MAX(6,MIN(INT(((Alpha_keep*$A180+I$3-Lo_c)/Step_c)+0.00000001),193))+2)),"")</f>
        <v>-186.202912616255</v>
      </c>
      <c r="J180" s="16" t="n">
        <f aca="false">IF(Grid!H180=1,-Cost_k*J$3-Short_p*MAX(0,Floor_c-$A180)+Beta_q*((1-(((Alpha_keep*$A180+J$3-Lo_c)/Step_c)-MAX(6,MIN(INT(((Alpha_keep*$A180+J$3-Lo_c)/Step_c)+0.00000001),193))))*INDEX($D$5:$D$205,MAX(6,MIN(INT(((Alpha_keep*$A180+J$3-Lo_c)/Step_c)+0.00000001),193))+1)+(((Alpha_keep*$A180+J$3-Lo_c)/Step_c)-MAX(6,MIN(INT(((Alpha_keep*$A180+J$3-Lo_c)/Step_c)+0.00000001),193)))*INDEX($D$5:$D$205,MAX(6,MIN(INT(((Alpha_keep*$A180+J$3-Lo_c)/Step_c)+0.00000001),193))+2)),"")</f>
        <v>-186.618778246392</v>
      </c>
      <c r="K180" s="16" t="n">
        <f aca="false">IF(Grid!I180=1,-Cost_k*K$3-Short_p*MAX(0,Floor_c-$A180)+Beta_q*((1-(((Alpha_keep*$A180+K$3-Lo_c)/Step_c)-MAX(6,MIN(INT(((Alpha_keep*$A180+K$3-Lo_c)/Step_c)+0.00000001),193))))*INDEX($D$5:$D$205,MAX(6,MIN(INT(((Alpha_keep*$A180+K$3-Lo_c)/Step_c)+0.00000001),193))+1)+(((Alpha_keep*$A180+K$3-Lo_c)/Step_c)-MAX(6,MIN(INT(((Alpha_keep*$A180+K$3-Lo_c)/Step_c)+0.00000001),193)))*INDEX($D$5:$D$205,MAX(6,MIN(INT(((Alpha_keep*$A180+K$3-Lo_c)/Step_c)+0.00000001),193))+2)),"")</f>
        <v>-187.038424998527</v>
      </c>
      <c r="L180" s="16" t="n">
        <f aca="false">IF(Grid!J180=1,-Cost_k*L$3-Short_p*MAX(0,Floor_c-$A180)+Beta_q*((1-(((Alpha_keep*$A180+L$3-Lo_c)/Step_c)-MAX(6,MIN(INT(((Alpha_keep*$A180+L$3-Lo_c)/Step_c)+0.00000001),193))))*INDEX($D$5:$D$205,MAX(6,MIN(INT(((Alpha_keep*$A180+L$3-Lo_c)/Step_c)+0.00000001),193))+1)+(((Alpha_keep*$A180+L$3-Lo_c)/Step_c)-MAX(6,MIN(INT(((Alpha_keep*$A180+L$3-Lo_c)/Step_c)+0.00000001),193)))*INDEX($D$5:$D$205,MAX(6,MIN(INT(((Alpha_keep*$A180+L$3-Lo_c)/Step_c)+0.00000001),193))+2)),"")</f>
        <v>-187.461892598728</v>
      </c>
      <c r="M180" s="16" t="n">
        <f aca="false">IF(Grid!K180=1,-Cost_k*M$3-Short_p*MAX(0,Floor_c-$A180)+Beta_q*((1-(((Alpha_keep*$A180+M$3-Lo_c)/Step_c)-MAX(6,MIN(INT(((Alpha_keep*$A180+M$3-Lo_c)/Step_c)+0.00000001),193))))*INDEX($D$5:$D$205,MAX(6,MIN(INT(((Alpha_keep*$A180+M$3-Lo_c)/Step_c)+0.00000001),193))+1)+(((Alpha_keep*$A180+M$3-Lo_c)/Step_c)-MAX(6,MIN(INT(((Alpha_keep*$A180+M$3-Lo_c)/Step_c)+0.00000001),193)))*INDEX($D$5:$D$205,MAX(6,MIN(INT(((Alpha_keep*$A180+M$3-Lo_c)/Step_c)+0.00000001),193))+2)),"")</f>
        <v>-187.889173447305</v>
      </c>
      <c r="N180" s="16" t="n">
        <f aca="false">IF(Grid!L180=1,-Cost_k*N$3-Short_p*MAX(0,Floor_c-$A180)+Beta_q*((1-(((Alpha_keep*$A180+N$3-Lo_c)/Step_c)-MAX(6,MIN(INT(((Alpha_keep*$A180+N$3-Lo_c)/Step_c)+0.00000001),193))))*INDEX($D$5:$D$205,MAX(6,MIN(INT(((Alpha_keep*$A180+N$3-Lo_c)/Step_c)+0.00000001),193))+1)+(((Alpha_keep*$A180+N$3-Lo_c)/Step_c)-MAX(6,MIN(INT(((Alpha_keep*$A180+N$3-Lo_c)/Step_c)+0.00000001),193)))*INDEX($D$5:$D$205,MAX(6,MIN(INT(((Alpha_keep*$A180+N$3-Lo_c)/Step_c)+0.00000001),193))+2)),"")</f>
        <v>-188.320161581463</v>
      </c>
      <c r="O180" s="16" t="n">
        <f aca="false">IF(Grid!M180=1,-Cost_k*O$3-Short_p*MAX(0,Floor_c-$A180)+Beta_q*((1-(((Alpha_keep*$A180+O$3-Lo_c)/Step_c)-MAX(6,MIN(INT(((Alpha_keep*$A180+O$3-Lo_c)/Step_c)+0.00000001),193))))*INDEX($D$5:$D$205,MAX(6,MIN(INT(((Alpha_keep*$A180+O$3-Lo_c)/Step_c)+0.00000001),193))+1)+(((Alpha_keep*$A180+O$3-Lo_c)/Step_c)-MAX(6,MIN(INT(((Alpha_keep*$A180+O$3-Lo_c)/Step_c)+0.00000001),193)))*INDEX($D$5:$D$205,MAX(6,MIN(INT(((Alpha_keep*$A180+O$3-Lo_c)/Step_c)+0.00000001),193))+2)),"")</f>
        <v>-188.75481517798</v>
      </c>
      <c r="P180" s="11" t="n">
        <f aca="false">MAX(E180:O180)</f>
        <v>-184.578778062748</v>
      </c>
      <c r="Q180" s="12" t="n">
        <f aca="false">INDEX($E$3:$O$3,MATCH(P180,E180:O180,0))</f>
        <v>0</v>
      </c>
      <c r="R180" s="20" t="n">
        <v>0</v>
      </c>
      <c r="S180" s="14" t="n">
        <f aca="false">IF(ABS(Q180-R180)&lt;0.000000001,1,0)</f>
        <v>1</v>
      </c>
      <c r="T180" s="21" t="n">
        <f aca="false">ABS(P180-B180)</f>
        <v>0</v>
      </c>
      <c r="U180" s="16" t="n">
        <f aca="false">Alpha_keep*A180+Q180</f>
        <v>71.90625</v>
      </c>
      <c r="V180" s="14" t="n">
        <f aca="false">INDEX(GuardBlock,176,ROUND(Q180/Step_h,0)+1)</f>
        <v>1</v>
      </c>
      <c r="W180" s="22" t="n">
        <v>0</v>
      </c>
    </row>
    <row r="181" customFormat="false" ht="15" hidden="false" customHeight="false" outlineLevel="0" collapsed="false">
      <c r="A181" s="18" t="n">
        <f aca="false">Grid!A181</f>
        <v>74</v>
      </c>
      <c r="B181" s="19" t="n">
        <v>-183.993868977971</v>
      </c>
      <c r="C181" s="14" t="n">
        <v>176</v>
      </c>
      <c r="D181" s="11" t="n">
        <f aca="false">IF(AND($C181&gt;=6,$C181&lt;=194),Declarations!$B$25*INDEX($B$5:$B$205,$C181+1-Declarations!$E$25)+Declarations!$B$26*INDEX($B$5:$B$205,$C181+1-Declarations!$E$26)+Declarations!$B$27*INDEX($B$5:$B$205,$C181+1-Declarations!$E$27)+Declarations!$B$28*INDEX($B$5:$B$205,$C181+1-Declarations!$E$28)+Declarations!$B$29*INDEX($B$5:$B$205,$C181+1-Declarations!$E$29),"")</f>
        <v>-184.007562001596</v>
      </c>
      <c r="E181" s="16" t="n">
        <f aca="false">IF(Grid!C181=1,-Cost_k*E$3-Short_p*MAX(0,Floor_c-$A181)+Beta_q*((1-(((Alpha_keep*$A181+E$3-Lo_c)/Step_c)-MAX(6,MIN(INT(((Alpha_keep*$A181+E$3-Lo_c)/Step_c)+0.00000001),193))))*INDEX($D$5:$D$205,MAX(6,MIN(INT(((Alpha_keep*$A181+E$3-Lo_c)/Step_c)+0.00000001),193))+1)+(((Alpha_keep*$A181+E$3-Lo_c)/Step_c)-MAX(6,MIN(INT(((Alpha_keep*$A181+E$3-Lo_c)/Step_c)+0.00000001),193)))*INDEX($D$5:$D$205,MAX(6,MIN(INT(((Alpha_keep*$A181+E$3-Lo_c)/Step_c)+0.00000001),193))+2)),"")</f>
        <v>-183.993868977971</v>
      </c>
      <c r="F181" s="16" t="n">
        <f aca="false">IF(Grid!D181=1,-Cost_k*F$3-Short_p*MAX(0,Floor_c-$A181)+Beta_q*((1-(((Alpha_keep*$A181+F$3-Lo_c)/Step_c)-MAX(6,MIN(INT(((Alpha_keep*$A181+F$3-Lo_c)/Step_c)+0.00000001),193))))*INDEX($D$5:$D$205,MAX(6,MIN(INT(((Alpha_keep*$A181+F$3-Lo_c)/Step_c)+0.00000001),193))+1)+(((Alpha_keep*$A181+F$3-Lo_c)/Step_c)-MAX(6,MIN(INT(((Alpha_keep*$A181+F$3-Lo_c)/Step_c)+0.00000001),193)))*INDEX($D$5:$D$205,MAX(6,MIN(INT(((Alpha_keep*$A181+F$3-Lo_c)/Step_c)+0.00000001),193))+2)),"")</f>
        <v>-184.397822979414</v>
      </c>
      <c r="G181" s="16" t="n">
        <f aca="false">IF(Grid!E181=1,-Cost_k*G$3-Short_p*MAX(0,Floor_c-$A181)+Beta_q*((1-(((Alpha_keep*$A181+G$3-Lo_c)/Step_c)-MAX(6,MIN(INT(((Alpha_keep*$A181+G$3-Lo_c)/Step_c)+0.00000001),193))))*INDEX($D$5:$D$205,MAX(6,MIN(INT(((Alpha_keep*$A181+G$3-Lo_c)/Step_c)+0.00000001),193))+1)+(((Alpha_keep*$A181+G$3-Lo_c)/Step_c)-MAX(6,MIN(INT(((Alpha_keep*$A181+G$3-Lo_c)/Step_c)+0.00000001),193)))*INDEX($D$5:$D$205,MAX(6,MIN(INT(((Alpha_keep*$A181+G$3-Lo_c)/Step_c)+0.00000001),193))+2)),"")</f>
        <v>-184.805698208096</v>
      </c>
      <c r="H181" s="16" t="n">
        <f aca="false">IF(Grid!F181=1,-Cost_k*H$3-Short_p*MAX(0,Floor_c-$A181)+Beta_q*((1-(((Alpha_keep*$A181+H$3-Lo_c)/Step_c)-MAX(6,MIN(INT(((Alpha_keep*$A181+H$3-Lo_c)/Step_c)+0.00000001),193))))*INDEX($D$5:$D$205,MAX(6,MIN(INT(((Alpha_keep*$A181+H$3-Lo_c)/Step_c)+0.00000001),193))+1)+(((Alpha_keep*$A181+H$3-Lo_c)/Step_c)-MAX(6,MIN(INT(((Alpha_keep*$A181+H$3-Lo_c)/Step_c)+0.00000001),193)))*INDEX($D$5:$D$205,MAX(6,MIN(INT(((Alpha_keep*$A181+H$3-Lo_c)/Step_c)+0.00000001),193))+2)),"")</f>
        <v>-185.217575520241</v>
      </c>
      <c r="I181" s="16" t="n">
        <f aca="false">IF(Grid!G181=1,-Cost_k*I$3-Short_p*MAX(0,Floor_c-$A181)+Beta_q*((1-(((Alpha_keep*$A181+I$3-Lo_c)/Step_c)-MAX(6,MIN(INT(((Alpha_keep*$A181+I$3-Lo_c)/Step_c)+0.00000001),193))))*INDEX($D$5:$D$205,MAX(6,MIN(INT(((Alpha_keep*$A181+I$3-Lo_c)/Step_c)+0.00000001),193))+1)+(((Alpha_keep*$A181+I$3-Lo_c)/Step_c)-MAX(6,MIN(INT(((Alpha_keep*$A181+I$3-Lo_c)/Step_c)+0.00000001),193)))*INDEX($D$5:$D$205,MAX(6,MIN(INT(((Alpha_keep*$A181+I$3-Lo_c)/Step_c)+0.00000001),193))+2)),"")</f>
        <v>-185.633345878795</v>
      </c>
      <c r="J181" s="16" t="n">
        <f aca="false">IF(Grid!H181=1,-Cost_k*J$3-Short_p*MAX(0,Floor_c-$A181)+Beta_q*((1-(((Alpha_keep*$A181+J$3-Lo_c)/Step_c)-MAX(6,MIN(INT(((Alpha_keep*$A181+J$3-Lo_c)/Step_c)+0.00000001),193))))*INDEX($D$5:$D$205,MAX(6,MIN(INT(((Alpha_keep*$A181+J$3-Lo_c)/Step_c)+0.00000001),193))+1)+(((Alpha_keep*$A181+J$3-Lo_c)/Step_c)-MAX(6,MIN(INT(((Alpha_keep*$A181+J$3-Lo_c)/Step_c)+0.00000001),193)))*INDEX($D$5:$D$205,MAX(6,MIN(INT(((Alpha_keep*$A181+J$3-Lo_c)/Step_c)+0.00000001),193))+2)),"")</f>
        <v>-186.052898549</v>
      </c>
      <c r="K181" s="16" t="n">
        <f aca="false">IF(Grid!I181=1,-Cost_k*K$3-Short_p*MAX(0,Floor_c-$A181)+Beta_q*((1-(((Alpha_keep*$A181+K$3-Lo_c)/Step_c)-MAX(6,MIN(INT(((Alpha_keep*$A181+K$3-Lo_c)/Step_c)+0.00000001),193))))*INDEX($D$5:$D$205,MAX(6,MIN(INT(((Alpha_keep*$A181+K$3-Lo_c)/Step_c)+0.00000001),193))+1)+(((Alpha_keep*$A181+K$3-Lo_c)/Step_c)-MAX(6,MIN(INT(((Alpha_keep*$A181+K$3-Lo_c)/Step_c)+0.00000001),193)))*INDEX($D$5:$D$205,MAX(6,MIN(INT(((Alpha_keep*$A181+K$3-Lo_c)/Step_c)+0.00000001),193))+2)),"")</f>
        <v>-186.476269764436</v>
      </c>
      <c r="L181" s="16" t="n">
        <f aca="false">IF(Grid!J181=1,-Cost_k*L$3-Short_p*MAX(0,Floor_c-$A181)+Beta_q*((1-(((Alpha_keep*$A181+L$3-Lo_c)/Step_c)-MAX(6,MIN(INT(((Alpha_keep*$A181+L$3-Lo_c)/Step_c)+0.00000001),193))))*INDEX($D$5:$D$205,MAX(6,MIN(INT(((Alpha_keep*$A181+L$3-Lo_c)/Step_c)+0.00000001),193))+1)+(((Alpha_keep*$A181+L$3-Lo_c)/Step_c)-MAX(6,MIN(INT(((Alpha_keep*$A181+L$3-Lo_c)/Step_c)+0.00000001),193)))*INDEX($D$5:$D$205,MAX(6,MIN(INT(((Alpha_keep*$A181+L$3-Lo_c)/Step_c)+0.00000001),193))+2)),"")</f>
        <v>-186.903455913937</v>
      </c>
      <c r="M181" s="16" t="n">
        <f aca="false">IF(Grid!K181=1,-Cost_k*M$3-Short_p*MAX(0,Floor_c-$A181)+Beta_q*((1-(((Alpha_keep*$A181+M$3-Lo_c)/Step_c)-MAX(6,MIN(INT(((Alpha_keep*$A181+M$3-Lo_c)/Step_c)+0.00000001),193))))*INDEX($D$5:$D$205,MAX(6,MIN(INT(((Alpha_keep*$A181+M$3-Lo_c)/Step_c)+0.00000001),193))+1)+(((Alpha_keep*$A181+M$3-Lo_c)/Step_c)-MAX(6,MIN(INT(((Alpha_keep*$A181+M$3-Lo_c)/Step_c)+0.00000001),193)))*INDEX($D$5:$D$205,MAX(6,MIN(INT(((Alpha_keep*$A181+M$3-Lo_c)/Step_c)+0.00000001),193))+2)),"")</f>
        <v>-187.334352576118</v>
      </c>
      <c r="N181" s="16" t="n">
        <f aca="false">IF(Grid!L181=1,-Cost_k*N$3-Short_p*MAX(0,Floor_c-$A181)+Beta_q*((1-(((Alpha_keep*$A181+N$3-Lo_c)/Step_c)-MAX(6,MIN(INT(((Alpha_keep*$A181+N$3-Lo_c)/Step_c)+0.00000001),193))))*INDEX($D$5:$D$205,MAX(6,MIN(INT(((Alpha_keep*$A181+N$3-Lo_c)/Step_c)+0.00000001),193))+1)+(((Alpha_keep*$A181+N$3-Lo_c)/Step_c)-MAX(6,MIN(INT(((Alpha_keep*$A181+N$3-Lo_c)/Step_c)+0.00000001),193)))*INDEX($D$5:$D$205,MAX(6,MIN(INT(((Alpha_keep*$A181+N$3-Lo_c)/Step_c)+0.00000001),193))+2)),"")</f>
        <v>-187.768914437327</v>
      </c>
      <c r="O181" s="16" t="n">
        <f aca="false">IF(Grid!M181=1,-Cost_k*O$3-Short_p*MAX(0,Floor_c-$A181)+Beta_q*((1-(((Alpha_keep*$A181+O$3-Lo_c)/Step_c)-MAX(6,MIN(INT(((Alpha_keep*$A181+O$3-Lo_c)/Step_c)+0.00000001),193))))*INDEX($D$5:$D$205,MAX(6,MIN(INT(((Alpha_keep*$A181+O$3-Lo_c)/Step_c)+0.00000001),193))+1)+(((Alpha_keep*$A181+O$3-Lo_c)/Step_c)-MAX(6,MIN(INT(((Alpha_keep*$A181+O$3-Lo_c)/Step_c)+0.00000001),193)))*INDEX($D$5:$D$205,MAX(6,MIN(INT(((Alpha_keep*$A181+O$3-Lo_c)/Step_c)+0.00000001),193))+2)),"")</f>
        <v>-188.207157636195</v>
      </c>
      <c r="P181" s="11" t="n">
        <f aca="false">MAX(E181:O181)</f>
        <v>-183.993868977971</v>
      </c>
      <c r="Q181" s="12" t="n">
        <f aca="false">INDEX($E$3:$O$3,MATCH(P181,E181:O181,0))</f>
        <v>0</v>
      </c>
      <c r="R181" s="20" t="n">
        <v>0</v>
      </c>
      <c r="S181" s="14" t="n">
        <f aca="false">IF(ABS(Q181-R181)&lt;0.000000001,1,0)</f>
        <v>1</v>
      </c>
      <c r="T181" s="21" t="n">
        <f aca="false">ABS(P181-B181)</f>
        <v>0</v>
      </c>
      <c r="U181" s="16" t="n">
        <f aca="false">Alpha_keep*A181+Q181</f>
        <v>72.15</v>
      </c>
      <c r="V181" s="14" t="n">
        <f aca="false">INDEX(GuardBlock,177,ROUND(Q181/Step_h,0)+1)</f>
        <v>1</v>
      </c>
      <c r="W181" s="22" t="n">
        <v>0</v>
      </c>
    </row>
    <row r="182" customFormat="false" ht="15" hidden="false" customHeight="false" outlineLevel="0" collapsed="false">
      <c r="A182" s="18" t="n">
        <f aca="false">Grid!A182</f>
        <v>74.25</v>
      </c>
      <c r="B182" s="19" t="n">
        <v>-183.412685809603</v>
      </c>
      <c r="C182" s="14" t="n">
        <v>177</v>
      </c>
      <c r="D182" s="11" t="n">
        <f aca="false">IF(AND($C182&gt;=6,$C182&lt;=194),Declarations!$B$25*INDEX($B$5:$B$205,$C182+1-Declarations!$E$25)+Declarations!$B$26*INDEX($B$5:$B$205,$C182+1-Declarations!$E$26)+Declarations!$B$27*INDEX($B$5:$B$205,$C182+1-Declarations!$E$27)+Declarations!$B$28*INDEX($B$5:$B$205,$C182+1-Declarations!$E$28)+Declarations!$B$29*INDEX($B$5:$B$205,$C182+1-Declarations!$E$29),"")</f>
        <v>-183.4262343261</v>
      </c>
      <c r="E182" s="16" t="n">
        <f aca="false">IF(Grid!C182=1,-Cost_k*E$3-Short_p*MAX(0,Floor_c-$A182)+Beta_q*((1-(((Alpha_keep*$A182+E$3-Lo_c)/Step_c)-MAX(6,MIN(INT(((Alpha_keep*$A182+E$3-Lo_c)/Step_c)+0.00000001),193))))*INDEX($D$5:$D$205,MAX(6,MIN(INT(((Alpha_keep*$A182+E$3-Lo_c)/Step_c)+0.00000001),193))+1)+(((Alpha_keep*$A182+E$3-Lo_c)/Step_c)-MAX(6,MIN(INT(((Alpha_keep*$A182+E$3-Lo_c)/Step_c)+0.00000001),193)))*INDEX($D$5:$D$205,MAX(6,MIN(INT(((Alpha_keep*$A182+E$3-Lo_c)/Step_c)+0.00000001),193))+2)),"")</f>
        <v>-183.412685809603</v>
      </c>
      <c r="F182" s="16" t="n">
        <f aca="false">IF(Grid!D182=1,-Cost_k*F$3-Short_p*MAX(0,Floor_c-$A182)+Beta_q*((1-(((Alpha_keep*$A182+F$3-Lo_c)/Step_c)-MAX(6,MIN(INT(((Alpha_keep*$A182+F$3-Lo_c)/Step_c)+0.00000001),193))))*INDEX($D$5:$D$205,MAX(6,MIN(INT(((Alpha_keep*$A182+F$3-Lo_c)/Step_c)+0.00000001),193))+1)+(((Alpha_keep*$A182+F$3-Lo_c)/Step_c)-MAX(6,MIN(INT(((Alpha_keep*$A182+F$3-Lo_c)/Step_c)+0.00000001),193)))*INDEX($D$5:$D$205,MAX(6,MIN(INT(((Alpha_keep*$A182+F$3-Lo_c)/Step_c)+0.00000001),193))+2)),"")</f>
        <v>-183.820461520108</v>
      </c>
      <c r="G182" s="16" t="n">
        <f aca="false">IF(Grid!E182=1,-Cost_k*G$3-Short_p*MAX(0,Floor_c-$A182)+Beta_q*((1-(((Alpha_keep*$A182+G$3-Lo_c)/Step_c)-MAX(6,MIN(INT(((Alpha_keep*$A182+G$3-Lo_c)/Step_c)+0.00000001),193))))*INDEX($D$5:$D$205,MAX(6,MIN(INT(((Alpha_keep*$A182+G$3-Lo_c)/Step_c)+0.00000001),193))+1)+(((Alpha_keep*$A182+G$3-Lo_c)/Step_c)-MAX(6,MIN(INT(((Alpha_keep*$A182+G$3-Lo_c)/Step_c)+0.00000001),193)))*INDEX($D$5:$D$205,MAX(6,MIN(INT(((Alpha_keep*$A182+G$3-Lo_c)/Step_c)+0.00000001),193))+2)),"")</f>
        <v>-184.232238424227</v>
      </c>
      <c r="H182" s="16" t="n">
        <f aca="false">IF(Grid!F182=1,-Cost_k*H$3-Short_p*MAX(0,Floor_c-$A182)+Beta_q*((1-(((Alpha_keep*$A182+H$3-Lo_c)/Step_c)-MAX(6,MIN(INT(((Alpha_keep*$A182+H$3-Lo_c)/Step_c)+0.00000001),193))))*INDEX($D$5:$D$205,MAX(6,MIN(INT(((Alpha_keep*$A182+H$3-Lo_c)/Step_c)+0.00000001),193))+1)+(((Alpha_keep*$A182+H$3-Lo_c)/Step_c)-MAX(6,MIN(INT(((Alpha_keep*$A182+H$3-Lo_c)/Step_c)+0.00000001),193)))*INDEX($D$5:$D$205,MAX(6,MIN(INT(((Alpha_keep*$A182+H$3-Lo_c)/Step_c)+0.00000001),193))+2)),"")</f>
        <v>-184.647913511198</v>
      </c>
      <c r="I182" s="16" t="n">
        <f aca="false">IF(Grid!G182=1,-Cost_k*I$3-Short_p*MAX(0,Floor_c-$A182)+Beta_q*((1-(((Alpha_keep*$A182+I$3-Lo_c)/Step_c)-MAX(6,MIN(INT(((Alpha_keep*$A182+I$3-Lo_c)/Step_c)+0.00000001),193))))*INDEX($D$5:$D$205,MAX(6,MIN(INT(((Alpha_keep*$A182+I$3-Lo_c)/Step_c)+0.00000001),193))+1)+(((Alpha_keep*$A182+I$3-Lo_c)/Step_c)-MAX(6,MIN(INT(((Alpha_keep*$A182+I$3-Lo_c)/Step_c)+0.00000001),193)))*INDEX($D$5:$D$205,MAX(6,MIN(INT(((Alpha_keep*$A182+I$3-Lo_c)/Step_c)+0.00000001),193))+2)),"")</f>
        <v>-185.067372099473</v>
      </c>
      <c r="J182" s="16" t="n">
        <f aca="false">IF(Grid!H182=1,-Cost_k*J$3-Short_p*MAX(0,Floor_c-$A182)+Beta_q*((1-(((Alpha_keep*$A182+J$3-Lo_c)/Step_c)-MAX(6,MIN(INT(((Alpha_keep*$A182+J$3-Lo_c)/Step_c)+0.00000001),193))))*INDEX($D$5:$D$205,MAX(6,MIN(INT(((Alpha_keep*$A182+J$3-Lo_c)/Step_c)+0.00000001),193))+1)+(((Alpha_keep*$A182+J$3-Lo_c)/Step_c)-MAX(6,MIN(INT(((Alpha_keep*$A182+J$3-Lo_c)/Step_c)+0.00000001),193)))*INDEX($D$5:$D$205,MAX(6,MIN(INT(((Alpha_keep*$A182+J$3-Lo_c)/Step_c)+0.00000001),193))+2)),"")</f>
        <v>-185.490646930145</v>
      </c>
      <c r="K182" s="16" t="n">
        <f aca="false">IF(Grid!I182=1,-Cost_k*K$3-Short_p*MAX(0,Floor_c-$A182)+Beta_q*((1-(((Alpha_keep*$A182+K$3-Lo_c)/Step_c)-MAX(6,MIN(INT(((Alpha_keep*$A182+K$3-Lo_c)/Step_c)+0.00000001),193))))*INDEX($D$5:$D$205,MAX(6,MIN(INT(((Alpha_keep*$A182+K$3-Lo_c)/Step_c)+0.00000001),193))+1)+(((Alpha_keep*$A182+K$3-Lo_c)/Step_c)-MAX(6,MIN(INT(((Alpha_keep*$A182+K$3-Lo_c)/Step_c)+0.00000001),193)))*INDEX($D$5:$D$205,MAX(6,MIN(INT(((Alpha_keep*$A182+K$3-Lo_c)/Step_c)+0.00000001),193))+2)),"")</f>
        <v>-185.917738380569</v>
      </c>
      <c r="L182" s="16" t="n">
        <f aca="false">IF(Grid!J182=1,-Cost_k*L$3-Short_p*MAX(0,Floor_c-$A182)+Beta_q*((1-(((Alpha_keep*$A182+L$3-Lo_c)/Step_c)-MAX(6,MIN(INT(((Alpha_keep*$A182+L$3-Lo_c)/Step_c)+0.00000001),193))))*INDEX($D$5:$D$205,MAX(6,MIN(INT(((Alpha_keep*$A182+L$3-Lo_c)/Step_c)+0.00000001),193))+1)+(((Alpha_keep*$A182+L$3-Lo_c)/Step_c)-MAX(6,MIN(INT(((Alpha_keep*$A182+L$3-Lo_c)/Step_c)+0.00000001),193)))*INDEX($D$5:$D$205,MAX(6,MIN(INT(((Alpha_keep*$A182+L$3-Lo_c)/Step_c)+0.00000001),193))+2)),"")</f>
        <v>-186.348543570772</v>
      </c>
      <c r="M182" s="16" t="n">
        <f aca="false">IF(Grid!K182=1,-Cost_k*M$3-Short_p*MAX(0,Floor_c-$A182)+Beta_q*((1-(((Alpha_keep*$A182+M$3-Lo_c)/Step_c)-MAX(6,MIN(INT(((Alpha_keep*$A182+M$3-Lo_c)/Step_c)+0.00000001),193))))*INDEX($D$5:$D$205,MAX(6,MIN(INT(((Alpha_keep*$A182+M$3-Lo_c)/Step_c)+0.00000001),193))+1)+(((Alpha_keep*$A182+M$3-Lo_c)/Step_c)-MAX(6,MIN(INT(((Alpha_keep*$A182+M$3-Lo_c)/Step_c)+0.00000001),193)))*INDEX($D$5:$D$205,MAX(6,MIN(INT(((Alpha_keep*$A182+M$3-Lo_c)/Step_c)+0.00000001),193))+2)),"")</f>
        <v>-186.783013696674</v>
      </c>
      <c r="N182" s="16" t="n">
        <f aca="false">IF(Grid!L182=1,-Cost_k*N$3-Short_p*MAX(0,Floor_c-$A182)+Beta_q*((1-(((Alpha_keep*$A182+N$3-Lo_c)/Step_c)-MAX(6,MIN(INT(((Alpha_keep*$A182+N$3-Lo_c)/Step_c)+0.00000001),193))))*INDEX($D$5:$D$205,MAX(6,MIN(INT(((Alpha_keep*$A182+N$3-Lo_c)/Step_c)+0.00000001),193))+1)+(((Alpha_keep*$A182+N$3-Lo_c)/Step_c)-MAX(6,MIN(INT(((Alpha_keep*$A182+N$3-Lo_c)/Step_c)+0.00000001),193)))*INDEX($D$5:$D$205,MAX(6,MIN(INT(((Alpha_keep*$A182+N$3-Lo_c)/Step_c)+0.00000001),193))+2)),"")</f>
        <v>-187.221164663345</v>
      </c>
      <c r="O182" s="16" t="n">
        <f aca="false">IF(Grid!M182=1,-Cost_k*O$3-Short_p*MAX(0,Floor_c-$A182)+Beta_q*((1-(((Alpha_keep*$A182+O$3-Lo_c)/Step_c)-MAX(6,MIN(INT(((Alpha_keep*$A182+O$3-Lo_c)/Step_c)+0.00000001),193))))*INDEX($D$5:$D$205,MAX(6,MIN(INT(((Alpha_keep*$A182+O$3-Lo_c)/Step_c)+0.00000001),193))+1)+(((Alpha_keep*$A182+O$3-Lo_c)/Step_c)-MAX(6,MIN(INT(((Alpha_keep*$A182+O$3-Lo_c)/Step_c)+0.00000001),193)))*INDEX($D$5:$D$205,MAX(6,MIN(INT(((Alpha_keep*$A182+O$3-Lo_c)/Step_c)+0.00000001),193))+2)),"")</f>
        <v>-187.662956800114</v>
      </c>
      <c r="P182" s="11" t="n">
        <f aca="false">MAX(E182:O182)</f>
        <v>-183.412685809603</v>
      </c>
      <c r="Q182" s="12" t="n">
        <f aca="false">INDEX($E$3:$O$3,MATCH(P182,E182:O182,0))</f>
        <v>0</v>
      </c>
      <c r="R182" s="20" t="n">
        <v>0</v>
      </c>
      <c r="S182" s="14" t="n">
        <f aca="false">IF(ABS(Q182-R182)&lt;0.000000001,1,0)</f>
        <v>1</v>
      </c>
      <c r="T182" s="21" t="n">
        <f aca="false">ABS(P182-B182)</f>
        <v>0</v>
      </c>
      <c r="U182" s="16" t="n">
        <f aca="false">Alpha_keep*A182+Q182</f>
        <v>72.39375</v>
      </c>
      <c r="V182" s="14" t="n">
        <f aca="false">INDEX(GuardBlock,178,ROUND(Q182/Step_h,0)+1)</f>
        <v>1</v>
      </c>
      <c r="W182" s="22" t="n">
        <v>0</v>
      </c>
    </row>
    <row r="183" customFormat="false" ht="15" hidden="false" customHeight="false" outlineLevel="0" collapsed="false">
      <c r="A183" s="18" t="n">
        <f aca="false">Grid!A183</f>
        <v>74.5</v>
      </c>
      <c r="B183" s="19" t="n">
        <v>-182.83522483212</v>
      </c>
      <c r="C183" s="14" t="n">
        <v>178</v>
      </c>
      <c r="D183" s="11" t="n">
        <f aca="false">IF(AND($C183&gt;=6,$C183&lt;=194),Declarations!$B$25*INDEX($B$5:$B$205,$C183+1-Declarations!$E$25)+Declarations!$B$26*INDEX($B$5:$B$205,$C183+1-Declarations!$E$26)+Declarations!$B$27*INDEX($B$5:$B$205,$C183+1-Declarations!$E$27)+Declarations!$B$28*INDEX($B$5:$B$205,$C183+1-Declarations!$E$28)+Declarations!$B$29*INDEX($B$5:$B$205,$C183+1-Declarations!$E$29),"")</f>
        <v>-182.848664545988</v>
      </c>
      <c r="E183" s="16" t="n">
        <f aca="false">IF(Grid!C183=1,-Cost_k*E$3-Short_p*MAX(0,Floor_c-$A183)+Beta_q*((1-(((Alpha_keep*$A183+E$3-Lo_c)/Step_c)-MAX(6,MIN(INT(((Alpha_keep*$A183+E$3-Lo_c)/Step_c)+0.00000001),193))))*INDEX($D$5:$D$205,MAX(6,MIN(INT(((Alpha_keep*$A183+E$3-Lo_c)/Step_c)+0.00000001),193))+1)+(((Alpha_keep*$A183+E$3-Lo_c)/Step_c)-MAX(6,MIN(INT(((Alpha_keep*$A183+E$3-Lo_c)/Step_c)+0.00000001),193)))*INDEX($D$5:$D$205,MAX(6,MIN(INT(((Alpha_keep*$A183+E$3-Lo_c)/Step_c)+0.00000001),193))+2)),"")</f>
        <v>-182.83522483212</v>
      </c>
      <c r="F183" s="16" t="n">
        <f aca="false">IF(Grid!D183=1,-Cost_k*F$3-Short_p*MAX(0,Floor_c-$A183)+Beta_q*((1-(((Alpha_keep*$A183+F$3-Lo_c)/Step_c)-MAX(6,MIN(INT(((Alpha_keep*$A183+F$3-Lo_c)/Step_c)+0.00000001),193))))*INDEX($D$5:$D$205,MAX(6,MIN(INT(((Alpha_keep*$A183+F$3-Lo_c)/Step_c)+0.00000001),193))+1)+(((Alpha_keep*$A183+F$3-Lo_c)/Step_c)-MAX(6,MIN(INT(((Alpha_keep*$A183+F$3-Lo_c)/Step_c)+0.00000001),193)))*INDEX($D$5:$D$205,MAX(6,MIN(INT(((Alpha_keep*$A183+F$3-Lo_c)/Step_c)+0.00000001),193))+2)),"")</f>
        <v>-183.246901328213</v>
      </c>
      <c r="G183" s="16" t="n">
        <f aca="false">IF(Grid!E183=1,-Cost_k*G$3-Short_p*MAX(0,Floor_c-$A183)+Beta_q*((1-(((Alpha_keep*$A183+G$3-Lo_c)/Step_c)-MAX(6,MIN(INT(((Alpha_keep*$A183+G$3-Lo_c)/Step_c)+0.00000001),193))))*INDEX($D$5:$D$205,MAX(6,MIN(INT(((Alpha_keep*$A183+G$3-Lo_c)/Step_c)+0.00000001),193))+1)+(((Alpha_keep*$A183+G$3-Lo_c)/Step_c)-MAX(6,MIN(INT(((Alpha_keep*$A183+G$3-Lo_c)/Step_c)+0.00000001),193)))*INDEX($D$5:$D$205,MAX(6,MIN(INT(((Alpha_keep*$A183+G$3-Lo_c)/Step_c)+0.00000001),193))+2)),"")</f>
        <v>-183.662481143601</v>
      </c>
      <c r="H183" s="16" t="n">
        <f aca="false">IF(Grid!F183=1,-Cost_k*H$3-Short_p*MAX(0,Floor_c-$A183)+Beta_q*((1-(((Alpha_keep*$A183+H$3-Lo_c)/Step_c)-MAX(6,MIN(INT(((Alpha_keep*$A183+H$3-Lo_c)/Step_c)+0.00000001),193))))*INDEX($D$5:$D$205,MAX(6,MIN(INT(((Alpha_keep*$A183+H$3-Lo_c)/Step_c)+0.00000001),193))+1)+(((Alpha_keep*$A183+H$3-Lo_c)/Step_c)-MAX(6,MIN(INT(((Alpha_keep*$A183+H$3-Lo_c)/Step_c)+0.00000001),193)))*INDEX($D$5:$D$205,MAX(6,MIN(INT(((Alpha_keep*$A183+H$3-Lo_c)/Step_c)+0.00000001),193))+2)),"")</f>
        <v>-184.081845649946</v>
      </c>
      <c r="I183" s="16" t="n">
        <f aca="false">IF(Grid!G183=1,-Cost_k*I$3-Short_p*MAX(0,Floor_c-$A183)+Beta_q*((1-(((Alpha_keep*$A183+I$3-Lo_c)/Step_c)-MAX(6,MIN(INT(((Alpha_keep*$A183+I$3-Lo_c)/Step_c)+0.00000001),193))))*INDEX($D$5:$D$205,MAX(6,MIN(INT(((Alpha_keep*$A183+I$3-Lo_c)/Step_c)+0.00000001),193))+1)+(((Alpha_keep*$A183+I$3-Lo_c)/Step_c)-MAX(6,MIN(INT(((Alpha_keep*$A183+I$3-Lo_c)/Step_c)+0.00000001),193)))*INDEX($D$5:$D$205,MAX(6,MIN(INT(((Alpha_keep*$A183+I$3-Lo_c)/Step_c)+0.00000001),193))+2)),"")</f>
        <v>-184.505024095853</v>
      </c>
      <c r="J183" s="16" t="n">
        <f aca="false">IF(Grid!H183=1,-Cost_k*J$3-Short_p*MAX(0,Floor_c-$A183)+Beta_q*((1-(((Alpha_keep*$A183+J$3-Lo_c)/Step_c)-MAX(6,MIN(INT(((Alpha_keep*$A183+J$3-Lo_c)/Step_c)+0.00000001),193))))*INDEX($D$5:$D$205,MAX(6,MIN(INT(((Alpha_keep*$A183+J$3-Lo_c)/Step_c)+0.00000001),193))+1)+(((Alpha_keep*$A183+J$3-Lo_c)/Step_c)-MAX(6,MIN(INT(((Alpha_keep*$A183+J$3-Lo_c)/Step_c)+0.00000001),193)))*INDEX($D$5:$D$205,MAX(6,MIN(INT(((Alpha_keep*$A183+J$3-Lo_c)/Step_c)+0.00000001),193))+2)),"")</f>
        <v>-184.932020847201</v>
      </c>
      <c r="K183" s="16" t="n">
        <f aca="false">IF(Grid!I183=1,-Cost_k*K$3-Short_p*MAX(0,Floor_c-$A183)+Beta_q*((1-(((Alpha_keep*$A183+K$3-Lo_c)/Step_c)-MAX(6,MIN(INT(((Alpha_keep*$A183+K$3-Lo_c)/Step_c)+0.00000001),193))))*INDEX($D$5:$D$205,MAX(6,MIN(INT(((Alpha_keep*$A183+K$3-Lo_c)/Step_c)+0.00000001),193))+1)+(((Alpha_keep*$A183+K$3-Lo_c)/Step_c)-MAX(6,MIN(INT(((Alpha_keep*$A183+K$3-Lo_c)/Step_c)+0.00000001),193)))*INDEX($D$5:$D$205,MAX(6,MIN(INT(((Alpha_keep*$A183+K$3-Lo_c)/Step_c)+0.00000001),193))+2)),"")</f>
        <v>-185.362734565427</v>
      </c>
      <c r="L183" s="16" t="n">
        <f aca="false">IF(Grid!J183=1,-Cost_k*L$3-Short_p*MAX(0,Floor_c-$A183)+Beta_q*((1-(((Alpha_keep*$A183+L$3-Lo_c)/Step_c)-MAX(6,MIN(INT(((Alpha_keep*$A183+L$3-Lo_c)/Step_c)+0.00000001),193))))*INDEX($D$5:$D$205,MAX(6,MIN(INT(((Alpha_keep*$A183+L$3-Lo_c)/Step_c)+0.00000001),193))+1)+(((Alpha_keep*$A183+L$3-Lo_c)/Step_c)-MAX(6,MIN(INT(((Alpha_keep*$A183+L$3-Lo_c)/Step_c)+0.00000001),193)))*INDEX($D$5:$D$205,MAX(6,MIN(INT(((Alpha_keep*$A183+L$3-Lo_c)/Step_c)+0.00000001),193))+2)),"")</f>
        <v>-185.79711295602</v>
      </c>
      <c r="M183" s="16" t="n">
        <f aca="false">IF(Grid!K183=1,-Cost_k*M$3-Short_p*MAX(0,Floor_c-$A183)+Beta_q*((1-(((Alpha_keep*$A183+M$3-Lo_c)/Step_c)-MAX(6,MIN(INT(((Alpha_keep*$A183+M$3-Lo_c)/Step_c)+0.00000001),193))))*INDEX($D$5:$D$205,MAX(6,MIN(INT(((Alpha_keep*$A183+M$3-Lo_c)/Step_c)+0.00000001),193))+1)+(((Alpha_keep*$A183+M$3-Lo_c)/Step_c)-MAX(6,MIN(INT(((Alpha_keep*$A183+M$3-Lo_c)/Step_c)+0.00000001),193)))*INDEX($D$5:$D$205,MAX(6,MIN(INT(((Alpha_keep*$A183+M$3-Lo_c)/Step_c)+0.00000001),193))+2)),"")</f>
        <v>-186.235171690494</v>
      </c>
      <c r="N183" s="16" t="n">
        <f aca="false">IF(Grid!L183=1,-Cost_k*N$3-Short_p*MAX(0,Floor_c-$A183)+Beta_q*((1-(((Alpha_keep*$A183+N$3-Lo_c)/Step_c)-MAX(6,MIN(INT(((Alpha_keep*$A183+N$3-Lo_c)/Step_c)+0.00000001),193))))*INDEX($D$5:$D$205,MAX(6,MIN(INT(((Alpha_keep*$A183+N$3-Lo_c)/Step_c)+0.00000001),193))+1)+(((Alpha_keep*$A183+N$3-Lo_c)/Step_c)-MAX(6,MIN(INT(((Alpha_keep*$A183+N$3-Lo_c)/Step_c)+0.00000001),193)))*INDEX($D$5:$D$205,MAX(6,MIN(INT(((Alpha_keep*$A183+N$3-Lo_c)/Step_c)+0.00000001),193))+2)),"")</f>
        <v>-186.676873687144</v>
      </c>
      <c r="O183" s="16" t="n">
        <f aca="false">IF(Grid!M183=1,-Cost_k*O$3-Short_p*MAX(0,Floor_c-$A183)+Beta_q*((1-(((Alpha_keep*$A183+O$3-Lo_c)/Step_c)-MAX(6,MIN(INT(((Alpha_keep*$A183+O$3-Lo_c)/Step_c)+0.00000001),193))))*INDEX($D$5:$D$205,MAX(6,MIN(INT(((Alpha_keep*$A183+O$3-Lo_c)/Step_c)+0.00000001),193))+1)+(((Alpha_keep*$A183+O$3-Lo_c)/Step_c)-MAX(6,MIN(INT(((Alpha_keep*$A183+O$3-Lo_c)/Step_c)+0.00000001),193)))*INDEX($D$5:$D$205,MAX(6,MIN(INT(((Alpha_keep*$A183+O$3-Lo_c)/Step_c)+0.00000001),193))+2)),"")</f>
        <v>-187.122144665254</v>
      </c>
      <c r="P183" s="11" t="n">
        <f aca="false">MAX(E183:O183)</f>
        <v>-182.83522483212</v>
      </c>
      <c r="Q183" s="12" t="n">
        <f aca="false">INDEX($E$3:$O$3,MATCH(P183,E183:O183,0))</f>
        <v>0</v>
      </c>
      <c r="R183" s="20" t="n">
        <v>0</v>
      </c>
      <c r="S183" s="14" t="n">
        <f aca="false">IF(ABS(Q183-R183)&lt;0.000000001,1,0)</f>
        <v>1</v>
      </c>
      <c r="T183" s="21" t="n">
        <f aca="false">ABS(P183-B183)</f>
        <v>0</v>
      </c>
      <c r="U183" s="16" t="n">
        <f aca="false">Alpha_keep*A183+Q183</f>
        <v>72.6375</v>
      </c>
      <c r="V183" s="14" t="n">
        <f aca="false">INDEX(GuardBlock,179,ROUND(Q183/Step_h,0)+1)</f>
        <v>1</v>
      </c>
      <c r="W183" s="22" t="n">
        <v>0</v>
      </c>
    </row>
    <row r="184" customFormat="false" ht="15" hidden="false" customHeight="false" outlineLevel="0" collapsed="false">
      <c r="A184" s="18" t="n">
        <f aca="false">Grid!A184</f>
        <v>74.75</v>
      </c>
      <c r="B184" s="19" t="n">
        <v>-182.261564232199</v>
      </c>
      <c r="C184" s="14" t="n">
        <v>179</v>
      </c>
      <c r="D184" s="11" t="n">
        <f aca="false">IF(AND($C184&gt;=6,$C184&lt;=194),Declarations!$B$25*INDEX($B$5:$B$205,$C184+1-Declarations!$E$25)+Declarations!$B$26*INDEX($B$5:$B$205,$C184+1-Declarations!$E$26)+Declarations!$B$27*INDEX($B$5:$B$205,$C184+1-Declarations!$E$27)+Declarations!$B$28*INDEX($B$5:$B$205,$C184+1-Declarations!$E$28)+Declarations!$B$29*INDEX($B$5:$B$205,$C184+1-Declarations!$E$29),"")</f>
        <v>-182.274873016104</v>
      </c>
      <c r="E184" s="16" t="n">
        <f aca="false">IF(Grid!C184=1,-Cost_k*E$3-Short_p*MAX(0,Floor_c-$A184)+Beta_q*((1-(((Alpha_keep*$A184+E$3-Lo_c)/Step_c)-MAX(6,MIN(INT(((Alpha_keep*$A184+E$3-Lo_c)/Step_c)+0.00000001),193))))*INDEX($D$5:$D$205,MAX(6,MIN(INT(((Alpha_keep*$A184+E$3-Lo_c)/Step_c)+0.00000001),193))+1)+(((Alpha_keep*$A184+E$3-Lo_c)/Step_c)-MAX(6,MIN(INT(((Alpha_keep*$A184+E$3-Lo_c)/Step_c)+0.00000001),193)))*INDEX($D$5:$D$205,MAX(6,MIN(INT(((Alpha_keep*$A184+E$3-Lo_c)/Step_c)+0.00000001),193))+2)),"")</f>
        <v>-182.261564232198</v>
      </c>
      <c r="F184" s="16" t="n">
        <f aca="false">IF(Grid!D184=1,-Cost_k*F$3-Short_p*MAX(0,Floor_c-$A184)+Beta_q*((1-(((Alpha_keep*$A184+F$3-Lo_c)/Step_c)-MAX(6,MIN(INT(((Alpha_keep*$A184+F$3-Lo_c)/Step_c)+0.00000001),193))))*INDEX($D$5:$D$205,MAX(6,MIN(INT(((Alpha_keep*$A184+F$3-Lo_c)/Step_c)+0.00000001),193))+1)+(((Alpha_keep*$A184+F$3-Lo_c)/Step_c)-MAX(6,MIN(INT(((Alpha_keep*$A184+F$3-Lo_c)/Step_c)+0.00000001),193)))*INDEX($D$5:$D$205,MAX(6,MIN(INT(((Alpha_keep*$A184+F$3-Lo_c)/Step_c)+0.00000001),193))+2)),"")</f>
        <v>-182.677048776004</v>
      </c>
      <c r="G184" s="16" t="n">
        <f aca="false">IF(Grid!E184=1,-Cost_k*G$3-Short_p*MAX(0,Floor_c-$A184)+Beta_q*((1-(((Alpha_keep*$A184+G$3-Lo_c)/Step_c)-MAX(6,MIN(INT(((Alpha_keep*$A184+G$3-Lo_c)/Step_c)+0.00000001),193))))*INDEX($D$5:$D$205,MAX(6,MIN(INT(((Alpha_keep*$A184+G$3-Lo_c)/Step_c)+0.00000001),193))+1)+(((Alpha_keep*$A184+G$3-Lo_c)/Step_c)-MAX(6,MIN(INT(((Alpha_keep*$A184+G$3-Lo_c)/Step_c)+0.00000001),193)))*INDEX($D$5:$D$205,MAX(6,MIN(INT(((Alpha_keep*$A184+G$3-Lo_c)/Step_c)+0.00000001),193))+2)),"")</f>
        <v>-183.096319200418</v>
      </c>
      <c r="H184" s="16" t="n">
        <f aca="false">IF(Grid!F184=1,-Cost_k*H$3-Short_p*MAX(0,Floor_c-$A184)+Beta_q*((1-(((Alpha_keep*$A184+H$3-Lo_c)/Step_c)-MAX(6,MIN(INT(((Alpha_keep*$A184+H$3-Lo_c)/Step_c)+0.00000001),193))))*INDEX($D$5:$D$205,MAX(6,MIN(INT(((Alpha_keep*$A184+H$3-Lo_c)/Step_c)+0.00000001),193))+1)+(((Alpha_keep*$A184+H$3-Lo_c)/Step_c)-MAX(6,MIN(INT(((Alpha_keep*$A184+H$3-Lo_c)/Step_c)+0.00000001),193)))*INDEX($D$5:$D$205,MAX(6,MIN(INT(((Alpha_keep*$A184+H$3-Lo_c)/Step_c)+0.00000001),193))+2)),"")</f>
        <v>-183.519401261561</v>
      </c>
      <c r="I184" s="16" t="n">
        <f aca="false">IF(Grid!G184=1,-Cost_k*I$3-Short_p*MAX(0,Floor_c-$A184)+Beta_q*((1-(((Alpha_keep*$A184+I$3-Lo_c)/Step_c)-MAX(6,MIN(INT(((Alpha_keep*$A184+I$3-Lo_c)/Step_c)+0.00000001),193))))*INDEX($D$5:$D$205,MAX(6,MIN(INT(((Alpha_keep*$A184+I$3-Lo_c)/Step_c)+0.00000001),193))+1)+(((Alpha_keep*$A184+I$3-Lo_c)/Step_c)-MAX(6,MIN(INT(((Alpha_keep*$A184+I$3-Lo_c)/Step_c)+0.00000001),193)))*INDEX($D$5:$D$205,MAX(6,MIN(INT(((Alpha_keep*$A184+I$3-Lo_c)/Step_c)+0.00000001),193))+2)),"")</f>
        <v>-183.946303313833</v>
      </c>
      <c r="J184" s="16" t="n">
        <f aca="false">IF(Grid!H184=1,-Cost_k*J$3-Short_p*MAX(0,Floor_c-$A184)+Beta_q*((1-(((Alpha_keep*$A184+J$3-Lo_c)/Step_c)-MAX(6,MIN(INT(((Alpha_keep*$A184+J$3-Lo_c)/Step_c)+0.00000001),193))))*INDEX($D$5:$D$205,MAX(6,MIN(INT(((Alpha_keep*$A184+J$3-Lo_c)/Step_c)+0.00000001),193))+1)+(((Alpha_keep*$A184+J$3-Lo_c)/Step_c)-MAX(6,MIN(INT(((Alpha_keep*$A184+J$3-Lo_c)/Step_c)+0.00000001),193)))*INDEX($D$5:$D$205,MAX(6,MIN(INT(((Alpha_keep*$A184+J$3-Lo_c)/Step_c)+0.00000001),193))+2)),"")</f>
        <v>-184.376925560081</v>
      </c>
      <c r="K184" s="16" t="n">
        <f aca="false">IF(Grid!I184=1,-Cost_k*K$3-Short_p*MAX(0,Floor_c-$A184)+Beta_q*((1-(((Alpha_keep*$A184+K$3-Lo_c)/Step_c)-MAX(6,MIN(INT(((Alpha_keep*$A184+K$3-Lo_c)/Step_c)+0.00000001),193))))*INDEX($D$5:$D$205,MAX(6,MIN(INT(((Alpha_keep*$A184+K$3-Lo_c)/Step_c)+0.00000001),193))+1)+(((Alpha_keep*$A184+K$3-Lo_c)/Step_c)-MAX(6,MIN(INT(((Alpha_keep*$A184+K$3-Lo_c)/Step_c)+0.00000001),193)))*INDEX($D$5:$D$205,MAX(6,MIN(INT(((Alpha_keep*$A184+K$3-Lo_c)/Step_c)+0.00000001),193))+2)),"")</f>
        <v>-184.811212215367</v>
      </c>
      <c r="L184" s="16" t="n">
        <f aca="false">IF(Grid!J184=1,-Cost_k*L$3-Short_p*MAX(0,Floor_c-$A184)+Beta_q*((1-(((Alpha_keep*$A184+L$3-Lo_c)/Step_c)-MAX(6,MIN(INT(((Alpha_keep*$A184+L$3-Lo_c)/Step_c)+0.00000001),193))))*INDEX($D$5:$D$205,MAX(6,MIN(INT(((Alpha_keep*$A184+L$3-Lo_c)/Step_c)+0.00000001),193))+1)+(((Alpha_keep*$A184+L$3-Lo_c)/Step_c)-MAX(6,MIN(INT(((Alpha_keep*$A184+L$3-Lo_c)/Step_c)+0.00000001),193)))*INDEX($D$5:$D$205,MAX(6,MIN(INT(((Alpha_keep*$A184+L$3-Lo_c)/Step_c)+0.00000001),193))+2)),"")</f>
        <v>-185.249178717644</v>
      </c>
      <c r="M184" s="16" t="n">
        <f aca="false">IF(Grid!K184=1,-Cost_k*M$3-Short_p*MAX(0,Floor_c-$A184)+Beta_q*((1-(((Alpha_keep*$A184+M$3-Lo_c)/Step_c)-MAX(6,MIN(INT(((Alpha_keep*$A184+M$3-Lo_c)/Step_c)+0.00000001),193))))*INDEX($D$5:$D$205,MAX(6,MIN(INT(((Alpha_keep*$A184+M$3-Lo_c)/Step_c)+0.00000001),193))+1)+(((Alpha_keep*$A184+M$3-Lo_c)/Step_c)-MAX(6,MIN(INT(((Alpha_keep*$A184+M$3-Lo_c)/Step_c)+0.00000001),193)))*INDEX($D$5:$D$205,MAX(6,MIN(INT(((Alpha_keep*$A184+M$3-Lo_c)/Step_c)+0.00000001),193))+2)),"")</f>
        <v>-185.690790574174</v>
      </c>
      <c r="N184" s="16" t="n">
        <f aca="false">IF(Grid!L184=1,-Cost_k*N$3-Short_p*MAX(0,Floor_c-$A184)+Beta_q*((1-(((Alpha_keep*$A184+N$3-Lo_c)/Step_c)-MAX(6,MIN(INT(((Alpha_keep*$A184+N$3-Lo_c)/Step_c)+0.00000001),193))))*INDEX($D$5:$D$205,MAX(6,MIN(INT(((Alpha_keep*$A184+N$3-Lo_c)/Step_c)+0.00000001),193))+1)+(((Alpha_keep*$A184+N$3-Lo_c)/Step_c)-MAX(6,MIN(INT(((Alpha_keep*$A184+N$3-Lo_c)/Step_c)+0.00000001),193)))*INDEX($D$5:$D$205,MAX(6,MIN(INT(((Alpha_keep*$A184+N$3-Lo_c)/Step_c)+0.00000001),193))+2)),"")</f>
        <v>-186.135973076861</v>
      </c>
      <c r="O184" s="16" t="n">
        <f aca="false">IF(Grid!M184=1,-Cost_k*O$3-Short_p*MAX(0,Floor_c-$A184)+Beta_q*((1-(((Alpha_keep*$A184+O$3-Lo_c)/Step_c)-MAX(6,MIN(INT(((Alpha_keep*$A184+O$3-Lo_c)/Step_c)+0.00000001),193))))*INDEX($D$5:$D$205,MAX(6,MIN(INT(((Alpha_keep*$A184+O$3-Lo_c)/Step_c)+0.00000001),193))+1)+(((Alpha_keep*$A184+O$3-Lo_c)/Step_c)-MAX(6,MIN(INT(((Alpha_keep*$A184+O$3-Lo_c)/Step_c)+0.00000001),193)))*INDEX($D$5:$D$205,MAX(6,MIN(INT(((Alpha_keep*$A184+O$3-Lo_c)/Step_c)+0.00000001),193))+2)),"")</f>
        <v>-186.584697942422</v>
      </c>
      <c r="P184" s="11" t="n">
        <f aca="false">MAX(E184:O184)</f>
        <v>-182.261564232198</v>
      </c>
      <c r="Q184" s="12" t="n">
        <f aca="false">INDEX($E$3:$O$3,MATCH(P184,E184:O184,0))</f>
        <v>0</v>
      </c>
      <c r="R184" s="20" t="n">
        <v>0</v>
      </c>
      <c r="S184" s="14" t="n">
        <f aca="false">IF(ABS(Q184-R184)&lt;0.000000001,1,0)</f>
        <v>1</v>
      </c>
      <c r="T184" s="21" t="n">
        <f aca="false">ABS(P184-B184)</f>
        <v>0</v>
      </c>
      <c r="U184" s="16" t="n">
        <f aca="false">Alpha_keep*A184+Q184</f>
        <v>72.88125</v>
      </c>
      <c r="V184" s="14" t="n">
        <f aca="false">INDEX(GuardBlock,180,ROUND(Q184/Step_h,0)+1)</f>
        <v>1</v>
      </c>
      <c r="W184" s="22" t="n">
        <v>0</v>
      </c>
    </row>
    <row r="185" customFormat="false" ht="15" hidden="false" customHeight="false" outlineLevel="0" collapsed="false">
      <c r="A185" s="18" t="n">
        <f aca="false">Grid!A185</f>
        <v>75</v>
      </c>
      <c r="B185" s="19" t="n">
        <v>-181.691616408407</v>
      </c>
      <c r="C185" s="14" t="n">
        <v>180</v>
      </c>
      <c r="D185" s="11" t="n">
        <f aca="false">IF(AND($C185&gt;=6,$C185&lt;=194),Declarations!$B$25*INDEX($B$5:$B$205,$C185+1-Declarations!$E$25)+Declarations!$B$26*INDEX($B$5:$B$205,$C185+1-Declarations!$E$26)+Declarations!$B$27*INDEX($B$5:$B$205,$C185+1-Declarations!$E$27)+Declarations!$B$28*INDEX($B$5:$B$205,$C185+1-Declarations!$E$28)+Declarations!$B$29*INDEX($B$5:$B$205,$C185+1-Declarations!$E$29),"")</f>
        <v>-181.704774035429</v>
      </c>
      <c r="E185" s="16" t="n">
        <f aca="false">IF(Grid!C185=1,-Cost_k*E$3-Short_p*MAX(0,Floor_c-$A185)+Beta_q*((1-(((Alpha_keep*$A185+E$3-Lo_c)/Step_c)-MAX(6,MIN(INT(((Alpha_keep*$A185+E$3-Lo_c)/Step_c)+0.00000001),193))))*INDEX($D$5:$D$205,MAX(6,MIN(INT(((Alpha_keep*$A185+E$3-Lo_c)/Step_c)+0.00000001),193))+1)+(((Alpha_keep*$A185+E$3-Lo_c)/Step_c)-MAX(6,MIN(INT(((Alpha_keep*$A185+E$3-Lo_c)/Step_c)+0.00000001),193)))*INDEX($D$5:$D$205,MAX(6,MIN(INT(((Alpha_keep*$A185+E$3-Lo_c)/Step_c)+0.00000001),193))+2)),"")</f>
        <v>-181.691616408407</v>
      </c>
      <c r="F185" s="16" t="n">
        <f aca="false">IF(Grid!D185=1,-Cost_k*F$3-Short_p*MAX(0,Floor_c-$A185)+Beta_q*((1-(((Alpha_keep*$A185+F$3-Lo_c)/Step_c)-MAX(6,MIN(INT(((Alpha_keep*$A185+F$3-Lo_c)/Step_c)+0.00000001),193))))*INDEX($D$5:$D$205,MAX(6,MIN(INT(((Alpha_keep*$A185+F$3-Lo_c)/Step_c)+0.00000001),193))+1)+(((Alpha_keep*$A185+F$3-Lo_c)/Step_c)-MAX(6,MIN(INT(((Alpha_keep*$A185+F$3-Lo_c)/Step_c)+0.00000001),193)))*INDEX($D$5:$D$205,MAX(6,MIN(INT(((Alpha_keep*$A185+F$3-Lo_c)/Step_c)+0.00000001),193))+2)),"")</f>
        <v>-182.110792750891</v>
      </c>
      <c r="G185" s="16" t="n">
        <f aca="false">IF(Grid!E185=1,-Cost_k*G$3-Short_p*MAX(0,Floor_c-$A185)+Beta_q*((1-(((Alpha_keep*$A185+G$3-Lo_c)/Step_c)-MAX(6,MIN(INT(((Alpha_keep*$A185+G$3-Lo_c)/Step_c)+0.00000001),193))))*INDEX($D$5:$D$205,MAX(6,MIN(INT(((Alpha_keep*$A185+G$3-Lo_c)/Step_c)+0.00000001),193))+1)+(((Alpha_keep*$A185+G$3-Lo_c)/Step_c)-MAX(6,MIN(INT(((Alpha_keep*$A185+G$3-Lo_c)/Step_c)+0.00000001),193)))*INDEX($D$5:$D$205,MAX(6,MIN(INT(((Alpha_keep*$A185+G$3-Lo_c)/Step_c)+0.00000001),193))+2)),"")</f>
        <v>-182.53377842727</v>
      </c>
      <c r="H185" s="16" t="n">
        <f aca="false">IF(Grid!F185=1,-Cost_k*H$3-Short_p*MAX(0,Floor_c-$A185)+Beta_q*((1-(((Alpha_keep*$A185+H$3-Lo_c)/Step_c)-MAX(6,MIN(INT(((Alpha_keep*$A185+H$3-Lo_c)/Step_c)+0.00000001),193))))*INDEX($D$5:$D$205,MAX(6,MIN(INT(((Alpha_keep*$A185+H$3-Lo_c)/Step_c)+0.00000001),193))+1)+(((Alpha_keep*$A185+H$3-Lo_c)/Step_c)-MAX(6,MIN(INT(((Alpha_keep*$A185+H$3-Lo_c)/Step_c)+0.00000001),193)))*INDEX($D$5:$D$205,MAX(6,MIN(INT(((Alpha_keep*$A185+H$3-Lo_c)/Step_c)+0.00000001),193))+2)),"")</f>
        <v>-182.960585780465</v>
      </c>
      <c r="I185" s="16" t="n">
        <f aca="false">IF(Grid!G185=1,-Cost_k*I$3-Short_p*MAX(0,Floor_c-$A185)+Beta_q*((1-(((Alpha_keep*$A185+I$3-Lo_c)/Step_c)-MAX(6,MIN(INT(((Alpha_keep*$A185+I$3-Lo_c)/Step_c)+0.00000001),193))))*INDEX($D$5:$D$205,MAX(6,MIN(INT(((Alpha_keep*$A185+I$3-Lo_c)/Step_c)+0.00000001),193))+1)+(((Alpha_keep*$A185+I$3-Lo_c)/Step_c)-MAX(6,MIN(INT(((Alpha_keep*$A185+I$3-Lo_c)/Step_c)+0.00000001),193)))*INDEX($D$5:$D$205,MAX(6,MIN(INT(((Alpha_keep*$A185+I$3-Lo_c)/Step_c)+0.00000001),193))+2)),"")</f>
        <v>-183.391116554736</v>
      </c>
      <c r="J185" s="16" t="n">
        <f aca="false">IF(Grid!H185=1,-Cost_k*J$3-Short_p*MAX(0,Floor_c-$A185)+Beta_q*((1-(((Alpha_keep*$A185+J$3-Lo_c)/Step_c)-MAX(6,MIN(INT(((Alpha_keep*$A185+J$3-Lo_c)/Step_c)+0.00000001),193))))*INDEX($D$5:$D$205,MAX(6,MIN(INT(((Alpha_keep*$A185+J$3-Lo_c)/Step_c)+0.00000001),193))+1)+(((Alpha_keep*$A185+J$3-Lo_c)/Step_c)-MAX(6,MIN(INT(((Alpha_keep*$A185+J$3-Lo_c)/Step_c)+0.00000001),193)))*INDEX($D$5:$D$205,MAX(6,MIN(INT(((Alpha_keep*$A185+J$3-Lo_c)/Step_c)+0.00000001),193))+2)),"")</f>
        <v>-183.825311474713</v>
      </c>
      <c r="K185" s="16" t="n">
        <f aca="false">IF(Grid!I185=1,-Cost_k*K$3-Short_p*MAX(0,Floor_c-$A185)+Beta_q*((1-(((Alpha_keep*$A185+K$3-Lo_c)/Step_c)-MAX(6,MIN(INT(((Alpha_keep*$A185+K$3-Lo_c)/Step_c)+0.00000001),193))))*INDEX($D$5:$D$205,MAX(6,MIN(INT(((Alpha_keep*$A185+K$3-Lo_c)/Step_c)+0.00000001),193))+1)+(((Alpha_keep*$A185+K$3-Lo_c)/Step_c)-MAX(6,MIN(INT(((Alpha_keep*$A185+K$3-Lo_c)/Step_c)+0.00000001),193)))*INDEX($D$5:$D$205,MAX(6,MIN(INT(((Alpha_keep*$A185+K$3-Lo_c)/Step_c)+0.00000001),193))+2)),"")</f>
        <v>-184.263185744793</v>
      </c>
      <c r="L185" s="16" t="n">
        <f aca="false">IF(Grid!J185=1,-Cost_k*L$3-Short_p*MAX(0,Floor_c-$A185)+Beta_q*((1-(((Alpha_keep*$A185+L$3-Lo_c)/Step_c)-MAX(6,MIN(INT(((Alpha_keep*$A185+L$3-Lo_c)/Step_c)+0.00000001),193))))*INDEX($D$5:$D$205,MAX(6,MIN(INT(((Alpha_keep*$A185+L$3-Lo_c)/Step_c)+0.00000001),193))+1)+(((Alpha_keep*$A185+L$3-Lo_c)/Step_c)-MAX(6,MIN(INT(((Alpha_keep*$A185+L$3-Lo_c)/Step_c)+0.00000001),193)))*INDEX($D$5:$D$205,MAX(6,MIN(INT(((Alpha_keep*$A185+L$3-Lo_c)/Step_c)+0.00000001),193))+2)),"")</f>
        <v>-184.704707461204</v>
      </c>
      <c r="M185" s="16" t="n">
        <f aca="false">IF(Grid!K185=1,-Cost_k*M$3-Short_p*MAX(0,Floor_c-$A185)+Beta_q*((1-(((Alpha_keep*$A185+M$3-Lo_c)/Step_c)-MAX(6,MIN(INT(((Alpha_keep*$A185+M$3-Lo_c)/Step_c)+0.00000001),193))))*INDEX($D$5:$D$205,MAX(6,MIN(INT(((Alpha_keep*$A185+M$3-Lo_c)/Step_c)+0.00000001),193))+1)+(((Alpha_keep*$A185+M$3-Lo_c)/Step_c)-MAX(6,MIN(INT(((Alpha_keep*$A185+M$3-Lo_c)/Step_c)+0.00000001),193)))*INDEX($D$5:$D$205,MAX(6,MIN(INT(((Alpha_keep*$A185+M$3-Lo_c)/Step_c)+0.00000001),193))+2)),"")</f>
        <v>-185.149801488468</v>
      </c>
      <c r="N185" s="16" t="n">
        <f aca="false">IF(Grid!L185=1,-Cost_k*N$3-Short_p*MAX(0,Floor_c-$A185)+Beta_q*((1-(((Alpha_keep*$A185+N$3-Lo_c)/Step_c)-MAX(6,MIN(INT(((Alpha_keep*$A185+N$3-Lo_c)/Step_c)+0.00000001),193))))*INDEX($D$5:$D$205,MAX(6,MIN(INT(((Alpha_keep*$A185+N$3-Lo_c)/Step_c)+0.00000001),193))+1)+(((Alpha_keep*$A185+N$3-Lo_c)/Step_c)-MAX(6,MIN(INT(((Alpha_keep*$A185+N$3-Lo_c)/Step_c)+0.00000001),193)))*INDEX($D$5:$D$205,MAX(6,MIN(INT(((Alpha_keep*$A185+N$3-Lo_c)/Step_c)+0.00000001),193))+2)),"")</f>
        <v>-185.598437719274</v>
      </c>
      <c r="O185" s="16" t="n">
        <f aca="false">IF(Grid!M185=1,-Cost_k*O$3-Short_p*MAX(0,Floor_c-$A185)+Beta_q*((1-(((Alpha_keep*$A185+O$3-Lo_c)/Step_c)-MAX(6,MIN(INT(((Alpha_keep*$A185+O$3-Lo_c)/Step_c)+0.00000001),193))))*INDEX($D$5:$D$205,MAX(6,MIN(INT(((Alpha_keep*$A185+O$3-Lo_c)/Step_c)+0.00000001),193))+1)+(((Alpha_keep*$A185+O$3-Lo_c)/Step_c)-MAX(6,MIN(INT(((Alpha_keep*$A185+O$3-Lo_c)/Step_c)+0.00000001),193)))*INDEX($D$5:$D$205,MAX(6,MIN(INT(((Alpha_keep*$A185+O$3-Lo_c)/Step_c)+0.00000001),193))+2)),"")</f>
        <v>-186.050610416033</v>
      </c>
      <c r="P185" s="11" t="n">
        <f aca="false">MAX(E185:O185)</f>
        <v>-181.691616408407</v>
      </c>
      <c r="Q185" s="12" t="n">
        <f aca="false">INDEX($E$3:$O$3,MATCH(P185,E185:O185,0))</f>
        <v>0</v>
      </c>
      <c r="R185" s="20" t="n">
        <v>0</v>
      </c>
      <c r="S185" s="14" t="n">
        <f aca="false">IF(ABS(Q185-R185)&lt;0.000000001,1,0)</f>
        <v>1</v>
      </c>
      <c r="T185" s="21" t="n">
        <f aca="false">ABS(P185-B185)</f>
        <v>0</v>
      </c>
      <c r="U185" s="16" t="n">
        <f aca="false">Alpha_keep*A185+Q185</f>
        <v>73.125</v>
      </c>
      <c r="V185" s="14" t="n">
        <f aca="false">INDEX(GuardBlock,181,ROUND(Q185/Step_h,0)+1)</f>
        <v>1</v>
      </c>
      <c r="W185" s="22" t="n">
        <v>0</v>
      </c>
    </row>
    <row r="186" customFormat="false" ht="15" hidden="false" customHeight="false" outlineLevel="0" collapsed="false">
      <c r="A186" s="18" t="n">
        <f aca="false">Grid!A186</f>
        <v>75.25</v>
      </c>
      <c r="B186" s="19" t="n">
        <v>-181.125266301364</v>
      </c>
      <c r="C186" s="14" t="n">
        <v>181</v>
      </c>
      <c r="D186" s="11" t="n">
        <f aca="false">IF(AND($C186&gt;=6,$C186&lt;=194),Declarations!$B$25*INDEX($B$5:$B$205,$C186+1-Declarations!$E$25)+Declarations!$B$26*INDEX($B$5:$B$205,$C186+1-Declarations!$E$26)+Declarations!$B$27*INDEX($B$5:$B$205,$C186+1-Declarations!$E$27)+Declarations!$B$28*INDEX($B$5:$B$205,$C186+1-Declarations!$E$28)+Declarations!$B$29*INDEX($B$5:$B$205,$C186+1-Declarations!$E$29),"")</f>
        <v>-181.138299410435</v>
      </c>
      <c r="E186" s="16" t="n">
        <f aca="false">IF(Grid!C186=1,-Cost_k*E$3-Short_p*MAX(0,Floor_c-$A186)+Beta_q*((1-(((Alpha_keep*$A186+E$3-Lo_c)/Step_c)-MAX(6,MIN(INT(((Alpha_keep*$A186+E$3-Lo_c)/Step_c)+0.00000001),193))))*INDEX($D$5:$D$205,MAX(6,MIN(INT(((Alpha_keep*$A186+E$3-Lo_c)/Step_c)+0.00000001),193))+1)+(((Alpha_keep*$A186+E$3-Lo_c)/Step_c)-MAX(6,MIN(INT(((Alpha_keep*$A186+E$3-Lo_c)/Step_c)+0.00000001),193)))*INDEX($D$5:$D$205,MAX(6,MIN(INT(((Alpha_keep*$A186+E$3-Lo_c)/Step_c)+0.00000001),193))+2)),"")</f>
        <v>-181.125266301364</v>
      </c>
      <c r="F186" s="16" t="n">
        <f aca="false">IF(Grid!D186=1,-Cost_k*F$3-Short_p*MAX(0,Floor_c-$A186)+Beta_q*((1-(((Alpha_keep*$A186+F$3-Lo_c)/Step_c)-MAX(6,MIN(INT(((Alpha_keep*$A186+F$3-Lo_c)/Step_c)+0.00000001),193))))*INDEX($D$5:$D$205,MAX(6,MIN(INT(((Alpha_keep*$A186+F$3-Lo_c)/Step_c)+0.00000001),193))+1)+(((Alpha_keep*$A186+F$3-Lo_c)/Step_c)-MAX(6,MIN(INT(((Alpha_keep*$A186+F$3-Lo_c)/Step_c)+0.00000001),193)))*INDEX($D$5:$D$205,MAX(6,MIN(INT(((Alpha_keep*$A186+F$3-Lo_c)/Step_c)+0.00000001),193))+2)),"")</f>
        <v>-181.548155592978</v>
      </c>
      <c r="G186" s="16" t="n">
        <f aca="false">IF(Grid!E186=1,-Cost_k*G$3-Short_p*MAX(0,Floor_c-$A186)+Beta_q*((1-(((Alpha_keep*$A186+G$3-Lo_c)/Step_c)-MAX(6,MIN(INT(((Alpha_keep*$A186+G$3-Lo_c)/Step_c)+0.00000001),193))))*INDEX($D$5:$D$205,MAX(6,MIN(INT(((Alpha_keep*$A186+G$3-Lo_c)/Step_c)+0.00000001),193))+1)+(((Alpha_keep*$A186+G$3-Lo_c)/Step_c)-MAX(6,MIN(INT(((Alpha_keep*$A186+G$3-Lo_c)/Step_c)+0.00000001),193)))*INDEX($D$5:$D$205,MAX(6,MIN(INT(((Alpha_keep*$A186+G$3-Lo_c)/Step_c)+0.00000001),193))+2)),"")</f>
        <v>-181.974868247096</v>
      </c>
      <c r="H186" s="16" t="n">
        <f aca="false">IF(Grid!F186=1,-Cost_k*H$3-Short_p*MAX(0,Floor_c-$A186)+Beta_q*((1-(((Alpha_keep*$A186+H$3-Lo_c)/Step_c)-MAX(6,MIN(INT(((Alpha_keep*$A186+H$3-Lo_c)/Step_c)+0.00000001),193))))*INDEX($D$5:$D$205,MAX(6,MIN(INT(((Alpha_keep*$A186+H$3-Lo_c)/Step_c)+0.00000001),193))+1)+(((Alpha_keep*$A186+H$3-Lo_c)/Step_c)-MAX(6,MIN(INT(((Alpha_keep*$A186+H$3-Lo_c)/Step_c)+0.00000001),193)))*INDEX($D$5:$D$205,MAX(6,MIN(INT(((Alpha_keep*$A186+H$3-Lo_c)/Step_c)+0.00000001),193))+2)),"")</f>
        <v>-182.40530754939</v>
      </c>
      <c r="I186" s="16" t="n">
        <f aca="false">IF(Grid!G186=1,-Cost_k*I$3-Short_p*MAX(0,Floor_c-$A186)+Beta_q*((1-(((Alpha_keep*$A186+I$3-Lo_c)/Step_c)-MAX(6,MIN(INT(((Alpha_keep*$A186+I$3-Lo_c)/Step_c)+0.00000001),193))))*INDEX($D$5:$D$205,MAX(6,MIN(INT(((Alpha_keep*$A186+I$3-Lo_c)/Step_c)+0.00000001),193))+1)+(((Alpha_keep*$A186+I$3-Lo_c)/Step_c)-MAX(6,MIN(INT(((Alpha_keep*$A186+I$3-Lo_c)/Step_c)+0.00000001),193)))*INDEX($D$5:$D$205,MAX(6,MIN(INT(((Alpha_keep*$A186+I$3-Lo_c)/Step_c)+0.00000001),193))+2)),"")</f>
        <v>-182.83941073406</v>
      </c>
      <c r="J186" s="16" t="n">
        <f aca="false">IF(Grid!H186=1,-Cost_k*J$3-Short_p*MAX(0,Floor_c-$A186)+Beta_q*((1-(((Alpha_keep*$A186+J$3-Lo_c)/Step_c)-MAX(6,MIN(INT(((Alpha_keep*$A186+J$3-Lo_c)/Step_c)+0.00000001),193))))*INDEX($D$5:$D$205,MAX(6,MIN(INT(((Alpha_keep*$A186+J$3-Lo_c)/Step_c)+0.00000001),193))+1)+(((Alpha_keep*$A186+J$3-Lo_c)/Step_c)-MAX(6,MIN(INT(((Alpha_keep*$A186+J$3-Lo_c)/Step_c)+0.00000001),193)))*INDEX($D$5:$D$205,MAX(6,MIN(INT(((Alpha_keep*$A186+J$3-Lo_c)/Step_c)+0.00000001),193))+2)),"")</f>
        <v>-183.277192771943</v>
      </c>
      <c r="K186" s="16" t="n">
        <f aca="false">IF(Grid!I186=1,-Cost_k*K$3-Short_p*MAX(0,Floor_c-$A186)+Beta_q*((1-(((Alpha_keep*$A186+K$3-Lo_c)/Step_c)-MAX(6,MIN(INT(((Alpha_keep*$A186+K$3-Lo_c)/Step_c)+0.00000001),193))))*INDEX($D$5:$D$205,MAX(6,MIN(INT(((Alpha_keep*$A186+K$3-Lo_c)/Step_c)+0.00000001),193))+1)+(((Alpha_keep*$A186+K$3-Lo_c)/Step_c)-MAX(6,MIN(INT(((Alpha_keep*$A186+K$3-Lo_c)/Step_c)+0.00000001),193)))*INDEX($D$5:$D$205,MAX(6,MIN(INT(((Alpha_keep*$A186+K$3-Lo_c)/Step_c)+0.00000001),193))+2)),"")</f>
        <v>-183.718624348234</v>
      </c>
      <c r="L186" s="16" t="n">
        <f aca="false">IF(Grid!J186=1,-Cost_k*L$3-Short_p*MAX(0,Floor_c-$A186)+Beta_q*((1-(((Alpha_keep*$A186+L$3-Lo_c)/Step_c)-MAX(6,MIN(INT(((Alpha_keep*$A186+L$3-Lo_c)/Step_c)+0.00000001),193))))*INDEX($D$5:$D$205,MAX(6,MIN(INT(((Alpha_keep*$A186+L$3-Lo_c)/Step_c)+0.00000001),193))+1)+(((Alpha_keep*$A186+L$3-Lo_c)/Step_c)-MAX(6,MIN(INT(((Alpha_keep*$A186+L$3-Lo_c)/Step_c)+0.00000001),193)))*INDEX($D$5:$D$205,MAX(6,MIN(INT(((Alpha_keep*$A186+L$3-Lo_c)/Step_c)+0.00000001),193))+2)),"")</f>
        <v>-184.163629900075</v>
      </c>
      <c r="M186" s="16" t="n">
        <f aca="false">IF(Grid!K186=1,-Cost_k*M$3-Short_p*MAX(0,Floor_c-$A186)+Beta_q*((1-(((Alpha_keep*$A186+M$3-Lo_c)/Step_c)-MAX(6,MIN(INT(((Alpha_keep*$A186+M$3-Lo_c)/Step_c)+0.00000001),193))))*INDEX($D$5:$D$205,MAX(6,MIN(INT(((Alpha_keep*$A186+M$3-Lo_c)/Step_c)+0.00000001),193))+1)+(((Alpha_keep*$A186+M$3-Lo_c)/Step_c)-MAX(6,MIN(INT(((Alpha_keep*$A186+M$3-Lo_c)/Step_c)+0.00000001),193)))*INDEX($D$5:$D$205,MAX(6,MIN(INT(((Alpha_keep*$A186+M$3-Lo_c)/Step_c)+0.00000001),193))+2)),"")</f>
        <v>-184.612177496127</v>
      </c>
      <c r="N186" s="16" t="n">
        <f aca="false">IF(Grid!L186=1,-Cost_k*N$3-Short_p*MAX(0,Floor_c-$A186)+Beta_q*((1-(((Alpha_keep*$A186+N$3-Lo_c)/Step_c)-MAX(6,MIN(INT(((Alpha_keep*$A186+N$3-Lo_c)/Step_c)+0.00000001),193))))*INDEX($D$5:$D$205,MAX(6,MIN(INT(((Alpha_keep*$A186+N$3-Lo_c)/Step_c)+0.00000001),193))+1)+(((Alpha_keep*$A186+N$3-Lo_c)/Step_c)-MAX(6,MIN(INT(((Alpha_keep*$A186+N$3-Lo_c)/Step_c)+0.00000001),193)))*INDEX($D$5:$D$205,MAX(6,MIN(INT(((Alpha_keep*$A186+N$3-Lo_c)/Step_c)+0.00000001),193))+2)),"")</f>
        <v>-185.064262004342</v>
      </c>
      <c r="O186" s="16" t="n">
        <f aca="false">IF(Grid!M186=1,-Cost_k*O$3-Short_p*MAX(0,Floor_c-$A186)+Beta_q*((1-(((Alpha_keep*$A186+O$3-Lo_c)/Step_c)-MAX(6,MIN(INT(((Alpha_keep*$A186+O$3-Lo_c)/Step_c)+0.00000001),193))))*INDEX($D$5:$D$205,MAX(6,MIN(INT(((Alpha_keep*$A186+O$3-Lo_c)/Step_c)+0.00000001),193))+1)+(((Alpha_keep*$A186+O$3-Lo_c)/Step_c)-MAX(6,MIN(INT(((Alpha_keep*$A186+O$3-Lo_c)/Step_c)+0.00000001),193)))*INDEX($D$5:$D$205,MAX(6,MIN(INT(((Alpha_keep*$A186+O$3-Lo_c)/Step_c)+0.00000001),193))+2)),"")</f>
        <v>-185.519841690628</v>
      </c>
      <c r="P186" s="11" t="n">
        <f aca="false">MAX(E186:O186)</f>
        <v>-181.125266301364</v>
      </c>
      <c r="Q186" s="12" t="n">
        <f aca="false">INDEX($E$3:$O$3,MATCH(P186,E186:O186,0))</f>
        <v>0</v>
      </c>
      <c r="R186" s="20" t="n">
        <v>0</v>
      </c>
      <c r="S186" s="14" t="n">
        <f aca="false">IF(ABS(Q186-R186)&lt;0.000000001,1,0)</f>
        <v>1</v>
      </c>
      <c r="T186" s="21" t="n">
        <f aca="false">ABS(P186-B186)</f>
        <v>0</v>
      </c>
      <c r="U186" s="16" t="n">
        <f aca="false">Alpha_keep*A186+Q186</f>
        <v>73.36875</v>
      </c>
      <c r="V186" s="14" t="n">
        <f aca="false">INDEX(GuardBlock,182,ROUND(Q186/Step_h,0)+1)</f>
        <v>1</v>
      </c>
      <c r="W186" s="22" t="n">
        <v>0</v>
      </c>
    </row>
    <row r="187" customFormat="false" ht="15" hidden="false" customHeight="false" outlineLevel="0" collapsed="false">
      <c r="A187" s="18" t="n">
        <f aca="false">Grid!A187</f>
        <v>75.5</v>
      </c>
      <c r="B187" s="19" t="n">
        <v>-180.562532758686</v>
      </c>
      <c r="C187" s="14" t="n">
        <v>182</v>
      </c>
      <c r="D187" s="11" t="n">
        <f aca="false">IF(AND($C187&gt;=6,$C187&lt;=194),Declarations!$B$25*INDEX($B$5:$B$205,$C187+1-Declarations!$E$25)+Declarations!$B$26*INDEX($B$5:$B$205,$C187+1-Declarations!$E$26)+Declarations!$B$27*INDEX($B$5:$B$205,$C187+1-Declarations!$E$27)+Declarations!$B$28*INDEX($B$5:$B$205,$C187+1-Declarations!$E$28)+Declarations!$B$29*INDEX($B$5:$B$205,$C187+1-Declarations!$E$29),"")</f>
        <v>-180.575455668037</v>
      </c>
      <c r="E187" s="16" t="n">
        <f aca="false">IF(Grid!C187=1,-Cost_k*E$3-Short_p*MAX(0,Floor_c-$A187)+Beta_q*((1-(((Alpha_keep*$A187+E$3-Lo_c)/Step_c)-MAX(6,MIN(INT(((Alpha_keep*$A187+E$3-Lo_c)/Step_c)+0.00000001),193))))*INDEX($D$5:$D$205,MAX(6,MIN(INT(((Alpha_keep*$A187+E$3-Lo_c)/Step_c)+0.00000001),193))+1)+(((Alpha_keep*$A187+E$3-Lo_c)/Step_c)-MAX(6,MIN(INT(((Alpha_keep*$A187+E$3-Lo_c)/Step_c)+0.00000001),193)))*INDEX($D$5:$D$205,MAX(6,MIN(INT(((Alpha_keep*$A187+E$3-Lo_c)/Step_c)+0.00000001),193))+2)),"")</f>
        <v>-180.562532758686</v>
      </c>
      <c r="F187" s="16" t="n">
        <f aca="false">IF(Grid!D187=1,-Cost_k*F$3-Short_p*MAX(0,Floor_c-$A187)+Beta_q*((1-(((Alpha_keep*$A187+F$3-Lo_c)/Step_c)-MAX(6,MIN(INT(((Alpha_keep*$A187+F$3-Lo_c)/Step_c)+0.00000001),193))))*INDEX($D$5:$D$205,MAX(6,MIN(INT(((Alpha_keep*$A187+F$3-Lo_c)/Step_c)+0.00000001),193))+1)+(((Alpha_keep*$A187+F$3-Lo_c)/Step_c)-MAX(6,MIN(INT(((Alpha_keep*$A187+F$3-Lo_c)/Step_c)+0.00000001),193)))*INDEX($D$5:$D$205,MAX(6,MIN(INT(((Alpha_keep*$A187+F$3-Lo_c)/Step_c)+0.00000001),193))+2)),"")</f>
        <v>-180.989150713728</v>
      </c>
      <c r="G187" s="16" t="n">
        <f aca="false">IF(Grid!E187=1,-Cost_k*G$3-Short_p*MAX(0,Floor_c-$A187)+Beta_q*((1-(((Alpha_keep*$A187+G$3-Lo_c)/Step_c)-MAX(6,MIN(INT(((Alpha_keep*$A187+G$3-Lo_c)/Step_c)+0.00000001),193))))*INDEX($D$5:$D$205,MAX(6,MIN(INT(((Alpha_keep*$A187+G$3-Lo_c)/Step_c)+0.00000001),193))+1)+(((Alpha_keep*$A187+G$3-Lo_c)/Step_c)-MAX(6,MIN(INT(((Alpha_keep*$A187+G$3-Lo_c)/Step_c)+0.00000001),193)))*INDEX($D$5:$D$205,MAX(6,MIN(INT(((Alpha_keep*$A187+G$3-Lo_c)/Step_c)+0.00000001),193))+2)),"")</f>
        <v>-181.419498544045</v>
      </c>
      <c r="H187" s="16" t="n">
        <f aca="false">IF(Grid!F187=1,-Cost_k*H$3-Short_p*MAX(0,Floor_c-$A187)+Beta_q*((1-(((Alpha_keep*$A187+H$3-Lo_c)/Step_c)-MAX(6,MIN(INT(((Alpha_keep*$A187+H$3-Lo_c)/Step_c)+0.00000001),193))))*INDEX($D$5:$D$205,MAX(6,MIN(INT(((Alpha_keep*$A187+H$3-Lo_c)/Step_c)+0.00000001),193))+1)+(((Alpha_keep*$A187+H$3-Lo_c)/Step_c)-MAX(6,MIN(INT(((Alpha_keep*$A187+H$3-Lo_c)/Step_c)+0.00000001),193)))*INDEX($D$5:$D$205,MAX(6,MIN(INT(((Alpha_keep*$A187+H$3-Lo_c)/Step_c)+0.00000001),193))+2)),"")</f>
        <v>-181.853509993407</v>
      </c>
      <c r="I187" s="16" t="n">
        <f aca="false">IF(Grid!G187=1,-Cost_k*I$3-Short_p*MAX(0,Floor_c-$A187)+Beta_q*((1-(((Alpha_keep*$A187+I$3-Lo_c)/Step_c)-MAX(6,MIN(INT(((Alpha_keep*$A187+I$3-Lo_c)/Step_c)+0.00000001),193))))*INDEX($D$5:$D$205,MAX(6,MIN(INT(((Alpha_keep*$A187+I$3-Lo_c)/Step_c)+0.00000001),193))+1)+(((Alpha_keep*$A187+I$3-Lo_c)/Step_c)-MAX(6,MIN(INT(((Alpha_keep*$A187+I$3-Lo_c)/Step_c)+0.00000001),193)))*INDEX($D$5:$D$205,MAX(6,MIN(INT(((Alpha_keep*$A187+I$3-Lo_c)/Step_c)+0.00000001),193))+2)),"")</f>
        <v>-182.291199799092</v>
      </c>
      <c r="J187" s="16" t="n">
        <f aca="false">IF(Grid!H187=1,-Cost_k*J$3-Short_p*MAX(0,Floor_c-$A187)+Beta_q*((1-(((Alpha_keep*$A187+J$3-Lo_c)/Step_c)-MAX(6,MIN(INT(((Alpha_keep*$A187+J$3-Lo_c)/Step_c)+0.00000001),193))))*INDEX($D$5:$D$205,MAX(6,MIN(INT(((Alpha_keep*$A187+J$3-Lo_c)/Step_c)+0.00000001),193))+1)+(((Alpha_keep*$A187+J$3-Lo_c)/Step_c)-MAX(6,MIN(INT(((Alpha_keep*$A187+J$3-Lo_c)/Step_c)+0.00000001),193)))*INDEX($D$5:$D$205,MAX(6,MIN(INT(((Alpha_keep*$A187+J$3-Lo_c)/Step_c)+0.00000001),193))+2)),"")</f>
        <v>-182.732541235264</v>
      </c>
      <c r="K187" s="16" t="n">
        <f aca="false">IF(Grid!I187=1,-Cost_k*K$3-Short_p*MAX(0,Floor_c-$A187)+Beta_q*((1-(((Alpha_keep*$A187+K$3-Lo_c)/Step_c)-MAX(6,MIN(INT(((Alpha_keep*$A187+K$3-Lo_c)/Step_c)+0.00000001),193))))*INDEX($D$5:$D$205,MAX(6,MIN(INT(((Alpha_keep*$A187+K$3-Lo_c)/Step_c)+0.00000001),193))+1)+(((Alpha_keep*$A187+K$3-Lo_c)/Step_c)-MAX(6,MIN(INT(((Alpha_keep*$A187+K$3-Lo_c)/Step_c)+0.00000001),193)))*INDEX($D$5:$D$205,MAX(6,MIN(INT(((Alpha_keep*$A187+K$3-Lo_c)/Step_c)+0.00000001),193))+2)),"")</f>
        <v>-183.177458311681</v>
      </c>
      <c r="L187" s="16" t="n">
        <f aca="false">IF(Grid!J187=1,-Cost_k*L$3-Short_p*MAX(0,Floor_c-$A187)+Beta_q*((1-(((Alpha_keep*$A187+L$3-Lo_c)/Step_c)-MAX(6,MIN(INT(((Alpha_keep*$A187+L$3-Lo_c)/Step_c)+0.00000001),193))))*INDEX($D$5:$D$205,MAX(6,MIN(INT(((Alpha_keep*$A187+L$3-Lo_c)/Step_c)+0.00000001),193))+1)+(((Alpha_keep*$A187+L$3-Lo_c)/Step_c)-MAX(6,MIN(INT(((Alpha_keep*$A187+L$3-Lo_c)/Step_c)+0.00000001),193)))*INDEX($D$5:$D$205,MAX(6,MIN(INT(((Alpha_keep*$A187+L$3-Lo_c)/Step_c)+0.00000001),193))+2)),"")</f>
        <v>-183.62591727298</v>
      </c>
      <c r="M187" s="16" t="n">
        <f aca="false">IF(Grid!K187=1,-Cost_k*M$3-Short_p*MAX(0,Floor_c-$A187)+Beta_q*((1-(((Alpha_keep*$A187+M$3-Lo_c)/Step_c)-MAX(6,MIN(INT(((Alpha_keep*$A187+M$3-Lo_c)/Step_c)+0.00000001),193))))*INDEX($D$5:$D$205,MAX(6,MIN(INT(((Alpha_keep*$A187+M$3-Lo_c)/Step_c)+0.00000001),193))+1)+(((Alpha_keep*$A187+M$3-Lo_c)/Step_c)-MAX(6,MIN(INT(((Alpha_keep*$A187+M$3-Lo_c)/Step_c)+0.00000001),193)))*INDEX($D$5:$D$205,MAX(6,MIN(INT(((Alpha_keep*$A187+M$3-Lo_c)/Step_c)+0.00000001),193))+2)),"")</f>
        <v>-184.077913592651</v>
      </c>
      <c r="N187" s="16" t="n">
        <f aca="false">IF(Grid!L187=1,-Cost_k*N$3-Short_p*MAX(0,Floor_c-$A187)+Beta_q*((1-(((Alpha_keep*$A187+N$3-Lo_c)/Step_c)-MAX(6,MIN(INT(((Alpha_keep*$A187+N$3-Lo_c)/Step_c)+0.00000001),193))))*INDEX($D$5:$D$205,MAX(6,MIN(INT(((Alpha_keep*$A187+N$3-Lo_c)/Step_c)+0.00000001),193))+1)+(((Alpha_keep*$A187+N$3-Lo_c)/Step_c)-MAX(6,MIN(INT(((Alpha_keep*$A187+N$3-Lo_c)/Step_c)+0.00000001),193)))*INDEX($D$5:$D$205,MAX(6,MIN(INT(((Alpha_keep*$A187+N$3-Lo_c)/Step_c)+0.00000001),193))+2)),"")</f>
        <v>-184.533406793745</v>
      </c>
      <c r="O187" s="16" t="n">
        <f aca="false">IF(Grid!M187=1,-Cost_k*O$3-Short_p*MAX(0,Floor_c-$A187)+Beta_q*((1-(((Alpha_keep*$A187+O$3-Lo_c)/Step_c)-MAX(6,MIN(INT(((Alpha_keep*$A187+O$3-Lo_c)/Step_c)+0.00000001),193))))*INDEX($D$5:$D$205,MAX(6,MIN(INT(((Alpha_keep*$A187+O$3-Lo_c)/Step_c)+0.00000001),193))+1)+(((Alpha_keep*$A187+O$3-Lo_c)/Step_c)-MAX(6,MIN(INT(((Alpha_keep*$A187+O$3-Lo_c)/Step_c)+0.00000001),193)))*INDEX($D$5:$D$205,MAX(6,MIN(INT(((Alpha_keep*$A187+O$3-Lo_c)/Step_c)+0.00000001),193))+2)),"")</f>
        <v>-184.992341083277</v>
      </c>
      <c r="P187" s="11" t="n">
        <f aca="false">MAX(E187:O187)</f>
        <v>-180.562532758686</v>
      </c>
      <c r="Q187" s="12" t="n">
        <f aca="false">INDEX($E$3:$O$3,MATCH(P187,E187:O187,0))</f>
        <v>0</v>
      </c>
      <c r="R187" s="20" t="n">
        <v>0</v>
      </c>
      <c r="S187" s="14" t="n">
        <f aca="false">IF(ABS(Q187-R187)&lt;0.000000001,1,0)</f>
        <v>1</v>
      </c>
      <c r="T187" s="21" t="n">
        <f aca="false">ABS(P187-B187)</f>
        <v>0</v>
      </c>
      <c r="U187" s="16" t="n">
        <f aca="false">Alpha_keep*A187+Q187</f>
        <v>73.6125</v>
      </c>
      <c r="V187" s="14" t="n">
        <f aca="false">INDEX(GuardBlock,183,ROUND(Q187/Step_h,0)+1)</f>
        <v>1</v>
      </c>
      <c r="W187" s="22" t="n">
        <v>0</v>
      </c>
    </row>
    <row r="188" customFormat="false" ht="15" hidden="false" customHeight="false" outlineLevel="0" collapsed="false">
      <c r="A188" s="18" t="n">
        <f aca="false">Grid!A188</f>
        <v>75.75</v>
      </c>
      <c r="B188" s="19" t="n">
        <v>-180.00343318036</v>
      </c>
      <c r="C188" s="14" t="n">
        <v>183</v>
      </c>
      <c r="D188" s="11" t="n">
        <f aca="false">IF(AND($C188&gt;=6,$C188&lt;=194),Declarations!$B$25*INDEX($B$5:$B$205,$C188+1-Declarations!$E$25)+Declarations!$B$26*INDEX($B$5:$B$205,$C188+1-Declarations!$E$26)+Declarations!$B$27*INDEX($B$5:$B$205,$C188+1-Declarations!$E$27)+Declarations!$B$28*INDEX($B$5:$B$205,$C188+1-Declarations!$E$28)+Declarations!$B$29*INDEX($B$5:$B$205,$C188+1-Declarations!$E$29),"")</f>
        <v>-180.016224529427</v>
      </c>
      <c r="E188" s="16" t="n">
        <f aca="false">IF(Grid!C188=1,-Cost_k*E$3-Short_p*MAX(0,Floor_c-$A188)+Beta_q*((1-(((Alpha_keep*$A188+E$3-Lo_c)/Step_c)-MAX(6,MIN(INT(((Alpha_keep*$A188+E$3-Lo_c)/Step_c)+0.00000001),193))))*INDEX($D$5:$D$205,MAX(6,MIN(INT(((Alpha_keep*$A188+E$3-Lo_c)/Step_c)+0.00000001),193))+1)+(((Alpha_keep*$A188+E$3-Lo_c)/Step_c)-MAX(6,MIN(INT(((Alpha_keep*$A188+E$3-Lo_c)/Step_c)+0.00000001),193)))*INDEX($D$5:$D$205,MAX(6,MIN(INT(((Alpha_keep*$A188+E$3-Lo_c)/Step_c)+0.00000001),193))+2)),"")</f>
        <v>-180.00343318036</v>
      </c>
      <c r="F188" s="16" t="n">
        <f aca="false">IF(Grid!D188=1,-Cost_k*F$3-Short_p*MAX(0,Floor_c-$A188)+Beta_q*((1-(((Alpha_keep*$A188+F$3-Lo_c)/Step_c)-MAX(6,MIN(INT(((Alpha_keep*$A188+F$3-Lo_c)/Step_c)+0.00000001),193))))*INDEX($D$5:$D$205,MAX(6,MIN(INT(((Alpha_keep*$A188+F$3-Lo_c)/Step_c)+0.00000001),193))+1)+(((Alpha_keep*$A188+F$3-Lo_c)/Step_c)-MAX(6,MIN(INT(((Alpha_keep*$A188+F$3-Lo_c)/Step_c)+0.00000001),193)))*INDEX($D$5:$D$205,MAX(6,MIN(INT(((Alpha_keep*$A188+F$3-Lo_c)/Step_c)+0.00000001),193))+2)),"")</f>
        <v>-180.433689538699</v>
      </c>
      <c r="G188" s="16" t="n">
        <f aca="false">IF(Grid!E188=1,-Cost_k*G$3-Short_p*MAX(0,Floor_c-$A188)+Beta_q*((1-(((Alpha_keep*$A188+G$3-Lo_c)/Step_c)-MAX(6,MIN(INT(((Alpha_keep*$A188+G$3-Lo_c)/Step_c)+0.00000001),193))))*INDEX($D$5:$D$205,MAX(6,MIN(INT(((Alpha_keep*$A188+G$3-Lo_c)/Step_c)+0.00000001),193))+1)+(((Alpha_keep*$A188+G$3-Lo_c)/Step_c)-MAX(6,MIN(INT(((Alpha_keep*$A188+G$3-Lo_c)/Step_c)+0.00000001),193)))*INDEX($D$5:$D$205,MAX(6,MIN(INT(((Alpha_keep*$A188+G$3-Lo_c)/Step_c)+0.00000001),193))+2)),"")</f>
        <v>-180.867609252753</v>
      </c>
      <c r="H188" s="16" t="n">
        <f aca="false">IF(Grid!F188=1,-Cost_k*H$3-Short_p*MAX(0,Floor_c-$A188)+Beta_q*((1-(((Alpha_keep*$A188+H$3-Lo_c)/Step_c)-MAX(6,MIN(INT(((Alpha_keep*$A188+H$3-Lo_c)/Step_c)+0.00000001),193))))*INDEX($D$5:$D$205,MAX(6,MIN(INT(((Alpha_keep*$A188+H$3-Lo_c)/Step_c)+0.00000001),193))+1)+(((Alpha_keep*$A188+H$3-Lo_c)/Step_c)-MAX(6,MIN(INT(((Alpha_keep*$A188+H$3-Lo_c)/Step_c)+0.00000001),193)))*INDEX($D$5:$D$205,MAX(6,MIN(INT(((Alpha_keep*$A188+H$3-Lo_c)/Step_c)+0.00000001),193))+2)),"")</f>
        <v>-181.305206826241</v>
      </c>
      <c r="I188" s="16" t="n">
        <f aca="false">IF(Grid!G188=1,-Cost_k*I$3-Short_p*MAX(0,Floor_c-$A188)+Beta_q*((1-(((Alpha_keep*$A188+I$3-Lo_c)/Step_c)-MAX(6,MIN(INT(((Alpha_keep*$A188+I$3-Lo_c)/Step_c)+0.00000001),193))))*INDEX($D$5:$D$205,MAX(6,MIN(INT(((Alpha_keep*$A188+I$3-Lo_c)/Step_c)+0.00000001),193))+1)+(((Alpha_keep*$A188+I$3-Lo_c)/Step_c)-MAX(6,MIN(INT(((Alpha_keep*$A188+I$3-Lo_c)/Step_c)+0.00000001),193)))*INDEX($D$5:$D$205,MAX(6,MIN(INT(((Alpha_keep*$A188+I$3-Lo_c)/Step_c)+0.00000001),193))+2)),"")</f>
        <v>-181.746458122294</v>
      </c>
      <c r="J188" s="16" t="n">
        <f aca="false">IF(Grid!H188=1,-Cost_k*J$3-Short_p*MAX(0,Floor_c-$A188)+Beta_q*((1-(((Alpha_keep*$A188+J$3-Lo_c)/Step_c)-MAX(6,MIN(INT(((Alpha_keep*$A188+J$3-Lo_c)/Step_c)+0.00000001),193))))*INDEX($D$5:$D$205,MAX(6,MIN(INT(((Alpha_keep*$A188+J$3-Lo_c)/Step_c)+0.00000001),193))+1)+(((Alpha_keep*$A188+J$3-Lo_c)/Step_c)-MAX(6,MIN(INT(((Alpha_keep*$A188+J$3-Lo_c)/Step_c)+0.00000001),193)))*INDEX($D$5:$D$205,MAX(6,MIN(INT(((Alpha_keep*$A188+J$3-Lo_c)/Step_c)+0.00000001),193))+2)),"")</f>
        <v>-182.191286723288</v>
      </c>
      <c r="K188" s="16" t="n">
        <f aca="false">IF(Grid!I188=1,-Cost_k*K$3-Short_p*MAX(0,Floor_c-$A188)+Beta_q*((1-(((Alpha_keep*$A188+K$3-Lo_c)/Step_c)-MAX(6,MIN(INT(((Alpha_keep*$A188+K$3-Lo_c)/Step_c)+0.00000001),193))))*INDEX($D$5:$D$205,MAX(6,MIN(INT(((Alpha_keep*$A188+K$3-Lo_c)/Step_c)+0.00000001),193))+1)+(((Alpha_keep*$A188+K$3-Lo_c)/Step_c)-MAX(6,MIN(INT(((Alpha_keep*$A188+K$3-Lo_c)/Step_c)+0.00000001),193)))*INDEX($D$5:$D$205,MAX(6,MIN(INT(((Alpha_keep*$A188+K$3-Lo_c)/Step_c)+0.00000001),193))+2)),"")</f>
        <v>-182.639657049833</v>
      </c>
      <c r="L188" s="16" t="n">
        <f aca="false">IF(Grid!J188=1,-Cost_k*L$3-Short_p*MAX(0,Floor_c-$A188)+Beta_q*((1-(((Alpha_keep*$A188+L$3-Lo_c)/Step_c)-MAX(6,MIN(INT(((Alpha_keep*$A188+L$3-Lo_c)/Step_c)+0.00000001),193))))*INDEX($D$5:$D$205,MAX(6,MIN(INT(((Alpha_keep*$A188+L$3-Lo_c)/Step_c)+0.00000001),193))+1)+(((Alpha_keep*$A188+L$3-Lo_c)/Step_c)-MAX(6,MIN(INT(((Alpha_keep*$A188+L$3-Lo_c)/Step_c)+0.00000001),193)))*INDEX($D$5:$D$205,MAX(6,MIN(INT(((Alpha_keep*$A188+L$3-Lo_c)/Step_c)+0.00000001),193))+2)),"")</f>
        <v>-183.091565180961</v>
      </c>
      <c r="M188" s="16" t="n">
        <f aca="false">IF(Grid!K188=1,-Cost_k*M$3-Short_p*MAX(0,Floor_c-$A188)+Beta_q*((1-(((Alpha_keep*$A188+M$3-Lo_c)/Step_c)-MAX(6,MIN(INT(((Alpha_keep*$A188+M$3-Lo_c)/Step_c)+0.00000001),193))))*INDEX($D$5:$D$205,MAX(6,MIN(INT(((Alpha_keep*$A188+M$3-Lo_c)/Step_c)+0.00000001),193))+1)+(((Alpha_keep*$A188+M$3-Lo_c)/Step_c)-MAX(6,MIN(INT(((Alpha_keep*$A188+M$3-Lo_c)/Step_c)+0.00000001),193)))*INDEX($D$5:$D$205,MAX(6,MIN(INT(((Alpha_keep*$A188+M$3-Lo_c)/Step_c)+0.00000001),193))+2)),"")</f>
        <v>-183.546971896862</v>
      </c>
      <c r="N188" s="16" t="n">
        <f aca="false">IF(Grid!L188=1,-Cost_k*N$3-Short_p*MAX(0,Floor_c-$A188)+Beta_q*((1-(((Alpha_keep*$A188+N$3-Lo_c)/Step_c)-MAX(6,MIN(INT(((Alpha_keep*$A188+N$3-Lo_c)/Step_c)+0.00000001),193))))*INDEX($D$5:$D$205,MAX(6,MIN(INT(((Alpha_keep*$A188+N$3-Lo_c)/Step_c)+0.00000001),193))+1)+(((Alpha_keep*$A188+N$3-Lo_c)/Step_c)-MAX(6,MIN(INT(((Alpha_keep*$A188+N$3-Lo_c)/Step_c)+0.00000001),193)))*INDEX($D$5:$D$205,MAX(6,MIN(INT(((Alpha_keep*$A188+N$3-Lo_c)/Step_c)+0.00000001),193))+2)),"")</f>
        <v>-184.005820718938</v>
      </c>
      <c r="O188" s="16" t="n">
        <f aca="false">IF(Grid!M188=1,-Cost_k*O$3-Short_p*MAX(0,Floor_c-$A188)+Beta_q*((1-(((Alpha_keep*$A188+O$3-Lo_c)/Step_c)-MAX(6,MIN(INT(((Alpha_keep*$A188+O$3-Lo_c)/Step_c)+0.00000001),193))))*INDEX($D$5:$D$205,MAX(6,MIN(INT(((Alpha_keep*$A188+O$3-Lo_c)/Step_c)+0.00000001),193))+1)+(((Alpha_keep*$A188+O$3-Lo_c)/Step_c)-MAX(6,MIN(INT(((Alpha_keep*$A188+O$3-Lo_c)/Step_c)+0.00000001),193)))*INDEX($D$5:$D$205,MAX(6,MIN(INT(((Alpha_keep*$A188+O$3-Lo_c)/Step_c)+0.00000001),193))+2)),"")</f>
        <v>-184.468085925085</v>
      </c>
      <c r="P188" s="11" t="n">
        <f aca="false">MAX(E188:O188)</f>
        <v>-180.00343318036</v>
      </c>
      <c r="Q188" s="12" t="n">
        <f aca="false">INDEX($E$3:$O$3,MATCH(P188,E188:O188,0))</f>
        <v>0</v>
      </c>
      <c r="R188" s="20" t="n">
        <v>0</v>
      </c>
      <c r="S188" s="14" t="n">
        <f aca="false">IF(ABS(Q188-R188)&lt;0.000000001,1,0)</f>
        <v>1</v>
      </c>
      <c r="T188" s="21" t="n">
        <f aca="false">ABS(P188-B188)</f>
        <v>0</v>
      </c>
      <c r="U188" s="16" t="n">
        <f aca="false">Alpha_keep*A188+Q188</f>
        <v>73.85625</v>
      </c>
      <c r="V188" s="14" t="n">
        <f aca="false">INDEX(GuardBlock,184,ROUND(Q188/Step_h,0)+1)</f>
        <v>1</v>
      </c>
      <c r="W188" s="22" t="n">
        <v>0</v>
      </c>
    </row>
    <row r="189" customFormat="false" ht="15" hidden="false" customHeight="false" outlineLevel="0" collapsed="false">
      <c r="A189" s="18" t="n">
        <f aca="false">Grid!A189</f>
        <v>76</v>
      </c>
      <c r="B189" s="19" t="n">
        <v>-179.447880533354</v>
      </c>
      <c r="C189" s="14" t="n">
        <v>184</v>
      </c>
      <c r="D189" s="11" t="n">
        <f aca="false">IF(AND($C189&gt;=6,$C189&lt;=194),Declarations!$B$25*INDEX($B$5:$B$205,$C189+1-Declarations!$E$25)+Declarations!$B$26*INDEX($B$5:$B$205,$C189+1-Declarations!$E$26)+Declarations!$B$27*INDEX($B$5:$B$205,$C189+1-Declarations!$E$27)+Declarations!$B$28*INDEX($B$5:$B$205,$C189+1-Declarations!$E$28)+Declarations!$B$29*INDEX($B$5:$B$205,$C189+1-Declarations!$E$29),"")</f>
        <v>-179.460536217595</v>
      </c>
      <c r="E189" s="16" t="n">
        <f aca="false">IF(Grid!C189=1,-Cost_k*E$3-Short_p*MAX(0,Floor_c-$A189)+Beta_q*((1-(((Alpha_keep*$A189+E$3-Lo_c)/Step_c)-MAX(6,MIN(INT(((Alpha_keep*$A189+E$3-Lo_c)/Step_c)+0.00000001),193))))*INDEX($D$5:$D$205,MAX(6,MIN(INT(((Alpha_keep*$A189+E$3-Lo_c)/Step_c)+0.00000001),193))+1)+(((Alpha_keep*$A189+E$3-Lo_c)/Step_c)-MAX(6,MIN(INT(((Alpha_keep*$A189+E$3-Lo_c)/Step_c)+0.00000001),193)))*INDEX($D$5:$D$205,MAX(6,MIN(INT(((Alpha_keep*$A189+E$3-Lo_c)/Step_c)+0.00000001),193))+2)),"")</f>
        <v>-179.447880533354</v>
      </c>
      <c r="F189" s="16" t="n">
        <f aca="false">IF(Grid!D189=1,-Cost_k*F$3-Short_p*MAX(0,Floor_c-$A189)+Beta_q*((1-(((Alpha_keep*$A189+F$3-Lo_c)/Step_c)-MAX(6,MIN(INT(((Alpha_keep*$A189+F$3-Lo_c)/Step_c)+0.00000001),193))))*INDEX($D$5:$D$205,MAX(6,MIN(INT(((Alpha_keep*$A189+F$3-Lo_c)/Step_c)+0.00000001),193))+1)+(((Alpha_keep*$A189+F$3-Lo_c)/Step_c)-MAX(6,MIN(INT(((Alpha_keep*$A189+F$3-Lo_c)/Step_c)+0.00000001),193)))*INDEX($D$5:$D$205,MAX(6,MIN(INT(((Alpha_keep*$A189+F$3-Lo_c)/Step_c)+0.00000001),193))+2)),"")</f>
        <v>-179.8817085121</v>
      </c>
      <c r="G189" s="16" t="n">
        <f aca="false">IF(Grid!E189=1,-Cost_k*G$3-Short_p*MAX(0,Floor_c-$A189)+Beta_q*((1-(((Alpha_keep*$A189+G$3-Lo_c)/Step_c)-MAX(6,MIN(INT(((Alpha_keep*$A189+G$3-Lo_c)/Step_c)+0.00000001),193))))*INDEX($D$5:$D$205,MAX(6,MIN(INT(((Alpha_keep*$A189+G$3-Lo_c)/Step_c)+0.00000001),193))+1)+(((Alpha_keep*$A189+G$3-Lo_c)/Step_c)-MAX(6,MIN(INT(((Alpha_keep*$A189+G$3-Lo_c)/Step_c)+0.00000001),193)))*INDEX($D$5:$D$205,MAX(6,MIN(INT(((Alpha_keep*$A189+G$3-Lo_c)/Step_c)+0.00000001),193))+2)),"")</f>
        <v>-180.319213853391</v>
      </c>
      <c r="H189" s="16" t="n">
        <f aca="false">IF(Grid!F189=1,-Cost_k*H$3-Short_p*MAX(0,Floor_c-$A189)+Beta_q*((1-(((Alpha_keep*$A189+H$3-Lo_c)/Step_c)-MAX(6,MIN(INT(((Alpha_keep*$A189+H$3-Lo_c)/Step_c)+0.00000001),193))))*INDEX($D$5:$D$205,MAX(6,MIN(INT(((Alpha_keep*$A189+H$3-Lo_c)/Step_c)+0.00000001),193))+1)+(((Alpha_keep*$A189+H$3-Lo_c)/Step_c)-MAX(6,MIN(INT(((Alpha_keep*$A189+H$3-Lo_c)/Step_c)+0.00000001),193)))*INDEX($D$5:$D$205,MAX(6,MIN(INT(((Alpha_keep*$A189+H$3-Lo_c)/Step_c)+0.00000001),193))+2)),"")</f>
        <v>-180.760375009325</v>
      </c>
      <c r="I189" s="16" t="n">
        <f aca="false">IF(Grid!G189=1,-Cost_k*I$3-Short_p*MAX(0,Floor_c-$A189)+Beta_q*((1-(((Alpha_keep*$A189+I$3-Lo_c)/Step_c)-MAX(6,MIN(INT(((Alpha_keep*$A189+I$3-Lo_c)/Step_c)+0.00000001),193))))*INDEX($D$5:$D$205,MAX(6,MIN(INT(((Alpha_keep*$A189+I$3-Lo_c)/Step_c)+0.00000001),193))+1)+(((Alpha_keep*$A189+I$3-Lo_c)/Step_c)-MAX(6,MIN(INT(((Alpha_keep*$A189+I$3-Lo_c)/Step_c)+0.00000001),193)))*INDEX($D$5:$D$205,MAX(6,MIN(INT(((Alpha_keep*$A189+I$3-Lo_c)/Step_c)+0.00000001),193))+2)),"")</f>
        <v>-181.205115134895</v>
      </c>
      <c r="J189" s="16" t="n">
        <f aca="false">IF(Grid!H189=1,-Cost_k*J$3-Short_p*MAX(0,Floor_c-$A189)+Beta_q*((1-(((Alpha_keep*$A189+J$3-Lo_c)/Step_c)-MAX(6,MIN(INT(((Alpha_keep*$A189+J$3-Lo_c)/Step_c)+0.00000001),193))))*INDEX($D$5:$D$205,MAX(6,MIN(INT(((Alpha_keep*$A189+J$3-Lo_c)/Step_c)+0.00000001),193))+1)+(((Alpha_keep*$A189+J$3-Lo_c)/Step_c)-MAX(6,MIN(INT(((Alpha_keep*$A189+J$3-Lo_c)/Step_c)+0.00000001),193)))*INDEX($D$5:$D$205,MAX(6,MIN(INT(((Alpha_keep*$A189+J$3-Lo_c)/Step_c)+0.00000001),193))+2)),"")</f>
        <v>-181.653396826686</v>
      </c>
      <c r="K189" s="16" t="n">
        <f aca="false">IF(Grid!I189=1,-Cost_k*K$3-Short_p*MAX(0,Floor_c-$A189)+Beta_q*((1-(((Alpha_keep*$A189+K$3-Lo_c)/Step_c)-MAX(6,MIN(INT(((Alpha_keep*$A189+K$3-Lo_c)/Step_c)+0.00000001),193))))*INDEX($D$5:$D$205,MAX(6,MIN(INT(((Alpha_keep*$A189+K$3-Lo_c)/Step_c)+0.00000001),193))+1)+(((Alpha_keep*$A189+K$3-Lo_c)/Step_c)-MAX(6,MIN(INT(((Alpha_keep*$A189+K$3-Lo_c)/Step_c)+0.00000001),193)))*INDEX($D$5:$D$205,MAX(6,MIN(INT(((Alpha_keep*$A189+K$3-Lo_c)/Step_c)+0.00000001),193))+2)),"")</f>
        <v>-182.10521676927</v>
      </c>
      <c r="L189" s="16" t="n">
        <f aca="false">IF(Grid!J189=1,-Cost_k*L$3-Short_p*MAX(0,Floor_c-$A189)+Beta_q*((1-(((Alpha_keep*$A189+L$3-Lo_c)/Step_c)-MAX(6,MIN(INT(((Alpha_keep*$A189+L$3-Lo_c)/Step_c)+0.00000001),193))))*INDEX($D$5:$D$205,MAX(6,MIN(INT(((Alpha_keep*$A189+L$3-Lo_c)/Step_c)+0.00000001),193))+1)+(((Alpha_keep*$A189+L$3-Lo_c)/Step_c)-MAX(6,MIN(INT(((Alpha_keep*$A189+L$3-Lo_c)/Step_c)+0.00000001),193)))*INDEX($D$5:$D$205,MAX(6,MIN(INT(((Alpha_keep*$A189+L$3-Lo_c)/Step_c)+0.00000001),193))+2)),"")</f>
        <v>-182.560536999979</v>
      </c>
      <c r="M189" s="16" t="n">
        <f aca="false">IF(Grid!K189=1,-Cost_k*M$3-Short_p*MAX(0,Floor_c-$A189)+Beta_q*((1-(((Alpha_keep*$A189+M$3-Lo_c)/Step_c)-MAX(6,MIN(INT(((Alpha_keep*$A189+M$3-Lo_c)/Step_c)+0.00000001),193))))*INDEX($D$5:$D$205,MAX(6,MIN(INT(((Alpha_keep*$A189+M$3-Lo_c)/Step_c)+0.00000001),193))+1)+(((Alpha_keep*$A189+M$3-Lo_c)/Step_c)-MAX(6,MIN(INT(((Alpha_keep*$A189+M$3-Lo_c)/Step_c)+0.00000001),193)))*INDEX($D$5:$D$205,MAX(6,MIN(INT(((Alpha_keep*$A189+M$3-Lo_c)/Step_c)+0.00000001),193))+2)),"")</f>
        <v>-183.019300354599</v>
      </c>
      <c r="N189" s="16" t="n">
        <f aca="false">IF(Grid!L189=1,-Cost_k*N$3-Short_p*MAX(0,Floor_c-$A189)+Beta_q*((1-(((Alpha_keep*$A189+N$3-Lo_c)/Step_c)-MAX(6,MIN(INT(((Alpha_keep*$A189+N$3-Lo_c)/Step_c)+0.00000001),193))))*INDEX($D$5:$D$205,MAX(6,MIN(INT(((Alpha_keep*$A189+N$3-Lo_c)/Step_c)+0.00000001),193))+1)+(((Alpha_keep*$A189+N$3-Lo_c)/Step_c)-MAX(6,MIN(INT(((Alpha_keep*$A189+N$3-Lo_c)/Step_c)+0.00000001),193)))*INDEX($D$5:$D$205,MAX(6,MIN(INT(((Alpha_keep*$A189+N$3-Lo_c)/Step_c)+0.00000001),193))+2)),"")</f>
        <v>-183.481480229417</v>
      </c>
      <c r="O189" s="16" t="n">
        <f aca="false">IF(Grid!M189=1,-Cost_k*O$3-Short_p*MAX(0,Floor_c-$A189)+Beta_q*((1-(((Alpha_keep*$A189+O$3-Lo_c)/Step_c)-MAX(6,MIN(INT(((Alpha_keep*$A189+O$3-Lo_c)/Step_c)+0.00000001),193))))*INDEX($D$5:$D$205,MAX(6,MIN(INT(((Alpha_keep*$A189+O$3-Lo_c)/Step_c)+0.00000001),193))+1)+(((Alpha_keep*$A189+O$3-Lo_c)/Step_c)-MAX(6,MIN(INT(((Alpha_keep*$A189+O$3-Lo_c)/Step_c)+0.00000001),193)))*INDEX($D$5:$D$205,MAX(6,MIN(INT(((Alpha_keep*$A189+O$3-Lo_c)/Step_c)+0.00000001),193))+2)),"")</f>
        <v>-183.947060701872</v>
      </c>
      <c r="P189" s="11" t="n">
        <f aca="false">MAX(E189:O189)</f>
        <v>-179.447880533354</v>
      </c>
      <c r="Q189" s="12" t="n">
        <f aca="false">INDEX($E$3:$O$3,MATCH(P189,E189:O189,0))</f>
        <v>0</v>
      </c>
      <c r="R189" s="20" t="n">
        <v>0</v>
      </c>
      <c r="S189" s="14" t="n">
        <f aca="false">IF(ABS(Q189-R189)&lt;0.000000001,1,0)</f>
        <v>1</v>
      </c>
      <c r="T189" s="21" t="n">
        <f aca="false">ABS(P189-B189)</f>
        <v>0</v>
      </c>
      <c r="U189" s="16" t="n">
        <f aca="false">Alpha_keep*A189+Q189</f>
        <v>74.1</v>
      </c>
      <c r="V189" s="14" t="n">
        <f aca="false">INDEX(GuardBlock,185,ROUND(Q189/Step_h,0)+1)</f>
        <v>1</v>
      </c>
      <c r="W189" s="22" t="n">
        <v>0</v>
      </c>
    </row>
    <row r="190" customFormat="false" ht="15" hidden="false" customHeight="false" outlineLevel="0" collapsed="false">
      <c r="A190" s="18" t="n">
        <f aca="false">Grid!A190</f>
        <v>76.25</v>
      </c>
      <c r="B190" s="19" t="n">
        <v>-178.895807771446</v>
      </c>
      <c r="C190" s="14" t="n">
        <v>185</v>
      </c>
      <c r="D190" s="11" t="n">
        <f aca="false">IF(AND($C190&gt;=6,$C190&lt;=194),Declarations!$B$25*INDEX($B$5:$B$205,$C190+1-Declarations!$E$25)+Declarations!$B$26*INDEX($B$5:$B$205,$C190+1-Declarations!$E$26)+Declarations!$B$27*INDEX($B$5:$B$205,$C190+1-Declarations!$E$27)+Declarations!$B$28*INDEX($B$5:$B$205,$C190+1-Declarations!$E$28)+Declarations!$B$29*INDEX($B$5:$B$205,$C190+1-Declarations!$E$29),"")</f>
        <v>-178.908349041425</v>
      </c>
      <c r="E190" s="16" t="n">
        <f aca="false">IF(Grid!C190=1,-Cost_k*E$3-Short_p*MAX(0,Floor_c-$A190)+Beta_q*((1-(((Alpha_keep*$A190+E$3-Lo_c)/Step_c)-MAX(6,MIN(INT(((Alpha_keep*$A190+E$3-Lo_c)/Step_c)+0.00000001),193))))*INDEX($D$5:$D$205,MAX(6,MIN(INT(((Alpha_keep*$A190+E$3-Lo_c)/Step_c)+0.00000001),193))+1)+(((Alpha_keep*$A190+E$3-Lo_c)/Step_c)-MAX(6,MIN(INT(((Alpha_keep*$A190+E$3-Lo_c)/Step_c)+0.00000001),193)))*INDEX($D$5:$D$205,MAX(6,MIN(INT(((Alpha_keep*$A190+E$3-Lo_c)/Step_c)+0.00000001),193))+2)),"")</f>
        <v>-178.895807771446</v>
      </c>
      <c r="F190" s="16" t="n">
        <f aca="false">IF(Grid!D190=1,-Cost_k*F$3-Short_p*MAX(0,Floor_c-$A190)+Beta_q*((1-(((Alpha_keep*$A190+F$3-Lo_c)/Step_c)-MAX(6,MIN(INT(((Alpha_keep*$A190+F$3-Lo_c)/Step_c)+0.00000001),193))))*INDEX($D$5:$D$205,MAX(6,MIN(INT(((Alpha_keep*$A190+F$3-Lo_c)/Step_c)+0.00000001),193))+1)+(((Alpha_keep*$A190+F$3-Lo_c)/Step_c)-MAX(6,MIN(INT(((Alpha_keep*$A190+F$3-Lo_c)/Step_c)+0.00000001),193)))*INDEX($D$5:$D$205,MAX(6,MIN(INT(((Alpha_keep*$A190+F$3-Lo_c)/Step_c)+0.00000001),193))+2)),"")</f>
        <v>-179.33322088054</v>
      </c>
      <c r="G190" s="16" t="n">
        <f aca="false">IF(Grid!E190=1,-Cost_k*G$3-Short_p*MAX(0,Floor_c-$A190)+Beta_q*((1-(((Alpha_keep*$A190+G$3-Lo_c)/Step_c)-MAX(6,MIN(INT(((Alpha_keep*$A190+G$3-Lo_c)/Step_c)+0.00000001),193))))*INDEX($D$5:$D$205,MAX(6,MIN(INT(((Alpha_keep*$A190+G$3-Lo_c)/Step_c)+0.00000001),193))+1)+(((Alpha_keep*$A190+G$3-Lo_c)/Step_c)-MAX(6,MIN(INT(((Alpha_keep*$A190+G$3-Lo_c)/Step_c)+0.00000001),193)))*INDEX($D$5:$D$205,MAX(6,MIN(INT(((Alpha_keep*$A190+G$3-Lo_c)/Step_c)+0.00000001),193))+2)),"")</f>
        <v>-179.774291896354</v>
      </c>
      <c r="H190" s="16" t="n">
        <f aca="false">IF(Grid!F190=1,-Cost_k*H$3-Short_p*MAX(0,Floor_c-$A190)+Beta_q*((1-(((Alpha_keep*$A190+H$3-Lo_c)/Step_c)-MAX(6,MIN(INT(((Alpha_keep*$A190+H$3-Lo_c)/Step_c)+0.00000001),193))))*INDEX($D$5:$D$205,MAX(6,MIN(INT(((Alpha_keep*$A190+H$3-Lo_c)/Step_c)+0.00000001),193))+1)+(((Alpha_keep*$A190+H$3-Lo_c)/Step_c)-MAX(6,MIN(INT(((Alpha_keep*$A190+H$3-Lo_c)/Step_c)+0.00000001),193)))*INDEX($D$5:$D$205,MAX(6,MIN(INT(((Alpha_keep*$A190+H$3-Lo_c)/Step_c)+0.00000001),193))+2)),"")</f>
        <v>-180.218943546502</v>
      </c>
      <c r="I190" s="16" t="n">
        <f aca="false">IF(Grid!G190=1,-Cost_k*I$3-Short_p*MAX(0,Floor_c-$A190)+Beta_q*((1-(((Alpha_keep*$A190+I$3-Lo_c)/Step_c)-MAX(6,MIN(INT(((Alpha_keep*$A190+I$3-Lo_c)/Step_c)+0.00000001),193))))*INDEX($D$5:$D$205,MAX(6,MIN(INT(((Alpha_keep*$A190+I$3-Lo_c)/Step_c)+0.00000001),193))+1)+(((Alpha_keep*$A190+I$3-Lo_c)/Step_c)-MAX(6,MIN(INT(((Alpha_keep*$A190+I$3-Lo_c)/Step_c)+0.00000001),193)))*INDEX($D$5:$D$205,MAX(6,MIN(INT(((Alpha_keep*$A190+I$3-Lo_c)/Step_c)+0.00000001),193))+2)),"")</f>
        <v>-180.667136603539</v>
      </c>
      <c r="J190" s="16" t="n">
        <f aca="false">IF(Grid!H190=1,-Cost_k*J$3-Short_p*MAX(0,Floor_c-$A190)+Beta_q*((1-(((Alpha_keep*$A190+J$3-Lo_c)/Step_c)-MAX(6,MIN(INT(((Alpha_keep*$A190+J$3-Lo_c)/Step_c)+0.00000001),193))))*INDEX($D$5:$D$205,MAX(6,MIN(INT(((Alpha_keep*$A190+J$3-Lo_c)/Step_c)+0.00000001),193))+1)+(((Alpha_keep*$A190+J$3-Lo_c)/Step_c)-MAX(6,MIN(INT(((Alpha_keep*$A190+J$3-Lo_c)/Step_c)+0.00000001),193)))*INDEX($D$5:$D$205,MAX(6,MIN(INT(((Alpha_keep*$A190+J$3-Lo_c)/Step_c)+0.00000001),193))+2)),"")</f>
        <v>-181.118868357579</v>
      </c>
      <c r="K190" s="16" t="n">
        <f aca="false">IF(Grid!I190=1,-Cost_k*K$3-Short_p*MAX(0,Floor_c-$A190)+Beta_q*((1-(((Alpha_keep*$A190+K$3-Lo_c)/Step_c)-MAX(6,MIN(INT(((Alpha_keep*$A190+K$3-Lo_c)/Step_c)+0.00000001),193))))*INDEX($D$5:$D$205,MAX(6,MIN(INT(((Alpha_keep*$A190+K$3-Lo_c)/Step_c)+0.00000001),193))+1)+(((Alpha_keep*$A190+K$3-Lo_c)/Step_c)-MAX(6,MIN(INT(((Alpha_keep*$A190+K$3-Lo_c)/Step_c)+0.00000001),193)))*INDEX($D$5:$D$205,MAX(6,MIN(INT(((Alpha_keep*$A190+K$3-Lo_c)/Step_c)+0.00000001),193))+2)),"")</f>
        <v>-181.574102103095</v>
      </c>
      <c r="L190" s="16" t="n">
        <f aca="false">IF(Grid!J190=1,-Cost_k*L$3-Short_p*MAX(0,Floor_c-$A190)+Beta_q*((1-(((Alpha_keep*$A190+L$3-Lo_c)/Step_c)-MAX(6,MIN(INT(((Alpha_keep*$A190+L$3-Lo_c)/Step_c)+0.00000001),193))))*INDEX($D$5:$D$205,MAX(6,MIN(INT(((Alpha_keep*$A190+L$3-Lo_c)/Step_c)+0.00000001),193))+1)+(((Alpha_keep*$A190+L$3-Lo_c)/Step_c)-MAX(6,MIN(INT(((Alpha_keep*$A190+L$3-Lo_c)/Step_c)+0.00000001),193)))*INDEX($D$5:$D$205,MAX(6,MIN(INT(((Alpha_keep*$A190+L$3-Lo_c)/Step_c)+0.00000001),193))+2)),"")</f>
        <v>-182.03277999026</v>
      </c>
      <c r="M190" s="16" t="n">
        <f aca="false">IF(Grid!K190=1,-Cost_k*M$3-Short_p*MAX(0,Floor_c-$A190)+Beta_q*((1-(((Alpha_keep*$A190+M$3-Lo_c)/Step_c)-MAX(6,MIN(INT(((Alpha_keep*$A190+M$3-Lo_c)/Step_c)+0.00000001),193))))*INDEX($D$5:$D$205,MAX(6,MIN(INT(((Alpha_keep*$A190+M$3-Lo_c)/Step_c)+0.00000001),193))+1)+(((Alpha_keep*$A190+M$3-Lo_c)/Step_c)-MAX(6,MIN(INT(((Alpha_keep*$A190+M$3-Lo_c)/Step_c)+0.00000001),193)))*INDEX($D$5:$D$205,MAX(6,MIN(INT(((Alpha_keep*$A190+M$3-Lo_c)/Step_c)+0.00000001),193))+2)),"")</f>
        <v>-182.49487453375</v>
      </c>
      <c r="N190" s="16" t="n">
        <f aca="false">IF(Grid!L190=1,-Cost_k*N$3-Short_p*MAX(0,Floor_c-$A190)+Beta_q*((1-(((Alpha_keep*$A190+N$3-Lo_c)/Step_c)-MAX(6,MIN(INT(((Alpha_keep*$A190+N$3-Lo_c)/Step_c)+0.00000001),193))))*INDEX($D$5:$D$205,MAX(6,MIN(INT(((Alpha_keep*$A190+N$3-Lo_c)/Step_c)+0.00000001),193))+1)+(((Alpha_keep*$A190+N$3-Lo_c)/Step_c)-MAX(6,MIN(INT(((Alpha_keep*$A190+N$3-Lo_c)/Step_c)+0.00000001),193)))*INDEX($D$5:$D$205,MAX(6,MIN(INT(((Alpha_keep*$A190+N$3-Lo_c)/Step_c)+0.00000001),193))+2)),"")</f>
        <v>-182.960370465845</v>
      </c>
      <c r="O190" s="16" t="n">
        <f aca="false">IF(Grid!M190=1,-Cost_k*O$3-Short_p*MAX(0,Floor_c-$A190)+Beta_q*((1-(((Alpha_keep*$A190+O$3-Lo_c)/Step_c)-MAX(6,MIN(INT(((Alpha_keep*$A190+O$3-Lo_c)/Step_c)+0.00000001),193))))*INDEX($D$5:$D$205,MAX(6,MIN(INT(((Alpha_keep*$A190+O$3-Lo_c)/Step_c)+0.00000001),193))+1)+(((Alpha_keep*$A190+O$3-Lo_c)/Step_c)-MAX(6,MIN(INT(((Alpha_keep*$A190+O$3-Lo_c)/Step_c)+0.00000001),193)))*INDEX($D$5:$D$205,MAX(6,MIN(INT(((Alpha_keep*$A190+O$3-Lo_c)/Step_c)+0.00000001),193))+2)),"")</f>
        <v>-183.42922801242</v>
      </c>
      <c r="P190" s="11" t="n">
        <f aca="false">MAX(E190:O190)</f>
        <v>-178.895807771446</v>
      </c>
      <c r="Q190" s="12" t="n">
        <f aca="false">INDEX($E$3:$O$3,MATCH(P190,E190:O190,0))</f>
        <v>0</v>
      </c>
      <c r="R190" s="20" t="n">
        <v>0</v>
      </c>
      <c r="S190" s="14" t="n">
        <f aca="false">IF(ABS(Q190-R190)&lt;0.000000001,1,0)</f>
        <v>1</v>
      </c>
      <c r="T190" s="21" t="n">
        <f aca="false">ABS(P190-B190)</f>
        <v>0</v>
      </c>
      <c r="U190" s="16" t="n">
        <f aca="false">Alpha_keep*A190+Q190</f>
        <v>74.34375</v>
      </c>
      <c r="V190" s="14" t="n">
        <f aca="false">INDEX(GuardBlock,186,ROUND(Q190/Step_h,0)+1)</f>
        <v>1</v>
      </c>
      <c r="W190" s="22" t="n">
        <v>0</v>
      </c>
    </row>
    <row r="191" customFormat="false" ht="15" hidden="false" customHeight="false" outlineLevel="0" collapsed="false">
      <c r="A191" s="18" t="n">
        <f aca="false">Grid!A191</f>
        <v>76.5</v>
      </c>
      <c r="B191" s="19" t="n">
        <v>-178.34722790769</v>
      </c>
      <c r="C191" s="14" t="n">
        <v>186</v>
      </c>
      <c r="D191" s="11" t="n">
        <f aca="false">IF(AND($C191&gt;=6,$C191&lt;=194),Declarations!$B$25*INDEX($B$5:$B$205,$C191+1-Declarations!$E$25)+Declarations!$B$26*INDEX($B$5:$B$205,$C191+1-Declarations!$E$26)+Declarations!$B$27*INDEX($B$5:$B$205,$C191+1-Declarations!$E$27)+Declarations!$B$28*INDEX($B$5:$B$205,$C191+1-Declarations!$E$28)+Declarations!$B$29*INDEX($B$5:$B$205,$C191+1-Declarations!$E$29),"")</f>
        <v>-178.359657424522</v>
      </c>
      <c r="E191" s="16" t="n">
        <f aca="false">IF(Grid!C191=1,-Cost_k*E$3-Short_p*MAX(0,Floor_c-$A191)+Beta_q*((1-(((Alpha_keep*$A191+E$3-Lo_c)/Step_c)-MAX(6,MIN(INT(((Alpha_keep*$A191+E$3-Lo_c)/Step_c)+0.00000001),193))))*INDEX($D$5:$D$205,MAX(6,MIN(INT(((Alpha_keep*$A191+E$3-Lo_c)/Step_c)+0.00000001),193))+1)+(((Alpha_keep*$A191+E$3-Lo_c)/Step_c)-MAX(6,MIN(INT(((Alpha_keep*$A191+E$3-Lo_c)/Step_c)+0.00000001),193)))*INDEX($D$5:$D$205,MAX(6,MIN(INT(((Alpha_keep*$A191+E$3-Lo_c)/Step_c)+0.00000001),193))+2)),"")</f>
        <v>-178.34722790769</v>
      </c>
      <c r="F191" s="16" t="n">
        <f aca="false">IF(Grid!D191=1,-Cost_k*F$3-Short_p*MAX(0,Floor_c-$A191)+Beta_q*((1-(((Alpha_keep*$A191+F$3-Lo_c)/Step_c)-MAX(6,MIN(INT(((Alpha_keep*$A191+F$3-Lo_c)/Step_c)+0.00000001),193))))*INDEX($D$5:$D$205,MAX(6,MIN(INT(((Alpha_keep*$A191+F$3-Lo_c)/Step_c)+0.00000001),193))+1)+(((Alpha_keep*$A191+F$3-Lo_c)/Step_c)-MAX(6,MIN(INT(((Alpha_keep*$A191+F$3-Lo_c)/Step_c)+0.00000001),193)))*INDEX($D$5:$D$205,MAX(6,MIN(INT(((Alpha_keep*$A191+F$3-Lo_c)/Step_c)+0.00000001),193))+2)),"")</f>
        <v>-178.788208783385</v>
      </c>
      <c r="G191" s="16" t="n">
        <f aca="false">IF(Grid!E191=1,-Cost_k*G$3-Short_p*MAX(0,Floor_c-$A191)+Beta_q*((1-(((Alpha_keep*$A191+G$3-Lo_c)/Step_c)-MAX(6,MIN(INT(((Alpha_keep*$A191+G$3-Lo_c)/Step_c)+0.00000001),193))))*INDEX($D$5:$D$205,MAX(6,MIN(INT(((Alpha_keep*$A191+G$3-Lo_c)/Step_c)+0.00000001),193))+1)+(((Alpha_keep*$A191+G$3-Lo_c)/Step_c)-MAX(6,MIN(INT(((Alpha_keep*$A191+G$3-Lo_c)/Step_c)+0.00000001),193)))*INDEX($D$5:$D$205,MAX(6,MIN(INT(((Alpha_keep*$A191+G$3-Lo_c)/Step_c)+0.00000001),193))+2)),"")</f>
        <v>-179.232771958109</v>
      </c>
      <c r="H191" s="16" t="n">
        <f aca="false">IF(Grid!F191=1,-Cost_k*H$3-Short_p*MAX(0,Floor_c-$A191)+Beta_q*((1-(((Alpha_keep*$A191+H$3-Lo_c)/Step_c)-MAX(6,MIN(INT(((Alpha_keep*$A191+H$3-Lo_c)/Step_c)+0.00000001),193))))*INDEX($D$5:$D$205,MAX(6,MIN(INT(((Alpha_keep*$A191+H$3-Lo_c)/Step_c)+0.00000001),193))+1)+(((Alpha_keep*$A191+H$3-Lo_c)/Step_c)-MAX(6,MIN(INT(((Alpha_keep*$A191+H$3-Lo_c)/Step_c)+0.00000001),193)))*INDEX($D$5:$D$205,MAX(6,MIN(INT(((Alpha_keep*$A191+H$3-Lo_c)/Step_c)+0.00000001),193))+2)),"")</f>
        <v>-179.680876380391</v>
      </c>
      <c r="I191" s="16" t="n">
        <f aca="false">IF(Grid!G191=1,-Cost_k*I$3-Short_p*MAX(0,Floor_c-$A191)+Beta_q*((1-(((Alpha_keep*$A191+I$3-Lo_c)/Step_c)-MAX(6,MIN(INT(((Alpha_keep*$A191+I$3-Lo_c)/Step_c)+0.00000001),193))))*INDEX($D$5:$D$205,MAX(6,MIN(INT(((Alpha_keep*$A191+I$3-Lo_c)/Step_c)+0.00000001),193))+1)+(((Alpha_keep*$A191+I$3-Lo_c)/Step_c)-MAX(6,MIN(INT(((Alpha_keep*$A191+I$3-Lo_c)/Step_c)+0.00000001),193)))*INDEX($D$5:$D$205,MAX(6,MIN(INT(((Alpha_keep*$A191+I$3-Lo_c)/Step_c)+0.00000001),193))+2)),"")</f>
        <v>-180.132519945888</v>
      </c>
      <c r="J191" s="16" t="n">
        <f aca="false">IF(Grid!H191=1,-Cost_k*J$3-Short_p*MAX(0,Floor_c-$A191)+Beta_q*((1-(((Alpha_keep*$A191+J$3-Lo_c)/Step_c)-MAX(6,MIN(INT(((Alpha_keep*$A191+J$3-Lo_c)/Step_c)+0.00000001),193))))*INDEX($D$5:$D$205,MAX(6,MIN(INT(((Alpha_keep*$A191+J$3-Lo_c)/Step_c)+0.00000001),193))+1)+(((Alpha_keep*$A191+J$3-Lo_c)/Step_c)-MAX(6,MIN(INT(((Alpha_keep*$A191+J$3-Lo_c)/Step_c)+0.00000001),193)))*INDEX($D$5:$D$205,MAX(6,MIN(INT(((Alpha_keep*$A191+J$3-Lo_c)/Step_c)+0.00000001),193))+2)),"")</f>
        <v>-180.587667206212</v>
      </c>
      <c r="K191" s="16" t="n">
        <f aca="false">IF(Grid!I191=1,-Cost_k*K$3-Short_p*MAX(0,Floor_c-$A191)+Beta_q*((1-(((Alpha_keep*$A191+K$3-Lo_c)/Step_c)-MAX(6,MIN(INT(((Alpha_keep*$A191+K$3-Lo_c)/Step_c)+0.00000001),193))))*INDEX($D$5:$D$205,MAX(6,MIN(INT(((Alpha_keep*$A191+K$3-Lo_c)/Step_c)+0.00000001),193))+1)+(((Alpha_keep*$A191+K$3-Lo_c)/Step_c)-MAX(6,MIN(INT(((Alpha_keep*$A191+K$3-Lo_c)/Step_c)+0.00000001),193)))*INDEX($D$5:$D$205,MAX(6,MIN(INT(((Alpha_keep*$A191+K$3-Lo_c)/Step_c)+0.00000001),193))+2)),"")</f>
        <v>-181.046259625921</v>
      </c>
      <c r="L191" s="16" t="n">
        <f aca="false">IF(Grid!J191=1,-Cost_k*L$3-Short_p*MAX(0,Floor_c-$A191)+Beta_q*((1-(((Alpha_keep*$A191+L$3-Lo_c)/Step_c)-MAX(6,MIN(INT(((Alpha_keep*$A191+L$3-Lo_c)/Step_c)+0.00000001),193))))*INDEX($D$5:$D$205,MAX(6,MIN(INT(((Alpha_keep*$A191+L$3-Lo_c)/Step_c)+0.00000001),193))+1)+(((Alpha_keep*$A191+L$3-Lo_c)/Step_c)-MAX(6,MIN(INT(((Alpha_keep*$A191+L$3-Lo_c)/Step_c)+0.00000001),193)))*INDEX($D$5:$D$205,MAX(6,MIN(INT(((Alpha_keep*$A191+L$3-Lo_c)/Step_c)+0.00000001),193))+2)),"")</f>
        <v>-181.508268838082</v>
      </c>
      <c r="M191" s="16" t="n">
        <f aca="false">IF(Grid!K191=1,-Cost_k*M$3-Short_p*MAX(0,Floor_c-$A191)+Beta_q*((1-(((Alpha_keep*$A191+M$3-Lo_c)/Step_c)-MAX(6,MIN(INT(((Alpha_keep*$A191+M$3-Lo_c)/Step_c)+0.00000001),193))))*INDEX($D$5:$D$205,MAX(6,MIN(INT(((Alpha_keep*$A191+M$3-Lo_c)/Step_c)+0.00000001),193))+1)+(((Alpha_keep*$A191+M$3-Lo_c)/Step_c)-MAX(6,MIN(INT(((Alpha_keep*$A191+M$3-Lo_c)/Step_c)+0.00000001),193)))*INDEX($D$5:$D$205,MAX(6,MIN(INT(((Alpha_keep*$A191+M$3-Lo_c)/Step_c)+0.00000001),193))+2)),"")</f>
        <v>-181.973680229818</v>
      </c>
      <c r="N191" s="16" t="n">
        <f aca="false">IF(Grid!L191=1,-Cost_k*N$3-Short_p*MAX(0,Floor_c-$A191)+Beta_q*((1-(((Alpha_keep*$A191+N$3-Lo_c)/Step_c)-MAX(6,MIN(INT(((Alpha_keep*$A191+N$3-Lo_c)/Step_c)+0.00000001),193))))*INDEX($D$5:$D$205,MAX(6,MIN(INT(((Alpha_keep*$A191+N$3-Lo_c)/Step_c)+0.00000001),193))+1)+(((Alpha_keep*$A191+N$3-Lo_c)/Step_c)-MAX(6,MIN(INT(((Alpha_keep*$A191+N$3-Lo_c)/Step_c)+0.00000001),193)))*INDEX($D$5:$D$205,MAX(6,MIN(INT(((Alpha_keep*$A191+N$3-Lo_c)/Step_c)+0.00000001),193))+2)),"")</f>
        <v>-182.44245456936</v>
      </c>
      <c r="O191" s="16" t="n">
        <f aca="false">IF(Grid!M191=1,-Cost_k*O$3-Short_p*MAX(0,Floor_c-$A191)+Beta_q*((1-(((Alpha_keep*$A191+O$3-Lo_c)/Step_c)-MAX(6,MIN(INT(((Alpha_keep*$A191+O$3-Lo_c)/Step_c)+0.00000001),193))))*INDEX($D$5:$D$205,MAX(6,MIN(INT(((Alpha_keep*$A191+O$3-Lo_c)/Step_c)+0.00000001),193))+1)+(((Alpha_keep*$A191+O$3-Lo_c)/Step_c)-MAX(6,MIN(INT(((Alpha_keep*$A191+O$3-Lo_c)/Step_c)+0.00000001),193)))*INDEX($D$5:$D$205,MAX(6,MIN(INT(((Alpha_keep*$A191+O$3-Lo_c)/Step_c)+0.00000001),193))+2)),"")</f>
        <v>-182.914546801155</v>
      </c>
      <c r="P191" s="11" t="n">
        <f aca="false">MAX(E191:O191)</f>
        <v>-178.34722790769</v>
      </c>
      <c r="Q191" s="12" t="n">
        <f aca="false">INDEX($E$3:$O$3,MATCH(P191,E191:O191,0))</f>
        <v>0</v>
      </c>
      <c r="R191" s="20" t="n">
        <v>0</v>
      </c>
      <c r="S191" s="14" t="n">
        <f aca="false">IF(ABS(Q191-R191)&lt;0.000000001,1,0)</f>
        <v>1</v>
      </c>
      <c r="T191" s="21" t="n">
        <f aca="false">ABS(P191-B191)</f>
        <v>0</v>
      </c>
      <c r="U191" s="16" t="n">
        <f aca="false">Alpha_keep*A191+Q191</f>
        <v>74.5875</v>
      </c>
      <c r="V191" s="14" t="n">
        <f aca="false">INDEX(GuardBlock,187,ROUND(Q191/Step_h,0)+1)</f>
        <v>1</v>
      </c>
      <c r="W191" s="22" t="n">
        <v>0</v>
      </c>
    </row>
    <row r="192" customFormat="false" ht="15" hidden="false" customHeight="false" outlineLevel="0" collapsed="false">
      <c r="A192" s="18" t="n">
        <f aca="false">Grid!A192</f>
        <v>76.75</v>
      </c>
      <c r="B192" s="19" t="n">
        <v>-177.802125670415</v>
      </c>
      <c r="C192" s="14" t="n">
        <v>187</v>
      </c>
      <c r="D192" s="11" t="n">
        <f aca="false">IF(AND($C192&gt;=6,$C192&lt;=194),Declarations!$B$25*INDEX($B$5:$B$205,$C192+1-Declarations!$E$25)+Declarations!$B$26*INDEX($B$5:$B$205,$C192+1-Declarations!$E$26)+Declarations!$B$27*INDEX($B$5:$B$205,$C192+1-Declarations!$E$27)+Declarations!$B$28*INDEX($B$5:$B$205,$C192+1-Declarations!$E$28)+Declarations!$B$29*INDEX($B$5:$B$205,$C192+1-Declarations!$E$29),"")</f>
        <v>-177.814428965192</v>
      </c>
      <c r="E192" s="16" t="n">
        <f aca="false">IF(Grid!C192=1,-Cost_k*E$3-Short_p*MAX(0,Floor_c-$A192)+Beta_q*((1-(((Alpha_keep*$A192+E$3-Lo_c)/Step_c)-MAX(6,MIN(INT(((Alpha_keep*$A192+E$3-Lo_c)/Step_c)+0.00000001),193))))*INDEX($D$5:$D$205,MAX(6,MIN(INT(((Alpha_keep*$A192+E$3-Lo_c)/Step_c)+0.00000001),193))+1)+(((Alpha_keep*$A192+E$3-Lo_c)/Step_c)-MAX(6,MIN(INT(((Alpha_keep*$A192+E$3-Lo_c)/Step_c)+0.00000001),193)))*INDEX($D$5:$D$205,MAX(6,MIN(INT(((Alpha_keep*$A192+E$3-Lo_c)/Step_c)+0.00000001),193))+2)),"")</f>
        <v>-177.802125670414</v>
      </c>
      <c r="F192" s="16" t="n">
        <f aca="false">IF(Grid!D192=1,-Cost_k*F$3-Short_p*MAX(0,Floor_c-$A192)+Beta_q*((1-(((Alpha_keep*$A192+F$3-Lo_c)/Step_c)-MAX(6,MIN(INT(((Alpha_keep*$A192+F$3-Lo_c)/Step_c)+0.00000001),193))))*INDEX($D$5:$D$205,MAX(6,MIN(INT(((Alpha_keep*$A192+F$3-Lo_c)/Step_c)+0.00000001),193))+1)+(((Alpha_keep*$A192+F$3-Lo_c)/Step_c)-MAX(6,MIN(INT(((Alpha_keep*$A192+F$3-Lo_c)/Step_c)+0.00000001),193)))*INDEX($D$5:$D$205,MAX(6,MIN(INT(((Alpha_keep*$A192+F$3-Lo_c)/Step_c)+0.00000001),193))+2)),"")</f>
        <v>-178.246600369715</v>
      </c>
      <c r="G192" s="16" t="n">
        <f aca="false">IF(Grid!E192=1,-Cost_k*G$3-Short_p*MAX(0,Floor_c-$A192)+Beta_q*((1-(((Alpha_keep*$A192+G$3-Lo_c)/Step_c)-MAX(6,MIN(INT(((Alpha_keep*$A192+G$3-Lo_c)/Step_c)+0.00000001),193))))*INDEX($D$5:$D$205,MAX(6,MIN(INT(((Alpha_keep*$A192+G$3-Lo_c)/Step_c)+0.00000001),193))+1)+(((Alpha_keep*$A192+G$3-Lo_c)/Step_c)-MAX(6,MIN(INT(((Alpha_keep*$A192+G$3-Lo_c)/Step_c)+0.00000001),193)))*INDEX($D$5:$D$205,MAX(6,MIN(INT(((Alpha_keep*$A192+G$3-Lo_c)/Step_c)+0.00000001),193))+2)),"")</f>
        <v>-178.694616157244</v>
      </c>
      <c r="H192" s="16" t="n">
        <f aca="false">IF(Grid!F192=1,-Cost_k*H$3-Short_p*MAX(0,Floor_c-$A192)+Beta_q*((1-(((Alpha_keep*$A192+H$3-Lo_c)/Step_c)-MAX(6,MIN(INT(((Alpha_keep*$A192+H$3-Lo_c)/Step_c)+0.00000001),193))))*INDEX($D$5:$D$205,MAX(6,MIN(INT(((Alpha_keep*$A192+H$3-Lo_c)/Step_c)+0.00000001),193))+1)+(((Alpha_keep*$A192+H$3-Lo_c)/Step_c)-MAX(6,MIN(INT(((Alpha_keep*$A192+H$3-Lo_c)/Step_c)+0.00000001),193)))*INDEX($D$5:$D$205,MAX(6,MIN(INT(((Alpha_keep*$A192+H$3-Lo_c)/Step_c)+0.00000001),193))+2)),"")</f>
        <v>-179.146171534198</v>
      </c>
      <c r="I192" s="16" t="n">
        <f aca="false">IF(Grid!G192=1,-Cost_k*I$3-Short_p*MAX(0,Floor_c-$A192)+Beta_q*((1-(((Alpha_keep*$A192+I$3-Lo_c)/Step_c)-MAX(6,MIN(INT(((Alpha_keep*$A192+I$3-Lo_c)/Step_c)+0.00000001),193))))*INDEX($D$5:$D$205,MAX(6,MIN(INT(((Alpha_keep*$A192+I$3-Lo_c)/Step_c)+0.00000001),193))+1)+(((Alpha_keep*$A192+I$3-Lo_c)/Step_c)-MAX(6,MIN(INT(((Alpha_keep*$A192+I$3-Lo_c)/Step_c)+0.00000001),193)))*INDEX($D$5:$D$205,MAX(6,MIN(INT(((Alpha_keep*$A192+I$3-Lo_c)/Step_c)+0.00000001),193))+2)),"")</f>
        <v>-179.601232309329</v>
      </c>
      <c r="J192" s="16" t="n">
        <f aca="false">IF(Grid!H192=1,-Cost_k*J$3-Short_p*MAX(0,Floor_c-$A192)+Beta_q*((1-(((Alpha_keep*$A192+J$3-Lo_c)/Step_c)-MAX(6,MIN(INT(((Alpha_keep*$A192+J$3-Lo_c)/Step_c)+0.00000001),193))))*INDEX($D$5:$D$205,MAX(6,MIN(INT(((Alpha_keep*$A192+J$3-Lo_c)/Step_c)+0.00000001),193))+1)+(((Alpha_keep*$A192+J$3-Lo_c)/Step_c)-MAX(6,MIN(INT(((Alpha_keep*$A192+J$3-Lo_c)/Step_c)+0.00000001),193)))*INDEX($D$5:$D$205,MAX(6,MIN(INT(((Alpha_keep*$A192+J$3-Lo_c)/Step_c)+0.00000001),193))+2)),"")</f>
        <v>-180.059739261582</v>
      </c>
      <c r="K192" s="16" t="n">
        <f aca="false">IF(Grid!I192=1,-Cost_k*K$3-Short_p*MAX(0,Floor_c-$A192)+Beta_q*((1-(((Alpha_keep*$A192+K$3-Lo_c)/Step_c)-MAX(6,MIN(INT(((Alpha_keep*$A192+K$3-Lo_c)/Step_c)+0.00000001),193))))*INDEX($D$5:$D$205,MAX(6,MIN(INT(((Alpha_keep*$A192+K$3-Lo_c)/Step_c)+0.00000001),193))+1)+(((Alpha_keep*$A192+K$3-Lo_c)/Step_c)-MAX(6,MIN(INT(((Alpha_keep*$A192+K$3-Lo_c)/Step_c)+0.00000001),193)))*INDEX($D$5:$D$205,MAX(6,MIN(INT(((Alpha_keep*$A192+K$3-Lo_c)/Step_c)+0.00000001),193))+2)),"")</f>
        <v>-180.521663142415</v>
      </c>
      <c r="L192" s="16" t="n">
        <f aca="false">IF(Grid!J192=1,-Cost_k*L$3-Short_p*MAX(0,Floor_c-$A192)+Beta_q*((1-(((Alpha_keep*$A192+L$3-Lo_c)/Step_c)-MAX(6,MIN(INT(((Alpha_keep*$A192+L$3-Lo_c)/Step_c)+0.00000001),193))))*INDEX($D$5:$D$205,MAX(6,MIN(INT(((Alpha_keep*$A192+L$3-Lo_c)/Step_c)+0.00000001),193))+1)+(((Alpha_keep*$A192+L$3-Lo_c)/Step_c)-MAX(6,MIN(INT(((Alpha_keep*$A192+L$3-Lo_c)/Step_c)+0.00000001),193)))*INDEX($D$5:$D$205,MAX(6,MIN(INT(((Alpha_keep*$A192+L$3-Lo_c)/Step_c)+0.00000001),193))+2)),"")</f>
        <v>-180.986989993791</v>
      </c>
      <c r="M192" s="16" t="n">
        <f aca="false">IF(Grid!K192=1,-Cost_k*M$3-Short_p*MAX(0,Floor_c-$A192)+Beta_q*((1-(((Alpha_keep*$A192+M$3-Lo_c)/Step_c)-MAX(6,MIN(INT(((Alpha_keep*$A192+M$3-Lo_c)/Step_c)+0.00000001),193))))*INDEX($D$5:$D$205,MAX(6,MIN(INT(((Alpha_keep*$A192+M$3-Lo_c)/Step_c)+0.00000001),193))+1)+(((Alpha_keep*$A192+M$3-Lo_c)/Step_c)-MAX(6,MIN(INT(((Alpha_keep*$A192+M$3-Lo_c)/Step_c)+0.00000001),193)))*INDEX($D$5:$D$205,MAX(6,MIN(INT(((Alpha_keep*$A192+M$3-Lo_c)/Step_c)+0.00000001),193))+2)),"")</f>
        <v>-181.4556811263</v>
      </c>
      <c r="N192" s="16" t="n">
        <f aca="false">IF(Grid!L192=1,-Cost_k*N$3-Short_p*MAX(0,Floor_c-$A192)+Beta_q*((1-(((Alpha_keep*$A192+N$3-Lo_c)/Step_c)-MAX(6,MIN(INT(((Alpha_keep*$A192+N$3-Lo_c)/Step_c)+0.00000001),193))))*INDEX($D$5:$D$205,MAX(6,MIN(INT(((Alpha_keep*$A192+N$3-Lo_c)/Step_c)+0.00000001),193))+1)+(((Alpha_keep*$A192+N$3-Lo_c)/Step_c)-MAX(6,MIN(INT(((Alpha_keep*$A192+N$3-Lo_c)/Step_c)+0.00000001),193)))*INDEX($D$5:$D$205,MAX(6,MIN(INT(((Alpha_keep*$A192+N$3-Lo_c)/Step_c)+0.00000001),193))+2)),"")</f>
        <v>-181.927690893138</v>
      </c>
      <c r="O192" s="16" t="n">
        <f aca="false">IF(Grid!M192=1,-Cost_k*O$3-Short_p*MAX(0,Floor_c-$A192)+Beta_q*((1-(((Alpha_keep*$A192+O$3-Lo_c)/Step_c)-MAX(6,MIN(INT(((Alpha_keep*$A192+O$3-Lo_c)/Step_c)+0.00000001),193))))*INDEX($D$5:$D$205,MAX(6,MIN(INT(((Alpha_keep*$A192+O$3-Lo_c)/Step_c)+0.00000001),193))+1)+(((Alpha_keep*$A192+O$3-Lo_c)/Step_c)-MAX(6,MIN(INT(((Alpha_keep*$A192+O$3-Lo_c)/Step_c)+0.00000001),193)))*INDEX($D$5:$D$205,MAX(6,MIN(INT(((Alpha_keep*$A192+O$3-Lo_c)/Step_c)+0.00000001),193))+2)),"")</f>
        <v>-182.402994138962</v>
      </c>
      <c r="P192" s="11" t="n">
        <f aca="false">MAX(E192:O192)</f>
        <v>-177.802125670414</v>
      </c>
      <c r="Q192" s="12" t="n">
        <f aca="false">INDEX($E$3:$O$3,MATCH(P192,E192:O192,0))</f>
        <v>0</v>
      </c>
      <c r="R192" s="20" t="n">
        <v>0</v>
      </c>
      <c r="S192" s="14" t="n">
        <f aca="false">IF(ABS(Q192-R192)&lt;0.000000001,1,0)</f>
        <v>1</v>
      </c>
      <c r="T192" s="21" t="n">
        <f aca="false">ABS(P192-B192)</f>
        <v>0</v>
      </c>
      <c r="U192" s="16" t="n">
        <f aca="false">Alpha_keep*A192+Q192</f>
        <v>74.83125</v>
      </c>
      <c r="V192" s="14" t="n">
        <f aca="false">INDEX(GuardBlock,188,ROUND(Q192/Step_h,0)+1)</f>
        <v>1</v>
      </c>
      <c r="W192" s="22" t="n">
        <v>0</v>
      </c>
    </row>
    <row r="193" customFormat="false" ht="15" hidden="false" customHeight="false" outlineLevel="0" collapsed="false">
      <c r="A193" s="18" t="n">
        <f aca="false">Grid!A193</f>
        <v>77</v>
      </c>
      <c r="B193" s="19" t="n">
        <v>-177.260428781322</v>
      </c>
      <c r="C193" s="14" t="n">
        <v>188</v>
      </c>
      <c r="D193" s="11" t="n">
        <f aca="false">IF(AND($C193&gt;=6,$C193&lt;=194),Declarations!$B$25*INDEX($B$5:$B$205,$C193+1-Declarations!$E$25)+Declarations!$B$26*INDEX($B$5:$B$205,$C193+1-Declarations!$E$26)+Declarations!$B$27*INDEX($B$5:$B$205,$C193+1-Declarations!$E$27)+Declarations!$B$28*INDEX($B$5:$B$205,$C193+1-Declarations!$E$28)+Declarations!$B$29*INDEX($B$5:$B$205,$C193+1-Declarations!$E$29),"")</f>
        <v>-177.272609044324</v>
      </c>
      <c r="E193" s="16" t="n">
        <f aca="false">IF(Grid!C193=1,-Cost_k*E$3-Short_p*MAX(0,Floor_c-$A193)+Beta_q*((1-(((Alpha_keep*$A193+E$3-Lo_c)/Step_c)-MAX(6,MIN(INT(((Alpha_keep*$A193+E$3-Lo_c)/Step_c)+0.00000001),193))))*INDEX($D$5:$D$205,MAX(6,MIN(INT(((Alpha_keep*$A193+E$3-Lo_c)/Step_c)+0.00000001),193))+1)+(((Alpha_keep*$A193+E$3-Lo_c)/Step_c)-MAX(6,MIN(INT(((Alpha_keep*$A193+E$3-Lo_c)/Step_c)+0.00000001),193)))*INDEX($D$5:$D$205,MAX(6,MIN(INT(((Alpha_keep*$A193+E$3-Lo_c)/Step_c)+0.00000001),193))+2)),"")</f>
        <v>-177.260428781322</v>
      </c>
      <c r="F193" s="16" t="n">
        <f aca="false">IF(Grid!D193=1,-Cost_k*F$3-Short_p*MAX(0,Floor_c-$A193)+Beta_q*((1-(((Alpha_keep*$A193+F$3-Lo_c)/Step_c)-MAX(6,MIN(INT(((Alpha_keep*$A193+F$3-Lo_c)/Step_c)+0.00000001),193))))*INDEX($D$5:$D$205,MAX(6,MIN(INT(((Alpha_keep*$A193+F$3-Lo_c)/Step_c)+0.00000001),193))+1)+(((Alpha_keep*$A193+F$3-Lo_c)/Step_c)-MAX(6,MIN(INT(((Alpha_keep*$A193+F$3-Lo_c)/Step_c)+0.00000001),193)))*INDEX($D$5:$D$205,MAX(6,MIN(INT(((Alpha_keep*$A193+F$3-Lo_c)/Step_c)+0.00000001),193))+2)),"")</f>
        <v>-177.708355934097</v>
      </c>
      <c r="G193" s="16" t="n">
        <f aca="false">IF(Grid!E193=1,-Cost_k*G$3-Short_p*MAX(0,Floor_c-$A193)+Beta_q*((1-(((Alpha_keep*$A193+G$3-Lo_c)/Step_c)-MAX(6,MIN(INT(((Alpha_keep*$A193+G$3-Lo_c)/Step_c)+0.00000001),193))))*INDEX($D$5:$D$205,MAX(6,MIN(INT(((Alpha_keep*$A193+G$3-Lo_c)/Step_c)+0.00000001),193))+1)+(((Alpha_keep*$A193+G$3-Lo_c)/Step_c)-MAX(6,MIN(INT(((Alpha_keep*$A193+G$3-Lo_c)/Step_c)+0.00000001),193)))*INDEX($D$5:$D$205,MAX(6,MIN(INT(((Alpha_keep*$A193+G$3-Lo_c)/Step_c)+0.00000001),193))+2)),"")</f>
        <v>-178.159823122507</v>
      </c>
      <c r="H193" s="16" t="n">
        <f aca="false">IF(Grid!F193=1,-Cost_k*H$3-Short_p*MAX(0,Floor_c-$A193)+Beta_q*((1-(((Alpha_keep*$A193+H$3-Lo_c)/Step_c)-MAX(6,MIN(INT(((Alpha_keep*$A193+H$3-Lo_c)/Step_c)+0.00000001),193))))*INDEX($D$5:$D$205,MAX(6,MIN(INT(((Alpha_keep*$A193+H$3-Lo_c)/Step_c)+0.00000001),193))+1)+(((Alpha_keep*$A193+H$3-Lo_c)/Step_c)-MAX(6,MIN(INT(((Alpha_keep*$A193+H$3-Lo_c)/Step_c)+0.00000001),193)))*INDEX($D$5:$D$205,MAX(6,MIN(INT(((Alpha_keep*$A193+H$3-Lo_c)/Step_c)+0.00000001),193))+2)),"")</f>
        <v>-178.614797412446</v>
      </c>
      <c r="I193" s="16" t="n">
        <f aca="false">IF(Grid!G193=1,-Cost_k*I$3-Short_p*MAX(0,Floor_c-$A193)+Beta_q*((1-(((Alpha_keep*$A193+I$3-Lo_c)/Step_c)-MAX(6,MIN(INT(((Alpha_keep*$A193+I$3-Lo_c)/Step_c)+0.00000001),193))))*INDEX($D$5:$D$205,MAX(6,MIN(INT(((Alpha_keep*$A193+I$3-Lo_c)/Step_c)+0.00000001),193))+1)+(((Alpha_keep*$A193+I$3-Lo_c)/Step_c)-MAX(6,MIN(INT(((Alpha_keep*$A193+I$3-Lo_c)/Step_c)+0.00000001),193)))*INDEX($D$5:$D$205,MAX(6,MIN(INT(((Alpha_keep*$A193+I$3-Lo_c)/Step_c)+0.00000001),193))+2)),"")</f>
        <v>-179.073218897243</v>
      </c>
      <c r="J193" s="16" t="n">
        <f aca="false">IF(Grid!H193=1,-Cost_k*J$3-Short_p*MAX(0,Floor_c-$A193)+Beta_q*((1-(((Alpha_keep*$A193+J$3-Lo_c)/Step_c)-MAX(6,MIN(INT(((Alpha_keep*$A193+J$3-Lo_c)/Step_c)+0.00000001),193))))*INDEX($D$5:$D$205,MAX(6,MIN(INT(((Alpha_keep*$A193+J$3-Lo_c)/Step_c)+0.00000001),193))+1)+(((Alpha_keep*$A193+J$3-Lo_c)/Step_c)-MAX(6,MIN(INT(((Alpha_keep*$A193+J$3-Lo_c)/Step_c)+0.00000001),193)))*INDEX($D$5:$D$205,MAX(6,MIN(INT(((Alpha_keep*$A193+J$3-Lo_c)/Step_c)+0.00000001),193))+2)),"")</f>
        <v>-179.535057446747</v>
      </c>
      <c r="K193" s="16" t="n">
        <f aca="false">IF(Grid!I193=1,-Cost_k*K$3-Short_p*MAX(0,Floor_c-$A193)+Beta_q*((1-(((Alpha_keep*$A193+K$3-Lo_c)/Step_c)-MAX(6,MIN(INT(((Alpha_keep*$A193+K$3-Lo_c)/Step_c)+0.00000001),193))))*INDEX($D$5:$D$205,MAX(6,MIN(INT(((Alpha_keep*$A193+K$3-Lo_c)/Step_c)+0.00000001),193))+1)+(((Alpha_keep*$A193+K$3-Lo_c)/Step_c)-MAX(6,MIN(INT(((Alpha_keep*$A193+K$3-Lo_c)/Step_c)+0.00000001),193)))*INDEX($D$5:$D$205,MAX(6,MIN(INT(((Alpha_keep*$A193+K$3-Lo_c)/Step_c)+0.00000001),193))+2)),"")</f>
        <v>-180.000299757764</v>
      </c>
      <c r="L193" s="16" t="n">
        <f aca="false">IF(Grid!J193=1,-Cost_k*L$3-Short_p*MAX(0,Floor_c-$A193)+Beta_q*((1-(((Alpha_keep*$A193+L$3-Lo_c)/Step_c)-MAX(6,MIN(INT(((Alpha_keep*$A193+L$3-Lo_c)/Step_c)+0.00000001),193))))*INDEX($D$5:$D$205,MAX(6,MIN(INT(((Alpha_keep*$A193+L$3-Lo_c)/Step_c)+0.00000001),193))+1)+(((Alpha_keep*$A193+L$3-Lo_c)/Step_c)-MAX(6,MIN(INT(((Alpha_keep*$A193+L$3-Lo_c)/Step_c)+0.00000001),193)))*INDEX($D$5:$D$205,MAX(6,MIN(INT(((Alpha_keep*$A193+L$3-Lo_c)/Step_c)+0.00000001),193))+2)),"")</f>
        <v>-180.46890768324</v>
      </c>
      <c r="M193" s="16" t="n">
        <f aca="false">IF(Grid!K193=1,-Cost_k*M$3-Short_p*MAX(0,Floor_c-$A193)+Beta_q*((1-(((Alpha_keep*$A193+M$3-Lo_c)/Step_c)-MAX(6,MIN(INT(((Alpha_keep*$A193+M$3-Lo_c)/Step_c)+0.00000001),193))))*INDEX($D$5:$D$205,MAX(6,MIN(INT(((Alpha_keep*$A193+M$3-Lo_c)/Step_c)+0.00000001),193))+1)+(((Alpha_keep*$A193+M$3-Lo_c)/Step_c)-MAX(6,MIN(INT(((Alpha_keep*$A193+M$3-Lo_c)/Step_c)+0.00000001),193)))*INDEX($D$5:$D$205,MAX(6,MIN(INT(((Alpha_keep*$A193+M$3-Lo_c)/Step_c)+0.00000001),193))+2)),"")</f>
        <v>-180.940834985121</v>
      </c>
      <c r="N193" s="16" t="n">
        <f aca="false">IF(Grid!L193=1,-Cost_k*N$3-Short_p*MAX(0,Floor_c-$A193)+Beta_q*((1-(((Alpha_keep*$A193+N$3-Lo_c)/Step_c)-MAX(6,MIN(INT(((Alpha_keep*$A193+N$3-Lo_c)/Step_c)+0.00000001),193))))*INDEX($D$5:$D$205,MAX(6,MIN(INT(((Alpha_keep*$A193+N$3-Lo_c)/Step_c)+0.00000001),193))+1)+(((Alpha_keep*$A193+N$3-Lo_c)/Step_c)-MAX(6,MIN(INT(((Alpha_keep*$A193+N$3-Lo_c)/Step_c)+0.00000001),193)))*INDEX($D$5:$D$205,MAX(6,MIN(INT(((Alpha_keep*$A193+N$3-Lo_c)/Step_c)+0.00000001),193))+2)),"")</f>
        <v>-181.41605615978</v>
      </c>
      <c r="O193" s="16" t="n">
        <f aca="false">IF(Grid!M193=1,-Cost_k*O$3-Short_p*MAX(0,Floor_c-$A193)+Beta_q*((1-(((Alpha_keep*$A193+O$3-Lo_c)/Step_c)-MAX(6,MIN(INT(((Alpha_keep*$A193+O$3-Lo_c)/Step_c)+0.00000001),193))))*INDEX($D$5:$D$205,MAX(6,MIN(INT(((Alpha_keep*$A193+O$3-Lo_c)/Step_c)+0.00000001),193))+1)+(((Alpha_keep*$A193+O$3-Lo_c)/Step_c)-MAX(6,MIN(INT(((Alpha_keep*$A193+O$3-Lo_c)/Step_c)+0.00000001),193)))*INDEX($D$5:$D$205,MAX(6,MIN(INT(((Alpha_keep*$A193+O$3-Lo_c)/Step_c)+0.00000001),193))+2)),"")</f>
        <v>-181.894549976999</v>
      </c>
      <c r="P193" s="11" t="n">
        <f aca="false">MAX(E193:O193)</f>
        <v>-177.260428781322</v>
      </c>
      <c r="Q193" s="12" t="n">
        <f aca="false">INDEX($E$3:$O$3,MATCH(P193,E193:O193,0))</f>
        <v>0</v>
      </c>
      <c r="R193" s="20" t="n">
        <v>0</v>
      </c>
      <c r="S193" s="14" t="n">
        <f aca="false">IF(ABS(Q193-R193)&lt;0.000000001,1,0)</f>
        <v>1</v>
      </c>
      <c r="T193" s="21" t="n">
        <f aca="false">ABS(P193-B193)</f>
        <v>0</v>
      </c>
      <c r="U193" s="16" t="n">
        <f aca="false">Alpha_keep*A193+Q193</f>
        <v>75.075</v>
      </c>
      <c r="V193" s="14" t="n">
        <f aca="false">INDEX(GuardBlock,189,ROUND(Q193/Step_h,0)+1)</f>
        <v>1</v>
      </c>
      <c r="W193" s="22" t="n">
        <v>0</v>
      </c>
    </row>
    <row r="194" customFormat="false" ht="15" hidden="false" customHeight="false" outlineLevel="0" collapsed="false">
      <c r="A194" s="18" t="n">
        <f aca="false">Grid!A194</f>
        <v>77.25</v>
      </c>
      <c r="B194" s="19" t="n">
        <v>-176.72209571095</v>
      </c>
      <c r="C194" s="14" t="n">
        <v>189</v>
      </c>
      <c r="D194" s="11" t="n">
        <f aca="false">IF(AND($C194&gt;=6,$C194&lt;=194),Declarations!$B$25*INDEX($B$5:$B$205,$C194+1-Declarations!$E$25)+Declarations!$B$26*INDEX($B$5:$B$205,$C194+1-Declarations!$E$26)+Declarations!$B$27*INDEX($B$5:$B$205,$C194+1-Declarations!$E$27)+Declarations!$B$28*INDEX($B$5:$B$205,$C194+1-Declarations!$E$28)+Declarations!$B$29*INDEX($B$5:$B$205,$C194+1-Declarations!$E$29),"")</f>
        <v>-176.734167263099</v>
      </c>
      <c r="E194" s="16" t="n">
        <f aca="false">IF(Grid!C194=1,-Cost_k*E$3-Short_p*MAX(0,Floor_c-$A194)+Beta_q*((1-(((Alpha_keep*$A194+E$3-Lo_c)/Step_c)-MAX(6,MIN(INT(((Alpha_keep*$A194+E$3-Lo_c)/Step_c)+0.00000001),193))))*INDEX($D$5:$D$205,MAX(6,MIN(INT(((Alpha_keep*$A194+E$3-Lo_c)/Step_c)+0.00000001),193))+1)+(((Alpha_keep*$A194+E$3-Lo_c)/Step_c)-MAX(6,MIN(INT(((Alpha_keep*$A194+E$3-Lo_c)/Step_c)+0.00000001),193)))*INDEX($D$5:$D$205,MAX(6,MIN(INT(((Alpha_keep*$A194+E$3-Lo_c)/Step_c)+0.00000001),193))+2)),"")</f>
        <v>-176.72209571095</v>
      </c>
      <c r="F194" s="16" t="n">
        <f aca="false">IF(Grid!D194=1,-Cost_k*F$3-Short_p*MAX(0,Floor_c-$A194)+Beta_q*((1-(((Alpha_keep*$A194+F$3-Lo_c)/Step_c)-MAX(6,MIN(INT(((Alpha_keep*$A194+F$3-Lo_c)/Step_c)+0.00000001),193))))*INDEX($D$5:$D$205,MAX(6,MIN(INT(((Alpha_keep*$A194+F$3-Lo_c)/Step_c)+0.00000001),193))+1)+(((Alpha_keep*$A194+F$3-Lo_c)/Step_c)-MAX(6,MIN(INT(((Alpha_keep*$A194+F$3-Lo_c)/Step_c)+0.00000001),193)))*INDEX($D$5:$D$205,MAX(6,MIN(INT(((Alpha_keep*$A194+F$3-Lo_c)/Step_c)+0.00000001),193))+2)),"")</f>
        <v>-177.173474710816</v>
      </c>
      <c r="G194" s="16" t="n">
        <f aca="false">IF(Grid!E194=1,-Cost_k*G$3-Short_p*MAX(0,Floor_c-$A194)+Beta_q*((1-(((Alpha_keep*$A194+G$3-Lo_c)/Step_c)-MAX(6,MIN(INT(((Alpha_keep*$A194+G$3-Lo_c)/Step_c)+0.00000001),193))))*INDEX($D$5:$D$205,MAX(6,MIN(INT(((Alpha_keep*$A194+G$3-Lo_c)/Step_c)+0.00000001),193))+1)+(((Alpha_keep*$A194+G$3-Lo_c)/Step_c)-MAX(6,MIN(INT(((Alpha_keep*$A194+G$3-Lo_c)/Step_c)+0.00000001),193)))*INDEX($D$5:$D$205,MAX(6,MIN(INT(((Alpha_keep*$A194+G$3-Lo_c)/Step_c)+0.00000001),193))+2)),"")</f>
        <v>-177.628362515563</v>
      </c>
      <c r="H194" s="16" t="n">
        <f aca="false">IF(Grid!F194=1,-Cost_k*H$3-Short_p*MAX(0,Floor_c-$A194)+Beta_q*((1-(((Alpha_keep*$A194+H$3-Lo_c)/Step_c)-MAX(6,MIN(INT(((Alpha_keep*$A194+H$3-Lo_c)/Step_c)+0.00000001),193))))*INDEX($D$5:$D$205,MAX(6,MIN(INT(((Alpha_keep*$A194+H$3-Lo_c)/Step_c)+0.00000001),193))+1)+(((Alpha_keep*$A194+H$3-Lo_c)/Step_c)-MAX(6,MIN(INT(((Alpha_keep*$A194+H$3-Lo_c)/Step_c)+0.00000001),193)))*INDEX($D$5:$D$205,MAX(6,MIN(INT(((Alpha_keep*$A194+H$3-Lo_c)/Step_c)+0.00000001),193))+2)),"")</f>
        <v>-178.086698532904</v>
      </c>
      <c r="I194" s="16" t="n">
        <f aca="false">IF(Grid!G194=1,-Cost_k*I$3-Short_p*MAX(0,Floor_c-$A194)+Beta_q*((1-(((Alpha_keep*$A194+I$3-Lo_c)/Step_c)-MAX(6,MIN(INT(((Alpha_keep*$A194+I$3-Lo_c)/Step_c)+0.00000001),193))))*INDEX($D$5:$D$205,MAX(6,MIN(INT(((Alpha_keep*$A194+I$3-Lo_c)/Step_c)+0.00000001),193))+1)+(((Alpha_keep*$A194+I$3-Lo_c)/Step_c)-MAX(6,MIN(INT(((Alpha_keep*$A194+I$3-Lo_c)/Step_c)+0.00000001),193)))*INDEX($D$5:$D$205,MAX(6,MIN(INT(((Alpha_keep*$A194+I$3-Lo_c)/Step_c)+0.00000001),193))+2)),"")</f>
        <v>-178.54845175108</v>
      </c>
      <c r="J194" s="16" t="n">
        <f aca="false">IF(Grid!H194=1,-Cost_k*J$3-Short_p*MAX(0,Floor_c-$A194)+Beta_q*((1-(((Alpha_keep*$A194+J$3-Lo_c)/Step_c)-MAX(6,MIN(INT(((Alpha_keep*$A194+J$3-Lo_c)/Step_c)+0.00000001),193))))*INDEX($D$5:$D$205,MAX(6,MIN(INT(((Alpha_keep*$A194+J$3-Lo_c)/Step_c)+0.00000001),193))+1)+(((Alpha_keep*$A194+J$3-Lo_c)/Step_c)-MAX(6,MIN(INT(((Alpha_keep*$A194+J$3-Lo_c)/Step_c)+0.00000001),193)))*INDEX($D$5:$D$205,MAX(6,MIN(INT(((Alpha_keep*$A194+J$3-Lo_c)/Step_c)+0.00000001),193))+2)),"")</f>
        <v>-179.013609521737</v>
      </c>
      <c r="K194" s="16" t="n">
        <f aca="false">IF(Grid!I194=1,-Cost_k*K$3-Short_p*MAX(0,Floor_c-$A194)+Beta_q*((1-(((Alpha_keep*$A194+K$3-Lo_c)/Step_c)-MAX(6,MIN(INT(((Alpha_keep*$A194+K$3-Lo_c)/Step_c)+0.00000001),193))))*INDEX($D$5:$D$205,MAX(6,MIN(INT(((Alpha_keep*$A194+K$3-Lo_c)/Step_c)+0.00000001),193))+1)+(((Alpha_keep*$A194+K$3-Lo_c)/Step_c)-MAX(6,MIN(INT(((Alpha_keep*$A194+K$3-Lo_c)/Step_c)+0.00000001),193)))*INDEX($D$5:$D$205,MAX(6,MIN(INT(((Alpha_keep*$A194+K$3-Lo_c)/Step_c)+0.00000001),193))+2)),"")</f>
        <v>-179.482134240179</v>
      </c>
      <c r="L194" s="16" t="n">
        <f aca="false">IF(Grid!J194=1,-Cost_k*L$3-Short_p*MAX(0,Floor_c-$A194)+Beta_q*((1-(((Alpha_keep*$A194+L$3-Lo_c)/Step_c)-MAX(6,MIN(INT(((Alpha_keep*$A194+L$3-Lo_c)/Step_c)+0.00000001),193))))*INDEX($D$5:$D$205,MAX(6,MIN(INT(((Alpha_keep*$A194+L$3-Lo_c)/Step_c)+0.00000001),193))+1)+(((Alpha_keep*$A194+L$3-Lo_c)/Step_c)-MAX(6,MIN(INT(((Alpha_keep*$A194+L$3-Lo_c)/Step_c)+0.00000001),193)))*INDEX($D$5:$D$205,MAX(6,MIN(INT(((Alpha_keep*$A194+L$3-Lo_c)/Step_c)+0.00000001),193))+2)),"")</f>
        <v>-179.953979077104</v>
      </c>
      <c r="M194" s="16" t="n">
        <f aca="false">IF(Grid!K194=1,-Cost_k*M$3-Short_p*MAX(0,Floor_c-$A194)+Beta_q*((1-(((Alpha_keep*$A194+M$3-Lo_c)/Step_c)-MAX(6,MIN(INT(((Alpha_keep*$A194+M$3-Lo_c)/Step_c)+0.00000001),193))))*INDEX($D$5:$D$205,MAX(6,MIN(INT(((Alpha_keep*$A194+M$3-Lo_c)/Step_c)+0.00000001),193))+1)+(((Alpha_keep*$A194+M$3-Lo_c)/Step_c)-MAX(6,MIN(INT(((Alpha_keep*$A194+M$3-Lo_c)/Step_c)+0.00000001),193)))*INDEX($D$5:$D$205,MAX(6,MIN(INT(((Alpha_keep*$A194+M$3-Lo_c)/Step_c)+0.00000001),193))+2)),"")</f>
        <v>-180.429118180597</v>
      </c>
      <c r="N194" s="16" t="n">
        <f aca="false">IF(Grid!L194=1,-Cost_k*N$3-Short_p*MAX(0,Floor_c-$A194)+Beta_q*((1-(((Alpha_keep*$A194+N$3-Lo_c)/Step_c)-MAX(6,MIN(INT(((Alpha_keep*$A194+N$3-Lo_c)/Step_c)+0.00000001),193))))*INDEX($D$5:$D$205,MAX(6,MIN(INT(((Alpha_keep*$A194+N$3-Lo_c)/Step_c)+0.00000001),193))+1)+(((Alpha_keep*$A194+N$3-Lo_c)/Step_c)-MAX(6,MIN(INT(((Alpha_keep*$A194+N$3-Lo_c)/Step_c)+0.00000001),193)))*INDEX($D$5:$D$205,MAX(6,MIN(INT(((Alpha_keep*$A194+N$3-Lo_c)/Step_c)+0.00000001),193))+2)),"")</f>
        <v>-180.90753077699</v>
      </c>
      <c r="O194" s="16" t="n">
        <f aca="false">IF(Grid!M194=1,-Cost_k*O$3-Short_p*MAX(0,Floor_c-$A194)+Beta_q*((1-(((Alpha_keep*$A194+O$3-Lo_c)/Step_c)-MAX(6,MIN(INT(((Alpha_keep*$A194+O$3-Lo_c)/Step_c)+0.00000001),193))))*INDEX($D$5:$D$205,MAX(6,MIN(INT(((Alpha_keep*$A194+O$3-Lo_c)/Step_c)+0.00000001),193))+1)+(((Alpha_keep*$A194+O$3-Lo_c)/Step_c)-MAX(6,MIN(INT(((Alpha_keep*$A194+O$3-Lo_c)/Step_c)+0.00000001),193)))*INDEX($D$5:$D$205,MAX(6,MIN(INT(((Alpha_keep*$A194+O$3-Lo_c)/Step_c)+0.00000001),193))+2)),"")</f>
        <v>-181.389180500253</v>
      </c>
      <c r="P194" s="11" t="n">
        <f aca="false">MAX(E194:O194)</f>
        <v>-176.72209571095</v>
      </c>
      <c r="Q194" s="12" t="n">
        <f aca="false">INDEX($E$3:$O$3,MATCH(P194,E194:O194,0))</f>
        <v>0</v>
      </c>
      <c r="R194" s="20" t="n">
        <v>0</v>
      </c>
      <c r="S194" s="14" t="n">
        <f aca="false">IF(ABS(Q194-R194)&lt;0.000000001,1,0)</f>
        <v>1</v>
      </c>
      <c r="T194" s="21" t="n">
        <f aca="false">ABS(P194-B194)</f>
        <v>0</v>
      </c>
      <c r="U194" s="16" t="n">
        <f aca="false">Alpha_keep*A194+Q194</f>
        <v>75.31875</v>
      </c>
      <c r="V194" s="14" t="n">
        <f aca="false">INDEX(GuardBlock,190,ROUND(Q194/Step_h,0)+1)</f>
        <v>1</v>
      </c>
      <c r="W194" s="22" t="n">
        <v>0</v>
      </c>
    </row>
    <row r="195" customFormat="false" ht="15" hidden="false" customHeight="false" outlineLevel="0" collapsed="false">
      <c r="A195" s="18" t="n">
        <f aca="false">Grid!A195</f>
        <v>77.5</v>
      </c>
      <c r="B195" s="19" t="n">
        <v>-176.187126299125</v>
      </c>
      <c r="C195" s="14" t="n">
        <v>190</v>
      </c>
      <c r="D195" s="11" t="n">
        <f aca="false">IF(AND($C195&gt;=6,$C195&lt;=194),Declarations!$B$25*INDEX($B$5:$B$205,$C195+1-Declarations!$E$25)+Declarations!$B$26*INDEX($B$5:$B$205,$C195+1-Declarations!$E$26)+Declarations!$B$27*INDEX($B$5:$B$205,$C195+1-Declarations!$E$27)+Declarations!$B$28*INDEX($B$5:$B$205,$C195+1-Declarations!$E$28)+Declarations!$B$29*INDEX($B$5:$B$205,$C195+1-Declarations!$E$29),"")</f>
        <v>-176.199087490044</v>
      </c>
      <c r="E195" s="16" t="n">
        <f aca="false">IF(Grid!C195=1,-Cost_k*E$3-Short_p*MAX(0,Floor_c-$A195)+Beta_q*((1-(((Alpha_keep*$A195+E$3-Lo_c)/Step_c)-MAX(6,MIN(INT(((Alpha_keep*$A195+E$3-Lo_c)/Step_c)+0.00000001),193))))*INDEX($D$5:$D$205,MAX(6,MIN(INT(((Alpha_keep*$A195+E$3-Lo_c)/Step_c)+0.00000001),193))+1)+(((Alpha_keep*$A195+E$3-Lo_c)/Step_c)-MAX(6,MIN(INT(((Alpha_keep*$A195+E$3-Lo_c)/Step_c)+0.00000001),193)))*INDEX($D$5:$D$205,MAX(6,MIN(INT(((Alpha_keep*$A195+E$3-Lo_c)/Step_c)+0.00000001),193))+2)),"")</f>
        <v>-176.187126299125</v>
      </c>
      <c r="F195" s="16" t="n">
        <f aca="false">IF(Grid!D195=1,-Cost_k*F$3-Short_p*MAX(0,Floor_c-$A195)+Beta_q*((1-(((Alpha_keep*$A195+F$3-Lo_c)/Step_c)-MAX(6,MIN(INT(((Alpha_keep*$A195+F$3-Lo_c)/Step_c)+0.00000001),193))))*INDEX($D$5:$D$205,MAX(6,MIN(INT(((Alpha_keep*$A195+F$3-Lo_c)/Step_c)+0.00000001),193))+1)+(((Alpha_keep*$A195+F$3-Lo_c)/Step_c)-MAX(6,MIN(INT(((Alpha_keep*$A195+F$3-Lo_c)/Step_c)+0.00000001),193)))*INDEX($D$5:$D$205,MAX(6,MIN(INT(((Alpha_keep*$A195+F$3-Lo_c)/Step_c)+0.00000001),193))+2)),"")</f>
        <v>-176.64192761868</v>
      </c>
      <c r="G195" s="16" t="n">
        <f aca="false">IF(Grid!E195=1,-Cost_k*G$3-Short_p*MAX(0,Floor_c-$A195)+Beta_q*((1-(((Alpha_keep*$A195+G$3-Lo_c)/Step_c)-MAX(6,MIN(INT(((Alpha_keep*$A195+G$3-Lo_c)/Step_c)+0.00000001),193))))*INDEX($D$5:$D$205,MAX(6,MIN(INT(((Alpha_keep*$A195+G$3-Lo_c)/Step_c)+0.00000001),193))+1)+(((Alpha_keep*$A195+G$3-Lo_c)/Step_c)-MAX(6,MIN(INT(((Alpha_keep*$A195+G$3-Lo_c)/Step_c)+0.00000001),193)))*INDEX($D$5:$D$205,MAX(6,MIN(INT(((Alpha_keep*$A195+G$3-Lo_c)/Step_c)+0.00000001),193))+2)),"")</f>
        <v>-177.100178168565</v>
      </c>
      <c r="H195" s="16" t="n">
        <f aca="false">IF(Grid!F195=1,-Cost_k*H$3-Short_p*MAX(0,Floor_c-$A195)+Beta_q*((1-(((Alpha_keep*$A195+H$3-Lo_c)/Step_c)-MAX(6,MIN(INT(((Alpha_keep*$A195+H$3-Lo_c)/Step_c)+0.00000001),193))))*INDEX($D$5:$D$205,MAX(6,MIN(INT(((Alpha_keep*$A195+H$3-Lo_c)/Step_c)+0.00000001),193))+1)+(((Alpha_keep*$A195+H$3-Lo_c)/Step_c)-MAX(6,MIN(INT(((Alpha_keep*$A195+H$3-Lo_c)/Step_c)+0.00000001),193)))*INDEX($D$5:$D$205,MAX(6,MIN(INT(((Alpha_keep*$A195+H$3-Lo_c)/Step_c)+0.00000001),193))+2)),"")</f>
        <v>-177.561846055412</v>
      </c>
      <c r="I195" s="16" t="n">
        <f aca="false">IF(Grid!G195=1,-Cost_k*I$3-Short_p*MAX(0,Floor_c-$A195)+Beta_q*((1-(((Alpha_keep*$A195+I$3-Lo_c)/Step_c)-MAX(6,MIN(INT(((Alpha_keep*$A195+I$3-Lo_c)/Step_c)+0.00000001),193))))*INDEX($D$5:$D$205,MAX(6,MIN(INT(((Alpha_keep*$A195+I$3-Lo_c)/Step_c)+0.00000001),193))+1)+(((Alpha_keep*$A195+I$3-Lo_c)/Step_c)-MAX(6,MIN(INT(((Alpha_keep*$A195+I$3-Lo_c)/Step_c)+0.00000001),193)))*INDEX($D$5:$D$205,MAX(6,MIN(INT(((Alpha_keep*$A195+I$3-Lo_c)/Step_c)+0.00000001),193))+2)),"")</f>
        <v>-178.02691928571</v>
      </c>
      <c r="J195" s="16" t="n">
        <f aca="false">IF(Grid!H195=1,-Cost_k*J$3-Short_p*MAX(0,Floor_c-$A195)+Beta_q*((1-(((Alpha_keep*$A195+J$3-Lo_c)/Step_c)-MAX(6,MIN(INT(((Alpha_keep*$A195+J$3-Lo_c)/Step_c)+0.00000001),193))))*INDEX($D$5:$D$205,MAX(6,MIN(INT(((Alpha_keep*$A195+J$3-Lo_c)/Step_c)+0.00000001),193))+1)+(((Alpha_keep*$A195+J$3-Lo_c)/Step_c)-MAX(6,MIN(INT(((Alpha_keep*$A195+J$3-Lo_c)/Step_c)+0.00000001),193)))*INDEX($D$5:$D$205,MAX(6,MIN(INT(((Alpha_keep*$A195+J$3-Lo_c)/Step_c)+0.00000001),193))+2)),"")</f>
        <v>-178.495360797119</v>
      </c>
      <c r="K195" s="16" t="n">
        <f aca="false">IF(Grid!I195=1,-Cost_k*K$3-Short_p*MAX(0,Floor_c-$A195)+Beta_q*((1-(((Alpha_keep*$A195+K$3-Lo_c)/Step_c)-MAX(6,MIN(INT(((Alpha_keep*$A195+K$3-Lo_c)/Step_c)+0.00000001),193))))*INDEX($D$5:$D$205,MAX(6,MIN(INT(((Alpha_keep*$A195+K$3-Lo_c)/Step_c)+0.00000001),193))+1)+(((Alpha_keep*$A195+K$3-Lo_c)/Step_c)-MAX(6,MIN(INT(((Alpha_keep*$A195+K$3-Lo_c)/Step_c)+0.00000001),193)))*INDEX($D$5:$D$205,MAX(6,MIN(INT(((Alpha_keep*$A195+K$3-Lo_c)/Step_c)+0.00000001),193))+2)),"")</f>
        <v>-178.967123169088</v>
      </c>
      <c r="L195" s="16" t="n">
        <f aca="false">IF(Grid!J195=1,-Cost_k*L$3-Short_p*MAX(0,Floor_c-$A195)+Beta_q*((1-(((Alpha_keep*$A195+L$3-Lo_c)/Step_c)-MAX(6,MIN(INT(((Alpha_keep*$A195+L$3-Lo_c)/Step_c)+0.00000001),193))))*INDEX($D$5:$D$205,MAX(6,MIN(INT(((Alpha_keep*$A195+L$3-Lo_c)/Step_c)+0.00000001),193))+1)+(((Alpha_keep*$A195+L$3-Lo_c)/Step_c)-MAX(6,MIN(INT(((Alpha_keep*$A195+L$3-Lo_c)/Step_c)+0.00000001),193)))*INDEX($D$5:$D$205,MAX(6,MIN(INT(((Alpha_keep*$A195+L$3-Lo_c)/Step_c)+0.00000001),193))+2)),"")</f>
        <v>-179.442180201415</v>
      </c>
      <c r="M195" s="16" t="n">
        <f aca="false">IF(Grid!K195=1,-Cost_k*M$3-Short_p*MAX(0,Floor_c-$A195)+Beta_q*((1-(((Alpha_keep*$A195+M$3-Lo_c)/Step_c)-MAX(6,MIN(INT(((Alpha_keep*$A195+M$3-Lo_c)/Step_c)+0.00000001),193))))*INDEX($D$5:$D$205,MAX(6,MIN(INT(((Alpha_keep*$A195+M$3-Lo_c)/Step_c)+0.00000001),193))+1)+(((Alpha_keep*$A195+M$3-Lo_c)/Step_c)-MAX(6,MIN(INT(((Alpha_keep*$A195+M$3-Lo_c)/Step_c)+0.00000001),193)))*INDEX($D$5:$D$205,MAX(6,MIN(INT(((Alpha_keep*$A195+M$3-Lo_c)/Step_c)+0.00000001),193))+2)),"")</f>
        <v>-179.92051157698</v>
      </c>
      <c r="N195" s="16" t="n">
        <f aca="false">IF(Grid!L195=1,-Cost_k*N$3-Short_p*MAX(0,Floor_c-$A195)+Beta_q*((1-(((Alpha_keep*$A195+N$3-Lo_c)/Step_c)-MAX(6,MIN(INT(((Alpha_keep*$A195+N$3-Lo_c)/Step_c)+0.00000001),193))))*INDEX($D$5:$D$205,MAX(6,MIN(INT(((Alpha_keep*$A195+N$3-Lo_c)/Step_c)+0.00000001),193))+1)+(((Alpha_keep*$A195+N$3-Lo_c)/Step_c)-MAX(6,MIN(INT(((Alpha_keep*$A195+N$3-Lo_c)/Step_c)+0.00000001),193)))*INDEX($D$5:$D$205,MAX(6,MIN(INT(((Alpha_keep*$A195+N$3-Lo_c)/Step_c)+0.00000001),193))+2)),"")</f>
        <v>-180.402081143617</v>
      </c>
      <c r="O195" s="16" t="n">
        <f aca="false">IF(Grid!M195=1,-Cost_k*O$3-Short_p*MAX(0,Floor_c-$A195)+Beta_q*((1-(((Alpha_keep*$A195+O$3-Lo_c)/Step_c)-MAX(6,MIN(INT(((Alpha_keep*$A195+O$3-Lo_c)/Step_c)+0.00000001),193))))*INDEX($D$5:$D$205,MAX(6,MIN(INT(((Alpha_keep*$A195+O$3-Lo_c)/Step_c)+0.00000001),193))+1)+(((Alpha_keep*$A195+O$3-Lo_c)/Step_c)-MAX(6,MIN(INT(((Alpha_keep*$A195+O$3-Lo_c)/Step_c)+0.00000001),193)))*INDEX($D$5:$D$205,MAX(6,MIN(INT(((Alpha_keep*$A195+O$3-Lo_c)/Step_c)+0.00000001),193))+2)),"")</f>
        <v>-180.886850258405</v>
      </c>
      <c r="P195" s="11" t="n">
        <f aca="false">MAX(E195:O195)</f>
        <v>-176.187126299125</v>
      </c>
      <c r="Q195" s="12" t="n">
        <f aca="false">INDEX($E$3:$O$3,MATCH(P195,E195:O195,0))</f>
        <v>0</v>
      </c>
      <c r="R195" s="20" t="n">
        <v>0</v>
      </c>
      <c r="S195" s="14" t="n">
        <f aca="false">IF(ABS(Q195-R195)&lt;0.000000001,1,0)</f>
        <v>1</v>
      </c>
      <c r="T195" s="21" t="n">
        <f aca="false">ABS(P195-B195)</f>
        <v>0</v>
      </c>
      <c r="U195" s="16" t="n">
        <f aca="false">Alpha_keep*A195+Q195</f>
        <v>75.5625</v>
      </c>
      <c r="V195" s="14" t="n">
        <f aca="false">INDEX(GuardBlock,191,ROUND(Q195/Step_h,0)+1)</f>
        <v>1</v>
      </c>
      <c r="W195" s="22" t="n">
        <v>0</v>
      </c>
    </row>
    <row r="196" customFormat="false" ht="15" hidden="false" customHeight="false" outlineLevel="0" collapsed="false">
      <c r="A196" s="18" t="n">
        <f aca="false">Grid!A196</f>
        <v>77.75</v>
      </c>
      <c r="B196" s="19" t="n">
        <v>-175.655492721797</v>
      </c>
      <c r="C196" s="14" t="n">
        <v>191</v>
      </c>
      <c r="D196" s="11" t="n">
        <f aca="false">IF(AND($C196&gt;=6,$C196&lt;=194),Declarations!$B$25*INDEX($B$5:$B$205,$C196+1-Declarations!$E$25)+Declarations!$B$26*INDEX($B$5:$B$205,$C196+1-Declarations!$E$26)+Declarations!$B$27*INDEX($B$5:$B$205,$C196+1-Declarations!$E$27)+Declarations!$B$28*INDEX($B$5:$B$205,$C196+1-Declarations!$E$28)+Declarations!$B$29*INDEX($B$5:$B$205,$C196+1-Declarations!$E$29),"")</f>
        <v>-175.667334891412</v>
      </c>
      <c r="E196" s="16" t="n">
        <f aca="false">IF(Grid!C196=1,-Cost_k*E$3-Short_p*MAX(0,Floor_c-$A196)+Beta_q*((1-(((Alpha_keep*$A196+E$3-Lo_c)/Step_c)-MAX(6,MIN(INT(((Alpha_keep*$A196+E$3-Lo_c)/Step_c)+0.00000001),193))))*INDEX($D$5:$D$205,MAX(6,MIN(INT(((Alpha_keep*$A196+E$3-Lo_c)/Step_c)+0.00000001),193))+1)+(((Alpha_keep*$A196+E$3-Lo_c)/Step_c)-MAX(6,MIN(INT(((Alpha_keep*$A196+E$3-Lo_c)/Step_c)+0.00000001),193)))*INDEX($D$5:$D$205,MAX(6,MIN(INT(((Alpha_keep*$A196+E$3-Lo_c)/Step_c)+0.00000001),193))+2)),"")</f>
        <v>-175.655492721797</v>
      </c>
      <c r="F196" s="16" t="n">
        <f aca="false">IF(Grid!D196=1,-Cost_k*F$3-Short_p*MAX(0,Floor_c-$A196)+Beta_q*((1-(((Alpha_keep*$A196+F$3-Lo_c)/Step_c)-MAX(6,MIN(INT(((Alpha_keep*$A196+F$3-Lo_c)/Step_c)+0.00000001),193))))*INDEX($D$5:$D$205,MAX(6,MIN(INT(((Alpha_keep*$A196+F$3-Lo_c)/Step_c)+0.00000001),193))+1)+(((Alpha_keep*$A196+F$3-Lo_c)/Step_c)-MAX(6,MIN(INT(((Alpha_keep*$A196+F$3-Lo_c)/Step_c)+0.00000001),193)))*INDEX($D$5:$D$205,MAX(6,MIN(INT(((Alpha_keep*$A196+F$3-Lo_c)/Step_c)+0.00000001),193))+2)),"")</f>
        <v>-176.113657804226</v>
      </c>
      <c r="G196" s="16" t="n">
        <f aca="false">IF(Grid!E196=1,-Cost_k*G$3-Short_p*MAX(0,Floor_c-$A196)+Beta_q*((1-(((Alpha_keep*$A196+G$3-Lo_c)/Step_c)-MAX(6,MIN(INT(((Alpha_keep*$A196+G$3-Lo_c)/Step_c)+0.00000001),193))))*INDEX($D$5:$D$205,MAX(6,MIN(INT(((Alpha_keep*$A196+G$3-Lo_c)/Step_c)+0.00000001),193))+1)+(((Alpha_keep*$A196+G$3-Lo_c)/Step_c)-MAX(6,MIN(INT(((Alpha_keep*$A196+G$3-Lo_c)/Step_c)+0.00000001),193)))*INDEX($D$5:$D$205,MAX(6,MIN(INT(((Alpha_keep*$A196+G$3-Lo_c)/Step_c)+0.00000001),193))+2)),"")</f>
        <v>-176.575240359744</v>
      </c>
      <c r="H196" s="16" t="n">
        <f aca="false">IF(Grid!F196=1,-Cost_k*H$3-Short_p*MAX(0,Floor_c-$A196)+Beta_q*((1-(((Alpha_keep*$A196+H$3-Lo_c)/Step_c)-MAX(6,MIN(INT(((Alpha_keep*$A196+H$3-Lo_c)/Step_c)+0.00000001),193))))*INDEX($D$5:$D$205,MAX(6,MIN(INT(((Alpha_keep*$A196+H$3-Lo_c)/Step_c)+0.00000001),193))+1)+(((Alpha_keep*$A196+H$3-Lo_c)/Step_c)-MAX(6,MIN(INT(((Alpha_keep*$A196+H$3-Lo_c)/Step_c)+0.00000001),193)))*INDEX($D$5:$D$205,MAX(6,MIN(INT(((Alpha_keep*$A196+H$3-Lo_c)/Step_c)+0.00000001),193))+2)),"")</f>
        <v>-177.040229049683</v>
      </c>
      <c r="I196" s="16" t="n">
        <f aca="false">IF(Grid!G196=1,-Cost_k*I$3-Short_p*MAX(0,Floor_c-$A196)+Beta_q*((1-(((Alpha_keep*$A196+I$3-Lo_c)/Step_c)-MAX(6,MIN(INT(((Alpha_keep*$A196+I$3-Lo_c)/Step_c)+0.00000001),193))))*INDEX($D$5:$D$205,MAX(6,MIN(INT(((Alpha_keep*$A196+I$3-Lo_c)/Step_c)+0.00000001),193))+1)+(((Alpha_keep*$A196+I$3-Lo_c)/Step_c)-MAX(6,MIN(INT(((Alpha_keep*$A196+I$3-Lo_c)/Step_c)+0.00000001),193)))*INDEX($D$5:$D$205,MAX(6,MIN(INT(((Alpha_keep*$A196+I$3-Lo_c)/Step_c)+0.00000001),193))+2)),"")</f>
        <v>-177.508587354059</v>
      </c>
      <c r="J196" s="16" t="n">
        <f aca="false">IF(Grid!H196=1,-Cost_k*J$3-Short_p*MAX(0,Floor_c-$A196)+Beta_q*((1-(((Alpha_keep*$A196+J$3-Lo_c)/Step_c)-MAX(6,MIN(INT(((Alpha_keep*$A196+J$3-Lo_c)/Step_c)+0.00000001),193))))*INDEX($D$5:$D$205,MAX(6,MIN(INT(((Alpha_keep*$A196+J$3-Lo_c)/Step_c)+0.00000001),193))+1)+(((Alpha_keep*$A196+J$3-Lo_c)/Step_c)-MAX(6,MIN(INT(((Alpha_keep*$A196+J$3-Lo_c)/Step_c)+0.00000001),193)))*INDEX($D$5:$D$205,MAX(6,MIN(INT(((Alpha_keep*$A196+J$3-Lo_c)/Step_c)+0.00000001),193))+2)),"")</f>
        <v>-177.980267261071</v>
      </c>
      <c r="K196" s="16" t="n">
        <f aca="false">IF(Grid!I196=1,-Cost_k*K$3-Short_p*MAX(0,Floor_c-$A196)+Beta_q*((1-(((Alpha_keep*$A196+K$3-Lo_c)/Step_c)-MAX(6,MIN(INT(((Alpha_keep*$A196+K$3-Lo_c)/Step_c)+0.00000001),193))))*INDEX($D$5:$D$205,MAX(6,MIN(INT(((Alpha_keep*$A196+K$3-Lo_c)/Step_c)+0.00000001),193))+1)+(((Alpha_keep*$A196+K$3-Lo_c)/Step_c)-MAX(6,MIN(INT(((Alpha_keep*$A196+K$3-Lo_c)/Step_c)+0.00000001),193)))*INDEX($D$5:$D$205,MAX(6,MIN(INT(((Alpha_keep*$A196+K$3-Lo_c)/Step_c)+0.00000001),193))+2)),"")</f>
        <v>-178.455242222232</v>
      </c>
      <c r="L196" s="16" t="n">
        <f aca="false">IF(Grid!J196=1,-Cost_k*L$3-Short_p*MAX(0,Floor_c-$A196)+Beta_q*((1-(((Alpha_keep*$A196+L$3-Lo_c)/Step_c)-MAX(6,MIN(INT(((Alpha_keep*$A196+L$3-Lo_c)/Step_c)+0.00000001),193))))*INDEX($D$5:$D$205,MAX(6,MIN(INT(((Alpha_keep*$A196+L$3-Lo_c)/Step_c)+0.00000001),193))+1)+(((Alpha_keep*$A196+L$3-Lo_c)/Step_c)-MAX(6,MIN(INT(((Alpha_keep*$A196+L$3-Lo_c)/Step_c)+0.00000001),193)))*INDEX($D$5:$D$205,MAX(6,MIN(INT(((Alpha_keep*$A196+L$3-Lo_c)/Step_c)+0.00000001),193))+2)),"")</f>
        <v>-178.933492376971</v>
      </c>
      <c r="M196" s="16" t="n">
        <f aca="false">IF(Grid!K196=1,-Cost_k*M$3-Short_p*MAX(0,Floor_c-$A196)+Beta_q*((1-(((Alpha_keep*$A196+M$3-Lo_c)/Step_c)-MAX(6,MIN(INT(((Alpha_keep*$A196+M$3-Lo_c)/Step_c)+0.00000001),193))))*INDEX($D$5:$D$205,MAX(6,MIN(INT(((Alpha_keep*$A196+M$3-Lo_c)/Step_c)+0.00000001),193))+1)+(((Alpha_keep*$A196+M$3-Lo_c)/Step_c)-MAX(6,MIN(INT(((Alpha_keep*$A196+M$3-Lo_c)/Step_c)+0.00000001),193)))*INDEX($D$5:$D$205,MAX(6,MIN(INT(((Alpha_keep*$A196+M$3-Lo_c)/Step_c)+0.00000001),193))+2)),"")</f>
        <v>-179.414981786981</v>
      </c>
      <c r="N196" s="16" t="n">
        <f aca="false">IF(Grid!L196=1,-Cost_k*N$3-Short_p*MAX(0,Floor_c-$A196)+Beta_q*((1-(((Alpha_keep*$A196+N$3-Lo_c)/Step_c)-MAX(6,MIN(INT(((Alpha_keep*$A196+N$3-Lo_c)/Step_c)+0.00000001),193))))*INDEX($D$5:$D$205,MAX(6,MIN(INT(((Alpha_keep*$A196+N$3-Lo_c)/Step_c)+0.00000001),193))+1)+(((Alpha_keep*$A196+N$3-Lo_c)/Step_c)-MAX(6,MIN(INT(((Alpha_keep*$A196+N$3-Lo_c)/Step_c)+0.00000001),193)))*INDEX($D$5:$D$205,MAX(6,MIN(INT(((Alpha_keep*$A196+N$3-Lo_c)/Step_c)+0.00000001),193))+2)),"")</f>
        <v>-179.899671416834</v>
      </c>
      <c r="O196" s="16" t="n">
        <f aca="false">IF(Grid!M196=1,-Cost_k*O$3-Short_p*MAX(0,Floor_c-$A196)+Beta_q*((1-(((Alpha_keep*$A196+O$3-Lo_c)/Step_c)-MAX(6,MIN(INT(((Alpha_keep*$A196+O$3-Lo_c)/Step_c)+0.00000001),193))))*INDEX($D$5:$D$205,MAX(6,MIN(INT(((Alpha_keep*$A196+O$3-Lo_c)/Step_c)+0.00000001),193))+1)+(((Alpha_keep*$A196+O$3-Lo_c)/Step_c)-MAX(6,MIN(INT(((Alpha_keep*$A196+O$3-Lo_c)/Step_c)+0.00000001),193)))*INDEX($D$5:$D$205,MAX(6,MIN(INT(((Alpha_keep*$A196+O$3-Lo_c)/Step_c)+0.00000001),193))+2)),"")</f>
        <v>-180.387535849506</v>
      </c>
      <c r="P196" s="11" t="n">
        <f aca="false">MAX(E196:O196)</f>
        <v>-175.655492721797</v>
      </c>
      <c r="Q196" s="12" t="n">
        <f aca="false">INDEX($E$3:$O$3,MATCH(P196,E196:O196,0))</f>
        <v>0</v>
      </c>
      <c r="R196" s="20" t="n">
        <v>0</v>
      </c>
      <c r="S196" s="14" t="n">
        <f aca="false">IF(ABS(Q196-R196)&lt;0.000000001,1,0)</f>
        <v>1</v>
      </c>
      <c r="T196" s="21" t="n">
        <f aca="false">ABS(P196-B196)</f>
        <v>0</v>
      </c>
      <c r="U196" s="16" t="n">
        <f aca="false">Alpha_keep*A196+Q196</f>
        <v>75.80625</v>
      </c>
      <c r="V196" s="14" t="n">
        <f aca="false">INDEX(GuardBlock,192,ROUND(Q196/Step_h,0)+1)</f>
        <v>1</v>
      </c>
      <c r="W196" s="22" t="n">
        <v>0</v>
      </c>
    </row>
    <row r="197" customFormat="false" ht="15" hidden="false" customHeight="false" outlineLevel="0" collapsed="false">
      <c r="A197" s="18" t="n">
        <f aca="false">Grid!A197</f>
        <v>78</v>
      </c>
      <c r="B197" s="19" t="n">
        <v>-175.127137439887</v>
      </c>
      <c r="C197" s="14" t="n">
        <v>192</v>
      </c>
      <c r="D197" s="11" t="n">
        <f aca="false">IF(AND($C197&gt;=6,$C197&lt;=194),Declarations!$B$25*INDEX($B$5:$B$205,$C197+1-Declarations!$E$25)+Declarations!$B$26*INDEX($B$5:$B$205,$C197+1-Declarations!$E$26)+Declarations!$B$27*INDEX($B$5:$B$205,$C197+1-Declarations!$E$27)+Declarations!$B$28*INDEX($B$5:$B$205,$C197+1-Declarations!$E$28)+Declarations!$B$29*INDEX($B$5:$B$205,$C197+1-Declarations!$E$29),"")</f>
        <v>-175.138865872727</v>
      </c>
      <c r="E197" s="16" t="n">
        <f aca="false">IF(Grid!C197=1,-Cost_k*E$3-Short_p*MAX(0,Floor_c-$A197)+Beta_q*((1-(((Alpha_keep*$A197+E$3-Lo_c)/Step_c)-MAX(6,MIN(INT(((Alpha_keep*$A197+E$3-Lo_c)/Step_c)+0.00000001),193))))*INDEX($D$5:$D$205,MAX(6,MIN(INT(((Alpha_keep*$A197+E$3-Lo_c)/Step_c)+0.00000001),193))+1)+(((Alpha_keep*$A197+E$3-Lo_c)/Step_c)-MAX(6,MIN(INT(((Alpha_keep*$A197+E$3-Lo_c)/Step_c)+0.00000001),193)))*INDEX($D$5:$D$205,MAX(6,MIN(INT(((Alpha_keep*$A197+E$3-Lo_c)/Step_c)+0.00000001),193))+2)),"")</f>
        <v>-175.127137439887</v>
      </c>
      <c r="F197" s="16" t="n">
        <f aca="false">IF(Grid!D197=1,-Cost_k*F$3-Short_p*MAX(0,Floor_c-$A197)+Beta_q*((1-(((Alpha_keep*$A197+F$3-Lo_c)/Step_c)-MAX(6,MIN(INT(((Alpha_keep*$A197+F$3-Lo_c)/Step_c)+0.00000001),193))))*INDEX($D$5:$D$205,MAX(6,MIN(INT(((Alpha_keep*$A197+F$3-Lo_c)/Step_c)+0.00000001),193))+1)+(((Alpha_keep*$A197+F$3-Lo_c)/Step_c)-MAX(6,MIN(INT(((Alpha_keep*$A197+F$3-Lo_c)/Step_c)+0.00000001),193)))*INDEX($D$5:$D$205,MAX(6,MIN(INT(((Alpha_keep*$A197+F$3-Lo_c)/Step_c)+0.00000001),193))+2)),"")</f>
        <v>-175.588634664077</v>
      </c>
      <c r="G197" s="16" t="n">
        <f aca="false">IF(Grid!E197=1,-Cost_k*G$3-Short_p*MAX(0,Floor_c-$A197)+Beta_q*((1-(((Alpha_keep*$A197+G$3-Lo_c)/Step_c)-MAX(6,MIN(INT(((Alpha_keep*$A197+G$3-Lo_c)/Step_c)+0.00000001),193))))*INDEX($D$5:$D$205,MAX(6,MIN(INT(((Alpha_keep*$A197+G$3-Lo_c)/Step_c)+0.00000001),193))+1)+(((Alpha_keep*$A197+G$3-Lo_c)/Step_c)-MAX(6,MIN(INT(((Alpha_keep*$A197+G$3-Lo_c)/Step_c)+0.00000001),193)))*INDEX($D$5:$D$205,MAX(6,MIN(INT(((Alpha_keep*$A197+G$3-Lo_c)/Step_c)+0.00000001),193))+2)),"")</f>
        <v>-176.053538813656</v>
      </c>
      <c r="H197" s="16" t="n">
        <f aca="false">IF(Grid!F197=1,-Cost_k*H$3-Short_p*MAX(0,Floor_c-$A197)+Beta_q*((1-(((Alpha_keep*$A197+H$3-Lo_c)/Step_c)-MAX(6,MIN(INT(((Alpha_keep*$A197+H$3-Lo_c)/Step_c)+0.00000001),193))))*INDEX($D$5:$D$205,MAX(6,MIN(INT(((Alpha_keep*$A197+H$3-Lo_c)/Step_c)+0.00000001),193))+1)+(((Alpha_keep*$A197+H$3-Lo_c)/Step_c)-MAX(6,MIN(INT(((Alpha_keep*$A197+H$3-Lo_c)/Step_c)+0.00000001),193)))*INDEX($D$5:$D$205,MAX(6,MIN(INT(((Alpha_keep*$A197+H$3-Lo_c)/Step_c)+0.00000001),193))+2)),"")</f>
        <v>-176.521813910999</v>
      </c>
      <c r="I197" s="16" t="n">
        <f aca="false">IF(Grid!G197=1,-Cost_k*I$3-Short_p*MAX(0,Floor_c-$A197)+Beta_q*((1-(((Alpha_keep*$A197+I$3-Lo_c)/Step_c)-MAX(6,MIN(INT(((Alpha_keep*$A197+I$3-Lo_c)/Step_c)+0.00000001),193))))*INDEX($D$5:$D$205,MAX(6,MIN(INT(((Alpha_keep*$A197+I$3-Lo_c)/Step_c)+0.00000001),193))+1)+(((Alpha_keep*$A197+I$3-Lo_c)/Step_c)-MAX(6,MIN(INT(((Alpha_keep*$A197+I$3-Lo_c)/Step_c)+0.00000001),193)))*INDEX($D$5:$D$205,MAX(6,MIN(INT(((Alpha_keep*$A197+I$3-Lo_c)/Step_c)+0.00000001),193))+2)),"")</f>
        <v>-176.993411353054</v>
      </c>
      <c r="J197" s="16" t="n">
        <f aca="false">IF(Grid!H197=1,-Cost_k*J$3-Short_p*MAX(0,Floor_c-$A197)+Beta_q*((1-(((Alpha_keep*$A197+J$3-Lo_c)/Step_c)-MAX(6,MIN(INT(((Alpha_keep*$A197+J$3-Lo_c)/Step_c)+0.00000001),193))))*INDEX($D$5:$D$205,MAX(6,MIN(INT(((Alpha_keep*$A197+J$3-Lo_c)/Step_c)+0.00000001),193))+1)+(((Alpha_keep*$A197+J$3-Lo_c)/Step_c)-MAX(6,MIN(INT(((Alpha_keep*$A197+J$3-Lo_c)/Step_c)+0.00000001),193)))*INDEX($D$5:$D$205,MAX(6,MIN(INT(((Alpha_keep*$A197+J$3-Lo_c)/Step_c)+0.00000001),193))+2)),"")</f>
        <v>-177.46830424305</v>
      </c>
      <c r="K197" s="16" t="n">
        <f aca="false">IF(Grid!I197=1,-Cost_k*K$3-Short_p*MAX(0,Floor_c-$A197)+Beta_q*((1-(((Alpha_keep*$A197+K$3-Lo_c)/Step_c)-MAX(6,MIN(INT(((Alpha_keep*$A197+K$3-Lo_c)/Step_c)+0.00000001),193))))*INDEX($D$5:$D$205,MAX(6,MIN(INT(((Alpha_keep*$A197+K$3-Lo_c)/Step_c)+0.00000001),193))+1)+(((Alpha_keep*$A197+K$3-Lo_c)/Step_c)-MAX(6,MIN(INT(((Alpha_keep*$A197+K$3-Lo_c)/Step_c)+0.00000001),193)))*INDEX($D$5:$D$205,MAX(6,MIN(INT(((Alpha_keep*$A197+K$3-Lo_c)/Step_c)+0.00000001),193))+2)),"")</f>
        <v>-177.946473176962</v>
      </c>
      <c r="L197" s="16" t="n">
        <f aca="false">IF(Grid!J197=1,-Cost_k*L$3-Short_p*MAX(0,Floor_c-$A197)+Beta_q*((1-(((Alpha_keep*$A197+L$3-Lo_c)/Step_c)-MAX(6,MIN(INT(((Alpha_keep*$A197+L$3-Lo_c)/Step_c)+0.00000001),193))))*INDEX($D$5:$D$205,MAX(6,MIN(INT(((Alpha_keep*$A197+L$3-Lo_c)/Step_c)+0.00000001),193))+1)+(((Alpha_keep*$A197+L$3-Lo_c)/Step_c)-MAX(6,MIN(INT(((Alpha_keep*$A197+L$3-Lo_c)/Step_c)+0.00000001),193)))*INDEX($D$5:$D$205,MAX(6,MIN(INT(((Alpha_keep*$A197+L$3-Lo_c)/Step_c)+0.00000001),193))+2)),"")</f>
        <v>-178.427882430345</v>
      </c>
      <c r="M197" s="16" t="n">
        <f aca="false">IF(Grid!K197=1,-Cost_k*M$3-Short_p*MAX(0,Floor_c-$A197)+Beta_q*((1-(((Alpha_keep*$A197+M$3-Lo_c)/Step_c)-MAX(6,MIN(INT(((Alpha_keep*$A197+M$3-Lo_c)/Step_c)+0.00000001),193))))*INDEX($D$5:$D$205,MAX(6,MIN(INT(((Alpha_keep*$A197+M$3-Lo_c)/Step_c)+0.00000001),193))+1)+(((Alpha_keep*$A197+M$3-Lo_c)/Step_c)-MAX(6,MIN(INT(((Alpha_keep*$A197+M$3-Lo_c)/Step_c)+0.00000001),193)))*INDEX($D$5:$D$205,MAX(6,MIN(INT(((Alpha_keep*$A197+M$3-Lo_c)/Step_c)+0.00000001),193))+2)),"")</f>
        <v>-178.912492575263</v>
      </c>
      <c r="N197" s="16" t="n">
        <f aca="false">IF(Grid!L197=1,-Cost_k*N$3-Short_p*MAX(0,Floor_c-$A197)+Beta_q*((1-(((Alpha_keep*$A197+N$3-Lo_c)/Step_c)-MAX(6,MIN(INT(((Alpha_keep*$A197+N$3-Lo_c)/Step_c)+0.00000001),193))))*INDEX($D$5:$D$205,MAX(6,MIN(INT(((Alpha_keep*$A197+N$3-Lo_c)/Step_c)+0.00000001),193))+1)+(((Alpha_keep*$A197+N$3-Lo_c)/Step_c)-MAX(6,MIN(INT(((Alpha_keep*$A197+N$3-Lo_c)/Step_c)+0.00000001),193)))*INDEX($D$5:$D$205,MAX(6,MIN(INT(((Alpha_keep*$A197+N$3-Lo_c)/Step_c)+0.00000001),193))+2)),"")</f>
        <v>-179.400278033509</v>
      </c>
      <c r="O197" s="16" t="str">
        <f aca="false">IF(Grid!M197=1,-Cost_k*O$3-Short_p*MAX(0,Floor_c-$A197)+Beta_q*((1-(((Alpha_keep*$A197+O$3-Lo_c)/Step_c)-MAX(6,MIN(INT(((Alpha_keep*$A197+O$3-Lo_c)/Step_c)+0.00000001),193))))*INDEX($D$5:$D$205,MAX(6,MIN(INT(((Alpha_keep*$A197+O$3-Lo_c)/Step_c)+0.00000001),193))+1)+(((Alpha_keep*$A197+O$3-Lo_c)/Step_c)-MAX(6,MIN(INT(((Alpha_keep*$A197+O$3-Lo_c)/Step_c)+0.00000001),193)))*INDEX($D$5:$D$205,MAX(6,MIN(INT(((Alpha_keep*$A197+O$3-Lo_c)/Step_c)+0.00000001),193))+2)),"")</f>
        <v/>
      </c>
      <c r="P197" s="11" t="n">
        <f aca="false">MAX(E197:O197)</f>
        <v>-175.127137439887</v>
      </c>
      <c r="Q197" s="12" t="n">
        <f aca="false">INDEX($E$3:$O$3,MATCH(P197,E197:O197,0))</f>
        <v>0</v>
      </c>
      <c r="R197" s="20" t="n">
        <v>0</v>
      </c>
      <c r="S197" s="14" t="n">
        <f aca="false">IF(ABS(Q197-R197)&lt;0.000000001,1,0)</f>
        <v>1</v>
      </c>
      <c r="T197" s="21" t="n">
        <f aca="false">ABS(P197-B197)</f>
        <v>0</v>
      </c>
      <c r="U197" s="16" t="n">
        <f aca="false">Alpha_keep*A197+Q197</f>
        <v>76.05</v>
      </c>
      <c r="V197" s="14" t="n">
        <f aca="false">INDEX(GuardBlock,193,ROUND(Q197/Step_h,0)+1)</f>
        <v>1</v>
      </c>
      <c r="W197" s="22" t="n">
        <v>0</v>
      </c>
    </row>
    <row r="198" customFormat="false" ht="15" hidden="false" customHeight="false" outlineLevel="0" collapsed="false">
      <c r="A198" s="18" t="n">
        <f aca="false">Grid!A198</f>
        <v>78.25</v>
      </c>
      <c r="B198" s="19" t="n">
        <v>-174.602028968409</v>
      </c>
      <c r="C198" s="14" t="n">
        <v>193</v>
      </c>
      <c r="D198" s="11" t="n">
        <f aca="false">IF(AND($C198&gt;=6,$C198&lt;=194),Declarations!$B$25*INDEX($B$5:$B$205,$C198+1-Declarations!$E$25)+Declarations!$B$26*INDEX($B$5:$B$205,$C198+1-Declarations!$E$26)+Declarations!$B$27*INDEX($B$5:$B$205,$C198+1-Declarations!$E$27)+Declarations!$B$28*INDEX($B$5:$B$205,$C198+1-Declarations!$E$28)+Declarations!$B$29*INDEX($B$5:$B$205,$C198+1-Declarations!$E$29),"")</f>
        <v>-174.613652918442</v>
      </c>
      <c r="E198" s="16" t="n">
        <f aca="false">IF(Grid!C198=1,-Cost_k*E$3-Short_p*MAX(0,Floor_c-$A198)+Beta_q*((1-(((Alpha_keep*$A198+E$3-Lo_c)/Step_c)-MAX(6,MIN(INT(((Alpha_keep*$A198+E$3-Lo_c)/Step_c)+0.00000001),193))))*INDEX($D$5:$D$205,MAX(6,MIN(INT(((Alpha_keep*$A198+E$3-Lo_c)/Step_c)+0.00000001),193))+1)+(((Alpha_keep*$A198+E$3-Lo_c)/Step_c)-MAX(6,MIN(INT(((Alpha_keep*$A198+E$3-Lo_c)/Step_c)+0.00000001),193)))*INDEX($D$5:$D$205,MAX(6,MIN(INT(((Alpha_keep*$A198+E$3-Lo_c)/Step_c)+0.00000001),193))+2)),"")</f>
        <v>-174.602028968409</v>
      </c>
      <c r="F198" s="16" t="n">
        <f aca="false">IF(Grid!D198=1,-Cost_k*F$3-Short_p*MAX(0,Floor_c-$A198)+Beta_q*((1-(((Alpha_keep*$A198+F$3-Lo_c)/Step_c)-MAX(6,MIN(INT(((Alpha_keep*$A198+F$3-Lo_c)/Step_c)+0.00000001),193))))*INDEX($D$5:$D$205,MAX(6,MIN(INT(((Alpha_keep*$A198+F$3-Lo_c)/Step_c)+0.00000001),193))+1)+(((Alpha_keep*$A198+F$3-Lo_c)/Step_c)-MAX(6,MIN(INT(((Alpha_keep*$A198+F$3-Lo_c)/Step_c)+0.00000001),193)))*INDEX($D$5:$D$205,MAX(6,MIN(INT(((Alpha_keep*$A198+F$3-Lo_c)/Step_c)+0.00000001),193))+2)),"")</f>
        <v>-175.066848577629</v>
      </c>
      <c r="G198" s="16" t="n">
        <f aca="false">IF(Grid!E198=1,-Cost_k*G$3-Short_p*MAX(0,Floor_c-$A198)+Beta_q*((1-(((Alpha_keep*$A198+G$3-Lo_c)/Step_c)-MAX(6,MIN(INT(((Alpha_keep*$A198+G$3-Lo_c)/Step_c)+0.00000001),193))))*INDEX($D$5:$D$205,MAX(6,MIN(INT(((Alpha_keep*$A198+G$3-Lo_c)/Step_c)+0.00000001),193))+1)+(((Alpha_keep*$A198+G$3-Lo_c)/Step_c)-MAX(6,MIN(INT(((Alpha_keep*$A198+G$3-Lo_c)/Step_c)+0.00000001),193)))*INDEX($D$5:$D$205,MAX(6,MIN(INT(((Alpha_keep*$A198+G$3-Lo_c)/Step_c)+0.00000001),193))+2)),"")</f>
        <v>-175.535040467939</v>
      </c>
      <c r="H198" s="16" t="n">
        <f aca="false">IF(Grid!F198=1,-Cost_k*H$3-Short_p*MAX(0,Floor_c-$A198)+Beta_q*((1-(((Alpha_keep*$A198+H$3-Lo_c)/Step_c)-MAX(6,MIN(INT(((Alpha_keep*$A198+H$3-Lo_c)/Step_c)+0.00000001),193))))*INDEX($D$5:$D$205,MAX(6,MIN(INT(((Alpha_keep*$A198+H$3-Lo_c)/Step_c)+0.00000001),193))+1)+(((Alpha_keep*$A198+H$3-Lo_c)/Step_c)-MAX(6,MIN(INT(((Alpha_keep*$A198+H$3-Lo_c)/Step_c)+0.00000001),193)))*INDEX($D$5:$D$205,MAX(6,MIN(INT(((Alpha_keep*$A198+H$3-Lo_c)/Step_c)+0.00000001),193))+2)),"")</f>
        <v>-176.006555445037</v>
      </c>
      <c r="I198" s="16" t="n">
        <f aca="false">IF(Grid!G198=1,-Cost_k*I$3-Short_p*MAX(0,Floor_c-$A198)+Beta_q*((1-(((Alpha_keep*$A198+I$3-Lo_c)/Step_c)-MAX(6,MIN(INT(((Alpha_keep*$A198+I$3-Lo_c)/Step_c)+0.00000001),193))))*INDEX($D$5:$D$205,MAX(6,MIN(INT(((Alpha_keep*$A198+I$3-Lo_c)/Step_c)+0.00000001),193))+1)+(((Alpha_keep*$A198+I$3-Lo_c)/Step_c)-MAX(6,MIN(INT(((Alpha_keep*$A198+I$3-Lo_c)/Step_c)+0.00000001),193)))*INDEX($D$5:$D$205,MAX(6,MIN(INT(((Alpha_keep*$A198+I$3-Lo_c)/Step_c)+0.00000001),193))+2)),"")</f>
        <v>-176.481366263867</v>
      </c>
      <c r="J198" s="16" t="n">
        <f aca="false">IF(Grid!H198=1,-Cost_k*J$3-Short_p*MAX(0,Floor_c-$A198)+Beta_q*((1-(((Alpha_keep*$A198+J$3-Lo_c)/Step_c)-MAX(6,MIN(INT(((Alpha_keep*$A198+J$3-Lo_c)/Step_c)+0.00000001),193))))*INDEX($D$5:$D$205,MAX(6,MIN(INT(((Alpha_keep*$A198+J$3-Lo_c)/Step_c)+0.00000001),193))+1)+(((Alpha_keep*$A198+J$3-Lo_c)/Step_c)-MAX(6,MIN(INT(((Alpha_keep*$A198+J$3-Lo_c)/Step_c)+0.00000001),193)))*INDEX($D$5:$D$205,MAX(6,MIN(INT(((Alpha_keep*$A198+J$3-Lo_c)/Step_c)+0.00000001),193))+2)),"")</f>
        <v>-176.959453976953</v>
      </c>
      <c r="K198" s="16" t="n">
        <f aca="false">IF(Grid!I198=1,-Cost_k*K$3-Short_p*MAX(0,Floor_c-$A198)+Beta_q*((1-(((Alpha_keep*$A198+K$3-Lo_c)/Step_c)-MAX(6,MIN(INT(((Alpha_keep*$A198+K$3-Lo_c)/Step_c)+0.00000001),193))))*INDEX($D$5:$D$205,MAX(6,MIN(INT(((Alpha_keep*$A198+K$3-Lo_c)/Step_c)+0.00000001),193))+1)+(((Alpha_keep*$A198+K$3-Lo_c)/Step_c)-MAX(6,MIN(INT(((Alpha_keep*$A198+K$3-Lo_c)/Step_c)+0.00000001),193)))*INDEX($D$5:$D$205,MAX(6,MIN(INT(((Alpha_keep*$A198+K$3-Lo_c)/Step_c)+0.00000001),193))+2)),"")</f>
        <v>-177.440783073709</v>
      </c>
      <c r="L198" s="16" t="n">
        <f aca="false">IF(Grid!J198=1,-Cost_k*L$3-Short_p*MAX(0,Floor_c-$A198)+Beta_q*((1-(((Alpha_keep*$A198+L$3-Lo_c)/Step_c)-MAX(6,MIN(INT(((Alpha_keep*$A198+L$3-Lo_c)/Step_c)+0.00000001),193))))*INDEX($D$5:$D$205,MAX(6,MIN(INT(((Alpha_keep*$A198+L$3-Lo_c)/Step_c)+0.00000001),193))+1)+(((Alpha_keep*$A198+L$3-Lo_c)/Step_c)-MAX(6,MIN(INT(((Alpha_keep*$A198+L$3-Lo_c)/Step_c)+0.00000001),193)))*INDEX($D$5:$D$205,MAX(6,MIN(INT(((Alpha_keep*$A198+L$3-Lo_c)/Step_c)+0.00000001),193))+2)),"")</f>
        <v>-177.925313733692</v>
      </c>
      <c r="M198" s="16" t="n">
        <f aca="false">IF(Grid!K198=1,-Cost_k*M$3-Short_p*MAX(0,Floor_c-$A198)+Beta_q*((1-(((Alpha_keep*$A198+M$3-Lo_c)/Step_c)-MAX(6,MIN(INT(((Alpha_keep*$A198+M$3-Lo_c)/Step_c)+0.00000001),193))))*INDEX($D$5:$D$205,MAX(6,MIN(INT(((Alpha_keep*$A198+M$3-Lo_c)/Step_c)+0.00000001),193))+1)+(((Alpha_keep*$A198+M$3-Lo_c)/Step_c)-MAX(6,MIN(INT(((Alpha_keep*$A198+M$3-Lo_c)/Step_c)+0.00000001),193)))*INDEX($D$5:$D$205,MAX(6,MIN(INT(((Alpha_keep*$A198+M$3-Lo_c)/Step_c)+0.00000001),193))+2)),"")</f>
        <v>-178.413020217512</v>
      </c>
      <c r="N198" s="16" t="str">
        <f aca="false">IF(Grid!L198=1,-Cost_k*N$3-Short_p*MAX(0,Floor_c-$A198)+Beta_q*((1-(((Alpha_keep*$A198+N$3-Lo_c)/Step_c)-MAX(6,MIN(INT(((Alpha_keep*$A198+N$3-Lo_c)/Step_c)+0.00000001),193))))*INDEX($D$5:$D$205,MAX(6,MIN(INT(((Alpha_keep*$A198+N$3-Lo_c)/Step_c)+0.00000001),193))+1)+(((Alpha_keep*$A198+N$3-Lo_c)/Step_c)-MAX(6,MIN(INT(((Alpha_keep*$A198+N$3-Lo_c)/Step_c)+0.00000001),193)))*INDEX($D$5:$D$205,MAX(6,MIN(INT(((Alpha_keep*$A198+N$3-Lo_c)/Step_c)+0.00000001),193))+2)),"")</f>
        <v/>
      </c>
      <c r="O198" s="16" t="str">
        <f aca="false">IF(Grid!M198=1,-Cost_k*O$3-Short_p*MAX(0,Floor_c-$A198)+Beta_q*((1-(((Alpha_keep*$A198+O$3-Lo_c)/Step_c)-MAX(6,MIN(INT(((Alpha_keep*$A198+O$3-Lo_c)/Step_c)+0.00000001),193))))*INDEX($D$5:$D$205,MAX(6,MIN(INT(((Alpha_keep*$A198+O$3-Lo_c)/Step_c)+0.00000001),193))+1)+(((Alpha_keep*$A198+O$3-Lo_c)/Step_c)-MAX(6,MIN(INT(((Alpha_keep*$A198+O$3-Lo_c)/Step_c)+0.00000001),193)))*INDEX($D$5:$D$205,MAX(6,MIN(INT(((Alpha_keep*$A198+O$3-Lo_c)/Step_c)+0.00000001),193))+2)),"")</f>
        <v/>
      </c>
      <c r="P198" s="11" t="n">
        <f aca="false">MAX(E198:O198)</f>
        <v>-174.602028968409</v>
      </c>
      <c r="Q198" s="12" t="n">
        <f aca="false">INDEX($E$3:$O$3,MATCH(P198,E198:O198,0))</f>
        <v>0</v>
      </c>
      <c r="R198" s="20" t="n">
        <v>0</v>
      </c>
      <c r="S198" s="14" t="n">
        <f aca="false">IF(ABS(Q198-R198)&lt;0.000000001,1,0)</f>
        <v>1</v>
      </c>
      <c r="T198" s="21" t="n">
        <f aca="false">ABS(P198-B198)</f>
        <v>0</v>
      </c>
      <c r="U198" s="16" t="n">
        <f aca="false">Alpha_keep*A198+Q198</f>
        <v>76.29375</v>
      </c>
      <c r="V198" s="14" t="n">
        <f aca="false">INDEX(GuardBlock,194,ROUND(Q198/Step_h,0)+1)</f>
        <v>1</v>
      </c>
      <c r="W198" s="22" t="n">
        <v>0</v>
      </c>
    </row>
    <row r="199" customFormat="false" ht="15" hidden="false" customHeight="false" outlineLevel="0" collapsed="false">
      <c r="A199" s="18" t="n">
        <f aca="false">Grid!A199</f>
        <v>78.5</v>
      </c>
      <c r="B199" s="19" t="n">
        <v>-174.080158341602</v>
      </c>
      <c r="C199" s="14" t="n">
        <v>194</v>
      </c>
      <c r="D199" s="11" t="n">
        <f aca="false">IF(AND($C199&gt;=6,$C199&lt;=194),Declarations!$B$25*INDEX($B$5:$B$205,$C199+1-Declarations!$E$25)+Declarations!$B$26*INDEX($B$5:$B$205,$C199+1-Declarations!$E$26)+Declarations!$B$27*INDEX($B$5:$B$205,$C199+1-Declarations!$E$27)+Declarations!$B$28*INDEX($B$5:$B$205,$C199+1-Declarations!$E$28)+Declarations!$B$29*INDEX($B$5:$B$205,$C199+1-Declarations!$E$29),"")</f>
        <v>-174.091675115789</v>
      </c>
      <c r="E199" s="16" t="n">
        <f aca="false">IF(Grid!C199=1,-Cost_k*E$3-Short_p*MAX(0,Floor_c-$A199)+Beta_q*((1-(((Alpha_keep*$A199+E$3-Lo_c)/Step_c)-MAX(6,MIN(INT(((Alpha_keep*$A199+E$3-Lo_c)/Step_c)+0.00000001),193))))*INDEX($D$5:$D$205,MAX(6,MIN(INT(((Alpha_keep*$A199+E$3-Lo_c)/Step_c)+0.00000001),193))+1)+(((Alpha_keep*$A199+E$3-Lo_c)/Step_c)-MAX(6,MIN(INT(((Alpha_keep*$A199+E$3-Lo_c)/Step_c)+0.00000001),193)))*INDEX($D$5:$D$205,MAX(6,MIN(INT(((Alpha_keep*$A199+E$3-Lo_c)/Step_c)+0.00000001),193))+2)),"")</f>
        <v>-174.080158341602</v>
      </c>
      <c r="F199" s="16" t="n">
        <f aca="false">IF(Grid!D199=1,-Cost_k*F$3-Short_p*MAX(0,Floor_c-$A199)+Beta_q*((1-(((Alpha_keep*$A199+F$3-Lo_c)/Step_c)-MAX(6,MIN(INT(((Alpha_keep*$A199+F$3-Lo_c)/Step_c)+0.00000001),193))))*INDEX($D$5:$D$205,MAX(6,MIN(INT(((Alpha_keep*$A199+F$3-Lo_c)/Step_c)+0.00000001),193))+1)+(((Alpha_keep*$A199+F$3-Lo_c)/Step_c)-MAX(6,MIN(INT(((Alpha_keep*$A199+F$3-Lo_c)/Step_c)+0.00000001),193)))*INDEX($D$5:$D$205,MAX(6,MIN(INT(((Alpha_keep*$A199+F$3-Lo_c)/Step_c)+0.00000001),193))+2)),"")</f>
        <v>-174.548267024879</v>
      </c>
      <c r="G199" s="16" t="n">
        <f aca="false">IF(Grid!E199=1,-Cost_k*G$3-Short_p*MAX(0,Floor_c-$A199)+Beta_q*((1-(((Alpha_keep*$A199+G$3-Lo_c)/Step_c)-MAX(6,MIN(INT(((Alpha_keep*$A199+G$3-Lo_c)/Step_c)+0.00000001),193))))*INDEX($D$5:$D$205,MAX(6,MIN(INT(((Alpha_keep*$A199+G$3-Lo_c)/Step_c)+0.00000001),193))+1)+(((Alpha_keep*$A199+G$3-Lo_c)/Step_c)-MAX(6,MIN(INT(((Alpha_keep*$A199+G$3-Lo_c)/Step_c)+0.00000001),193)))*INDEX($D$5:$D$205,MAX(6,MIN(INT(((Alpha_keep*$A199+G$3-Lo_c)/Step_c)+0.00000001),193))+2)),"")</f>
        <v>-175.019699537021</v>
      </c>
      <c r="H199" s="16" t="n">
        <f aca="false">IF(Grid!F199=1,-Cost_k*H$3-Short_p*MAX(0,Floor_c-$A199)+Beta_q*((1-(((Alpha_keep*$A199+H$3-Lo_c)/Step_c)-MAX(6,MIN(INT(((Alpha_keep*$A199+H$3-Lo_c)/Step_c)+0.00000001),193))))*INDEX($D$5:$D$205,MAX(6,MIN(INT(((Alpha_keep*$A199+H$3-Lo_c)/Step_c)+0.00000001),193))+1)+(((Alpha_keep*$A199+H$3-Lo_c)/Step_c)-MAX(6,MIN(INT(((Alpha_keep*$A199+H$3-Lo_c)/Step_c)+0.00000001),193)))*INDEX($D$5:$D$205,MAX(6,MIN(INT(((Alpha_keep*$A199+H$3-Lo_c)/Step_c)+0.00000001),193))+2)),"")</f>
        <v>-175.494428284685</v>
      </c>
      <c r="I199" s="16" t="n">
        <f aca="false">IF(Grid!G199=1,-Cost_k*I$3-Short_p*MAX(0,Floor_c-$A199)+Beta_q*((1-(((Alpha_keep*$A199+I$3-Lo_c)/Step_c)-MAX(6,MIN(INT(((Alpha_keep*$A199+I$3-Lo_c)/Step_c)+0.00000001),193))))*INDEX($D$5:$D$205,MAX(6,MIN(INT(((Alpha_keep*$A199+I$3-Lo_c)/Step_c)+0.00000001),193))+1)+(((Alpha_keep*$A199+I$3-Lo_c)/Step_c)-MAX(6,MIN(INT(((Alpha_keep*$A199+I$3-Lo_c)/Step_c)+0.00000001),193)))*INDEX($D$5:$D$205,MAX(6,MIN(INT(((Alpha_keep*$A199+I$3-Lo_c)/Step_c)+0.00000001),193))+2)),"")</f>
        <v>-175.972434776943</v>
      </c>
      <c r="J199" s="16" t="n">
        <f aca="false">IF(Grid!H199=1,-Cost_k*J$3-Short_p*MAX(0,Floor_c-$A199)+Beta_q*((1-(((Alpha_keep*$A199+J$3-Lo_c)/Step_c)-MAX(6,MIN(INT(((Alpha_keep*$A199+J$3-Lo_c)/Step_c)+0.00000001),193))))*INDEX($D$5:$D$205,MAX(6,MIN(INT(((Alpha_keep*$A199+J$3-Lo_c)/Step_c)+0.00000001),193))+1)+(((Alpha_keep*$A199+J$3-Lo_c)/Step_c)-MAX(6,MIN(INT(((Alpha_keep*$A199+J$3-Lo_c)/Step_c)+0.00000001),193)))*INDEX($D$5:$D$205,MAX(6,MIN(INT(((Alpha_keep*$A199+J$3-Lo_c)/Step_c)+0.00000001),193))+2)),"")</f>
        <v>-176.453683717073</v>
      </c>
      <c r="K199" s="16" t="n">
        <f aca="false">IF(Grid!I199=1,-Cost_k*K$3-Short_p*MAX(0,Floor_c-$A199)+Beta_q*((1-(((Alpha_keep*$A199+K$3-Lo_c)/Step_c)-MAX(6,MIN(INT(((Alpha_keep*$A199+K$3-Lo_c)/Step_c)+0.00000001),193))))*INDEX($D$5:$D$205,MAX(6,MIN(INT(((Alpha_keep*$A199+K$3-Lo_c)/Step_c)+0.00000001),193))+1)+(((Alpha_keep*$A199+K$3-Lo_c)/Step_c)-MAX(6,MIN(INT(((Alpha_keep*$A199+K$3-Lo_c)/Step_c)+0.00000001),193)))*INDEX($D$5:$D$205,MAX(6,MIN(INT(((Alpha_keep*$A199+K$3-Lo_c)/Step_c)+0.00000001),193))+2)),"")</f>
        <v>-176.938134892121</v>
      </c>
      <c r="L199" s="16" t="n">
        <f aca="false">IF(Grid!J199=1,-Cost_k*L$3-Short_p*MAX(0,Floor_c-$A199)+Beta_q*((1-(((Alpha_keep*$A199+L$3-Lo_c)/Step_c)-MAX(6,MIN(INT(((Alpha_keep*$A199+L$3-Lo_c)/Step_c)+0.00000001),193))))*INDEX($D$5:$D$205,MAX(6,MIN(INT(((Alpha_keep*$A199+L$3-Lo_c)/Step_c)+0.00000001),193))+1)+(((Alpha_keep*$A199+L$3-Lo_c)/Step_c)-MAX(6,MIN(INT(((Alpha_keep*$A199+L$3-Lo_c)/Step_c)+0.00000001),193)))*INDEX($D$5:$D$205,MAX(6,MIN(INT(((Alpha_keep*$A199+L$3-Lo_c)/Step_c)+0.00000001),193))+2)),"")</f>
        <v>-177.425762401515</v>
      </c>
      <c r="M199" s="16" t="str">
        <f aca="false">IF(Grid!K199=1,-Cost_k*M$3-Short_p*MAX(0,Floor_c-$A199)+Beta_q*((1-(((Alpha_keep*$A199+M$3-Lo_c)/Step_c)-MAX(6,MIN(INT(((Alpha_keep*$A199+M$3-Lo_c)/Step_c)+0.00000001),193))))*INDEX($D$5:$D$205,MAX(6,MIN(INT(((Alpha_keep*$A199+M$3-Lo_c)/Step_c)+0.00000001),193))+1)+(((Alpha_keep*$A199+M$3-Lo_c)/Step_c)-MAX(6,MIN(INT(((Alpha_keep*$A199+M$3-Lo_c)/Step_c)+0.00000001),193)))*INDEX($D$5:$D$205,MAX(6,MIN(INT(((Alpha_keep*$A199+M$3-Lo_c)/Step_c)+0.00000001),193))+2)),"")</f>
        <v/>
      </c>
      <c r="N199" s="16" t="str">
        <f aca="false">IF(Grid!L199=1,-Cost_k*N$3-Short_p*MAX(0,Floor_c-$A199)+Beta_q*((1-(((Alpha_keep*$A199+N$3-Lo_c)/Step_c)-MAX(6,MIN(INT(((Alpha_keep*$A199+N$3-Lo_c)/Step_c)+0.00000001),193))))*INDEX($D$5:$D$205,MAX(6,MIN(INT(((Alpha_keep*$A199+N$3-Lo_c)/Step_c)+0.00000001),193))+1)+(((Alpha_keep*$A199+N$3-Lo_c)/Step_c)-MAX(6,MIN(INT(((Alpha_keep*$A199+N$3-Lo_c)/Step_c)+0.00000001),193)))*INDEX($D$5:$D$205,MAX(6,MIN(INT(((Alpha_keep*$A199+N$3-Lo_c)/Step_c)+0.00000001),193))+2)),"")</f>
        <v/>
      </c>
      <c r="O199" s="16" t="str">
        <f aca="false">IF(Grid!M199=1,-Cost_k*O$3-Short_p*MAX(0,Floor_c-$A199)+Beta_q*((1-(((Alpha_keep*$A199+O$3-Lo_c)/Step_c)-MAX(6,MIN(INT(((Alpha_keep*$A199+O$3-Lo_c)/Step_c)+0.00000001),193))))*INDEX($D$5:$D$205,MAX(6,MIN(INT(((Alpha_keep*$A199+O$3-Lo_c)/Step_c)+0.00000001),193))+1)+(((Alpha_keep*$A199+O$3-Lo_c)/Step_c)-MAX(6,MIN(INT(((Alpha_keep*$A199+O$3-Lo_c)/Step_c)+0.00000001),193)))*INDEX($D$5:$D$205,MAX(6,MIN(INT(((Alpha_keep*$A199+O$3-Lo_c)/Step_c)+0.00000001),193))+2)),"")</f>
        <v/>
      </c>
      <c r="P199" s="11" t="n">
        <f aca="false">MAX(E199:O199)</f>
        <v>-174.080158341602</v>
      </c>
      <c r="Q199" s="12" t="n">
        <f aca="false">INDEX($E$3:$O$3,MATCH(P199,E199:O199,0))</f>
        <v>0</v>
      </c>
      <c r="R199" s="20" t="n">
        <v>0</v>
      </c>
      <c r="S199" s="14" t="n">
        <f aca="false">IF(ABS(Q199-R199)&lt;0.000000001,1,0)</f>
        <v>1</v>
      </c>
      <c r="T199" s="21" t="n">
        <f aca="false">ABS(P199-B199)</f>
        <v>0</v>
      </c>
      <c r="U199" s="16" t="n">
        <f aca="false">Alpha_keep*A199+Q199</f>
        <v>76.5375</v>
      </c>
      <c r="V199" s="14" t="n">
        <f aca="false">INDEX(GuardBlock,195,ROUND(Q199/Step_h,0)+1)</f>
        <v>1</v>
      </c>
      <c r="W199" s="22" t="n">
        <v>0</v>
      </c>
    </row>
    <row r="200" customFormat="false" ht="15" hidden="false" customHeight="false" outlineLevel="0" collapsed="false">
      <c r="A200" s="18" t="n">
        <f aca="false">Grid!A200</f>
        <v>78.75</v>
      </c>
      <c r="B200" s="19" t="n">
        <v>-173.561493581819</v>
      </c>
      <c r="C200" s="14" t="n">
        <v>195</v>
      </c>
      <c r="D200" s="11" t="str">
        <f aca="false">IF(AND($C200&gt;=6,$C200&lt;=194),Declarations!$B$25*INDEX($B$5:$B$205,$C200+1-Declarations!$E$25)+Declarations!$B$26*INDEX($B$5:$B$205,$C200+1-Declarations!$E$26)+Declarations!$B$27*INDEX($B$5:$B$205,$C200+1-Declarations!$E$27)+Declarations!$B$28*INDEX($B$5:$B$205,$C200+1-Declarations!$E$28)+Declarations!$B$29*INDEX($B$5:$B$205,$C200+1-Declarations!$E$29),"")</f>
        <v/>
      </c>
      <c r="E200" s="16" t="n">
        <f aca="false">IF(Grid!C200=1,-Cost_k*E$3-Short_p*MAX(0,Floor_c-$A200)+Beta_q*((1-(((Alpha_keep*$A200+E$3-Lo_c)/Step_c)-MAX(6,MIN(INT(((Alpha_keep*$A200+E$3-Lo_c)/Step_c)+0.00000001),193))))*INDEX($D$5:$D$205,MAX(6,MIN(INT(((Alpha_keep*$A200+E$3-Lo_c)/Step_c)+0.00000001),193))+1)+(((Alpha_keep*$A200+E$3-Lo_c)/Step_c)-MAX(6,MIN(INT(((Alpha_keep*$A200+E$3-Lo_c)/Step_c)+0.00000001),193)))*INDEX($D$5:$D$205,MAX(6,MIN(INT(((Alpha_keep*$A200+E$3-Lo_c)/Step_c)+0.00000001),193))+2)),"")</f>
        <v>-173.561493581819</v>
      </c>
      <c r="F200" s="16" t="n">
        <f aca="false">IF(Grid!D200=1,-Cost_k*F$3-Short_p*MAX(0,Floor_c-$A200)+Beta_q*((1-(((Alpha_keep*$A200+F$3-Lo_c)/Step_c)-MAX(6,MIN(INT(((Alpha_keep*$A200+F$3-Lo_c)/Step_c)+0.00000001),193))))*INDEX($D$5:$D$205,MAX(6,MIN(INT(((Alpha_keep*$A200+F$3-Lo_c)/Step_c)+0.00000001),193))+1)+(((Alpha_keep*$A200+F$3-Lo_c)/Step_c)-MAX(6,MIN(INT(((Alpha_keep*$A200+F$3-Lo_c)/Step_c)+0.00000001),193)))*INDEX($D$5:$D$205,MAX(6,MIN(INT(((Alpha_keep*$A200+F$3-Lo_c)/Step_c)+0.00000001),193))+2)),"")</f>
        <v>-174.032843629004</v>
      </c>
      <c r="G200" s="16" t="n">
        <f aca="false">IF(Grid!E200=1,-Cost_k*G$3-Short_p*MAX(0,Floor_c-$A200)+Beta_q*((1-(((Alpha_keep*$A200+G$3-Lo_c)/Step_c)-MAX(6,MIN(INT(((Alpha_keep*$A200+G$3-Lo_c)/Step_c)+0.00000001),193))))*INDEX($D$5:$D$205,MAX(6,MIN(INT(((Alpha_keep*$A200+G$3-Lo_c)/Step_c)+0.00000001),193))+1)+(((Alpha_keep*$A200+G$3-Lo_c)/Step_c)-MAX(6,MIN(INT(((Alpha_keep*$A200+G$3-Lo_c)/Step_c)+0.00000001),193)))*INDEX($D$5:$D$205,MAX(6,MIN(INT(((Alpha_keep*$A200+G$3-Lo_c)/Step_c)+0.00000001),193))+2)),"")</f>
        <v>-174.507490305503</v>
      </c>
      <c r="H200" s="16" t="n">
        <f aca="false">IF(Grid!F200=1,-Cost_k*H$3-Short_p*MAX(0,Floor_c-$A200)+Beta_q*((1-(((Alpha_keep*$A200+H$3-Lo_c)/Step_c)-MAX(6,MIN(INT(((Alpha_keep*$A200+H$3-Lo_c)/Step_c)+0.00000001),193))))*INDEX($D$5:$D$205,MAX(6,MIN(INT(((Alpha_keep*$A200+H$3-Lo_c)/Step_c)+0.00000001),193))+1)+(((Alpha_keep*$A200+H$3-Lo_c)/Step_c)-MAX(6,MIN(INT(((Alpha_keep*$A200+H$3-Lo_c)/Step_c)+0.00000001),193)))*INDEX($D$5:$D$205,MAX(6,MIN(INT(((Alpha_keep*$A200+H$3-Lo_c)/Step_c)+0.00000001),193))+2)),"")</f>
        <v>-174.985415576934</v>
      </c>
      <c r="I200" s="16" t="n">
        <f aca="false">IF(Grid!G200=1,-Cost_k*I$3-Short_p*MAX(0,Floor_c-$A200)+Beta_q*((1-(((Alpha_keep*$A200+I$3-Lo_c)/Step_c)-MAX(6,MIN(INT(((Alpha_keep*$A200+I$3-Lo_c)/Step_c)+0.00000001),193))))*INDEX($D$5:$D$205,MAX(6,MIN(INT(((Alpha_keep*$A200+I$3-Lo_c)/Step_c)+0.00000001),193))+1)+(((Alpha_keep*$A200+I$3-Lo_c)/Step_c)-MAX(6,MIN(INT(((Alpha_keep*$A200+I$3-Lo_c)/Step_c)+0.00000001),193)))*INDEX($D$5:$D$205,MAX(6,MIN(INT(((Alpha_keep*$A200+I$3-Lo_c)/Step_c)+0.00000001),193))+2)),"")</f>
        <v>-175.466584360437</v>
      </c>
      <c r="J200" s="16" t="n">
        <f aca="false">IF(Grid!H200=1,-Cost_k*J$3-Short_p*MAX(0,Floor_c-$A200)+Beta_q*((1-(((Alpha_keep*$A200+J$3-Lo_c)/Step_c)-MAX(6,MIN(INT(((Alpha_keep*$A200+J$3-Lo_c)/Step_c)+0.00000001),193))))*INDEX($D$5:$D$205,MAX(6,MIN(INT(((Alpha_keep*$A200+J$3-Lo_c)/Step_c)+0.00000001),193))+1)+(((Alpha_keep*$A200+J$3-Lo_c)/Step_c)-MAX(6,MIN(INT(((Alpha_keep*$A200+J$3-Lo_c)/Step_c)+0.00000001),193)))*INDEX($D$5:$D$205,MAX(6,MIN(INT(((Alpha_keep*$A200+J$3-Lo_c)/Step_c)+0.00000001),193))+2)),"")</f>
        <v>-175.95095605055</v>
      </c>
      <c r="K200" s="16" t="n">
        <f aca="false">IF(Grid!I200=1,-Cost_k*K$3-Short_p*MAX(0,Floor_c-$A200)+Beta_q*((1-(((Alpha_keep*$A200+K$3-Lo_c)/Step_c)-MAX(6,MIN(INT(((Alpha_keep*$A200+K$3-Lo_c)/Step_c)+0.00000001),193))))*INDEX($D$5:$D$205,MAX(6,MIN(INT(((Alpha_keep*$A200+K$3-Lo_c)/Step_c)+0.00000001),193))+1)+(((Alpha_keep*$A200+K$3-Lo_c)/Step_c)-MAX(6,MIN(INT(((Alpha_keep*$A200+K$3-Lo_c)/Step_c)+0.00000001),193)))*INDEX($D$5:$D$205,MAX(6,MIN(INT(((Alpha_keep*$A200+K$3-Lo_c)/Step_c)+0.00000001),193))+2)),"")</f>
        <v>-176.438504585518</v>
      </c>
      <c r="L200" s="16" t="str">
        <f aca="false">IF(Grid!J200=1,-Cost_k*L$3-Short_p*MAX(0,Floor_c-$A200)+Beta_q*((1-(((Alpha_keep*$A200+L$3-Lo_c)/Step_c)-MAX(6,MIN(INT(((Alpha_keep*$A200+L$3-Lo_c)/Step_c)+0.00000001),193))))*INDEX($D$5:$D$205,MAX(6,MIN(INT(((Alpha_keep*$A200+L$3-Lo_c)/Step_c)+0.00000001),193))+1)+(((Alpha_keep*$A200+L$3-Lo_c)/Step_c)-MAX(6,MIN(INT(((Alpha_keep*$A200+L$3-Lo_c)/Step_c)+0.00000001),193)))*INDEX($D$5:$D$205,MAX(6,MIN(INT(((Alpha_keep*$A200+L$3-Lo_c)/Step_c)+0.00000001),193))+2)),"")</f>
        <v/>
      </c>
      <c r="M200" s="16" t="str">
        <f aca="false">IF(Grid!K200=1,-Cost_k*M$3-Short_p*MAX(0,Floor_c-$A200)+Beta_q*((1-(((Alpha_keep*$A200+M$3-Lo_c)/Step_c)-MAX(6,MIN(INT(((Alpha_keep*$A200+M$3-Lo_c)/Step_c)+0.00000001),193))))*INDEX($D$5:$D$205,MAX(6,MIN(INT(((Alpha_keep*$A200+M$3-Lo_c)/Step_c)+0.00000001),193))+1)+(((Alpha_keep*$A200+M$3-Lo_c)/Step_c)-MAX(6,MIN(INT(((Alpha_keep*$A200+M$3-Lo_c)/Step_c)+0.00000001),193)))*INDEX($D$5:$D$205,MAX(6,MIN(INT(((Alpha_keep*$A200+M$3-Lo_c)/Step_c)+0.00000001),193))+2)),"")</f>
        <v/>
      </c>
      <c r="N200" s="16" t="str">
        <f aca="false">IF(Grid!L200=1,-Cost_k*N$3-Short_p*MAX(0,Floor_c-$A200)+Beta_q*((1-(((Alpha_keep*$A200+N$3-Lo_c)/Step_c)-MAX(6,MIN(INT(((Alpha_keep*$A200+N$3-Lo_c)/Step_c)+0.00000001),193))))*INDEX($D$5:$D$205,MAX(6,MIN(INT(((Alpha_keep*$A200+N$3-Lo_c)/Step_c)+0.00000001),193))+1)+(((Alpha_keep*$A200+N$3-Lo_c)/Step_c)-MAX(6,MIN(INT(((Alpha_keep*$A200+N$3-Lo_c)/Step_c)+0.00000001),193)))*INDEX($D$5:$D$205,MAX(6,MIN(INT(((Alpha_keep*$A200+N$3-Lo_c)/Step_c)+0.00000001),193))+2)),"")</f>
        <v/>
      </c>
      <c r="O200" s="16" t="str">
        <f aca="false">IF(Grid!M200=1,-Cost_k*O$3-Short_p*MAX(0,Floor_c-$A200)+Beta_q*((1-(((Alpha_keep*$A200+O$3-Lo_c)/Step_c)-MAX(6,MIN(INT(((Alpha_keep*$A200+O$3-Lo_c)/Step_c)+0.00000001),193))))*INDEX($D$5:$D$205,MAX(6,MIN(INT(((Alpha_keep*$A200+O$3-Lo_c)/Step_c)+0.00000001),193))+1)+(((Alpha_keep*$A200+O$3-Lo_c)/Step_c)-MAX(6,MIN(INT(((Alpha_keep*$A200+O$3-Lo_c)/Step_c)+0.00000001),193)))*INDEX($D$5:$D$205,MAX(6,MIN(INT(((Alpha_keep*$A200+O$3-Lo_c)/Step_c)+0.00000001),193))+2)),"")</f>
        <v/>
      </c>
      <c r="P200" s="11" t="n">
        <f aca="false">MAX(E200:O200)</f>
        <v>-173.561493581819</v>
      </c>
      <c r="Q200" s="12" t="n">
        <f aca="false">INDEX($E$3:$O$3,MATCH(P200,E200:O200,0))</f>
        <v>0</v>
      </c>
      <c r="R200" s="20" t="n">
        <v>0</v>
      </c>
      <c r="S200" s="14" t="n">
        <f aca="false">IF(ABS(Q200-R200)&lt;0.000000001,1,0)</f>
        <v>1</v>
      </c>
      <c r="T200" s="21" t="n">
        <f aca="false">ABS(P200-B200)</f>
        <v>0</v>
      </c>
      <c r="U200" s="16" t="n">
        <f aca="false">Alpha_keep*A200+Q200</f>
        <v>76.78125</v>
      </c>
      <c r="V200" s="14" t="n">
        <f aca="false">INDEX(GuardBlock,196,ROUND(Q200/Step_h,0)+1)</f>
        <v>1</v>
      </c>
      <c r="W200" s="22" t="n">
        <v>0</v>
      </c>
    </row>
    <row r="201" customFormat="false" ht="15" hidden="false" customHeight="false" outlineLevel="0" collapsed="false">
      <c r="A201" s="18" t="n">
        <f aca="false">Grid!A201</f>
        <v>79</v>
      </c>
      <c r="B201" s="19" t="n">
        <v>-173.045987720987</v>
      </c>
      <c r="C201" s="14" t="n">
        <v>196</v>
      </c>
      <c r="D201" s="11" t="str">
        <f aca="false">IF(AND($C201&gt;=6,$C201&lt;=194),Declarations!$B$25*INDEX($B$5:$B$205,$C201+1-Declarations!$E$25)+Declarations!$B$26*INDEX($B$5:$B$205,$C201+1-Declarations!$E$26)+Declarations!$B$27*INDEX($B$5:$B$205,$C201+1-Declarations!$E$27)+Declarations!$B$28*INDEX($B$5:$B$205,$C201+1-Declarations!$E$28)+Declarations!$B$29*INDEX($B$5:$B$205,$C201+1-Declarations!$E$29),"")</f>
        <v/>
      </c>
      <c r="E201" s="16" t="n">
        <f aca="false">IF(Grid!C201=1,-Cost_k*E$3-Short_p*MAX(0,Floor_c-$A201)+Beta_q*((1-(((Alpha_keep*$A201+E$3-Lo_c)/Step_c)-MAX(6,MIN(INT(((Alpha_keep*$A201+E$3-Lo_c)/Step_c)+0.00000001),193))))*INDEX($D$5:$D$205,MAX(6,MIN(INT(((Alpha_keep*$A201+E$3-Lo_c)/Step_c)+0.00000001),193))+1)+(((Alpha_keep*$A201+E$3-Lo_c)/Step_c)-MAX(6,MIN(INT(((Alpha_keep*$A201+E$3-Lo_c)/Step_c)+0.00000001),193)))*INDEX($D$5:$D$205,MAX(6,MIN(INT(((Alpha_keep*$A201+E$3-Lo_c)/Step_c)+0.00000001),193))+2)),"")</f>
        <v>-173.045987720987</v>
      </c>
      <c r="F201" s="16" t="n">
        <f aca="false">IF(Grid!D201=1,-Cost_k*F$3-Short_p*MAX(0,Floor_c-$A201)+Beta_q*((1-(((Alpha_keep*$A201+F$3-Lo_c)/Step_c)-MAX(6,MIN(INT(((Alpha_keep*$A201+F$3-Lo_c)/Step_c)+0.00000001),193))))*INDEX($D$5:$D$205,MAX(6,MIN(INT(((Alpha_keep*$A201+F$3-Lo_c)/Step_c)+0.00000001),193))+1)+(((Alpha_keep*$A201+F$3-Lo_c)/Step_c)-MAX(6,MIN(INT(((Alpha_keep*$A201+F$3-Lo_c)/Step_c)+0.00000001),193)))*INDEX($D$5:$D$205,MAX(6,MIN(INT(((Alpha_keep*$A201+F$3-Lo_c)/Step_c)+0.00000001),193))+2)),"")</f>
        <v>-173.52055232632</v>
      </c>
      <c r="G201" s="16" t="n">
        <f aca="false">IF(Grid!E201=1,-Cost_k*G$3-Short_p*MAX(0,Floor_c-$A201)+Beta_q*((1-(((Alpha_keep*$A201+G$3-Lo_c)/Step_c)-MAX(6,MIN(INT(((Alpha_keep*$A201+G$3-Lo_c)/Step_c)+0.00000001),193))))*INDEX($D$5:$D$205,MAX(6,MIN(INT(((Alpha_keep*$A201+G$3-Lo_c)/Step_c)+0.00000001),193))+1)+(((Alpha_keep*$A201+G$3-Lo_c)/Step_c)-MAX(6,MIN(INT(((Alpha_keep*$A201+G$3-Lo_c)/Step_c)+0.00000001),193)))*INDEX($D$5:$D$205,MAX(6,MIN(INT(((Alpha_keep*$A201+G$3-Lo_c)/Step_c)+0.00000001),193))+2)),"")</f>
        <v>-173.998396376925</v>
      </c>
      <c r="H201" s="16" t="n">
        <f aca="false">IF(Grid!F201=1,-Cost_k*H$3-Short_p*MAX(0,Floor_c-$A201)+Beta_q*((1-(((Alpha_keep*$A201+H$3-Lo_c)/Step_c)-MAX(6,MIN(INT(((Alpha_keep*$A201+H$3-Lo_c)/Step_c)+0.00000001),193))))*INDEX($D$5:$D$205,MAX(6,MIN(INT(((Alpha_keep*$A201+H$3-Lo_c)/Step_c)+0.00000001),193))+1)+(((Alpha_keep*$A201+H$3-Lo_c)/Step_c)-MAX(6,MIN(INT(((Alpha_keep*$A201+H$3-Lo_c)/Step_c)+0.00000001),193)))*INDEX($D$5:$D$205,MAX(6,MIN(INT(((Alpha_keep*$A201+H$3-Lo_c)/Step_c)+0.00000001),193))+2)),"")</f>
        <v>-174.479485003801</v>
      </c>
      <c r="I201" s="16" t="n">
        <f aca="false">IF(Grid!G201=1,-Cost_k*I$3-Short_p*MAX(0,Floor_c-$A201)+Beta_q*((1-(((Alpha_keep*$A201+I$3-Lo_c)/Step_c)-MAX(6,MIN(INT(((Alpha_keep*$A201+I$3-Lo_c)/Step_c)+0.00000001),193))))*INDEX($D$5:$D$205,MAX(6,MIN(INT(((Alpha_keep*$A201+I$3-Lo_c)/Step_c)+0.00000001),193))+1)+(((Alpha_keep*$A201+I$3-Lo_c)/Step_c)-MAX(6,MIN(INT(((Alpha_keep*$A201+I$3-Lo_c)/Step_c)+0.00000001),193)))*INDEX($D$5:$D$205,MAX(6,MIN(INT(((Alpha_keep*$A201+I$3-Lo_c)/Step_c)+0.00000001),193))+2)),"")</f>
        <v>-174.963777208979</v>
      </c>
      <c r="J201" s="16" t="n">
        <f aca="false">IF(Grid!H201=1,-Cost_k*J$3-Short_p*MAX(0,Floor_c-$A201)+Beta_q*((1-(((Alpha_keep*$A201+J$3-Lo_c)/Step_c)-MAX(6,MIN(INT(((Alpha_keep*$A201+J$3-Lo_c)/Step_c)+0.00000001),193))))*INDEX($D$5:$D$205,MAX(6,MIN(INT(((Alpha_keep*$A201+J$3-Lo_c)/Step_c)+0.00000001),193))+1)+(((Alpha_keep*$A201+J$3-Lo_c)/Step_c)-MAX(6,MIN(INT(((Alpha_keep*$A201+J$3-Lo_c)/Step_c)+0.00000001),193)))*INDEX($D$5:$D$205,MAX(6,MIN(INT(((Alpha_keep*$A201+J$3-Lo_c)/Step_c)+0.00000001),193))+2)),"")</f>
        <v>-175.451246769521</v>
      </c>
      <c r="K201" s="16" t="str">
        <f aca="false">IF(Grid!I201=1,-Cost_k*K$3-Short_p*MAX(0,Floor_c-$A201)+Beta_q*((1-(((Alpha_keep*$A201+K$3-Lo_c)/Step_c)-MAX(6,MIN(INT(((Alpha_keep*$A201+K$3-Lo_c)/Step_c)+0.00000001),193))))*INDEX($D$5:$D$205,MAX(6,MIN(INT(((Alpha_keep*$A201+K$3-Lo_c)/Step_c)+0.00000001),193))+1)+(((Alpha_keep*$A201+K$3-Lo_c)/Step_c)-MAX(6,MIN(INT(((Alpha_keep*$A201+K$3-Lo_c)/Step_c)+0.00000001),193)))*INDEX($D$5:$D$205,MAX(6,MIN(INT(((Alpha_keep*$A201+K$3-Lo_c)/Step_c)+0.00000001),193))+2)),"")</f>
        <v/>
      </c>
      <c r="L201" s="16" t="str">
        <f aca="false">IF(Grid!J201=1,-Cost_k*L$3-Short_p*MAX(0,Floor_c-$A201)+Beta_q*((1-(((Alpha_keep*$A201+L$3-Lo_c)/Step_c)-MAX(6,MIN(INT(((Alpha_keep*$A201+L$3-Lo_c)/Step_c)+0.00000001),193))))*INDEX($D$5:$D$205,MAX(6,MIN(INT(((Alpha_keep*$A201+L$3-Lo_c)/Step_c)+0.00000001),193))+1)+(((Alpha_keep*$A201+L$3-Lo_c)/Step_c)-MAX(6,MIN(INT(((Alpha_keep*$A201+L$3-Lo_c)/Step_c)+0.00000001),193)))*INDEX($D$5:$D$205,MAX(6,MIN(INT(((Alpha_keep*$A201+L$3-Lo_c)/Step_c)+0.00000001),193))+2)),"")</f>
        <v/>
      </c>
      <c r="M201" s="16" t="str">
        <f aca="false">IF(Grid!K201=1,-Cost_k*M$3-Short_p*MAX(0,Floor_c-$A201)+Beta_q*((1-(((Alpha_keep*$A201+M$3-Lo_c)/Step_c)-MAX(6,MIN(INT(((Alpha_keep*$A201+M$3-Lo_c)/Step_c)+0.00000001),193))))*INDEX($D$5:$D$205,MAX(6,MIN(INT(((Alpha_keep*$A201+M$3-Lo_c)/Step_c)+0.00000001),193))+1)+(((Alpha_keep*$A201+M$3-Lo_c)/Step_c)-MAX(6,MIN(INT(((Alpha_keep*$A201+M$3-Lo_c)/Step_c)+0.00000001),193)))*INDEX($D$5:$D$205,MAX(6,MIN(INT(((Alpha_keep*$A201+M$3-Lo_c)/Step_c)+0.00000001),193))+2)),"")</f>
        <v/>
      </c>
      <c r="N201" s="16" t="str">
        <f aca="false">IF(Grid!L201=1,-Cost_k*N$3-Short_p*MAX(0,Floor_c-$A201)+Beta_q*((1-(((Alpha_keep*$A201+N$3-Lo_c)/Step_c)-MAX(6,MIN(INT(((Alpha_keep*$A201+N$3-Lo_c)/Step_c)+0.00000001),193))))*INDEX($D$5:$D$205,MAX(6,MIN(INT(((Alpha_keep*$A201+N$3-Lo_c)/Step_c)+0.00000001),193))+1)+(((Alpha_keep*$A201+N$3-Lo_c)/Step_c)-MAX(6,MIN(INT(((Alpha_keep*$A201+N$3-Lo_c)/Step_c)+0.00000001),193)))*INDEX($D$5:$D$205,MAX(6,MIN(INT(((Alpha_keep*$A201+N$3-Lo_c)/Step_c)+0.00000001),193))+2)),"")</f>
        <v/>
      </c>
      <c r="O201" s="16" t="str">
        <f aca="false">IF(Grid!M201=1,-Cost_k*O$3-Short_p*MAX(0,Floor_c-$A201)+Beta_q*((1-(((Alpha_keep*$A201+O$3-Lo_c)/Step_c)-MAX(6,MIN(INT(((Alpha_keep*$A201+O$3-Lo_c)/Step_c)+0.00000001),193))))*INDEX($D$5:$D$205,MAX(6,MIN(INT(((Alpha_keep*$A201+O$3-Lo_c)/Step_c)+0.00000001),193))+1)+(((Alpha_keep*$A201+O$3-Lo_c)/Step_c)-MAX(6,MIN(INT(((Alpha_keep*$A201+O$3-Lo_c)/Step_c)+0.00000001),193)))*INDEX($D$5:$D$205,MAX(6,MIN(INT(((Alpha_keep*$A201+O$3-Lo_c)/Step_c)+0.00000001),193))+2)),"")</f>
        <v/>
      </c>
      <c r="P201" s="11" t="n">
        <f aca="false">MAX(E201:O201)</f>
        <v>-173.045987720987</v>
      </c>
      <c r="Q201" s="12" t="n">
        <f aca="false">INDEX($E$3:$O$3,MATCH(P201,E201:O201,0))</f>
        <v>0</v>
      </c>
      <c r="R201" s="20" t="n">
        <v>0</v>
      </c>
      <c r="S201" s="14" t="n">
        <f aca="false">IF(ABS(Q201-R201)&lt;0.000000001,1,0)</f>
        <v>1</v>
      </c>
      <c r="T201" s="21" t="n">
        <f aca="false">ABS(P201-B201)</f>
        <v>0</v>
      </c>
      <c r="U201" s="16" t="n">
        <f aca="false">Alpha_keep*A201+Q201</f>
        <v>77.025</v>
      </c>
      <c r="V201" s="14" t="n">
        <f aca="false">INDEX(GuardBlock,197,ROUND(Q201/Step_h,0)+1)</f>
        <v>1</v>
      </c>
      <c r="W201" s="22" t="n">
        <v>0</v>
      </c>
    </row>
    <row r="202" customFormat="false" ht="15" hidden="false" customHeight="false" outlineLevel="0" collapsed="false">
      <c r="A202" s="18" t="n">
        <f aca="false">Grid!A202</f>
        <v>79.25</v>
      </c>
      <c r="B202" s="19" t="n">
        <v>-172.533614347138</v>
      </c>
      <c r="C202" s="14" t="n">
        <v>197</v>
      </c>
      <c r="D202" s="11" t="str">
        <f aca="false">IF(AND($C202&gt;=6,$C202&lt;=194),Declarations!$B$25*INDEX($B$5:$B$205,$C202+1-Declarations!$E$25)+Declarations!$B$26*INDEX($B$5:$B$205,$C202+1-Declarations!$E$26)+Declarations!$B$27*INDEX($B$5:$B$205,$C202+1-Declarations!$E$27)+Declarations!$B$28*INDEX($B$5:$B$205,$C202+1-Declarations!$E$28)+Declarations!$B$29*INDEX($B$5:$B$205,$C202+1-Declarations!$E$29),"")</f>
        <v/>
      </c>
      <c r="E202" s="16" t="n">
        <f aca="false">IF(Grid!C202=1,-Cost_k*E$3-Short_p*MAX(0,Floor_c-$A202)+Beta_q*((1-(((Alpha_keep*$A202+E$3-Lo_c)/Step_c)-MAX(6,MIN(INT(((Alpha_keep*$A202+E$3-Lo_c)/Step_c)+0.00000001),193))))*INDEX($D$5:$D$205,MAX(6,MIN(INT(((Alpha_keep*$A202+E$3-Lo_c)/Step_c)+0.00000001),193))+1)+(((Alpha_keep*$A202+E$3-Lo_c)/Step_c)-MAX(6,MIN(INT(((Alpha_keep*$A202+E$3-Lo_c)/Step_c)+0.00000001),193)))*INDEX($D$5:$D$205,MAX(6,MIN(INT(((Alpha_keep*$A202+E$3-Lo_c)/Step_c)+0.00000001),193))+2)),"")</f>
        <v>-172.533614347138</v>
      </c>
      <c r="F202" s="16" t="n">
        <f aca="false">IF(Grid!D202=1,-Cost_k*F$3-Short_p*MAX(0,Floor_c-$A202)+Beta_q*((1-(((Alpha_keep*$A202+F$3-Lo_c)/Step_c)-MAX(6,MIN(INT(((Alpha_keep*$A202+F$3-Lo_c)/Step_c)+0.00000001),193))))*INDEX($D$5:$D$205,MAX(6,MIN(INT(((Alpha_keep*$A202+F$3-Lo_c)/Step_c)+0.00000001),193))+1)+(((Alpha_keep*$A202+F$3-Lo_c)/Step_c)-MAX(6,MIN(INT(((Alpha_keep*$A202+F$3-Lo_c)/Step_c)+0.00000001),193)))*INDEX($D$5:$D$205,MAX(6,MIN(INT(((Alpha_keep*$A202+F$3-Lo_c)/Step_c)+0.00000001),193))+2)),"")</f>
        <v>-173.011377176916</v>
      </c>
      <c r="G202" s="16" t="n">
        <f aca="false">IF(Grid!E202=1,-Cost_k*G$3-Short_p*MAX(0,Floor_c-$A202)+Beta_q*((1-(((Alpha_keep*$A202+G$3-Lo_c)/Step_c)-MAX(6,MIN(INT(((Alpha_keep*$A202+G$3-Lo_c)/Step_c)+0.00000001),193))))*INDEX($D$5:$D$205,MAX(6,MIN(INT(((Alpha_keep*$A202+G$3-Lo_c)/Step_c)+0.00000001),193))+1)+(((Alpha_keep*$A202+G$3-Lo_c)/Step_c)-MAX(6,MIN(INT(((Alpha_keep*$A202+G$3-Lo_c)/Step_c)+0.00000001),193)))*INDEX($D$5:$D$205,MAX(6,MIN(INT(((Alpha_keep*$A202+G$3-Lo_c)/Step_c)+0.00000001),193))+2)),"")</f>
        <v>-173.492385647165</v>
      </c>
      <c r="H202" s="16" t="n">
        <f aca="false">IF(Grid!F202=1,-Cost_k*H$3-Short_p*MAX(0,Floor_c-$A202)+Beta_q*((1-(((Alpha_keep*$A202+H$3-Lo_c)/Step_c)-MAX(6,MIN(INT(((Alpha_keep*$A202+H$3-Lo_c)/Step_c)+0.00000001),193))))*INDEX($D$5:$D$205,MAX(6,MIN(INT(((Alpha_keep*$A202+H$3-Lo_c)/Step_c)+0.00000001),193))+1)+(((Alpha_keep*$A202+H$3-Lo_c)/Step_c)-MAX(6,MIN(INT(((Alpha_keep*$A202+H$3-Lo_c)/Step_c)+0.00000001),193)))*INDEX($D$5:$D$205,MAX(6,MIN(INT(((Alpha_keep*$A202+H$3-Lo_c)/Step_c)+0.00000001),193))+2)),"")</f>
        <v>-173.976598367408</v>
      </c>
      <c r="I202" s="16" t="n">
        <f aca="false">IF(Grid!G202=1,-Cost_k*I$3-Short_p*MAX(0,Floor_c-$A202)+Beta_q*((1-(((Alpha_keep*$A202+I$3-Lo_c)/Step_c)-MAX(6,MIN(INT(((Alpha_keep*$A202+I$3-Lo_c)/Step_c)+0.00000001),193))))*INDEX($D$5:$D$205,MAX(6,MIN(INT(((Alpha_keep*$A202+I$3-Lo_c)/Step_c)+0.00000001),193))+1)+(((Alpha_keep*$A202+I$3-Lo_c)/Step_c)-MAX(6,MIN(INT(((Alpha_keep*$A202+I$3-Lo_c)/Step_c)+0.00000001),193)))*INDEX($D$5:$D$205,MAX(6,MIN(INT(((Alpha_keep*$A202+I$3-Lo_c)/Step_c)+0.00000001),193))+2)),"")</f>
        <v>-174.463988953524</v>
      </c>
      <c r="J202" s="16" t="str">
        <f aca="false">IF(Grid!H202=1,-Cost_k*J$3-Short_p*MAX(0,Floor_c-$A202)+Beta_q*((1-(((Alpha_keep*$A202+J$3-Lo_c)/Step_c)-MAX(6,MIN(INT(((Alpha_keep*$A202+J$3-Lo_c)/Step_c)+0.00000001),193))))*INDEX($D$5:$D$205,MAX(6,MIN(INT(((Alpha_keep*$A202+J$3-Lo_c)/Step_c)+0.00000001),193))+1)+(((Alpha_keep*$A202+J$3-Lo_c)/Step_c)-MAX(6,MIN(INT(((Alpha_keep*$A202+J$3-Lo_c)/Step_c)+0.00000001),193)))*INDEX($D$5:$D$205,MAX(6,MIN(INT(((Alpha_keep*$A202+J$3-Lo_c)/Step_c)+0.00000001),193))+2)),"")</f>
        <v/>
      </c>
      <c r="K202" s="16" t="str">
        <f aca="false">IF(Grid!I202=1,-Cost_k*K$3-Short_p*MAX(0,Floor_c-$A202)+Beta_q*((1-(((Alpha_keep*$A202+K$3-Lo_c)/Step_c)-MAX(6,MIN(INT(((Alpha_keep*$A202+K$3-Lo_c)/Step_c)+0.00000001),193))))*INDEX($D$5:$D$205,MAX(6,MIN(INT(((Alpha_keep*$A202+K$3-Lo_c)/Step_c)+0.00000001),193))+1)+(((Alpha_keep*$A202+K$3-Lo_c)/Step_c)-MAX(6,MIN(INT(((Alpha_keep*$A202+K$3-Lo_c)/Step_c)+0.00000001),193)))*INDEX($D$5:$D$205,MAX(6,MIN(INT(((Alpha_keep*$A202+K$3-Lo_c)/Step_c)+0.00000001),193))+2)),"")</f>
        <v/>
      </c>
      <c r="L202" s="16" t="str">
        <f aca="false">IF(Grid!J202=1,-Cost_k*L$3-Short_p*MAX(0,Floor_c-$A202)+Beta_q*((1-(((Alpha_keep*$A202+L$3-Lo_c)/Step_c)-MAX(6,MIN(INT(((Alpha_keep*$A202+L$3-Lo_c)/Step_c)+0.00000001),193))))*INDEX($D$5:$D$205,MAX(6,MIN(INT(((Alpha_keep*$A202+L$3-Lo_c)/Step_c)+0.00000001),193))+1)+(((Alpha_keep*$A202+L$3-Lo_c)/Step_c)-MAX(6,MIN(INT(((Alpha_keep*$A202+L$3-Lo_c)/Step_c)+0.00000001),193)))*INDEX($D$5:$D$205,MAX(6,MIN(INT(((Alpha_keep*$A202+L$3-Lo_c)/Step_c)+0.00000001),193))+2)),"")</f>
        <v/>
      </c>
      <c r="M202" s="16" t="str">
        <f aca="false">IF(Grid!K202=1,-Cost_k*M$3-Short_p*MAX(0,Floor_c-$A202)+Beta_q*((1-(((Alpha_keep*$A202+M$3-Lo_c)/Step_c)-MAX(6,MIN(INT(((Alpha_keep*$A202+M$3-Lo_c)/Step_c)+0.00000001),193))))*INDEX($D$5:$D$205,MAX(6,MIN(INT(((Alpha_keep*$A202+M$3-Lo_c)/Step_c)+0.00000001),193))+1)+(((Alpha_keep*$A202+M$3-Lo_c)/Step_c)-MAX(6,MIN(INT(((Alpha_keep*$A202+M$3-Lo_c)/Step_c)+0.00000001),193)))*INDEX($D$5:$D$205,MAX(6,MIN(INT(((Alpha_keep*$A202+M$3-Lo_c)/Step_c)+0.00000001),193))+2)),"")</f>
        <v/>
      </c>
      <c r="N202" s="16" t="str">
        <f aca="false">IF(Grid!L202=1,-Cost_k*N$3-Short_p*MAX(0,Floor_c-$A202)+Beta_q*((1-(((Alpha_keep*$A202+N$3-Lo_c)/Step_c)-MAX(6,MIN(INT(((Alpha_keep*$A202+N$3-Lo_c)/Step_c)+0.00000001),193))))*INDEX($D$5:$D$205,MAX(6,MIN(INT(((Alpha_keep*$A202+N$3-Lo_c)/Step_c)+0.00000001),193))+1)+(((Alpha_keep*$A202+N$3-Lo_c)/Step_c)-MAX(6,MIN(INT(((Alpha_keep*$A202+N$3-Lo_c)/Step_c)+0.00000001),193)))*INDEX($D$5:$D$205,MAX(6,MIN(INT(((Alpha_keep*$A202+N$3-Lo_c)/Step_c)+0.00000001),193))+2)),"")</f>
        <v/>
      </c>
      <c r="O202" s="16" t="str">
        <f aca="false">IF(Grid!M202=1,-Cost_k*O$3-Short_p*MAX(0,Floor_c-$A202)+Beta_q*((1-(((Alpha_keep*$A202+O$3-Lo_c)/Step_c)-MAX(6,MIN(INT(((Alpha_keep*$A202+O$3-Lo_c)/Step_c)+0.00000001),193))))*INDEX($D$5:$D$205,MAX(6,MIN(INT(((Alpha_keep*$A202+O$3-Lo_c)/Step_c)+0.00000001),193))+1)+(((Alpha_keep*$A202+O$3-Lo_c)/Step_c)-MAX(6,MIN(INT(((Alpha_keep*$A202+O$3-Lo_c)/Step_c)+0.00000001),193)))*INDEX($D$5:$D$205,MAX(6,MIN(INT(((Alpha_keep*$A202+O$3-Lo_c)/Step_c)+0.00000001),193))+2)),"")</f>
        <v/>
      </c>
      <c r="P202" s="11" t="n">
        <f aca="false">MAX(E202:O202)</f>
        <v>-172.533614347138</v>
      </c>
      <c r="Q202" s="12" t="n">
        <f aca="false">INDEX($E$3:$O$3,MATCH(P202,E202:O202,0))</f>
        <v>0</v>
      </c>
      <c r="R202" s="20" t="n">
        <v>0</v>
      </c>
      <c r="S202" s="14" t="n">
        <f aca="false">IF(ABS(Q202-R202)&lt;0.000000001,1,0)</f>
        <v>1</v>
      </c>
      <c r="T202" s="21" t="n">
        <f aca="false">ABS(P202-B202)</f>
        <v>0</v>
      </c>
      <c r="U202" s="16" t="n">
        <f aca="false">Alpha_keep*A202+Q202</f>
        <v>77.26875</v>
      </c>
      <c r="V202" s="14" t="n">
        <f aca="false">INDEX(GuardBlock,198,ROUND(Q202/Step_h,0)+1)</f>
        <v>1</v>
      </c>
      <c r="W202" s="22" t="n">
        <v>0</v>
      </c>
    </row>
    <row r="203" customFormat="false" ht="15" hidden="false" customHeight="false" outlineLevel="0" collapsed="false">
      <c r="A203" s="18" t="n">
        <f aca="false">Grid!A203</f>
        <v>79.5</v>
      </c>
      <c r="B203" s="19" t="n">
        <v>-172.024357976907</v>
      </c>
      <c r="C203" s="14" t="n">
        <v>198</v>
      </c>
      <c r="D203" s="11" t="str">
        <f aca="false">IF(AND($C203&gt;=6,$C203&lt;=194),Declarations!$B$25*INDEX($B$5:$B$205,$C203+1-Declarations!$E$25)+Declarations!$B$26*INDEX($B$5:$B$205,$C203+1-Declarations!$E$26)+Declarations!$B$27*INDEX($B$5:$B$205,$C203+1-Declarations!$E$27)+Declarations!$B$28*INDEX($B$5:$B$205,$C203+1-Declarations!$E$28)+Declarations!$B$29*INDEX($B$5:$B$205,$C203+1-Declarations!$E$29),"")</f>
        <v/>
      </c>
      <c r="E203" s="16" t="n">
        <f aca="false">IF(Grid!C203=1,-Cost_k*E$3-Short_p*MAX(0,Floor_c-$A203)+Beta_q*((1-(((Alpha_keep*$A203+E$3-Lo_c)/Step_c)-MAX(6,MIN(INT(((Alpha_keep*$A203+E$3-Lo_c)/Step_c)+0.00000001),193))))*INDEX($D$5:$D$205,MAX(6,MIN(INT(((Alpha_keep*$A203+E$3-Lo_c)/Step_c)+0.00000001),193))+1)+(((Alpha_keep*$A203+E$3-Lo_c)/Step_c)-MAX(6,MIN(INT(((Alpha_keep*$A203+E$3-Lo_c)/Step_c)+0.00000001),193)))*INDEX($D$5:$D$205,MAX(6,MIN(INT(((Alpha_keep*$A203+E$3-Lo_c)/Step_c)+0.00000001),193))+2)),"")</f>
        <v>-172.024357976906</v>
      </c>
      <c r="F203" s="16" t="n">
        <f aca="false">IF(Grid!D203=1,-Cost_k*F$3-Short_p*MAX(0,Floor_c-$A203)+Beta_q*((1-(((Alpha_keep*$A203+F$3-Lo_c)/Step_c)-MAX(6,MIN(INT(((Alpha_keep*$A203+F$3-Lo_c)/Step_c)+0.00000001),193))))*INDEX($D$5:$D$205,MAX(6,MIN(INT(((Alpha_keep*$A203+F$3-Lo_c)/Step_c)+0.00000001),193))+1)+(((Alpha_keep*$A203+F$3-Lo_c)/Step_c)-MAX(6,MIN(INT(((Alpha_keep*$A203+F$3-Lo_c)/Step_c)+0.00000001),193)))*INDEX($D$5:$D$205,MAX(6,MIN(INT(((Alpha_keep*$A203+F$3-Lo_c)/Step_c)+0.00000001),193))+2)),"")</f>
        <v>-172.505286290529</v>
      </c>
      <c r="G203" s="16" t="n">
        <f aca="false">IF(Grid!E203=1,-Cost_k*G$3-Short_p*MAX(0,Floor_c-$A203)+Beta_q*((1-(((Alpha_keep*$A203+G$3-Lo_c)/Step_c)-MAX(6,MIN(INT(((Alpha_keep*$A203+G$3-Lo_c)/Step_c)+0.00000001),193))))*INDEX($D$5:$D$205,MAX(6,MIN(INT(((Alpha_keep*$A203+G$3-Lo_c)/Step_c)+0.00000001),193))+1)+(((Alpha_keep*$A203+G$3-Lo_c)/Step_c)-MAX(6,MIN(INT(((Alpha_keep*$A203+G$3-Lo_c)/Step_c)+0.00000001),193)))*INDEX($D$5:$D$205,MAX(6,MIN(INT(((Alpha_keep*$A203+G$3-Lo_c)/Step_c)+0.00000001),193))+2)),"")</f>
        <v>-172.989419525837</v>
      </c>
      <c r="H203" s="16" t="n">
        <f aca="false">IF(Grid!F203=1,-Cost_k*H$3-Short_p*MAX(0,Floor_c-$A203)+Beta_q*((1-(((Alpha_keep*$A203+H$3-Lo_c)/Step_c)-MAX(6,MIN(INT(((Alpha_keep*$A203+H$3-Lo_c)/Step_c)+0.00000001),193))))*INDEX($D$5:$D$205,MAX(6,MIN(INT(((Alpha_keep*$A203+H$3-Lo_c)/Step_c)+0.00000001),193))+1)+(((Alpha_keep*$A203+H$3-Lo_c)/Step_c)-MAX(6,MIN(INT(((Alpha_keep*$A203+H$3-Lo_c)/Step_c)+0.00000001),193)))*INDEX($D$5:$D$205,MAX(6,MIN(INT(((Alpha_keep*$A203+H$3-Lo_c)/Step_c)+0.00000001),193))+2)),"")</f>
        <v>-173.476731137527</v>
      </c>
      <c r="I203" s="16" t="str">
        <f aca="false">IF(Grid!G203=1,-Cost_k*I$3-Short_p*MAX(0,Floor_c-$A203)+Beta_q*((1-(((Alpha_keep*$A203+I$3-Lo_c)/Step_c)-MAX(6,MIN(INT(((Alpha_keep*$A203+I$3-Lo_c)/Step_c)+0.00000001),193))))*INDEX($D$5:$D$205,MAX(6,MIN(INT(((Alpha_keep*$A203+I$3-Lo_c)/Step_c)+0.00000001),193))+1)+(((Alpha_keep*$A203+I$3-Lo_c)/Step_c)-MAX(6,MIN(INT(((Alpha_keep*$A203+I$3-Lo_c)/Step_c)+0.00000001),193)))*INDEX($D$5:$D$205,MAX(6,MIN(INT(((Alpha_keep*$A203+I$3-Lo_c)/Step_c)+0.00000001),193))+2)),"")</f>
        <v/>
      </c>
      <c r="J203" s="16" t="str">
        <f aca="false">IF(Grid!H203=1,-Cost_k*J$3-Short_p*MAX(0,Floor_c-$A203)+Beta_q*((1-(((Alpha_keep*$A203+J$3-Lo_c)/Step_c)-MAX(6,MIN(INT(((Alpha_keep*$A203+J$3-Lo_c)/Step_c)+0.00000001),193))))*INDEX($D$5:$D$205,MAX(6,MIN(INT(((Alpha_keep*$A203+J$3-Lo_c)/Step_c)+0.00000001),193))+1)+(((Alpha_keep*$A203+J$3-Lo_c)/Step_c)-MAX(6,MIN(INT(((Alpha_keep*$A203+J$3-Lo_c)/Step_c)+0.00000001),193)))*INDEX($D$5:$D$205,MAX(6,MIN(INT(((Alpha_keep*$A203+J$3-Lo_c)/Step_c)+0.00000001),193))+2)),"")</f>
        <v/>
      </c>
      <c r="K203" s="16" t="str">
        <f aca="false">IF(Grid!I203=1,-Cost_k*K$3-Short_p*MAX(0,Floor_c-$A203)+Beta_q*((1-(((Alpha_keep*$A203+K$3-Lo_c)/Step_c)-MAX(6,MIN(INT(((Alpha_keep*$A203+K$3-Lo_c)/Step_c)+0.00000001),193))))*INDEX($D$5:$D$205,MAX(6,MIN(INT(((Alpha_keep*$A203+K$3-Lo_c)/Step_c)+0.00000001),193))+1)+(((Alpha_keep*$A203+K$3-Lo_c)/Step_c)-MAX(6,MIN(INT(((Alpha_keep*$A203+K$3-Lo_c)/Step_c)+0.00000001),193)))*INDEX($D$5:$D$205,MAX(6,MIN(INT(((Alpha_keep*$A203+K$3-Lo_c)/Step_c)+0.00000001),193))+2)),"")</f>
        <v/>
      </c>
      <c r="L203" s="16" t="str">
        <f aca="false">IF(Grid!J203=1,-Cost_k*L$3-Short_p*MAX(0,Floor_c-$A203)+Beta_q*((1-(((Alpha_keep*$A203+L$3-Lo_c)/Step_c)-MAX(6,MIN(INT(((Alpha_keep*$A203+L$3-Lo_c)/Step_c)+0.00000001),193))))*INDEX($D$5:$D$205,MAX(6,MIN(INT(((Alpha_keep*$A203+L$3-Lo_c)/Step_c)+0.00000001),193))+1)+(((Alpha_keep*$A203+L$3-Lo_c)/Step_c)-MAX(6,MIN(INT(((Alpha_keep*$A203+L$3-Lo_c)/Step_c)+0.00000001),193)))*INDEX($D$5:$D$205,MAX(6,MIN(INT(((Alpha_keep*$A203+L$3-Lo_c)/Step_c)+0.00000001),193))+2)),"")</f>
        <v/>
      </c>
      <c r="M203" s="16" t="str">
        <f aca="false">IF(Grid!K203=1,-Cost_k*M$3-Short_p*MAX(0,Floor_c-$A203)+Beta_q*((1-(((Alpha_keep*$A203+M$3-Lo_c)/Step_c)-MAX(6,MIN(INT(((Alpha_keep*$A203+M$3-Lo_c)/Step_c)+0.00000001),193))))*INDEX($D$5:$D$205,MAX(6,MIN(INT(((Alpha_keep*$A203+M$3-Lo_c)/Step_c)+0.00000001),193))+1)+(((Alpha_keep*$A203+M$3-Lo_c)/Step_c)-MAX(6,MIN(INT(((Alpha_keep*$A203+M$3-Lo_c)/Step_c)+0.00000001),193)))*INDEX($D$5:$D$205,MAX(6,MIN(INT(((Alpha_keep*$A203+M$3-Lo_c)/Step_c)+0.00000001),193))+2)),"")</f>
        <v/>
      </c>
      <c r="N203" s="16" t="str">
        <f aca="false">IF(Grid!L203=1,-Cost_k*N$3-Short_p*MAX(0,Floor_c-$A203)+Beta_q*((1-(((Alpha_keep*$A203+N$3-Lo_c)/Step_c)-MAX(6,MIN(INT(((Alpha_keep*$A203+N$3-Lo_c)/Step_c)+0.00000001),193))))*INDEX($D$5:$D$205,MAX(6,MIN(INT(((Alpha_keep*$A203+N$3-Lo_c)/Step_c)+0.00000001),193))+1)+(((Alpha_keep*$A203+N$3-Lo_c)/Step_c)-MAX(6,MIN(INT(((Alpha_keep*$A203+N$3-Lo_c)/Step_c)+0.00000001),193)))*INDEX($D$5:$D$205,MAX(6,MIN(INT(((Alpha_keep*$A203+N$3-Lo_c)/Step_c)+0.00000001),193))+2)),"")</f>
        <v/>
      </c>
      <c r="O203" s="16" t="str">
        <f aca="false">IF(Grid!M203=1,-Cost_k*O$3-Short_p*MAX(0,Floor_c-$A203)+Beta_q*((1-(((Alpha_keep*$A203+O$3-Lo_c)/Step_c)-MAX(6,MIN(INT(((Alpha_keep*$A203+O$3-Lo_c)/Step_c)+0.00000001),193))))*INDEX($D$5:$D$205,MAX(6,MIN(INT(((Alpha_keep*$A203+O$3-Lo_c)/Step_c)+0.00000001),193))+1)+(((Alpha_keep*$A203+O$3-Lo_c)/Step_c)-MAX(6,MIN(INT(((Alpha_keep*$A203+O$3-Lo_c)/Step_c)+0.00000001),193)))*INDEX($D$5:$D$205,MAX(6,MIN(INT(((Alpha_keep*$A203+O$3-Lo_c)/Step_c)+0.00000001),193))+2)),"")</f>
        <v/>
      </c>
      <c r="P203" s="11" t="n">
        <f aca="false">MAX(E203:O203)</f>
        <v>-172.024357976906</v>
      </c>
      <c r="Q203" s="12" t="n">
        <f aca="false">INDEX($E$3:$O$3,MATCH(P203,E203:O203,0))</f>
        <v>0</v>
      </c>
      <c r="R203" s="20" t="n">
        <v>0</v>
      </c>
      <c r="S203" s="14" t="n">
        <f aca="false">IF(ABS(Q203-R203)&lt;0.000000001,1,0)</f>
        <v>1</v>
      </c>
      <c r="T203" s="21" t="n">
        <f aca="false">ABS(P203-B203)</f>
        <v>0</v>
      </c>
      <c r="U203" s="16" t="n">
        <f aca="false">Alpha_keep*A203+Q203</f>
        <v>77.5125</v>
      </c>
      <c r="V203" s="14" t="n">
        <f aca="false">INDEX(GuardBlock,199,ROUND(Q203/Step_h,0)+1)</f>
        <v>1</v>
      </c>
      <c r="W203" s="22" t="n">
        <v>0</v>
      </c>
    </row>
    <row r="204" customFormat="false" ht="15" hidden="false" customHeight="false" outlineLevel="0" collapsed="false">
      <c r="A204" s="18" t="n">
        <f aca="false">Grid!A204</f>
        <v>79.75</v>
      </c>
      <c r="B204" s="19" t="n">
        <v>-171.518186933894</v>
      </c>
      <c r="C204" s="14" t="n">
        <v>199</v>
      </c>
      <c r="D204" s="11" t="str">
        <f aca="false">IF(AND($C204&gt;=6,$C204&lt;=194),Declarations!$B$25*INDEX($B$5:$B$205,$C204+1-Declarations!$E$25)+Declarations!$B$26*INDEX($B$5:$B$205,$C204+1-Declarations!$E$26)+Declarations!$B$27*INDEX($B$5:$B$205,$C204+1-Declarations!$E$27)+Declarations!$B$28*INDEX($B$5:$B$205,$C204+1-Declarations!$E$28)+Declarations!$B$29*INDEX($B$5:$B$205,$C204+1-Declarations!$E$29),"")</f>
        <v/>
      </c>
      <c r="E204" s="16" t="n">
        <f aca="false">IF(Grid!C204=1,-Cost_k*E$3-Short_p*MAX(0,Floor_c-$A204)+Beta_q*((1-(((Alpha_keep*$A204+E$3-Lo_c)/Step_c)-MAX(6,MIN(INT(((Alpha_keep*$A204+E$3-Lo_c)/Step_c)+0.00000001),193))))*INDEX($D$5:$D$205,MAX(6,MIN(INT(((Alpha_keep*$A204+E$3-Lo_c)/Step_c)+0.00000001),193))+1)+(((Alpha_keep*$A204+E$3-Lo_c)/Step_c)-MAX(6,MIN(INT(((Alpha_keep*$A204+E$3-Lo_c)/Step_c)+0.00000001),193)))*INDEX($D$5:$D$205,MAX(6,MIN(INT(((Alpha_keep*$A204+E$3-Lo_c)/Step_c)+0.00000001),193))+2)),"")</f>
        <v>-171.518186933894</v>
      </c>
      <c r="F204" s="16" t="n">
        <f aca="false">IF(Grid!D204=1,-Cost_k*F$3-Short_p*MAX(0,Floor_c-$A204)+Beta_q*((1-(((Alpha_keep*$A204+F$3-Lo_c)/Step_c)-MAX(6,MIN(INT(((Alpha_keep*$A204+F$3-Lo_c)/Step_c)+0.00000001),193))))*INDEX($D$5:$D$205,MAX(6,MIN(INT(((Alpha_keep*$A204+F$3-Lo_c)/Step_c)+0.00000001),193))+1)+(((Alpha_keep*$A204+F$3-Lo_c)/Step_c)-MAX(6,MIN(INT(((Alpha_keep*$A204+F$3-Lo_c)/Step_c)+0.00000001),193)))*INDEX($D$5:$D$205,MAX(6,MIN(INT(((Alpha_keep*$A204+F$3-Lo_c)/Step_c)+0.00000001),193))+2)),"")</f>
        <v>-172.002240684266</v>
      </c>
      <c r="G204" s="16" t="n">
        <f aca="false">IF(Grid!E204=1,-Cost_k*G$3-Short_p*MAX(0,Floor_c-$A204)+Beta_q*((1-(((Alpha_keep*$A204+G$3-Lo_c)/Step_c)-MAX(6,MIN(INT(((Alpha_keep*$A204+G$3-Lo_c)/Step_c)+0.00000001),193))))*INDEX($D$5:$D$205,MAX(6,MIN(INT(((Alpha_keep*$A204+G$3-Lo_c)/Step_c)+0.00000001),193))+1)+(((Alpha_keep*$A204+G$3-Lo_c)/Step_c)-MAX(6,MIN(INT(((Alpha_keep*$A204+G$3-Lo_c)/Step_c)+0.00000001),193)))*INDEX($D$5:$D$205,MAX(6,MIN(INT(((Alpha_keep*$A204+G$3-Lo_c)/Step_c)+0.00000001),193))+2)),"")</f>
        <v>-172.48947332153</v>
      </c>
      <c r="H204" s="16" t="str">
        <f aca="false">IF(Grid!F204=1,-Cost_k*H$3-Short_p*MAX(0,Floor_c-$A204)+Beta_q*((1-(((Alpha_keep*$A204+H$3-Lo_c)/Step_c)-MAX(6,MIN(INT(((Alpha_keep*$A204+H$3-Lo_c)/Step_c)+0.00000001),193))))*INDEX($D$5:$D$205,MAX(6,MIN(INT(((Alpha_keep*$A204+H$3-Lo_c)/Step_c)+0.00000001),193))+1)+(((Alpha_keep*$A204+H$3-Lo_c)/Step_c)-MAX(6,MIN(INT(((Alpha_keep*$A204+H$3-Lo_c)/Step_c)+0.00000001),193)))*INDEX($D$5:$D$205,MAX(6,MIN(INT(((Alpha_keep*$A204+H$3-Lo_c)/Step_c)+0.00000001),193))+2)),"")</f>
        <v/>
      </c>
      <c r="I204" s="16" t="str">
        <f aca="false">IF(Grid!G204=1,-Cost_k*I$3-Short_p*MAX(0,Floor_c-$A204)+Beta_q*((1-(((Alpha_keep*$A204+I$3-Lo_c)/Step_c)-MAX(6,MIN(INT(((Alpha_keep*$A204+I$3-Lo_c)/Step_c)+0.00000001),193))))*INDEX($D$5:$D$205,MAX(6,MIN(INT(((Alpha_keep*$A204+I$3-Lo_c)/Step_c)+0.00000001),193))+1)+(((Alpha_keep*$A204+I$3-Lo_c)/Step_c)-MAX(6,MIN(INT(((Alpha_keep*$A204+I$3-Lo_c)/Step_c)+0.00000001),193)))*INDEX($D$5:$D$205,MAX(6,MIN(INT(((Alpha_keep*$A204+I$3-Lo_c)/Step_c)+0.00000001),193))+2)),"")</f>
        <v/>
      </c>
      <c r="J204" s="16" t="str">
        <f aca="false">IF(Grid!H204=1,-Cost_k*J$3-Short_p*MAX(0,Floor_c-$A204)+Beta_q*((1-(((Alpha_keep*$A204+J$3-Lo_c)/Step_c)-MAX(6,MIN(INT(((Alpha_keep*$A204+J$3-Lo_c)/Step_c)+0.00000001),193))))*INDEX($D$5:$D$205,MAX(6,MIN(INT(((Alpha_keep*$A204+J$3-Lo_c)/Step_c)+0.00000001),193))+1)+(((Alpha_keep*$A204+J$3-Lo_c)/Step_c)-MAX(6,MIN(INT(((Alpha_keep*$A204+J$3-Lo_c)/Step_c)+0.00000001),193)))*INDEX($D$5:$D$205,MAX(6,MIN(INT(((Alpha_keep*$A204+J$3-Lo_c)/Step_c)+0.00000001),193))+2)),"")</f>
        <v/>
      </c>
      <c r="K204" s="16" t="str">
        <f aca="false">IF(Grid!I204=1,-Cost_k*K$3-Short_p*MAX(0,Floor_c-$A204)+Beta_q*((1-(((Alpha_keep*$A204+K$3-Lo_c)/Step_c)-MAX(6,MIN(INT(((Alpha_keep*$A204+K$3-Lo_c)/Step_c)+0.00000001),193))))*INDEX($D$5:$D$205,MAX(6,MIN(INT(((Alpha_keep*$A204+K$3-Lo_c)/Step_c)+0.00000001),193))+1)+(((Alpha_keep*$A204+K$3-Lo_c)/Step_c)-MAX(6,MIN(INT(((Alpha_keep*$A204+K$3-Lo_c)/Step_c)+0.00000001),193)))*INDEX($D$5:$D$205,MAX(6,MIN(INT(((Alpha_keep*$A204+K$3-Lo_c)/Step_c)+0.00000001),193))+2)),"")</f>
        <v/>
      </c>
      <c r="L204" s="16" t="str">
        <f aca="false">IF(Grid!J204=1,-Cost_k*L$3-Short_p*MAX(0,Floor_c-$A204)+Beta_q*((1-(((Alpha_keep*$A204+L$3-Lo_c)/Step_c)-MAX(6,MIN(INT(((Alpha_keep*$A204+L$3-Lo_c)/Step_c)+0.00000001),193))))*INDEX($D$5:$D$205,MAX(6,MIN(INT(((Alpha_keep*$A204+L$3-Lo_c)/Step_c)+0.00000001),193))+1)+(((Alpha_keep*$A204+L$3-Lo_c)/Step_c)-MAX(6,MIN(INT(((Alpha_keep*$A204+L$3-Lo_c)/Step_c)+0.00000001),193)))*INDEX($D$5:$D$205,MAX(6,MIN(INT(((Alpha_keep*$A204+L$3-Lo_c)/Step_c)+0.00000001),193))+2)),"")</f>
        <v/>
      </c>
      <c r="M204" s="16" t="str">
        <f aca="false">IF(Grid!K204=1,-Cost_k*M$3-Short_p*MAX(0,Floor_c-$A204)+Beta_q*((1-(((Alpha_keep*$A204+M$3-Lo_c)/Step_c)-MAX(6,MIN(INT(((Alpha_keep*$A204+M$3-Lo_c)/Step_c)+0.00000001),193))))*INDEX($D$5:$D$205,MAX(6,MIN(INT(((Alpha_keep*$A204+M$3-Lo_c)/Step_c)+0.00000001),193))+1)+(((Alpha_keep*$A204+M$3-Lo_c)/Step_c)-MAX(6,MIN(INT(((Alpha_keep*$A204+M$3-Lo_c)/Step_c)+0.00000001),193)))*INDEX($D$5:$D$205,MAX(6,MIN(INT(((Alpha_keep*$A204+M$3-Lo_c)/Step_c)+0.00000001),193))+2)),"")</f>
        <v/>
      </c>
      <c r="N204" s="16" t="str">
        <f aca="false">IF(Grid!L204=1,-Cost_k*N$3-Short_p*MAX(0,Floor_c-$A204)+Beta_q*((1-(((Alpha_keep*$A204+N$3-Lo_c)/Step_c)-MAX(6,MIN(INT(((Alpha_keep*$A204+N$3-Lo_c)/Step_c)+0.00000001),193))))*INDEX($D$5:$D$205,MAX(6,MIN(INT(((Alpha_keep*$A204+N$3-Lo_c)/Step_c)+0.00000001),193))+1)+(((Alpha_keep*$A204+N$3-Lo_c)/Step_c)-MAX(6,MIN(INT(((Alpha_keep*$A204+N$3-Lo_c)/Step_c)+0.00000001),193)))*INDEX($D$5:$D$205,MAX(6,MIN(INT(((Alpha_keep*$A204+N$3-Lo_c)/Step_c)+0.00000001),193))+2)),"")</f>
        <v/>
      </c>
      <c r="O204" s="16" t="str">
        <f aca="false">IF(Grid!M204=1,-Cost_k*O$3-Short_p*MAX(0,Floor_c-$A204)+Beta_q*((1-(((Alpha_keep*$A204+O$3-Lo_c)/Step_c)-MAX(6,MIN(INT(((Alpha_keep*$A204+O$3-Lo_c)/Step_c)+0.00000001),193))))*INDEX($D$5:$D$205,MAX(6,MIN(INT(((Alpha_keep*$A204+O$3-Lo_c)/Step_c)+0.00000001),193))+1)+(((Alpha_keep*$A204+O$3-Lo_c)/Step_c)-MAX(6,MIN(INT(((Alpha_keep*$A204+O$3-Lo_c)/Step_c)+0.00000001),193)))*INDEX($D$5:$D$205,MAX(6,MIN(INT(((Alpha_keep*$A204+O$3-Lo_c)/Step_c)+0.00000001),193))+2)),"")</f>
        <v/>
      </c>
      <c r="P204" s="11" t="n">
        <f aca="false">MAX(E204:O204)</f>
        <v>-171.518186933894</v>
      </c>
      <c r="Q204" s="12" t="n">
        <f aca="false">INDEX($E$3:$O$3,MATCH(P204,E204:O204,0))</f>
        <v>0</v>
      </c>
      <c r="R204" s="20" t="n">
        <v>0</v>
      </c>
      <c r="S204" s="14" t="n">
        <f aca="false">IF(ABS(Q204-R204)&lt;0.000000001,1,0)</f>
        <v>1</v>
      </c>
      <c r="T204" s="21" t="n">
        <f aca="false">ABS(P204-B204)</f>
        <v>0</v>
      </c>
      <c r="U204" s="16" t="n">
        <f aca="false">Alpha_keep*A204+Q204</f>
        <v>77.75625</v>
      </c>
      <c r="V204" s="14" t="n">
        <f aca="false">INDEX(GuardBlock,200,ROUND(Q204/Step_h,0)+1)</f>
        <v>1</v>
      </c>
      <c r="W204" s="22" t="n">
        <v>0</v>
      </c>
    </row>
    <row r="205" customFormat="false" ht="15" hidden="false" customHeight="false" outlineLevel="0" collapsed="false">
      <c r="A205" s="18" t="n">
        <f aca="false">Grid!A205</f>
        <v>80</v>
      </c>
      <c r="B205" s="19" t="n">
        <v>-171.015061842695</v>
      </c>
      <c r="C205" s="14" t="n">
        <v>200</v>
      </c>
      <c r="D205" s="11" t="str">
        <f aca="false">IF(AND($C205&gt;=6,$C205&lt;=194),Declarations!$B$25*INDEX($B$5:$B$205,$C205+1-Declarations!$E$25)+Declarations!$B$26*INDEX($B$5:$B$205,$C205+1-Declarations!$E$26)+Declarations!$B$27*INDEX($B$5:$B$205,$C205+1-Declarations!$E$27)+Declarations!$B$28*INDEX($B$5:$B$205,$C205+1-Declarations!$E$28)+Declarations!$B$29*INDEX($B$5:$B$205,$C205+1-Declarations!$E$29),"")</f>
        <v/>
      </c>
      <c r="E205" s="16" t="n">
        <f aca="false">IF(Grid!C205=1,-Cost_k*E$3-Short_p*MAX(0,Floor_c-$A205)+Beta_q*((1-(((Alpha_keep*$A205+E$3-Lo_c)/Step_c)-MAX(6,MIN(INT(((Alpha_keep*$A205+E$3-Lo_c)/Step_c)+0.00000001),193))))*INDEX($D$5:$D$205,MAX(6,MIN(INT(((Alpha_keep*$A205+E$3-Lo_c)/Step_c)+0.00000001),193))+1)+(((Alpha_keep*$A205+E$3-Lo_c)/Step_c)-MAX(6,MIN(INT(((Alpha_keep*$A205+E$3-Lo_c)/Step_c)+0.00000001),193)))*INDEX($D$5:$D$205,MAX(6,MIN(INT(((Alpha_keep*$A205+E$3-Lo_c)/Step_c)+0.00000001),193))+2)),"")</f>
        <v>-171.015061842695</v>
      </c>
      <c r="F205" s="16" t="n">
        <f aca="false">IF(Grid!D205=1,-Cost_k*F$3-Short_p*MAX(0,Floor_c-$A205)+Beta_q*((1-(((Alpha_keep*$A205+F$3-Lo_c)/Step_c)-MAX(6,MIN(INT(((Alpha_keep*$A205+F$3-Lo_c)/Step_c)+0.00000001),193))))*INDEX($D$5:$D$205,MAX(6,MIN(INT(((Alpha_keep*$A205+F$3-Lo_c)/Step_c)+0.00000001),193))+1)+(((Alpha_keep*$A205+F$3-Lo_c)/Step_c)-MAX(6,MIN(INT(((Alpha_keep*$A205+F$3-Lo_c)/Step_c)+0.00000001),193)))*INDEX($D$5:$D$205,MAX(6,MIN(INT(((Alpha_keep*$A205+F$3-Lo_c)/Step_c)+0.00000001),193))+2)),"")</f>
        <v>-171.502215505533</v>
      </c>
      <c r="G205" s="16" t="n">
        <f aca="false">IF(Grid!E205=1,-Cost_k*G$3-Short_p*MAX(0,Floor_c-$A205)+Beta_q*((1-(((Alpha_keep*$A205+G$3-Lo_c)/Step_c)-MAX(6,MIN(INT(((Alpha_keep*$A205+G$3-Lo_c)/Step_c)+0.00000001),193))))*INDEX($D$5:$D$205,MAX(6,MIN(INT(((Alpha_keep*$A205+G$3-Lo_c)/Step_c)+0.00000001),193))+1)+(((Alpha_keep*$A205+G$3-Lo_c)/Step_c)-MAX(6,MIN(INT(((Alpha_keep*$A205+G$3-Lo_c)/Step_c)+0.00000001),193)))*INDEX($D$5:$D$205,MAX(6,MIN(INT(((Alpha_keep*$A205+G$3-Lo_c)/Step_c)+0.00000001),193))+2)),"")</f>
        <v>-171.992528145411</v>
      </c>
      <c r="H205" s="16" t="str">
        <f aca="false">IF(Grid!F205=1,-Cost_k*H$3-Short_p*MAX(0,Floor_c-$A205)+Beta_q*((1-(((Alpha_keep*$A205+H$3-Lo_c)/Step_c)-MAX(6,MIN(INT(((Alpha_keep*$A205+H$3-Lo_c)/Step_c)+0.00000001),193))))*INDEX($D$5:$D$205,MAX(6,MIN(INT(((Alpha_keep*$A205+H$3-Lo_c)/Step_c)+0.00000001),193))+1)+(((Alpha_keep*$A205+H$3-Lo_c)/Step_c)-MAX(6,MIN(INT(((Alpha_keep*$A205+H$3-Lo_c)/Step_c)+0.00000001),193)))*INDEX($D$5:$D$205,MAX(6,MIN(INT(((Alpha_keep*$A205+H$3-Lo_c)/Step_c)+0.00000001),193))+2)),"")</f>
        <v/>
      </c>
      <c r="I205" s="16" t="str">
        <f aca="false">IF(Grid!G205=1,-Cost_k*I$3-Short_p*MAX(0,Floor_c-$A205)+Beta_q*((1-(((Alpha_keep*$A205+I$3-Lo_c)/Step_c)-MAX(6,MIN(INT(((Alpha_keep*$A205+I$3-Lo_c)/Step_c)+0.00000001),193))))*INDEX($D$5:$D$205,MAX(6,MIN(INT(((Alpha_keep*$A205+I$3-Lo_c)/Step_c)+0.00000001),193))+1)+(((Alpha_keep*$A205+I$3-Lo_c)/Step_c)-MAX(6,MIN(INT(((Alpha_keep*$A205+I$3-Lo_c)/Step_c)+0.00000001),193)))*INDEX($D$5:$D$205,MAX(6,MIN(INT(((Alpha_keep*$A205+I$3-Lo_c)/Step_c)+0.00000001),193))+2)),"")</f>
        <v/>
      </c>
      <c r="J205" s="16" t="str">
        <f aca="false">IF(Grid!H205=1,-Cost_k*J$3-Short_p*MAX(0,Floor_c-$A205)+Beta_q*((1-(((Alpha_keep*$A205+J$3-Lo_c)/Step_c)-MAX(6,MIN(INT(((Alpha_keep*$A205+J$3-Lo_c)/Step_c)+0.00000001),193))))*INDEX($D$5:$D$205,MAX(6,MIN(INT(((Alpha_keep*$A205+J$3-Lo_c)/Step_c)+0.00000001),193))+1)+(((Alpha_keep*$A205+J$3-Lo_c)/Step_c)-MAX(6,MIN(INT(((Alpha_keep*$A205+J$3-Lo_c)/Step_c)+0.00000001),193)))*INDEX($D$5:$D$205,MAX(6,MIN(INT(((Alpha_keep*$A205+J$3-Lo_c)/Step_c)+0.00000001),193))+2)),"")</f>
        <v/>
      </c>
      <c r="K205" s="16" t="str">
        <f aca="false">IF(Grid!I205=1,-Cost_k*K$3-Short_p*MAX(0,Floor_c-$A205)+Beta_q*((1-(((Alpha_keep*$A205+K$3-Lo_c)/Step_c)-MAX(6,MIN(INT(((Alpha_keep*$A205+K$3-Lo_c)/Step_c)+0.00000001),193))))*INDEX($D$5:$D$205,MAX(6,MIN(INT(((Alpha_keep*$A205+K$3-Lo_c)/Step_c)+0.00000001),193))+1)+(((Alpha_keep*$A205+K$3-Lo_c)/Step_c)-MAX(6,MIN(INT(((Alpha_keep*$A205+K$3-Lo_c)/Step_c)+0.00000001),193)))*INDEX($D$5:$D$205,MAX(6,MIN(INT(((Alpha_keep*$A205+K$3-Lo_c)/Step_c)+0.00000001),193))+2)),"")</f>
        <v/>
      </c>
      <c r="L205" s="16" t="str">
        <f aca="false">IF(Grid!J205=1,-Cost_k*L$3-Short_p*MAX(0,Floor_c-$A205)+Beta_q*((1-(((Alpha_keep*$A205+L$3-Lo_c)/Step_c)-MAX(6,MIN(INT(((Alpha_keep*$A205+L$3-Lo_c)/Step_c)+0.00000001),193))))*INDEX($D$5:$D$205,MAX(6,MIN(INT(((Alpha_keep*$A205+L$3-Lo_c)/Step_c)+0.00000001),193))+1)+(((Alpha_keep*$A205+L$3-Lo_c)/Step_c)-MAX(6,MIN(INT(((Alpha_keep*$A205+L$3-Lo_c)/Step_c)+0.00000001),193)))*INDEX($D$5:$D$205,MAX(6,MIN(INT(((Alpha_keep*$A205+L$3-Lo_c)/Step_c)+0.00000001),193))+2)),"")</f>
        <v/>
      </c>
      <c r="M205" s="16" t="str">
        <f aca="false">IF(Grid!K205=1,-Cost_k*M$3-Short_p*MAX(0,Floor_c-$A205)+Beta_q*((1-(((Alpha_keep*$A205+M$3-Lo_c)/Step_c)-MAX(6,MIN(INT(((Alpha_keep*$A205+M$3-Lo_c)/Step_c)+0.00000001),193))))*INDEX($D$5:$D$205,MAX(6,MIN(INT(((Alpha_keep*$A205+M$3-Lo_c)/Step_c)+0.00000001),193))+1)+(((Alpha_keep*$A205+M$3-Lo_c)/Step_c)-MAX(6,MIN(INT(((Alpha_keep*$A205+M$3-Lo_c)/Step_c)+0.00000001),193)))*INDEX($D$5:$D$205,MAX(6,MIN(INT(((Alpha_keep*$A205+M$3-Lo_c)/Step_c)+0.00000001),193))+2)),"")</f>
        <v/>
      </c>
      <c r="N205" s="16" t="str">
        <f aca="false">IF(Grid!L205=1,-Cost_k*N$3-Short_p*MAX(0,Floor_c-$A205)+Beta_q*((1-(((Alpha_keep*$A205+N$3-Lo_c)/Step_c)-MAX(6,MIN(INT(((Alpha_keep*$A205+N$3-Lo_c)/Step_c)+0.00000001),193))))*INDEX($D$5:$D$205,MAX(6,MIN(INT(((Alpha_keep*$A205+N$3-Lo_c)/Step_c)+0.00000001),193))+1)+(((Alpha_keep*$A205+N$3-Lo_c)/Step_c)-MAX(6,MIN(INT(((Alpha_keep*$A205+N$3-Lo_c)/Step_c)+0.00000001),193)))*INDEX($D$5:$D$205,MAX(6,MIN(INT(((Alpha_keep*$A205+N$3-Lo_c)/Step_c)+0.00000001),193))+2)),"")</f>
        <v/>
      </c>
      <c r="O205" s="16" t="str">
        <f aca="false">IF(Grid!M205=1,-Cost_k*O$3-Short_p*MAX(0,Floor_c-$A205)+Beta_q*((1-(((Alpha_keep*$A205+O$3-Lo_c)/Step_c)-MAX(6,MIN(INT(((Alpha_keep*$A205+O$3-Lo_c)/Step_c)+0.00000001),193))))*INDEX($D$5:$D$205,MAX(6,MIN(INT(((Alpha_keep*$A205+O$3-Lo_c)/Step_c)+0.00000001),193))+1)+(((Alpha_keep*$A205+O$3-Lo_c)/Step_c)-MAX(6,MIN(INT(((Alpha_keep*$A205+O$3-Lo_c)/Step_c)+0.00000001),193)))*INDEX($D$5:$D$205,MAX(6,MIN(INT(((Alpha_keep*$A205+O$3-Lo_c)/Step_c)+0.00000001),193))+2)),"")</f>
        <v/>
      </c>
      <c r="P205" s="11" t="n">
        <f aca="false">MAX(E205:O205)</f>
        <v>-171.015061842695</v>
      </c>
      <c r="Q205" s="12" t="n">
        <f aca="false">INDEX($E$3:$O$3,MATCH(P205,E205:O205,0))</f>
        <v>0</v>
      </c>
      <c r="R205" s="20" t="n">
        <v>0</v>
      </c>
      <c r="S205" s="14" t="n">
        <f aca="false">IF(ABS(Q205-R205)&lt;0.000000001,1,0)</f>
        <v>1</v>
      </c>
      <c r="T205" s="21" t="n">
        <f aca="false">ABS(P205-B205)</f>
        <v>0</v>
      </c>
      <c r="U205" s="16" t="n">
        <f aca="false">Alpha_keep*A205+Q205</f>
        <v>78</v>
      </c>
      <c r="V205" s="14" t="n">
        <f aca="false">INDEX(GuardBlock,201,ROUND(Q205/Step_h,0)+1)</f>
        <v>1</v>
      </c>
      <c r="W205" s="22"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1"/>
    <col collapsed="false" customWidth="true" hidden="false" outlineLevel="0" max="3" min="3" style="0" width="15"/>
    <col collapsed="false" customWidth="true" hidden="false" outlineLevel="0" max="4" min="4" style="0" width="12"/>
    <col collapsed="false" customWidth="true" hidden="false" outlineLevel="0" max="5" min="5" style="0" width="6"/>
    <col collapsed="false" customWidth="true" hidden="false" outlineLevel="0" max="6" min="6" style="0" width="14"/>
    <col collapsed="false" customWidth="true" hidden="false" outlineLevel="0" max="7" min="7" style="0" width="13"/>
    <col collapsed="false" customWidth="true" hidden="false" outlineLevel="0" max="8" min="8" style="0" width="6"/>
    <col collapsed="false" customWidth="true" hidden="false" outlineLevel="0" max="9" min="9" style="0" width="14"/>
    <col collapsed="false" customWidth="true" hidden="false" outlineLevel="0" max="10" min="10" style="0" width="13"/>
    <col collapsed="false" customWidth="true" hidden="false" outlineLevel="0" max="11" min="11" style="0" width="6"/>
    <col collapsed="false" customWidth="true" hidden="false" outlineLevel="0" max="13" min="12" style="0" width="3"/>
    <col collapsed="false" customWidth="true" hidden="false" outlineLevel="0" max="14" min="14" style="0" width="58"/>
    <col collapsed="false" customWidth="true" hidden="false" outlineLevel="0" max="19" min="15" style="0" width="14"/>
  </cols>
  <sheetData>
    <row r="1" customFormat="false" ht="15" hidden="false" customHeight="false" outlineLevel="0" collapsed="false">
      <c r="A1" s="1" t="s">
        <v>177</v>
      </c>
    </row>
    <row r="2" customFormat="false" ht="15" hidden="false" customHeight="false" outlineLevel="0" collapsed="false">
      <c r="A2" s="10" t="s">
        <v>178</v>
      </c>
    </row>
    <row r="4" customFormat="false" ht="46.25" hidden="false" customHeight="false" outlineLevel="0" collapsed="false">
      <c r="A4" s="8" t="s">
        <v>133</v>
      </c>
      <c r="B4" s="8" t="s">
        <v>179</v>
      </c>
      <c r="C4" s="8" t="s">
        <v>180</v>
      </c>
      <c r="D4" s="8" t="s">
        <v>181</v>
      </c>
      <c r="E4" s="8" t="s">
        <v>182</v>
      </c>
      <c r="F4" s="8" t="s">
        <v>183</v>
      </c>
      <c r="G4" s="8" t="s">
        <v>184</v>
      </c>
      <c r="H4" s="8" t="s">
        <v>182</v>
      </c>
      <c r="I4" s="8" t="s">
        <v>185</v>
      </c>
      <c r="J4" s="8" t="s">
        <v>186</v>
      </c>
      <c r="K4" s="8" t="s">
        <v>182</v>
      </c>
      <c r="N4" s="2" t="s">
        <v>187</v>
      </c>
      <c r="O4" s="9" t="n">
        <v>58</v>
      </c>
    </row>
    <row r="5" customFormat="false" ht="15" hidden="false" customHeight="false" outlineLevel="0" collapsed="false">
      <c r="A5" s="18" t="n">
        <f aca="false">Grid!A5</f>
        <v>30</v>
      </c>
      <c r="B5" s="18" t="n">
        <f aca="false">BestRule!Q5</f>
        <v>2.5</v>
      </c>
      <c r="C5" s="12" t="n">
        <f aca="false">MIN(Cap_h,MAX(0,ROUND(($O$4-Alpha_keep*A5)/Step_h,0)*Step_h))</f>
        <v>2.5</v>
      </c>
      <c r="D5" s="20" t="n">
        <v>2.5</v>
      </c>
      <c r="E5" s="14" t="n">
        <f aca="false">IF(ABS(C5-D5)&lt;0.000000001,1,0)</f>
        <v>1</v>
      </c>
      <c r="F5" s="18" t="n">
        <f aca="false">Grid!AA5</f>
        <v>2.25</v>
      </c>
      <c r="G5" s="20" t="n">
        <v>2.25</v>
      </c>
      <c r="H5" s="14" t="n">
        <f aca="false">IF(ABS(F5-G5)&lt;0.000000001,1,0)</f>
        <v>1</v>
      </c>
      <c r="I5" s="18" t="n">
        <f aca="false">Grid!AB5</f>
        <v>2.5</v>
      </c>
      <c r="J5" s="20" t="n">
        <v>2.5</v>
      </c>
      <c r="K5" s="14" t="n">
        <f aca="false">IF(ABS(I5-J5)&lt;0.000000001,1,0)</f>
        <v>1</v>
      </c>
    </row>
    <row r="6" customFormat="false" ht="35.05" hidden="false" customHeight="false" outlineLevel="0" collapsed="false">
      <c r="A6" s="18" t="n">
        <f aca="false">Grid!A6</f>
        <v>30.25</v>
      </c>
      <c r="B6" s="18" t="n">
        <f aca="false">BestRule!Q6</f>
        <v>2.5</v>
      </c>
      <c r="C6" s="12" t="n">
        <f aca="false">MIN(Cap_h,MAX(0,ROUND(($O$4-Alpha_keep*A6)/Step_h,0)*Step_h))</f>
        <v>2.5</v>
      </c>
      <c r="D6" s="20" t="n">
        <v>2.5</v>
      </c>
      <c r="E6" s="14" t="n">
        <f aca="false">IF(ABS(C6-D6)&lt;0.000000001,1,0)</f>
        <v>1</v>
      </c>
      <c r="F6" s="18" t="n">
        <f aca="false">Grid!AA6</f>
        <v>2.25</v>
      </c>
      <c r="G6" s="20" t="n">
        <v>2.25</v>
      </c>
      <c r="H6" s="14" t="n">
        <f aca="false">IF(ABS(F6-G6)&lt;0.000000001,1,0)</f>
        <v>1</v>
      </c>
      <c r="I6" s="18" t="n">
        <f aca="false">Grid!AB6</f>
        <v>2.5</v>
      </c>
      <c r="J6" s="20" t="n">
        <v>2.5</v>
      </c>
      <c r="K6" s="14" t="n">
        <f aca="false">IF(ABS(I6-J6)&lt;0.000000001,1,0)</f>
        <v>1</v>
      </c>
      <c r="N6" s="8" t="s">
        <v>188</v>
      </c>
      <c r="O6" s="8" t="s">
        <v>189</v>
      </c>
      <c r="P6" s="8" t="s">
        <v>190</v>
      </c>
      <c r="Q6" s="8" t="s">
        <v>191</v>
      </c>
      <c r="R6" s="8" t="s">
        <v>192</v>
      </c>
      <c r="S6" s="8" t="s">
        <v>193</v>
      </c>
    </row>
    <row r="7" customFormat="false" ht="15" hidden="false" customHeight="false" outlineLevel="0" collapsed="false">
      <c r="A7" s="18" t="n">
        <f aca="false">Grid!A7</f>
        <v>30.5</v>
      </c>
      <c r="B7" s="18" t="n">
        <f aca="false">BestRule!Q7</f>
        <v>2.5</v>
      </c>
      <c r="C7" s="12" t="n">
        <f aca="false">MIN(Cap_h,MAX(0,ROUND(($O$4-Alpha_keep*A7)/Step_h,0)*Step_h))</f>
        <v>2.5</v>
      </c>
      <c r="D7" s="20" t="n">
        <v>2.5</v>
      </c>
      <c r="E7" s="14" t="n">
        <f aca="false">IF(ABS(C7-D7)&lt;0.000000001,1,0)</f>
        <v>1</v>
      </c>
      <c r="F7" s="18" t="n">
        <f aca="false">Grid!AA7</f>
        <v>2</v>
      </c>
      <c r="G7" s="20" t="n">
        <v>2</v>
      </c>
      <c r="H7" s="14" t="n">
        <f aca="false">IF(ABS(F7-G7)&lt;0.000000001,1,0)</f>
        <v>1</v>
      </c>
      <c r="I7" s="18" t="n">
        <f aca="false">Grid!AB7</f>
        <v>2.5</v>
      </c>
      <c r="J7" s="20" t="n">
        <v>2.5</v>
      </c>
      <c r="K7" s="14" t="n">
        <f aca="false">IF(ABS(I7-J7)&lt;0.000000001,1,0)</f>
        <v>1</v>
      </c>
      <c r="N7" s="4" t="s">
        <v>194</v>
      </c>
      <c r="O7" s="18" t="n">
        <f aca="false">BestRule!AA4</f>
        <v>231.1783984959</v>
      </c>
      <c r="P7" s="12" t="n">
        <f aca="false">O7-$O$7</f>
        <v>0</v>
      </c>
      <c r="Q7" s="18" t="n">
        <f aca="false">BestRule!AA14</f>
        <v>55.8377425411407</v>
      </c>
      <c r="R7" s="24" t="n">
        <f aca="false">BestRule!AA13</f>
        <v>0.058199363320079</v>
      </c>
    </row>
    <row r="8" customFormat="false" ht="15" hidden="false" customHeight="false" outlineLevel="0" collapsed="false">
      <c r="A8" s="18" t="n">
        <f aca="false">Grid!A8</f>
        <v>30.75</v>
      </c>
      <c r="B8" s="18" t="n">
        <f aca="false">BestRule!Q8</f>
        <v>2.5</v>
      </c>
      <c r="C8" s="12" t="n">
        <f aca="false">MIN(Cap_h,MAX(0,ROUND(($O$4-Alpha_keep*A8)/Step_h,0)*Step_h))</f>
        <v>2.5</v>
      </c>
      <c r="D8" s="20" t="n">
        <v>2.5</v>
      </c>
      <c r="E8" s="14" t="n">
        <f aca="false">IF(ABS(C8-D8)&lt;0.000000001,1,0)</f>
        <v>1</v>
      </c>
      <c r="F8" s="18" t="n">
        <f aca="false">Grid!AA8</f>
        <v>1.75</v>
      </c>
      <c r="G8" s="20" t="n">
        <v>1.75</v>
      </c>
      <c r="H8" s="14" t="n">
        <f aca="false">IF(ABS(F8-G8)&lt;0.000000001,1,0)</f>
        <v>1</v>
      </c>
      <c r="I8" s="18" t="n">
        <f aca="false">Grid!AB8</f>
        <v>2.5</v>
      </c>
      <c r="J8" s="20" t="n">
        <v>2.5</v>
      </c>
      <c r="K8" s="14" t="n">
        <f aca="false">IF(ABS(I8-J8)&lt;0.000000001,1,0)</f>
        <v>1</v>
      </c>
      <c r="N8" s="4" t="s">
        <v>195</v>
      </c>
      <c r="O8" s="20" t="n">
        <v>246.547760816008</v>
      </c>
      <c r="P8" s="12" t="n">
        <f aca="false">O8-$O$7</f>
        <v>15.3693623201087</v>
      </c>
      <c r="Q8" s="20" t="n">
        <v>58.0264460306799</v>
      </c>
      <c r="R8" s="25" t="n">
        <v>1.53364895671248E-007</v>
      </c>
      <c r="S8" s="14" t="n">
        <f aca="false">SUM(E5:E205)</f>
        <v>201</v>
      </c>
    </row>
    <row r="9" customFormat="false" ht="15" hidden="false" customHeight="false" outlineLevel="0" collapsed="false">
      <c r="A9" s="18" t="n">
        <f aca="false">Grid!A9</f>
        <v>31</v>
      </c>
      <c r="B9" s="18" t="n">
        <f aca="false">BestRule!Q9</f>
        <v>2.5</v>
      </c>
      <c r="C9" s="12" t="n">
        <f aca="false">MIN(Cap_h,MAX(0,ROUND(($O$4-Alpha_keep*A9)/Step_h,0)*Step_h))</f>
        <v>2.5</v>
      </c>
      <c r="D9" s="20" t="n">
        <v>2.5</v>
      </c>
      <c r="E9" s="14" t="n">
        <f aca="false">IF(ABS(C9-D9)&lt;0.000000001,1,0)</f>
        <v>1</v>
      </c>
      <c r="F9" s="18" t="n">
        <f aca="false">Grid!AA9</f>
        <v>1.5</v>
      </c>
      <c r="G9" s="20" t="n">
        <v>1.5</v>
      </c>
      <c r="H9" s="14" t="n">
        <f aca="false">IF(ABS(F9-G9)&lt;0.000000001,1,0)</f>
        <v>1</v>
      </c>
      <c r="I9" s="18" t="n">
        <f aca="false">Grid!AB9</f>
        <v>2.5</v>
      </c>
      <c r="J9" s="20" t="n">
        <v>2.5</v>
      </c>
      <c r="K9" s="14" t="n">
        <f aca="false">IF(ABS(I9-J9)&lt;0.000000001,1,0)</f>
        <v>1</v>
      </c>
      <c r="N9" s="4" t="s">
        <v>196</v>
      </c>
      <c r="O9" s="20" t="n">
        <v>1260.92174068614</v>
      </c>
      <c r="P9" s="12" t="n">
        <f aca="false">O9-$O$7</f>
        <v>1029.74334219024</v>
      </c>
      <c r="Q9" s="20" t="n">
        <v>31.751221631304</v>
      </c>
      <c r="R9" s="25" t="n">
        <v>1</v>
      </c>
      <c r="S9" s="14" t="n">
        <f aca="false">SUM(H5:H205)</f>
        <v>201</v>
      </c>
    </row>
    <row r="10" customFormat="false" ht="15" hidden="false" customHeight="false" outlineLevel="0" collapsed="false">
      <c r="A10" s="18" t="n">
        <f aca="false">Grid!A10</f>
        <v>31.25</v>
      </c>
      <c r="B10" s="18" t="n">
        <f aca="false">BestRule!Q10</f>
        <v>2.5</v>
      </c>
      <c r="C10" s="12" t="n">
        <f aca="false">MIN(Cap_h,MAX(0,ROUND(($O$4-Alpha_keep*A10)/Step_h,0)*Step_h))</f>
        <v>2.5</v>
      </c>
      <c r="D10" s="20" t="n">
        <v>2.5</v>
      </c>
      <c r="E10" s="14" t="n">
        <f aca="false">IF(ABS(C10-D10)&lt;0.000000001,1,0)</f>
        <v>1</v>
      </c>
      <c r="F10" s="18" t="n">
        <f aca="false">Grid!AA10</f>
        <v>1.25</v>
      </c>
      <c r="G10" s="20" t="n">
        <v>1.25</v>
      </c>
      <c r="H10" s="14" t="n">
        <f aca="false">IF(ABS(F10-G10)&lt;0.000000001,1,0)</f>
        <v>1</v>
      </c>
      <c r="I10" s="18" t="n">
        <f aca="false">Grid!AB10</f>
        <v>2.5</v>
      </c>
      <c r="J10" s="20" t="n">
        <v>2.5</v>
      </c>
      <c r="K10" s="14" t="n">
        <f aca="false">IF(ABS(I10-J10)&lt;0.000000001,1,0)</f>
        <v>1</v>
      </c>
      <c r="N10" s="4" t="s">
        <v>197</v>
      </c>
      <c r="O10" s="20" t="n">
        <v>373.956224532323</v>
      </c>
      <c r="P10" s="12" t="n">
        <f aca="false">O10-$O$7</f>
        <v>142.777826036423</v>
      </c>
      <c r="Q10" s="20" t="n">
        <v>78.1504555752488</v>
      </c>
      <c r="R10" s="25" t="n">
        <v>2.59060426596276E-044</v>
      </c>
      <c r="S10" s="14" t="n">
        <f aca="false">SUM(K5:K205)</f>
        <v>201</v>
      </c>
    </row>
    <row r="11" customFormat="false" ht="15" hidden="false" customHeight="false" outlineLevel="0" collapsed="false">
      <c r="A11" s="18" t="n">
        <f aca="false">Grid!A11</f>
        <v>31.5</v>
      </c>
      <c r="B11" s="18" t="n">
        <f aca="false">BestRule!Q11</f>
        <v>2.5</v>
      </c>
      <c r="C11" s="12" t="n">
        <f aca="false">MIN(Cap_h,MAX(0,ROUND(($O$4-Alpha_keep*A11)/Step_h,0)*Step_h))</f>
        <v>2.5</v>
      </c>
      <c r="D11" s="20" t="n">
        <v>2.5</v>
      </c>
      <c r="E11" s="14" t="n">
        <f aca="false">IF(ABS(C11-D11)&lt;0.000000001,1,0)</f>
        <v>1</v>
      </c>
      <c r="F11" s="18" t="n">
        <f aca="false">Grid!AA11</f>
        <v>1</v>
      </c>
      <c r="G11" s="20" t="n">
        <v>1</v>
      </c>
      <c r="H11" s="14" t="n">
        <f aca="false">IF(ABS(F11-G11)&lt;0.000000001,1,0)</f>
        <v>1</v>
      </c>
      <c r="I11" s="18" t="n">
        <f aca="false">Grid!AB11</f>
        <v>2.5</v>
      </c>
      <c r="J11" s="20" t="n">
        <v>2.5</v>
      </c>
      <c r="K11" s="14" t="n">
        <f aca="false">IF(ABS(I11-J11)&lt;0.000000001,1,0)</f>
        <v>1</v>
      </c>
    </row>
    <row r="12" customFormat="false" ht="15" hidden="false" customHeight="false" outlineLevel="0" collapsed="false">
      <c r="A12" s="18" t="n">
        <f aca="false">Grid!A12</f>
        <v>31.75</v>
      </c>
      <c r="B12" s="18" t="n">
        <f aca="false">BestRule!Q12</f>
        <v>2.5</v>
      </c>
      <c r="C12" s="12" t="n">
        <f aca="false">MIN(Cap_h,MAX(0,ROUND(($O$4-Alpha_keep*A12)/Step_h,0)*Step_h))</f>
        <v>2.5</v>
      </c>
      <c r="D12" s="20" t="n">
        <v>2.5</v>
      </c>
      <c r="E12" s="14" t="n">
        <f aca="false">IF(ABS(C12-D12)&lt;0.000000001,1,0)</f>
        <v>1</v>
      </c>
      <c r="F12" s="18" t="n">
        <f aca="false">Grid!AA12</f>
        <v>0.75</v>
      </c>
      <c r="G12" s="20" t="n">
        <v>0.75</v>
      </c>
      <c r="H12" s="14" t="n">
        <f aca="false">IF(ABS(F12-G12)&lt;0.000000001,1,0)</f>
        <v>1</v>
      </c>
      <c r="I12" s="18" t="n">
        <f aca="false">Grid!AB12</f>
        <v>2.5</v>
      </c>
      <c r="J12" s="20" t="n">
        <v>2.5</v>
      </c>
      <c r="K12" s="14" t="n">
        <f aca="false">IF(ABS(I12-J12)&lt;0.000000001,1,0)</f>
        <v>1</v>
      </c>
      <c r="N12" s="2" t="s">
        <v>198</v>
      </c>
      <c r="O12" s="26" t="n">
        <v>3</v>
      </c>
      <c r="P12" s="10" t="s">
        <v>199</v>
      </c>
    </row>
    <row r="13" customFormat="false" ht="15" hidden="false" customHeight="false" outlineLevel="0" collapsed="false">
      <c r="A13" s="18" t="n">
        <f aca="false">Grid!A13</f>
        <v>32</v>
      </c>
      <c r="B13" s="18" t="n">
        <f aca="false">BestRule!Q13</f>
        <v>2.5</v>
      </c>
      <c r="C13" s="12" t="n">
        <f aca="false">MIN(Cap_h,MAX(0,ROUND(($O$4-Alpha_keep*A13)/Step_h,0)*Step_h))</f>
        <v>2.5</v>
      </c>
      <c r="D13" s="20" t="n">
        <v>2.5</v>
      </c>
      <c r="E13" s="14" t="n">
        <f aca="false">IF(ABS(C13-D13)&lt;0.000000001,1,0)</f>
        <v>1</v>
      </c>
      <c r="F13" s="18" t="n">
        <f aca="false">Grid!AA13</f>
        <v>0.5</v>
      </c>
      <c r="G13" s="20" t="n">
        <v>0.5</v>
      </c>
      <c r="H13" s="14" t="n">
        <f aca="false">IF(ABS(F13-G13)&lt;0.000000001,1,0)</f>
        <v>1</v>
      </c>
      <c r="I13" s="18" t="n">
        <f aca="false">Grid!AB13</f>
        <v>2.5</v>
      </c>
      <c r="J13" s="20" t="n">
        <v>2.5</v>
      </c>
      <c r="K13" s="14" t="n">
        <f aca="false">IF(ABS(I13-J13)&lt;0.000000001,1,0)</f>
        <v>1</v>
      </c>
      <c r="N13" s="2" t="s">
        <v>200</v>
      </c>
      <c r="O13" s="27" t="n">
        <v>0.748125040263041</v>
      </c>
      <c r="P13" s="10" t="s">
        <v>201</v>
      </c>
    </row>
    <row r="14" customFormat="false" ht="15" hidden="false" customHeight="false" outlineLevel="0" collapsed="false">
      <c r="A14" s="18" t="n">
        <f aca="false">Grid!A14</f>
        <v>32.25</v>
      </c>
      <c r="B14" s="18" t="n">
        <f aca="false">BestRule!Q14</f>
        <v>2.5</v>
      </c>
      <c r="C14" s="12" t="n">
        <f aca="false">MIN(Cap_h,MAX(0,ROUND(($O$4-Alpha_keep*A14)/Step_h,0)*Step_h))</f>
        <v>2.5</v>
      </c>
      <c r="D14" s="20" t="n">
        <v>2.5</v>
      </c>
      <c r="E14" s="14" t="n">
        <f aca="false">IF(ABS(C14-D14)&lt;0.000000001,1,0)</f>
        <v>1</v>
      </c>
      <c r="F14" s="18" t="n">
        <f aca="false">Grid!AA14</f>
        <v>0.25</v>
      </c>
      <c r="G14" s="20" t="n">
        <v>0.25</v>
      </c>
      <c r="H14" s="14" t="n">
        <f aca="false">IF(ABS(F14-G14)&lt;0.000000001,1,0)</f>
        <v>1</v>
      </c>
      <c r="I14" s="18" t="n">
        <f aca="false">Grid!AB14</f>
        <v>2.5</v>
      </c>
      <c r="J14" s="20" t="n">
        <v>2.5</v>
      </c>
      <c r="K14" s="14" t="n">
        <f aca="false">IF(ABS(I14-J14)&lt;0.000000001,1,0)</f>
        <v>1</v>
      </c>
    </row>
    <row r="15" customFormat="false" ht="15" hidden="false" customHeight="false" outlineLevel="0" collapsed="false">
      <c r="A15" s="18" t="n">
        <f aca="false">Grid!A15</f>
        <v>32.5</v>
      </c>
      <c r="B15" s="18" t="n">
        <f aca="false">BestRule!Q15</f>
        <v>2.5</v>
      </c>
      <c r="C15" s="12" t="n">
        <f aca="false">MIN(Cap_h,MAX(0,ROUND(($O$4-Alpha_keep*A15)/Step_h,0)*Step_h))</f>
        <v>2.5</v>
      </c>
      <c r="D15" s="20" t="n">
        <v>2.5</v>
      </c>
      <c r="E15" s="14" t="n">
        <f aca="false">IF(ABS(C15-D15)&lt;0.000000001,1,0)</f>
        <v>1</v>
      </c>
      <c r="F15" s="18" t="n">
        <f aca="false">Grid!AA15</f>
        <v>0</v>
      </c>
      <c r="G15" s="20" t="n">
        <v>0</v>
      </c>
      <c r="H15" s="14" t="n">
        <f aca="false">IF(ABS(F15-G15)&lt;0.000000001,1,0)</f>
        <v>1</v>
      </c>
      <c r="I15" s="18" t="n">
        <f aca="false">Grid!AB15</f>
        <v>2.5</v>
      </c>
      <c r="J15" s="20" t="n">
        <v>2.5</v>
      </c>
      <c r="K15" s="14" t="n">
        <f aca="false">IF(ABS(I15-J15)&lt;0.000000001,1,0)</f>
        <v>1</v>
      </c>
    </row>
    <row r="16" customFormat="false" ht="15" hidden="false" customHeight="false" outlineLevel="0" collapsed="false">
      <c r="A16" s="18" t="n">
        <f aca="false">Grid!A16</f>
        <v>32.75</v>
      </c>
      <c r="B16" s="18" t="n">
        <f aca="false">BestRule!Q16</f>
        <v>2.5</v>
      </c>
      <c r="C16" s="12" t="n">
        <f aca="false">MIN(Cap_h,MAX(0,ROUND(($O$4-Alpha_keep*A16)/Step_h,0)*Step_h))</f>
        <v>2.5</v>
      </c>
      <c r="D16" s="20" t="n">
        <v>2.5</v>
      </c>
      <c r="E16" s="14" t="n">
        <f aca="false">IF(ABS(C16-D16)&lt;0.000000001,1,0)</f>
        <v>1</v>
      </c>
      <c r="F16" s="18" t="n">
        <f aca="false">Grid!AA16</f>
        <v>0</v>
      </c>
      <c r="G16" s="20" t="n">
        <v>0</v>
      </c>
      <c r="H16" s="14" t="n">
        <f aca="false">IF(ABS(F16-G16)&lt;0.000000001,1,0)</f>
        <v>1</v>
      </c>
      <c r="I16" s="18" t="n">
        <f aca="false">Grid!AB16</f>
        <v>2.5</v>
      </c>
      <c r="J16" s="20" t="n">
        <v>2.5</v>
      </c>
      <c r="K16" s="14" t="n">
        <f aca="false">IF(ABS(I16-J16)&lt;0.000000001,1,0)</f>
        <v>1</v>
      </c>
    </row>
    <row r="17" customFormat="false" ht="15" hidden="false" customHeight="false" outlineLevel="0" collapsed="false">
      <c r="A17" s="18" t="n">
        <f aca="false">Grid!A17</f>
        <v>33</v>
      </c>
      <c r="B17" s="18" t="n">
        <f aca="false">BestRule!Q17</f>
        <v>2.5</v>
      </c>
      <c r="C17" s="12" t="n">
        <f aca="false">MIN(Cap_h,MAX(0,ROUND(($O$4-Alpha_keep*A17)/Step_h,0)*Step_h))</f>
        <v>2.5</v>
      </c>
      <c r="D17" s="20" t="n">
        <v>2.5</v>
      </c>
      <c r="E17" s="14" t="n">
        <f aca="false">IF(ABS(C17-D17)&lt;0.000000001,1,0)</f>
        <v>1</v>
      </c>
      <c r="F17" s="18" t="n">
        <f aca="false">Grid!AA17</f>
        <v>0</v>
      </c>
      <c r="G17" s="20" t="n">
        <v>0</v>
      </c>
      <c r="H17" s="14" t="n">
        <f aca="false">IF(ABS(F17-G17)&lt;0.000000001,1,0)</f>
        <v>1</v>
      </c>
      <c r="I17" s="18" t="n">
        <f aca="false">Grid!AB17</f>
        <v>2.5</v>
      </c>
      <c r="J17" s="20" t="n">
        <v>2.5</v>
      </c>
      <c r="K17" s="14" t="n">
        <f aca="false">IF(ABS(I17-J17)&lt;0.000000001,1,0)</f>
        <v>1</v>
      </c>
    </row>
    <row r="18" customFormat="false" ht="15" hidden="false" customHeight="false" outlineLevel="0" collapsed="false">
      <c r="A18" s="18" t="n">
        <f aca="false">Grid!A18</f>
        <v>33.25</v>
      </c>
      <c r="B18" s="18" t="n">
        <f aca="false">BestRule!Q18</f>
        <v>2.5</v>
      </c>
      <c r="C18" s="12" t="n">
        <f aca="false">MIN(Cap_h,MAX(0,ROUND(($O$4-Alpha_keep*A18)/Step_h,0)*Step_h))</f>
        <v>2.5</v>
      </c>
      <c r="D18" s="20" t="n">
        <v>2.5</v>
      </c>
      <c r="E18" s="14" t="n">
        <f aca="false">IF(ABS(C18-D18)&lt;0.000000001,1,0)</f>
        <v>1</v>
      </c>
      <c r="F18" s="18" t="n">
        <f aca="false">Grid!AA18</f>
        <v>0</v>
      </c>
      <c r="G18" s="20" t="n">
        <v>0</v>
      </c>
      <c r="H18" s="14" t="n">
        <f aca="false">IF(ABS(F18-G18)&lt;0.000000001,1,0)</f>
        <v>1</v>
      </c>
      <c r="I18" s="18" t="n">
        <f aca="false">Grid!AB18</f>
        <v>2.5</v>
      </c>
      <c r="J18" s="20" t="n">
        <v>2.5</v>
      </c>
      <c r="K18" s="14" t="n">
        <f aca="false">IF(ABS(I18-J18)&lt;0.000000001,1,0)</f>
        <v>1</v>
      </c>
    </row>
    <row r="19" customFormat="false" ht="15" hidden="false" customHeight="false" outlineLevel="0" collapsed="false">
      <c r="A19" s="18" t="n">
        <f aca="false">Grid!A19</f>
        <v>33.5</v>
      </c>
      <c r="B19" s="18" t="n">
        <f aca="false">BestRule!Q19</f>
        <v>2.5</v>
      </c>
      <c r="C19" s="12" t="n">
        <f aca="false">MIN(Cap_h,MAX(0,ROUND(($O$4-Alpha_keep*A19)/Step_h,0)*Step_h))</f>
        <v>2.5</v>
      </c>
      <c r="D19" s="20" t="n">
        <v>2.5</v>
      </c>
      <c r="E19" s="14" t="n">
        <f aca="false">IF(ABS(C19-D19)&lt;0.000000001,1,0)</f>
        <v>1</v>
      </c>
      <c r="F19" s="18" t="n">
        <f aca="false">Grid!AA19</f>
        <v>0</v>
      </c>
      <c r="G19" s="20" t="n">
        <v>0</v>
      </c>
      <c r="H19" s="14" t="n">
        <f aca="false">IF(ABS(F19-G19)&lt;0.000000001,1,0)</f>
        <v>1</v>
      </c>
      <c r="I19" s="18" t="n">
        <f aca="false">Grid!AB19</f>
        <v>2.5</v>
      </c>
      <c r="J19" s="20" t="n">
        <v>2.5</v>
      </c>
      <c r="K19" s="14" t="n">
        <f aca="false">IF(ABS(I19-J19)&lt;0.000000001,1,0)</f>
        <v>1</v>
      </c>
    </row>
    <row r="20" customFormat="false" ht="15" hidden="false" customHeight="false" outlineLevel="0" collapsed="false">
      <c r="A20" s="18" t="n">
        <f aca="false">Grid!A20</f>
        <v>33.75</v>
      </c>
      <c r="B20" s="18" t="n">
        <f aca="false">BestRule!Q20</f>
        <v>2.5</v>
      </c>
      <c r="C20" s="12" t="n">
        <f aca="false">MIN(Cap_h,MAX(0,ROUND(($O$4-Alpha_keep*A20)/Step_h,0)*Step_h))</f>
        <v>2.5</v>
      </c>
      <c r="D20" s="20" t="n">
        <v>2.5</v>
      </c>
      <c r="E20" s="14" t="n">
        <f aca="false">IF(ABS(C20-D20)&lt;0.000000001,1,0)</f>
        <v>1</v>
      </c>
      <c r="F20" s="18" t="n">
        <f aca="false">Grid!AA20</f>
        <v>0</v>
      </c>
      <c r="G20" s="20" t="n">
        <v>0</v>
      </c>
      <c r="H20" s="14" t="n">
        <f aca="false">IF(ABS(F20-G20)&lt;0.000000001,1,0)</f>
        <v>1</v>
      </c>
      <c r="I20" s="18" t="n">
        <f aca="false">Grid!AB20</f>
        <v>2.5</v>
      </c>
      <c r="J20" s="20" t="n">
        <v>2.5</v>
      </c>
      <c r="K20" s="14" t="n">
        <f aca="false">IF(ABS(I20-J20)&lt;0.000000001,1,0)</f>
        <v>1</v>
      </c>
    </row>
    <row r="21" customFormat="false" ht="15" hidden="false" customHeight="false" outlineLevel="0" collapsed="false">
      <c r="A21" s="18" t="n">
        <f aca="false">Grid!A21</f>
        <v>34</v>
      </c>
      <c r="B21" s="18" t="n">
        <f aca="false">BestRule!Q21</f>
        <v>2.5</v>
      </c>
      <c r="C21" s="12" t="n">
        <f aca="false">MIN(Cap_h,MAX(0,ROUND(($O$4-Alpha_keep*A21)/Step_h,0)*Step_h))</f>
        <v>2.5</v>
      </c>
      <c r="D21" s="20" t="n">
        <v>2.5</v>
      </c>
      <c r="E21" s="14" t="n">
        <f aca="false">IF(ABS(C21-D21)&lt;0.000000001,1,0)</f>
        <v>1</v>
      </c>
      <c r="F21" s="18" t="n">
        <f aca="false">Grid!AA21</f>
        <v>0</v>
      </c>
      <c r="G21" s="20" t="n">
        <v>0</v>
      </c>
      <c r="H21" s="14" t="n">
        <f aca="false">IF(ABS(F21-G21)&lt;0.000000001,1,0)</f>
        <v>1</v>
      </c>
      <c r="I21" s="18" t="n">
        <f aca="false">Grid!AB21</f>
        <v>2.5</v>
      </c>
      <c r="J21" s="20" t="n">
        <v>2.5</v>
      </c>
      <c r="K21" s="14" t="n">
        <f aca="false">IF(ABS(I21-J21)&lt;0.000000001,1,0)</f>
        <v>1</v>
      </c>
    </row>
    <row r="22" customFormat="false" ht="15" hidden="false" customHeight="false" outlineLevel="0" collapsed="false">
      <c r="A22" s="18" t="n">
        <f aca="false">Grid!A22</f>
        <v>34.25</v>
      </c>
      <c r="B22" s="18" t="n">
        <f aca="false">BestRule!Q22</f>
        <v>2.5</v>
      </c>
      <c r="C22" s="12" t="n">
        <f aca="false">MIN(Cap_h,MAX(0,ROUND(($O$4-Alpha_keep*A22)/Step_h,0)*Step_h))</f>
        <v>2.5</v>
      </c>
      <c r="D22" s="20" t="n">
        <v>2.5</v>
      </c>
      <c r="E22" s="14" t="n">
        <f aca="false">IF(ABS(C22-D22)&lt;0.000000001,1,0)</f>
        <v>1</v>
      </c>
      <c r="F22" s="18" t="n">
        <f aca="false">Grid!AA22</f>
        <v>0</v>
      </c>
      <c r="G22" s="20" t="n">
        <v>0</v>
      </c>
      <c r="H22" s="14" t="n">
        <f aca="false">IF(ABS(F22-G22)&lt;0.000000001,1,0)</f>
        <v>1</v>
      </c>
      <c r="I22" s="18" t="n">
        <f aca="false">Grid!AB22</f>
        <v>2.5</v>
      </c>
      <c r="J22" s="20" t="n">
        <v>2.5</v>
      </c>
      <c r="K22" s="14" t="n">
        <f aca="false">IF(ABS(I22-J22)&lt;0.000000001,1,0)</f>
        <v>1</v>
      </c>
    </row>
    <row r="23" customFormat="false" ht="15" hidden="false" customHeight="false" outlineLevel="0" collapsed="false">
      <c r="A23" s="18" t="n">
        <f aca="false">Grid!A23</f>
        <v>34.5</v>
      </c>
      <c r="B23" s="18" t="n">
        <f aca="false">BestRule!Q23</f>
        <v>2.5</v>
      </c>
      <c r="C23" s="12" t="n">
        <f aca="false">MIN(Cap_h,MAX(0,ROUND(($O$4-Alpha_keep*A23)/Step_h,0)*Step_h))</f>
        <v>2.5</v>
      </c>
      <c r="D23" s="20" t="n">
        <v>2.5</v>
      </c>
      <c r="E23" s="14" t="n">
        <f aca="false">IF(ABS(C23-D23)&lt;0.000000001,1,0)</f>
        <v>1</v>
      </c>
      <c r="F23" s="18" t="n">
        <f aca="false">Grid!AA23</f>
        <v>0</v>
      </c>
      <c r="G23" s="20" t="n">
        <v>0</v>
      </c>
      <c r="H23" s="14" t="n">
        <f aca="false">IF(ABS(F23-G23)&lt;0.000000001,1,0)</f>
        <v>1</v>
      </c>
      <c r="I23" s="18" t="n">
        <f aca="false">Grid!AB23</f>
        <v>2.5</v>
      </c>
      <c r="J23" s="20" t="n">
        <v>2.5</v>
      </c>
      <c r="K23" s="14" t="n">
        <f aca="false">IF(ABS(I23-J23)&lt;0.000000001,1,0)</f>
        <v>1</v>
      </c>
    </row>
    <row r="24" customFormat="false" ht="15" hidden="false" customHeight="false" outlineLevel="0" collapsed="false">
      <c r="A24" s="18" t="n">
        <f aca="false">Grid!A24</f>
        <v>34.75</v>
      </c>
      <c r="B24" s="18" t="n">
        <f aca="false">BestRule!Q24</f>
        <v>2.5</v>
      </c>
      <c r="C24" s="12" t="n">
        <f aca="false">MIN(Cap_h,MAX(0,ROUND(($O$4-Alpha_keep*A24)/Step_h,0)*Step_h))</f>
        <v>2.5</v>
      </c>
      <c r="D24" s="20" t="n">
        <v>2.5</v>
      </c>
      <c r="E24" s="14" t="n">
        <f aca="false">IF(ABS(C24-D24)&lt;0.000000001,1,0)</f>
        <v>1</v>
      </c>
      <c r="F24" s="18" t="n">
        <f aca="false">Grid!AA24</f>
        <v>0</v>
      </c>
      <c r="G24" s="20" t="n">
        <v>0</v>
      </c>
      <c r="H24" s="14" t="n">
        <f aca="false">IF(ABS(F24-G24)&lt;0.000000001,1,0)</f>
        <v>1</v>
      </c>
      <c r="I24" s="18" t="n">
        <f aca="false">Grid!AB24</f>
        <v>2.5</v>
      </c>
      <c r="J24" s="20" t="n">
        <v>2.5</v>
      </c>
      <c r="K24" s="14" t="n">
        <f aca="false">IF(ABS(I24-J24)&lt;0.000000001,1,0)</f>
        <v>1</v>
      </c>
    </row>
    <row r="25" customFormat="false" ht="15" hidden="false" customHeight="false" outlineLevel="0" collapsed="false">
      <c r="A25" s="18" t="n">
        <f aca="false">Grid!A25</f>
        <v>35</v>
      </c>
      <c r="B25" s="18" t="n">
        <f aca="false">BestRule!Q25</f>
        <v>2.5</v>
      </c>
      <c r="C25" s="12" t="n">
        <f aca="false">MIN(Cap_h,MAX(0,ROUND(($O$4-Alpha_keep*A25)/Step_h,0)*Step_h))</f>
        <v>2.5</v>
      </c>
      <c r="D25" s="20" t="n">
        <v>2.5</v>
      </c>
      <c r="E25" s="14" t="n">
        <f aca="false">IF(ABS(C25-D25)&lt;0.000000001,1,0)</f>
        <v>1</v>
      </c>
      <c r="F25" s="18" t="n">
        <f aca="false">Grid!AA25</f>
        <v>0</v>
      </c>
      <c r="G25" s="20" t="n">
        <v>0</v>
      </c>
      <c r="H25" s="14" t="n">
        <f aca="false">IF(ABS(F25-G25)&lt;0.000000001,1,0)</f>
        <v>1</v>
      </c>
      <c r="I25" s="18" t="n">
        <f aca="false">Grid!AB25</f>
        <v>2.5</v>
      </c>
      <c r="J25" s="20" t="n">
        <v>2.5</v>
      </c>
      <c r="K25" s="14" t="n">
        <f aca="false">IF(ABS(I25-J25)&lt;0.000000001,1,0)</f>
        <v>1</v>
      </c>
    </row>
    <row r="26" customFormat="false" ht="15" hidden="false" customHeight="false" outlineLevel="0" collapsed="false">
      <c r="A26" s="18" t="n">
        <f aca="false">Grid!A26</f>
        <v>35.25</v>
      </c>
      <c r="B26" s="18" t="n">
        <f aca="false">BestRule!Q26</f>
        <v>2.5</v>
      </c>
      <c r="C26" s="12" t="n">
        <f aca="false">MIN(Cap_h,MAX(0,ROUND(($O$4-Alpha_keep*A26)/Step_h,0)*Step_h))</f>
        <v>2.5</v>
      </c>
      <c r="D26" s="20" t="n">
        <v>2.5</v>
      </c>
      <c r="E26" s="14" t="n">
        <f aca="false">IF(ABS(C26-D26)&lt;0.000000001,1,0)</f>
        <v>1</v>
      </c>
      <c r="F26" s="18" t="n">
        <f aca="false">Grid!AA26</f>
        <v>0</v>
      </c>
      <c r="G26" s="20" t="n">
        <v>0</v>
      </c>
      <c r="H26" s="14" t="n">
        <f aca="false">IF(ABS(F26-G26)&lt;0.000000001,1,0)</f>
        <v>1</v>
      </c>
      <c r="I26" s="18" t="n">
        <f aca="false">Grid!AB26</f>
        <v>2.5</v>
      </c>
      <c r="J26" s="20" t="n">
        <v>2.5</v>
      </c>
      <c r="K26" s="14" t="n">
        <f aca="false">IF(ABS(I26-J26)&lt;0.000000001,1,0)</f>
        <v>1</v>
      </c>
    </row>
    <row r="27" customFormat="false" ht="15" hidden="false" customHeight="false" outlineLevel="0" collapsed="false">
      <c r="A27" s="18" t="n">
        <f aca="false">Grid!A27</f>
        <v>35.5</v>
      </c>
      <c r="B27" s="18" t="n">
        <f aca="false">BestRule!Q27</f>
        <v>2.5</v>
      </c>
      <c r="C27" s="12" t="n">
        <f aca="false">MIN(Cap_h,MAX(0,ROUND(($O$4-Alpha_keep*A27)/Step_h,0)*Step_h))</f>
        <v>2.5</v>
      </c>
      <c r="D27" s="20" t="n">
        <v>2.5</v>
      </c>
      <c r="E27" s="14" t="n">
        <f aca="false">IF(ABS(C27-D27)&lt;0.000000001,1,0)</f>
        <v>1</v>
      </c>
      <c r="F27" s="18" t="n">
        <f aca="false">Grid!AA27</f>
        <v>0</v>
      </c>
      <c r="G27" s="20" t="n">
        <v>0</v>
      </c>
      <c r="H27" s="14" t="n">
        <f aca="false">IF(ABS(F27-G27)&lt;0.000000001,1,0)</f>
        <v>1</v>
      </c>
      <c r="I27" s="18" t="n">
        <f aca="false">Grid!AB27</f>
        <v>2.5</v>
      </c>
      <c r="J27" s="20" t="n">
        <v>2.5</v>
      </c>
      <c r="K27" s="14" t="n">
        <f aca="false">IF(ABS(I27-J27)&lt;0.000000001,1,0)</f>
        <v>1</v>
      </c>
    </row>
    <row r="28" customFormat="false" ht="15" hidden="false" customHeight="false" outlineLevel="0" collapsed="false">
      <c r="A28" s="18" t="n">
        <f aca="false">Grid!A28</f>
        <v>35.75</v>
      </c>
      <c r="B28" s="18" t="n">
        <f aca="false">BestRule!Q28</f>
        <v>2.5</v>
      </c>
      <c r="C28" s="12" t="n">
        <f aca="false">MIN(Cap_h,MAX(0,ROUND(($O$4-Alpha_keep*A28)/Step_h,0)*Step_h))</f>
        <v>2.5</v>
      </c>
      <c r="D28" s="20" t="n">
        <v>2.5</v>
      </c>
      <c r="E28" s="14" t="n">
        <f aca="false">IF(ABS(C28-D28)&lt;0.000000001,1,0)</f>
        <v>1</v>
      </c>
      <c r="F28" s="18" t="n">
        <f aca="false">Grid!AA28</f>
        <v>0</v>
      </c>
      <c r="G28" s="20" t="n">
        <v>0</v>
      </c>
      <c r="H28" s="14" t="n">
        <f aca="false">IF(ABS(F28-G28)&lt;0.000000001,1,0)</f>
        <v>1</v>
      </c>
      <c r="I28" s="18" t="n">
        <f aca="false">Grid!AB28</f>
        <v>2.5</v>
      </c>
      <c r="J28" s="20" t="n">
        <v>2.5</v>
      </c>
      <c r="K28" s="14" t="n">
        <f aca="false">IF(ABS(I28-J28)&lt;0.000000001,1,0)</f>
        <v>1</v>
      </c>
    </row>
    <row r="29" customFormat="false" ht="15" hidden="false" customHeight="false" outlineLevel="0" collapsed="false">
      <c r="A29" s="18" t="n">
        <f aca="false">Grid!A29</f>
        <v>36</v>
      </c>
      <c r="B29" s="18" t="n">
        <f aca="false">BestRule!Q29</f>
        <v>2.5</v>
      </c>
      <c r="C29" s="12" t="n">
        <f aca="false">MIN(Cap_h,MAX(0,ROUND(($O$4-Alpha_keep*A29)/Step_h,0)*Step_h))</f>
        <v>2.5</v>
      </c>
      <c r="D29" s="20" t="n">
        <v>2.5</v>
      </c>
      <c r="E29" s="14" t="n">
        <f aca="false">IF(ABS(C29-D29)&lt;0.000000001,1,0)</f>
        <v>1</v>
      </c>
      <c r="F29" s="18" t="n">
        <f aca="false">Grid!AA29</f>
        <v>0</v>
      </c>
      <c r="G29" s="20" t="n">
        <v>0</v>
      </c>
      <c r="H29" s="14" t="n">
        <f aca="false">IF(ABS(F29-G29)&lt;0.000000001,1,0)</f>
        <v>1</v>
      </c>
      <c r="I29" s="18" t="n">
        <f aca="false">Grid!AB29</f>
        <v>2.5</v>
      </c>
      <c r="J29" s="20" t="n">
        <v>2.5</v>
      </c>
      <c r="K29" s="14" t="n">
        <f aca="false">IF(ABS(I29-J29)&lt;0.000000001,1,0)</f>
        <v>1</v>
      </c>
    </row>
    <row r="30" customFormat="false" ht="15" hidden="false" customHeight="false" outlineLevel="0" collapsed="false">
      <c r="A30" s="18" t="n">
        <f aca="false">Grid!A30</f>
        <v>36.25</v>
      </c>
      <c r="B30" s="18" t="n">
        <f aca="false">BestRule!Q30</f>
        <v>2.5</v>
      </c>
      <c r="C30" s="12" t="n">
        <f aca="false">MIN(Cap_h,MAX(0,ROUND(($O$4-Alpha_keep*A30)/Step_h,0)*Step_h))</f>
        <v>2.5</v>
      </c>
      <c r="D30" s="20" t="n">
        <v>2.5</v>
      </c>
      <c r="E30" s="14" t="n">
        <f aca="false">IF(ABS(C30-D30)&lt;0.000000001,1,0)</f>
        <v>1</v>
      </c>
      <c r="F30" s="18" t="n">
        <f aca="false">Grid!AA30</f>
        <v>0</v>
      </c>
      <c r="G30" s="20" t="n">
        <v>0</v>
      </c>
      <c r="H30" s="14" t="n">
        <f aca="false">IF(ABS(F30-G30)&lt;0.000000001,1,0)</f>
        <v>1</v>
      </c>
      <c r="I30" s="18" t="n">
        <f aca="false">Grid!AB30</f>
        <v>2.5</v>
      </c>
      <c r="J30" s="20" t="n">
        <v>2.5</v>
      </c>
      <c r="K30" s="14" t="n">
        <f aca="false">IF(ABS(I30-J30)&lt;0.000000001,1,0)</f>
        <v>1</v>
      </c>
    </row>
    <row r="31" customFormat="false" ht="15" hidden="false" customHeight="false" outlineLevel="0" collapsed="false">
      <c r="A31" s="18" t="n">
        <f aca="false">Grid!A31</f>
        <v>36.5</v>
      </c>
      <c r="B31" s="18" t="n">
        <f aca="false">BestRule!Q31</f>
        <v>2.5</v>
      </c>
      <c r="C31" s="12" t="n">
        <f aca="false">MIN(Cap_h,MAX(0,ROUND(($O$4-Alpha_keep*A31)/Step_h,0)*Step_h))</f>
        <v>2.5</v>
      </c>
      <c r="D31" s="20" t="n">
        <v>2.5</v>
      </c>
      <c r="E31" s="14" t="n">
        <f aca="false">IF(ABS(C31-D31)&lt;0.000000001,1,0)</f>
        <v>1</v>
      </c>
      <c r="F31" s="18" t="n">
        <f aca="false">Grid!AA31</f>
        <v>0</v>
      </c>
      <c r="G31" s="20" t="n">
        <v>0</v>
      </c>
      <c r="H31" s="14" t="n">
        <f aca="false">IF(ABS(F31-G31)&lt;0.000000001,1,0)</f>
        <v>1</v>
      </c>
      <c r="I31" s="18" t="n">
        <f aca="false">Grid!AB31</f>
        <v>2.5</v>
      </c>
      <c r="J31" s="20" t="n">
        <v>2.5</v>
      </c>
      <c r="K31" s="14" t="n">
        <f aca="false">IF(ABS(I31-J31)&lt;0.000000001,1,0)</f>
        <v>1</v>
      </c>
    </row>
    <row r="32" customFormat="false" ht="15" hidden="false" customHeight="false" outlineLevel="0" collapsed="false">
      <c r="A32" s="18" t="n">
        <f aca="false">Grid!A32</f>
        <v>36.75</v>
      </c>
      <c r="B32" s="18" t="n">
        <f aca="false">BestRule!Q32</f>
        <v>2.5</v>
      </c>
      <c r="C32" s="12" t="n">
        <f aca="false">MIN(Cap_h,MAX(0,ROUND(($O$4-Alpha_keep*A32)/Step_h,0)*Step_h))</f>
        <v>2.5</v>
      </c>
      <c r="D32" s="20" t="n">
        <v>2.5</v>
      </c>
      <c r="E32" s="14" t="n">
        <f aca="false">IF(ABS(C32-D32)&lt;0.000000001,1,0)</f>
        <v>1</v>
      </c>
      <c r="F32" s="18" t="n">
        <f aca="false">Grid!AA32</f>
        <v>0</v>
      </c>
      <c r="G32" s="20" t="n">
        <v>0</v>
      </c>
      <c r="H32" s="14" t="n">
        <f aca="false">IF(ABS(F32-G32)&lt;0.000000001,1,0)</f>
        <v>1</v>
      </c>
      <c r="I32" s="18" t="n">
        <f aca="false">Grid!AB32</f>
        <v>2.5</v>
      </c>
      <c r="J32" s="20" t="n">
        <v>2.5</v>
      </c>
      <c r="K32" s="14" t="n">
        <f aca="false">IF(ABS(I32-J32)&lt;0.000000001,1,0)</f>
        <v>1</v>
      </c>
    </row>
    <row r="33" customFormat="false" ht="15" hidden="false" customHeight="false" outlineLevel="0" collapsed="false">
      <c r="A33" s="18" t="n">
        <f aca="false">Grid!A33</f>
        <v>37</v>
      </c>
      <c r="B33" s="18" t="n">
        <f aca="false">BestRule!Q33</f>
        <v>2.5</v>
      </c>
      <c r="C33" s="12" t="n">
        <f aca="false">MIN(Cap_h,MAX(0,ROUND(($O$4-Alpha_keep*A33)/Step_h,0)*Step_h))</f>
        <v>2.5</v>
      </c>
      <c r="D33" s="20" t="n">
        <v>2.5</v>
      </c>
      <c r="E33" s="14" t="n">
        <f aca="false">IF(ABS(C33-D33)&lt;0.000000001,1,0)</f>
        <v>1</v>
      </c>
      <c r="F33" s="18" t="n">
        <f aca="false">Grid!AA33</f>
        <v>0</v>
      </c>
      <c r="G33" s="20" t="n">
        <v>0</v>
      </c>
      <c r="H33" s="14" t="n">
        <f aca="false">IF(ABS(F33-G33)&lt;0.000000001,1,0)</f>
        <v>1</v>
      </c>
      <c r="I33" s="18" t="n">
        <f aca="false">Grid!AB33</f>
        <v>2.5</v>
      </c>
      <c r="J33" s="20" t="n">
        <v>2.5</v>
      </c>
      <c r="K33" s="14" t="n">
        <f aca="false">IF(ABS(I33-J33)&lt;0.000000001,1,0)</f>
        <v>1</v>
      </c>
    </row>
    <row r="34" customFormat="false" ht="15" hidden="false" customHeight="false" outlineLevel="0" collapsed="false">
      <c r="A34" s="18" t="n">
        <f aca="false">Grid!A34</f>
        <v>37.25</v>
      </c>
      <c r="B34" s="18" t="n">
        <f aca="false">BestRule!Q34</f>
        <v>2.5</v>
      </c>
      <c r="C34" s="12" t="n">
        <f aca="false">MIN(Cap_h,MAX(0,ROUND(($O$4-Alpha_keep*A34)/Step_h,0)*Step_h))</f>
        <v>2.5</v>
      </c>
      <c r="D34" s="20" t="n">
        <v>2.5</v>
      </c>
      <c r="E34" s="14" t="n">
        <f aca="false">IF(ABS(C34-D34)&lt;0.000000001,1,0)</f>
        <v>1</v>
      </c>
      <c r="F34" s="18" t="n">
        <f aca="false">Grid!AA34</f>
        <v>0</v>
      </c>
      <c r="G34" s="20" t="n">
        <v>0</v>
      </c>
      <c r="H34" s="14" t="n">
        <f aca="false">IF(ABS(F34-G34)&lt;0.000000001,1,0)</f>
        <v>1</v>
      </c>
      <c r="I34" s="18" t="n">
        <f aca="false">Grid!AB34</f>
        <v>2.5</v>
      </c>
      <c r="J34" s="20" t="n">
        <v>2.5</v>
      </c>
      <c r="K34" s="14" t="n">
        <f aca="false">IF(ABS(I34-J34)&lt;0.000000001,1,0)</f>
        <v>1</v>
      </c>
    </row>
    <row r="35" customFormat="false" ht="15" hidden="false" customHeight="false" outlineLevel="0" collapsed="false">
      <c r="A35" s="18" t="n">
        <f aca="false">Grid!A35</f>
        <v>37.5</v>
      </c>
      <c r="B35" s="18" t="n">
        <f aca="false">BestRule!Q35</f>
        <v>2.5</v>
      </c>
      <c r="C35" s="12" t="n">
        <f aca="false">MIN(Cap_h,MAX(0,ROUND(($O$4-Alpha_keep*A35)/Step_h,0)*Step_h))</f>
        <v>2.5</v>
      </c>
      <c r="D35" s="20" t="n">
        <v>2.5</v>
      </c>
      <c r="E35" s="14" t="n">
        <f aca="false">IF(ABS(C35-D35)&lt;0.000000001,1,0)</f>
        <v>1</v>
      </c>
      <c r="F35" s="18" t="n">
        <f aca="false">Grid!AA35</f>
        <v>0</v>
      </c>
      <c r="G35" s="20" t="n">
        <v>0</v>
      </c>
      <c r="H35" s="14" t="n">
        <f aca="false">IF(ABS(F35-G35)&lt;0.000000001,1,0)</f>
        <v>1</v>
      </c>
      <c r="I35" s="18" t="n">
        <f aca="false">Grid!AB35</f>
        <v>2.5</v>
      </c>
      <c r="J35" s="20" t="n">
        <v>2.5</v>
      </c>
      <c r="K35" s="14" t="n">
        <f aca="false">IF(ABS(I35-J35)&lt;0.000000001,1,0)</f>
        <v>1</v>
      </c>
    </row>
    <row r="36" customFormat="false" ht="15" hidden="false" customHeight="false" outlineLevel="0" collapsed="false">
      <c r="A36" s="18" t="n">
        <f aca="false">Grid!A36</f>
        <v>37.75</v>
      </c>
      <c r="B36" s="18" t="n">
        <f aca="false">BestRule!Q36</f>
        <v>2.5</v>
      </c>
      <c r="C36" s="12" t="n">
        <f aca="false">MIN(Cap_h,MAX(0,ROUND(($O$4-Alpha_keep*A36)/Step_h,0)*Step_h))</f>
        <v>2.5</v>
      </c>
      <c r="D36" s="20" t="n">
        <v>2.5</v>
      </c>
      <c r="E36" s="14" t="n">
        <f aca="false">IF(ABS(C36-D36)&lt;0.000000001,1,0)</f>
        <v>1</v>
      </c>
      <c r="F36" s="18" t="n">
        <f aca="false">Grid!AA36</f>
        <v>0</v>
      </c>
      <c r="G36" s="20" t="n">
        <v>0</v>
      </c>
      <c r="H36" s="14" t="n">
        <f aca="false">IF(ABS(F36-G36)&lt;0.000000001,1,0)</f>
        <v>1</v>
      </c>
      <c r="I36" s="18" t="n">
        <f aca="false">Grid!AB36</f>
        <v>2.5</v>
      </c>
      <c r="J36" s="20" t="n">
        <v>2.5</v>
      </c>
      <c r="K36" s="14" t="n">
        <f aca="false">IF(ABS(I36-J36)&lt;0.000000001,1,0)</f>
        <v>1</v>
      </c>
    </row>
    <row r="37" customFormat="false" ht="15" hidden="false" customHeight="false" outlineLevel="0" collapsed="false">
      <c r="A37" s="18" t="n">
        <f aca="false">Grid!A37</f>
        <v>38</v>
      </c>
      <c r="B37" s="18" t="n">
        <f aca="false">BestRule!Q37</f>
        <v>2.5</v>
      </c>
      <c r="C37" s="12" t="n">
        <f aca="false">MIN(Cap_h,MAX(0,ROUND(($O$4-Alpha_keep*A37)/Step_h,0)*Step_h))</f>
        <v>2.5</v>
      </c>
      <c r="D37" s="20" t="n">
        <v>2.5</v>
      </c>
      <c r="E37" s="14" t="n">
        <f aca="false">IF(ABS(C37-D37)&lt;0.000000001,1,0)</f>
        <v>1</v>
      </c>
      <c r="F37" s="18" t="n">
        <f aca="false">Grid!AA37</f>
        <v>0</v>
      </c>
      <c r="G37" s="20" t="n">
        <v>0</v>
      </c>
      <c r="H37" s="14" t="n">
        <f aca="false">IF(ABS(F37-G37)&lt;0.000000001,1,0)</f>
        <v>1</v>
      </c>
      <c r="I37" s="18" t="n">
        <f aca="false">Grid!AB37</f>
        <v>2.5</v>
      </c>
      <c r="J37" s="20" t="n">
        <v>2.5</v>
      </c>
      <c r="K37" s="14" t="n">
        <f aca="false">IF(ABS(I37-J37)&lt;0.000000001,1,0)</f>
        <v>1</v>
      </c>
    </row>
    <row r="38" customFormat="false" ht="15" hidden="false" customHeight="false" outlineLevel="0" collapsed="false">
      <c r="A38" s="18" t="n">
        <f aca="false">Grid!A38</f>
        <v>38.25</v>
      </c>
      <c r="B38" s="18" t="n">
        <f aca="false">BestRule!Q38</f>
        <v>2.5</v>
      </c>
      <c r="C38" s="12" t="n">
        <f aca="false">MIN(Cap_h,MAX(0,ROUND(($O$4-Alpha_keep*A38)/Step_h,0)*Step_h))</f>
        <v>2.5</v>
      </c>
      <c r="D38" s="20" t="n">
        <v>2.5</v>
      </c>
      <c r="E38" s="14" t="n">
        <f aca="false">IF(ABS(C38-D38)&lt;0.000000001,1,0)</f>
        <v>1</v>
      </c>
      <c r="F38" s="18" t="n">
        <f aca="false">Grid!AA38</f>
        <v>0</v>
      </c>
      <c r="G38" s="20" t="n">
        <v>0</v>
      </c>
      <c r="H38" s="14" t="n">
        <f aca="false">IF(ABS(F38-G38)&lt;0.000000001,1,0)</f>
        <v>1</v>
      </c>
      <c r="I38" s="18" t="n">
        <f aca="false">Grid!AB38</f>
        <v>2.5</v>
      </c>
      <c r="J38" s="20" t="n">
        <v>2.5</v>
      </c>
      <c r="K38" s="14" t="n">
        <f aca="false">IF(ABS(I38-J38)&lt;0.000000001,1,0)</f>
        <v>1</v>
      </c>
    </row>
    <row r="39" customFormat="false" ht="15" hidden="false" customHeight="false" outlineLevel="0" collapsed="false">
      <c r="A39" s="18" t="n">
        <f aca="false">Grid!A39</f>
        <v>38.5</v>
      </c>
      <c r="B39" s="18" t="n">
        <f aca="false">BestRule!Q39</f>
        <v>2.5</v>
      </c>
      <c r="C39" s="12" t="n">
        <f aca="false">MIN(Cap_h,MAX(0,ROUND(($O$4-Alpha_keep*A39)/Step_h,0)*Step_h))</f>
        <v>2.5</v>
      </c>
      <c r="D39" s="20" t="n">
        <v>2.5</v>
      </c>
      <c r="E39" s="14" t="n">
        <f aca="false">IF(ABS(C39-D39)&lt;0.000000001,1,0)</f>
        <v>1</v>
      </c>
      <c r="F39" s="18" t="n">
        <f aca="false">Grid!AA39</f>
        <v>0</v>
      </c>
      <c r="G39" s="20" t="n">
        <v>0</v>
      </c>
      <c r="H39" s="14" t="n">
        <f aca="false">IF(ABS(F39-G39)&lt;0.000000001,1,0)</f>
        <v>1</v>
      </c>
      <c r="I39" s="18" t="n">
        <f aca="false">Grid!AB39</f>
        <v>2.5</v>
      </c>
      <c r="J39" s="20" t="n">
        <v>2.5</v>
      </c>
      <c r="K39" s="14" t="n">
        <f aca="false">IF(ABS(I39-J39)&lt;0.000000001,1,0)</f>
        <v>1</v>
      </c>
    </row>
    <row r="40" customFormat="false" ht="15" hidden="false" customHeight="false" outlineLevel="0" collapsed="false">
      <c r="A40" s="18" t="n">
        <f aca="false">Grid!A40</f>
        <v>38.75</v>
      </c>
      <c r="B40" s="18" t="n">
        <f aca="false">BestRule!Q40</f>
        <v>2.5</v>
      </c>
      <c r="C40" s="12" t="n">
        <f aca="false">MIN(Cap_h,MAX(0,ROUND(($O$4-Alpha_keep*A40)/Step_h,0)*Step_h))</f>
        <v>2.5</v>
      </c>
      <c r="D40" s="20" t="n">
        <v>2.5</v>
      </c>
      <c r="E40" s="14" t="n">
        <f aca="false">IF(ABS(C40-D40)&lt;0.000000001,1,0)</f>
        <v>1</v>
      </c>
      <c r="F40" s="18" t="n">
        <f aca="false">Grid!AA40</f>
        <v>0</v>
      </c>
      <c r="G40" s="20" t="n">
        <v>0</v>
      </c>
      <c r="H40" s="14" t="n">
        <f aca="false">IF(ABS(F40-G40)&lt;0.000000001,1,0)</f>
        <v>1</v>
      </c>
      <c r="I40" s="18" t="n">
        <f aca="false">Grid!AB40</f>
        <v>2.5</v>
      </c>
      <c r="J40" s="20" t="n">
        <v>2.5</v>
      </c>
      <c r="K40" s="14" t="n">
        <f aca="false">IF(ABS(I40-J40)&lt;0.000000001,1,0)</f>
        <v>1</v>
      </c>
    </row>
    <row r="41" customFormat="false" ht="15" hidden="false" customHeight="false" outlineLevel="0" collapsed="false">
      <c r="A41" s="18" t="n">
        <f aca="false">Grid!A41</f>
        <v>39</v>
      </c>
      <c r="B41" s="18" t="n">
        <f aca="false">BestRule!Q41</f>
        <v>2.5</v>
      </c>
      <c r="C41" s="12" t="n">
        <f aca="false">MIN(Cap_h,MAX(0,ROUND(($O$4-Alpha_keep*A41)/Step_h,0)*Step_h))</f>
        <v>2.5</v>
      </c>
      <c r="D41" s="20" t="n">
        <v>2.5</v>
      </c>
      <c r="E41" s="14" t="n">
        <f aca="false">IF(ABS(C41-D41)&lt;0.000000001,1,0)</f>
        <v>1</v>
      </c>
      <c r="F41" s="18" t="n">
        <f aca="false">Grid!AA41</f>
        <v>0</v>
      </c>
      <c r="G41" s="20" t="n">
        <v>0</v>
      </c>
      <c r="H41" s="14" t="n">
        <f aca="false">IF(ABS(F41-G41)&lt;0.000000001,1,0)</f>
        <v>1</v>
      </c>
      <c r="I41" s="18" t="n">
        <f aca="false">Grid!AB41</f>
        <v>2.5</v>
      </c>
      <c r="J41" s="20" t="n">
        <v>2.5</v>
      </c>
      <c r="K41" s="14" t="n">
        <f aca="false">IF(ABS(I41-J41)&lt;0.000000001,1,0)</f>
        <v>1</v>
      </c>
    </row>
    <row r="42" customFormat="false" ht="15" hidden="false" customHeight="false" outlineLevel="0" collapsed="false">
      <c r="A42" s="18" t="n">
        <f aca="false">Grid!A42</f>
        <v>39.25</v>
      </c>
      <c r="B42" s="18" t="n">
        <f aca="false">BestRule!Q42</f>
        <v>2.5</v>
      </c>
      <c r="C42" s="12" t="n">
        <f aca="false">MIN(Cap_h,MAX(0,ROUND(($O$4-Alpha_keep*A42)/Step_h,0)*Step_h))</f>
        <v>2.5</v>
      </c>
      <c r="D42" s="20" t="n">
        <v>2.5</v>
      </c>
      <c r="E42" s="14" t="n">
        <f aca="false">IF(ABS(C42-D42)&lt;0.000000001,1,0)</f>
        <v>1</v>
      </c>
      <c r="F42" s="18" t="n">
        <f aca="false">Grid!AA42</f>
        <v>0</v>
      </c>
      <c r="G42" s="20" t="n">
        <v>0</v>
      </c>
      <c r="H42" s="14" t="n">
        <f aca="false">IF(ABS(F42-G42)&lt;0.000000001,1,0)</f>
        <v>1</v>
      </c>
      <c r="I42" s="18" t="n">
        <f aca="false">Grid!AB42</f>
        <v>2.5</v>
      </c>
      <c r="J42" s="20" t="n">
        <v>2.5</v>
      </c>
      <c r="K42" s="14" t="n">
        <f aca="false">IF(ABS(I42-J42)&lt;0.000000001,1,0)</f>
        <v>1</v>
      </c>
    </row>
    <row r="43" customFormat="false" ht="15" hidden="false" customHeight="false" outlineLevel="0" collapsed="false">
      <c r="A43" s="18" t="n">
        <f aca="false">Grid!A43</f>
        <v>39.5</v>
      </c>
      <c r="B43" s="18" t="n">
        <f aca="false">BestRule!Q43</f>
        <v>2.5</v>
      </c>
      <c r="C43" s="12" t="n">
        <f aca="false">MIN(Cap_h,MAX(0,ROUND(($O$4-Alpha_keep*A43)/Step_h,0)*Step_h))</f>
        <v>2.5</v>
      </c>
      <c r="D43" s="20" t="n">
        <v>2.5</v>
      </c>
      <c r="E43" s="14" t="n">
        <f aca="false">IF(ABS(C43-D43)&lt;0.000000001,1,0)</f>
        <v>1</v>
      </c>
      <c r="F43" s="18" t="n">
        <f aca="false">Grid!AA43</f>
        <v>0</v>
      </c>
      <c r="G43" s="20" t="n">
        <v>0</v>
      </c>
      <c r="H43" s="14" t="n">
        <f aca="false">IF(ABS(F43-G43)&lt;0.000000001,1,0)</f>
        <v>1</v>
      </c>
      <c r="I43" s="18" t="n">
        <f aca="false">Grid!AB43</f>
        <v>2.5</v>
      </c>
      <c r="J43" s="20" t="n">
        <v>2.5</v>
      </c>
      <c r="K43" s="14" t="n">
        <f aca="false">IF(ABS(I43-J43)&lt;0.000000001,1,0)</f>
        <v>1</v>
      </c>
    </row>
    <row r="44" customFormat="false" ht="15" hidden="false" customHeight="false" outlineLevel="0" collapsed="false">
      <c r="A44" s="18" t="n">
        <f aca="false">Grid!A44</f>
        <v>39.75</v>
      </c>
      <c r="B44" s="18" t="n">
        <f aca="false">BestRule!Q44</f>
        <v>2.5</v>
      </c>
      <c r="C44" s="12" t="n">
        <f aca="false">MIN(Cap_h,MAX(0,ROUND(($O$4-Alpha_keep*A44)/Step_h,0)*Step_h))</f>
        <v>2.5</v>
      </c>
      <c r="D44" s="20" t="n">
        <v>2.5</v>
      </c>
      <c r="E44" s="14" t="n">
        <f aca="false">IF(ABS(C44-D44)&lt;0.000000001,1,0)</f>
        <v>1</v>
      </c>
      <c r="F44" s="18" t="n">
        <f aca="false">Grid!AA44</f>
        <v>0</v>
      </c>
      <c r="G44" s="20" t="n">
        <v>0</v>
      </c>
      <c r="H44" s="14" t="n">
        <f aca="false">IF(ABS(F44-G44)&lt;0.000000001,1,0)</f>
        <v>1</v>
      </c>
      <c r="I44" s="18" t="n">
        <f aca="false">Grid!AB44</f>
        <v>2.5</v>
      </c>
      <c r="J44" s="20" t="n">
        <v>2.5</v>
      </c>
      <c r="K44" s="14" t="n">
        <f aca="false">IF(ABS(I44-J44)&lt;0.000000001,1,0)</f>
        <v>1</v>
      </c>
    </row>
    <row r="45" customFormat="false" ht="15" hidden="false" customHeight="false" outlineLevel="0" collapsed="false">
      <c r="A45" s="18" t="n">
        <f aca="false">Grid!A45</f>
        <v>40</v>
      </c>
      <c r="B45" s="18" t="n">
        <f aca="false">BestRule!Q45</f>
        <v>2.5</v>
      </c>
      <c r="C45" s="12" t="n">
        <f aca="false">MIN(Cap_h,MAX(0,ROUND(($O$4-Alpha_keep*A45)/Step_h,0)*Step_h))</f>
        <v>2.5</v>
      </c>
      <c r="D45" s="20" t="n">
        <v>2.5</v>
      </c>
      <c r="E45" s="14" t="n">
        <f aca="false">IF(ABS(C45-D45)&lt;0.000000001,1,0)</f>
        <v>1</v>
      </c>
      <c r="F45" s="18" t="n">
        <f aca="false">Grid!AA45</f>
        <v>0</v>
      </c>
      <c r="G45" s="20" t="n">
        <v>0</v>
      </c>
      <c r="H45" s="14" t="n">
        <f aca="false">IF(ABS(F45-G45)&lt;0.000000001,1,0)</f>
        <v>1</v>
      </c>
      <c r="I45" s="18" t="n">
        <f aca="false">Grid!AB45</f>
        <v>2.5</v>
      </c>
      <c r="J45" s="20" t="n">
        <v>2.5</v>
      </c>
      <c r="K45" s="14" t="n">
        <f aca="false">IF(ABS(I45-J45)&lt;0.000000001,1,0)</f>
        <v>1</v>
      </c>
    </row>
    <row r="46" customFormat="false" ht="15" hidden="false" customHeight="false" outlineLevel="0" collapsed="false">
      <c r="A46" s="18" t="n">
        <f aca="false">Grid!A46</f>
        <v>40.25</v>
      </c>
      <c r="B46" s="18" t="n">
        <f aca="false">BestRule!Q46</f>
        <v>2.5</v>
      </c>
      <c r="C46" s="12" t="n">
        <f aca="false">MIN(Cap_h,MAX(0,ROUND(($O$4-Alpha_keep*A46)/Step_h,0)*Step_h))</f>
        <v>2.5</v>
      </c>
      <c r="D46" s="20" t="n">
        <v>2.5</v>
      </c>
      <c r="E46" s="14" t="n">
        <f aca="false">IF(ABS(C46-D46)&lt;0.000000001,1,0)</f>
        <v>1</v>
      </c>
      <c r="F46" s="18" t="n">
        <f aca="false">Grid!AA46</f>
        <v>0</v>
      </c>
      <c r="G46" s="20" t="n">
        <v>0</v>
      </c>
      <c r="H46" s="14" t="n">
        <f aca="false">IF(ABS(F46-G46)&lt;0.000000001,1,0)</f>
        <v>1</v>
      </c>
      <c r="I46" s="18" t="n">
        <f aca="false">Grid!AB46</f>
        <v>2.5</v>
      </c>
      <c r="J46" s="20" t="n">
        <v>2.5</v>
      </c>
      <c r="K46" s="14" t="n">
        <f aca="false">IF(ABS(I46-J46)&lt;0.000000001,1,0)</f>
        <v>1</v>
      </c>
    </row>
    <row r="47" customFormat="false" ht="15" hidden="false" customHeight="false" outlineLevel="0" collapsed="false">
      <c r="A47" s="18" t="n">
        <f aca="false">Grid!A47</f>
        <v>40.5</v>
      </c>
      <c r="B47" s="18" t="n">
        <f aca="false">BestRule!Q47</f>
        <v>2.5</v>
      </c>
      <c r="C47" s="12" t="n">
        <f aca="false">MIN(Cap_h,MAX(0,ROUND(($O$4-Alpha_keep*A47)/Step_h,0)*Step_h))</f>
        <v>2.5</v>
      </c>
      <c r="D47" s="20" t="n">
        <v>2.5</v>
      </c>
      <c r="E47" s="14" t="n">
        <f aca="false">IF(ABS(C47-D47)&lt;0.000000001,1,0)</f>
        <v>1</v>
      </c>
      <c r="F47" s="18" t="n">
        <f aca="false">Grid!AA47</f>
        <v>0</v>
      </c>
      <c r="G47" s="20" t="n">
        <v>0</v>
      </c>
      <c r="H47" s="14" t="n">
        <f aca="false">IF(ABS(F47-G47)&lt;0.000000001,1,0)</f>
        <v>1</v>
      </c>
      <c r="I47" s="18" t="n">
        <f aca="false">Grid!AB47</f>
        <v>2.5</v>
      </c>
      <c r="J47" s="20" t="n">
        <v>2.5</v>
      </c>
      <c r="K47" s="14" t="n">
        <f aca="false">IF(ABS(I47-J47)&lt;0.000000001,1,0)</f>
        <v>1</v>
      </c>
    </row>
    <row r="48" customFormat="false" ht="15" hidden="false" customHeight="false" outlineLevel="0" collapsed="false">
      <c r="A48" s="18" t="n">
        <f aca="false">Grid!A48</f>
        <v>40.75</v>
      </c>
      <c r="B48" s="18" t="n">
        <f aca="false">BestRule!Q48</f>
        <v>2.5</v>
      </c>
      <c r="C48" s="12" t="n">
        <f aca="false">MIN(Cap_h,MAX(0,ROUND(($O$4-Alpha_keep*A48)/Step_h,0)*Step_h))</f>
        <v>2.5</v>
      </c>
      <c r="D48" s="20" t="n">
        <v>2.5</v>
      </c>
      <c r="E48" s="14" t="n">
        <f aca="false">IF(ABS(C48-D48)&lt;0.000000001,1,0)</f>
        <v>1</v>
      </c>
      <c r="F48" s="18" t="n">
        <f aca="false">Grid!AA48</f>
        <v>0</v>
      </c>
      <c r="G48" s="20" t="n">
        <v>0</v>
      </c>
      <c r="H48" s="14" t="n">
        <f aca="false">IF(ABS(F48-G48)&lt;0.000000001,1,0)</f>
        <v>1</v>
      </c>
      <c r="I48" s="18" t="n">
        <f aca="false">Grid!AB48</f>
        <v>2.5</v>
      </c>
      <c r="J48" s="20" t="n">
        <v>2.5</v>
      </c>
      <c r="K48" s="14" t="n">
        <f aca="false">IF(ABS(I48-J48)&lt;0.000000001,1,0)</f>
        <v>1</v>
      </c>
    </row>
    <row r="49" customFormat="false" ht="15" hidden="false" customHeight="false" outlineLevel="0" collapsed="false">
      <c r="A49" s="18" t="n">
        <f aca="false">Grid!A49</f>
        <v>41</v>
      </c>
      <c r="B49" s="18" t="n">
        <f aca="false">BestRule!Q49</f>
        <v>2.5</v>
      </c>
      <c r="C49" s="12" t="n">
        <f aca="false">MIN(Cap_h,MAX(0,ROUND(($O$4-Alpha_keep*A49)/Step_h,0)*Step_h))</f>
        <v>2.5</v>
      </c>
      <c r="D49" s="20" t="n">
        <v>2.5</v>
      </c>
      <c r="E49" s="14" t="n">
        <f aca="false">IF(ABS(C49-D49)&lt;0.000000001,1,0)</f>
        <v>1</v>
      </c>
      <c r="F49" s="18" t="n">
        <f aca="false">Grid!AA49</f>
        <v>0</v>
      </c>
      <c r="G49" s="20" t="n">
        <v>0</v>
      </c>
      <c r="H49" s="14" t="n">
        <f aca="false">IF(ABS(F49-G49)&lt;0.000000001,1,0)</f>
        <v>1</v>
      </c>
      <c r="I49" s="18" t="n">
        <f aca="false">Grid!AB49</f>
        <v>2.5</v>
      </c>
      <c r="J49" s="20" t="n">
        <v>2.5</v>
      </c>
      <c r="K49" s="14" t="n">
        <f aca="false">IF(ABS(I49-J49)&lt;0.000000001,1,0)</f>
        <v>1</v>
      </c>
    </row>
    <row r="50" customFormat="false" ht="15" hidden="false" customHeight="false" outlineLevel="0" collapsed="false">
      <c r="A50" s="18" t="n">
        <f aca="false">Grid!A50</f>
        <v>41.25</v>
      </c>
      <c r="B50" s="18" t="n">
        <f aca="false">BestRule!Q50</f>
        <v>2.5</v>
      </c>
      <c r="C50" s="12" t="n">
        <f aca="false">MIN(Cap_h,MAX(0,ROUND(($O$4-Alpha_keep*A50)/Step_h,0)*Step_h))</f>
        <v>2.5</v>
      </c>
      <c r="D50" s="20" t="n">
        <v>2.5</v>
      </c>
      <c r="E50" s="14" t="n">
        <f aca="false">IF(ABS(C50-D50)&lt;0.000000001,1,0)</f>
        <v>1</v>
      </c>
      <c r="F50" s="18" t="n">
        <f aca="false">Grid!AA50</f>
        <v>0</v>
      </c>
      <c r="G50" s="20" t="n">
        <v>0</v>
      </c>
      <c r="H50" s="14" t="n">
        <f aca="false">IF(ABS(F50-G50)&lt;0.000000001,1,0)</f>
        <v>1</v>
      </c>
      <c r="I50" s="18" t="n">
        <f aca="false">Grid!AB50</f>
        <v>2.5</v>
      </c>
      <c r="J50" s="20" t="n">
        <v>2.5</v>
      </c>
      <c r="K50" s="14" t="n">
        <f aca="false">IF(ABS(I50-J50)&lt;0.000000001,1,0)</f>
        <v>1</v>
      </c>
    </row>
    <row r="51" customFormat="false" ht="15" hidden="false" customHeight="false" outlineLevel="0" collapsed="false">
      <c r="A51" s="18" t="n">
        <f aca="false">Grid!A51</f>
        <v>41.5</v>
      </c>
      <c r="B51" s="18" t="n">
        <f aca="false">BestRule!Q51</f>
        <v>2.5</v>
      </c>
      <c r="C51" s="12" t="n">
        <f aca="false">MIN(Cap_h,MAX(0,ROUND(($O$4-Alpha_keep*A51)/Step_h,0)*Step_h))</f>
        <v>2.5</v>
      </c>
      <c r="D51" s="20" t="n">
        <v>2.5</v>
      </c>
      <c r="E51" s="14" t="n">
        <f aca="false">IF(ABS(C51-D51)&lt;0.000000001,1,0)</f>
        <v>1</v>
      </c>
      <c r="F51" s="18" t="n">
        <f aca="false">Grid!AA51</f>
        <v>0</v>
      </c>
      <c r="G51" s="20" t="n">
        <v>0</v>
      </c>
      <c r="H51" s="14" t="n">
        <f aca="false">IF(ABS(F51-G51)&lt;0.000000001,1,0)</f>
        <v>1</v>
      </c>
      <c r="I51" s="18" t="n">
        <f aca="false">Grid!AB51</f>
        <v>2.5</v>
      </c>
      <c r="J51" s="20" t="n">
        <v>2.5</v>
      </c>
      <c r="K51" s="14" t="n">
        <f aca="false">IF(ABS(I51-J51)&lt;0.000000001,1,0)</f>
        <v>1</v>
      </c>
    </row>
    <row r="52" customFormat="false" ht="15" hidden="false" customHeight="false" outlineLevel="0" collapsed="false">
      <c r="A52" s="18" t="n">
        <f aca="false">Grid!A52</f>
        <v>41.75</v>
      </c>
      <c r="B52" s="18" t="n">
        <f aca="false">BestRule!Q52</f>
        <v>2.5</v>
      </c>
      <c r="C52" s="12" t="n">
        <f aca="false">MIN(Cap_h,MAX(0,ROUND(($O$4-Alpha_keep*A52)/Step_h,0)*Step_h))</f>
        <v>2.5</v>
      </c>
      <c r="D52" s="20" t="n">
        <v>2.5</v>
      </c>
      <c r="E52" s="14" t="n">
        <f aca="false">IF(ABS(C52-D52)&lt;0.000000001,1,0)</f>
        <v>1</v>
      </c>
      <c r="F52" s="18" t="n">
        <f aca="false">Grid!AA52</f>
        <v>0</v>
      </c>
      <c r="G52" s="20" t="n">
        <v>0</v>
      </c>
      <c r="H52" s="14" t="n">
        <f aca="false">IF(ABS(F52-G52)&lt;0.000000001,1,0)</f>
        <v>1</v>
      </c>
      <c r="I52" s="18" t="n">
        <f aca="false">Grid!AB52</f>
        <v>2.5</v>
      </c>
      <c r="J52" s="20" t="n">
        <v>2.5</v>
      </c>
      <c r="K52" s="14" t="n">
        <f aca="false">IF(ABS(I52-J52)&lt;0.000000001,1,0)</f>
        <v>1</v>
      </c>
    </row>
    <row r="53" customFormat="false" ht="15" hidden="false" customHeight="false" outlineLevel="0" collapsed="false">
      <c r="A53" s="18" t="n">
        <f aca="false">Grid!A53</f>
        <v>42</v>
      </c>
      <c r="B53" s="18" t="n">
        <f aca="false">BestRule!Q53</f>
        <v>2.5</v>
      </c>
      <c r="C53" s="12" t="n">
        <f aca="false">MIN(Cap_h,MAX(0,ROUND(($O$4-Alpha_keep*A53)/Step_h,0)*Step_h))</f>
        <v>2.5</v>
      </c>
      <c r="D53" s="20" t="n">
        <v>2.5</v>
      </c>
      <c r="E53" s="14" t="n">
        <f aca="false">IF(ABS(C53-D53)&lt;0.000000001,1,0)</f>
        <v>1</v>
      </c>
      <c r="F53" s="18" t="n">
        <f aca="false">Grid!AA53</f>
        <v>0</v>
      </c>
      <c r="G53" s="20" t="n">
        <v>0</v>
      </c>
      <c r="H53" s="14" t="n">
        <f aca="false">IF(ABS(F53-G53)&lt;0.000000001,1,0)</f>
        <v>1</v>
      </c>
      <c r="I53" s="18" t="n">
        <f aca="false">Grid!AB53</f>
        <v>2.5</v>
      </c>
      <c r="J53" s="20" t="n">
        <v>2.5</v>
      </c>
      <c r="K53" s="14" t="n">
        <f aca="false">IF(ABS(I53-J53)&lt;0.000000001,1,0)</f>
        <v>1</v>
      </c>
    </row>
    <row r="54" customFormat="false" ht="15" hidden="false" customHeight="false" outlineLevel="0" collapsed="false">
      <c r="A54" s="18" t="n">
        <f aca="false">Grid!A54</f>
        <v>42.25</v>
      </c>
      <c r="B54" s="18" t="n">
        <f aca="false">BestRule!Q54</f>
        <v>2.5</v>
      </c>
      <c r="C54" s="12" t="n">
        <f aca="false">MIN(Cap_h,MAX(0,ROUND(($O$4-Alpha_keep*A54)/Step_h,0)*Step_h))</f>
        <v>2.5</v>
      </c>
      <c r="D54" s="20" t="n">
        <v>2.5</v>
      </c>
      <c r="E54" s="14" t="n">
        <f aca="false">IF(ABS(C54-D54)&lt;0.000000001,1,0)</f>
        <v>1</v>
      </c>
      <c r="F54" s="18" t="n">
        <f aca="false">Grid!AA54</f>
        <v>0</v>
      </c>
      <c r="G54" s="20" t="n">
        <v>0</v>
      </c>
      <c r="H54" s="14" t="n">
        <f aca="false">IF(ABS(F54-G54)&lt;0.000000001,1,0)</f>
        <v>1</v>
      </c>
      <c r="I54" s="18" t="n">
        <f aca="false">Grid!AB54</f>
        <v>2.5</v>
      </c>
      <c r="J54" s="20" t="n">
        <v>2.5</v>
      </c>
      <c r="K54" s="14" t="n">
        <f aca="false">IF(ABS(I54-J54)&lt;0.000000001,1,0)</f>
        <v>1</v>
      </c>
    </row>
    <row r="55" customFormat="false" ht="15" hidden="false" customHeight="false" outlineLevel="0" collapsed="false">
      <c r="A55" s="18" t="n">
        <f aca="false">Grid!A55</f>
        <v>42.5</v>
      </c>
      <c r="B55" s="18" t="n">
        <f aca="false">BestRule!Q55</f>
        <v>2.5</v>
      </c>
      <c r="C55" s="12" t="n">
        <f aca="false">MIN(Cap_h,MAX(0,ROUND(($O$4-Alpha_keep*A55)/Step_h,0)*Step_h))</f>
        <v>2.5</v>
      </c>
      <c r="D55" s="20" t="n">
        <v>2.5</v>
      </c>
      <c r="E55" s="14" t="n">
        <f aca="false">IF(ABS(C55-D55)&lt;0.000000001,1,0)</f>
        <v>1</v>
      </c>
      <c r="F55" s="18" t="n">
        <f aca="false">Grid!AA55</f>
        <v>0</v>
      </c>
      <c r="G55" s="20" t="n">
        <v>0</v>
      </c>
      <c r="H55" s="14" t="n">
        <f aca="false">IF(ABS(F55-G55)&lt;0.000000001,1,0)</f>
        <v>1</v>
      </c>
      <c r="I55" s="18" t="n">
        <f aca="false">Grid!AB55</f>
        <v>2.5</v>
      </c>
      <c r="J55" s="20" t="n">
        <v>2.5</v>
      </c>
      <c r="K55" s="14" t="n">
        <f aca="false">IF(ABS(I55-J55)&lt;0.000000001,1,0)</f>
        <v>1</v>
      </c>
    </row>
    <row r="56" customFormat="false" ht="15" hidden="false" customHeight="false" outlineLevel="0" collapsed="false">
      <c r="A56" s="18" t="n">
        <f aca="false">Grid!A56</f>
        <v>42.75</v>
      </c>
      <c r="B56" s="18" t="n">
        <f aca="false">BestRule!Q56</f>
        <v>2.5</v>
      </c>
      <c r="C56" s="12" t="n">
        <f aca="false">MIN(Cap_h,MAX(0,ROUND(($O$4-Alpha_keep*A56)/Step_h,0)*Step_h))</f>
        <v>2.5</v>
      </c>
      <c r="D56" s="20" t="n">
        <v>2.5</v>
      </c>
      <c r="E56" s="14" t="n">
        <f aca="false">IF(ABS(C56-D56)&lt;0.000000001,1,0)</f>
        <v>1</v>
      </c>
      <c r="F56" s="18" t="n">
        <f aca="false">Grid!AA56</f>
        <v>0</v>
      </c>
      <c r="G56" s="20" t="n">
        <v>0</v>
      </c>
      <c r="H56" s="14" t="n">
        <f aca="false">IF(ABS(F56-G56)&lt;0.000000001,1,0)</f>
        <v>1</v>
      </c>
      <c r="I56" s="18" t="n">
        <f aca="false">Grid!AB56</f>
        <v>2.5</v>
      </c>
      <c r="J56" s="20" t="n">
        <v>2.5</v>
      </c>
      <c r="K56" s="14" t="n">
        <f aca="false">IF(ABS(I56-J56)&lt;0.000000001,1,0)</f>
        <v>1</v>
      </c>
    </row>
    <row r="57" customFormat="false" ht="15" hidden="false" customHeight="false" outlineLevel="0" collapsed="false">
      <c r="A57" s="18" t="n">
        <f aca="false">Grid!A57</f>
        <v>43</v>
      </c>
      <c r="B57" s="18" t="n">
        <f aca="false">BestRule!Q57</f>
        <v>2.5</v>
      </c>
      <c r="C57" s="12" t="n">
        <f aca="false">MIN(Cap_h,MAX(0,ROUND(($O$4-Alpha_keep*A57)/Step_h,0)*Step_h))</f>
        <v>2.5</v>
      </c>
      <c r="D57" s="20" t="n">
        <v>2.5</v>
      </c>
      <c r="E57" s="14" t="n">
        <f aca="false">IF(ABS(C57-D57)&lt;0.000000001,1,0)</f>
        <v>1</v>
      </c>
      <c r="F57" s="18" t="n">
        <f aca="false">Grid!AA57</f>
        <v>0</v>
      </c>
      <c r="G57" s="20" t="n">
        <v>0</v>
      </c>
      <c r="H57" s="14" t="n">
        <f aca="false">IF(ABS(F57-G57)&lt;0.000000001,1,0)</f>
        <v>1</v>
      </c>
      <c r="I57" s="18" t="n">
        <f aca="false">Grid!AB57</f>
        <v>2.5</v>
      </c>
      <c r="J57" s="20" t="n">
        <v>2.5</v>
      </c>
      <c r="K57" s="14" t="n">
        <f aca="false">IF(ABS(I57-J57)&lt;0.000000001,1,0)</f>
        <v>1</v>
      </c>
    </row>
    <row r="58" customFormat="false" ht="15" hidden="false" customHeight="false" outlineLevel="0" collapsed="false">
      <c r="A58" s="18" t="n">
        <f aca="false">Grid!A58</f>
        <v>43.25</v>
      </c>
      <c r="B58" s="18" t="n">
        <f aca="false">BestRule!Q58</f>
        <v>2.5</v>
      </c>
      <c r="C58" s="12" t="n">
        <f aca="false">MIN(Cap_h,MAX(0,ROUND(($O$4-Alpha_keep*A58)/Step_h,0)*Step_h))</f>
        <v>2.5</v>
      </c>
      <c r="D58" s="20" t="n">
        <v>2.5</v>
      </c>
      <c r="E58" s="14" t="n">
        <f aca="false">IF(ABS(C58-D58)&lt;0.000000001,1,0)</f>
        <v>1</v>
      </c>
      <c r="F58" s="18" t="n">
        <f aca="false">Grid!AA58</f>
        <v>0</v>
      </c>
      <c r="G58" s="20" t="n">
        <v>0</v>
      </c>
      <c r="H58" s="14" t="n">
        <f aca="false">IF(ABS(F58-G58)&lt;0.000000001,1,0)</f>
        <v>1</v>
      </c>
      <c r="I58" s="18" t="n">
        <f aca="false">Grid!AB58</f>
        <v>2.5</v>
      </c>
      <c r="J58" s="20" t="n">
        <v>2.5</v>
      </c>
      <c r="K58" s="14" t="n">
        <f aca="false">IF(ABS(I58-J58)&lt;0.000000001,1,0)</f>
        <v>1</v>
      </c>
    </row>
    <row r="59" customFormat="false" ht="15" hidden="false" customHeight="false" outlineLevel="0" collapsed="false">
      <c r="A59" s="18" t="n">
        <f aca="false">Grid!A59</f>
        <v>43.5</v>
      </c>
      <c r="B59" s="18" t="n">
        <f aca="false">BestRule!Q59</f>
        <v>2.5</v>
      </c>
      <c r="C59" s="12" t="n">
        <f aca="false">MIN(Cap_h,MAX(0,ROUND(($O$4-Alpha_keep*A59)/Step_h,0)*Step_h))</f>
        <v>2.5</v>
      </c>
      <c r="D59" s="20" t="n">
        <v>2.5</v>
      </c>
      <c r="E59" s="14" t="n">
        <f aca="false">IF(ABS(C59-D59)&lt;0.000000001,1,0)</f>
        <v>1</v>
      </c>
      <c r="F59" s="18" t="n">
        <f aca="false">Grid!AA59</f>
        <v>0</v>
      </c>
      <c r="G59" s="20" t="n">
        <v>0</v>
      </c>
      <c r="H59" s="14" t="n">
        <f aca="false">IF(ABS(F59-G59)&lt;0.000000001,1,0)</f>
        <v>1</v>
      </c>
      <c r="I59" s="18" t="n">
        <f aca="false">Grid!AB59</f>
        <v>2.5</v>
      </c>
      <c r="J59" s="20" t="n">
        <v>2.5</v>
      </c>
      <c r="K59" s="14" t="n">
        <f aca="false">IF(ABS(I59-J59)&lt;0.000000001,1,0)</f>
        <v>1</v>
      </c>
    </row>
    <row r="60" customFormat="false" ht="15" hidden="false" customHeight="false" outlineLevel="0" collapsed="false">
      <c r="A60" s="18" t="n">
        <f aca="false">Grid!A60</f>
        <v>43.75</v>
      </c>
      <c r="B60" s="18" t="n">
        <f aca="false">BestRule!Q60</f>
        <v>2.5</v>
      </c>
      <c r="C60" s="12" t="n">
        <f aca="false">MIN(Cap_h,MAX(0,ROUND(($O$4-Alpha_keep*A60)/Step_h,0)*Step_h))</f>
        <v>2.5</v>
      </c>
      <c r="D60" s="20" t="n">
        <v>2.5</v>
      </c>
      <c r="E60" s="14" t="n">
        <f aca="false">IF(ABS(C60-D60)&lt;0.000000001,1,0)</f>
        <v>1</v>
      </c>
      <c r="F60" s="18" t="n">
        <f aca="false">Grid!AA60</f>
        <v>0</v>
      </c>
      <c r="G60" s="20" t="n">
        <v>0</v>
      </c>
      <c r="H60" s="14" t="n">
        <f aca="false">IF(ABS(F60-G60)&lt;0.000000001,1,0)</f>
        <v>1</v>
      </c>
      <c r="I60" s="18" t="n">
        <f aca="false">Grid!AB60</f>
        <v>2.5</v>
      </c>
      <c r="J60" s="20" t="n">
        <v>2.5</v>
      </c>
      <c r="K60" s="14" t="n">
        <f aca="false">IF(ABS(I60-J60)&lt;0.000000001,1,0)</f>
        <v>1</v>
      </c>
    </row>
    <row r="61" customFormat="false" ht="15" hidden="false" customHeight="false" outlineLevel="0" collapsed="false">
      <c r="A61" s="18" t="n">
        <f aca="false">Grid!A61</f>
        <v>44</v>
      </c>
      <c r="B61" s="18" t="n">
        <f aca="false">BestRule!Q61</f>
        <v>2.5</v>
      </c>
      <c r="C61" s="12" t="n">
        <f aca="false">MIN(Cap_h,MAX(0,ROUND(($O$4-Alpha_keep*A61)/Step_h,0)*Step_h))</f>
        <v>2.5</v>
      </c>
      <c r="D61" s="20" t="n">
        <v>2.5</v>
      </c>
      <c r="E61" s="14" t="n">
        <f aca="false">IF(ABS(C61-D61)&lt;0.000000001,1,0)</f>
        <v>1</v>
      </c>
      <c r="F61" s="18" t="n">
        <f aca="false">Grid!AA61</f>
        <v>0</v>
      </c>
      <c r="G61" s="20" t="n">
        <v>0</v>
      </c>
      <c r="H61" s="14" t="n">
        <f aca="false">IF(ABS(F61-G61)&lt;0.000000001,1,0)</f>
        <v>1</v>
      </c>
      <c r="I61" s="18" t="n">
        <f aca="false">Grid!AB61</f>
        <v>2.5</v>
      </c>
      <c r="J61" s="20" t="n">
        <v>2.5</v>
      </c>
      <c r="K61" s="14" t="n">
        <f aca="false">IF(ABS(I61-J61)&lt;0.000000001,1,0)</f>
        <v>1</v>
      </c>
    </row>
    <row r="62" customFormat="false" ht="15" hidden="false" customHeight="false" outlineLevel="0" collapsed="false">
      <c r="A62" s="18" t="n">
        <f aca="false">Grid!A62</f>
        <v>44.25</v>
      </c>
      <c r="B62" s="18" t="n">
        <f aca="false">BestRule!Q62</f>
        <v>2.5</v>
      </c>
      <c r="C62" s="12" t="n">
        <f aca="false">MIN(Cap_h,MAX(0,ROUND(($O$4-Alpha_keep*A62)/Step_h,0)*Step_h))</f>
        <v>2.5</v>
      </c>
      <c r="D62" s="20" t="n">
        <v>2.5</v>
      </c>
      <c r="E62" s="14" t="n">
        <f aca="false">IF(ABS(C62-D62)&lt;0.000000001,1,0)</f>
        <v>1</v>
      </c>
      <c r="F62" s="18" t="n">
        <f aca="false">Grid!AA62</f>
        <v>0</v>
      </c>
      <c r="G62" s="20" t="n">
        <v>0</v>
      </c>
      <c r="H62" s="14" t="n">
        <f aca="false">IF(ABS(F62-G62)&lt;0.000000001,1,0)</f>
        <v>1</v>
      </c>
      <c r="I62" s="18" t="n">
        <f aca="false">Grid!AB62</f>
        <v>2.5</v>
      </c>
      <c r="J62" s="20" t="n">
        <v>2.5</v>
      </c>
      <c r="K62" s="14" t="n">
        <f aca="false">IF(ABS(I62-J62)&lt;0.000000001,1,0)</f>
        <v>1</v>
      </c>
    </row>
    <row r="63" customFormat="false" ht="15" hidden="false" customHeight="false" outlineLevel="0" collapsed="false">
      <c r="A63" s="18" t="n">
        <f aca="false">Grid!A63</f>
        <v>44.5</v>
      </c>
      <c r="B63" s="18" t="n">
        <f aca="false">BestRule!Q63</f>
        <v>2.5</v>
      </c>
      <c r="C63" s="12" t="n">
        <f aca="false">MIN(Cap_h,MAX(0,ROUND(($O$4-Alpha_keep*A63)/Step_h,0)*Step_h))</f>
        <v>2.5</v>
      </c>
      <c r="D63" s="20" t="n">
        <v>2.5</v>
      </c>
      <c r="E63" s="14" t="n">
        <f aca="false">IF(ABS(C63-D63)&lt;0.000000001,1,0)</f>
        <v>1</v>
      </c>
      <c r="F63" s="18" t="n">
        <f aca="false">Grid!AA63</f>
        <v>0</v>
      </c>
      <c r="G63" s="20" t="n">
        <v>0</v>
      </c>
      <c r="H63" s="14" t="n">
        <f aca="false">IF(ABS(F63-G63)&lt;0.000000001,1,0)</f>
        <v>1</v>
      </c>
      <c r="I63" s="18" t="n">
        <f aca="false">Grid!AB63</f>
        <v>2.5</v>
      </c>
      <c r="J63" s="20" t="n">
        <v>2.5</v>
      </c>
      <c r="K63" s="14" t="n">
        <f aca="false">IF(ABS(I63-J63)&lt;0.000000001,1,0)</f>
        <v>1</v>
      </c>
    </row>
    <row r="64" customFormat="false" ht="15" hidden="false" customHeight="false" outlineLevel="0" collapsed="false">
      <c r="A64" s="18" t="n">
        <f aca="false">Grid!A64</f>
        <v>44.75</v>
      </c>
      <c r="B64" s="18" t="n">
        <f aca="false">BestRule!Q64</f>
        <v>2.5</v>
      </c>
      <c r="C64" s="12" t="n">
        <f aca="false">MIN(Cap_h,MAX(0,ROUND(($O$4-Alpha_keep*A64)/Step_h,0)*Step_h))</f>
        <v>2.5</v>
      </c>
      <c r="D64" s="20" t="n">
        <v>2.5</v>
      </c>
      <c r="E64" s="14" t="n">
        <f aca="false">IF(ABS(C64-D64)&lt;0.000000001,1,0)</f>
        <v>1</v>
      </c>
      <c r="F64" s="18" t="n">
        <f aca="false">Grid!AA64</f>
        <v>0</v>
      </c>
      <c r="G64" s="20" t="n">
        <v>0</v>
      </c>
      <c r="H64" s="14" t="n">
        <f aca="false">IF(ABS(F64-G64)&lt;0.000000001,1,0)</f>
        <v>1</v>
      </c>
      <c r="I64" s="18" t="n">
        <f aca="false">Grid!AB64</f>
        <v>2.5</v>
      </c>
      <c r="J64" s="20" t="n">
        <v>2.5</v>
      </c>
      <c r="K64" s="14" t="n">
        <f aca="false">IF(ABS(I64-J64)&lt;0.000000001,1,0)</f>
        <v>1</v>
      </c>
    </row>
    <row r="65" customFormat="false" ht="15" hidden="false" customHeight="false" outlineLevel="0" collapsed="false">
      <c r="A65" s="18" t="n">
        <f aca="false">Grid!A65</f>
        <v>45</v>
      </c>
      <c r="B65" s="18" t="n">
        <f aca="false">BestRule!Q65</f>
        <v>2.5</v>
      </c>
      <c r="C65" s="12" t="n">
        <f aca="false">MIN(Cap_h,MAX(0,ROUND(($O$4-Alpha_keep*A65)/Step_h,0)*Step_h))</f>
        <v>2.5</v>
      </c>
      <c r="D65" s="20" t="n">
        <v>2.5</v>
      </c>
      <c r="E65" s="14" t="n">
        <f aca="false">IF(ABS(C65-D65)&lt;0.000000001,1,0)</f>
        <v>1</v>
      </c>
      <c r="F65" s="18" t="n">
        <f aca="false">Grid!AA65</f>
        <v>0</v>
      </c>
      <c r="G65" s="20" t="n">
        <v>0</v>
      </c>
      <c r="H65" s="14" t="n">
        <f aca="false">IF(ABS(F65-G65)&lt;0.000000001,1,0)</f>
        <v>1</v>
      </c>
      <c r="I65" s="18" t="n">
        <f aca="false">Grid!AB65</f>
        <v>2.5</v>
      </c>
      <c r="J65" s="20" t="n">
        <v>2.5</v>
      </c>
      <c r="K65" s="14" t="n">
        <f aca="false">IF(ABS(I65-J65)&lt;0.000000001,1,0)</f>
        <v>1</v>
      </c>
    </row>
    <row r="66" customFormat="false" ht="15" hidden="false" customHeight="false" outlineLevel="0" collapsed="false">
      <c r="A66" s="18" t="n">
        <f aca="false">Grid!A66</f>
        <v>45.25</v>
      </c>
      <c r="B66" s="18" t="n">
        <f aca="false">BestRule!Q66</f>
        <v>2.5</v>
      </c>
      <c r="C66" s="12" t="n">
        <f aca="false">MIN(Cap_h,MAX(0,ROUND(($O$4-Alpha_keep*A66)/Step_h,0)*Step_h))</f>
        <v>2.5</v>
      </c>
      <c r="D66" s="20" t="n">
        <v>2.5</v>
      </c>
      <c r="E66" s="14" t="n">
        <f aca="false">IF(ABS(C66-D66)&lt;0.000000001,1,0)</f>
        <v>1</v>
      </c>
      <c r="F66" s="18" t="n">
        <f aca="false">Grid!AA66</f>
        <v>0</v>
      </c>
      <c r="G66" s="20" t="n">
        <v>0</v>
      </c>
      <c r="H66" s="14" t="n">
        <f aca="false">IF(ABS(F66-G66)&lt;0.000000001,1,0)</f>
        <v>1</v>
      </c>
      <c r="I66" s="18" t="n">
        <f aca="false">Grid!AB66</f>
        <v>2.5</v>
      </c>
      <c r="J66" s="20" t="n">
        <v>2.5</v>
      </c>
      <c r="K66" s="14" t="n">
        <f aca="false">IF(ABS(I66-J66)&lt;0.000000001,1,0)</f>
        <v>1</v>
      </c>
    </row>
    <row r="67" customFormat="false" ht="15" hidden="false" customHeight="false" outlineLevel="0" collapsed="false">
      <c r="A67" s="18" t="n">
        <f aca="false">Grid!A67</f>
        <v>45.5</v>
      </c>
      <c r="B67" s="18" t="n">
        <f aca="false">BestRule!Q67</f>
        <v>2.5</v>
      </c>
      <c r="C67" s="12" t="n">
        <f aca="false">MIN(Cap_h,MAX(0,ROUND(($O$4-Alpha_keep*A67)/Step_h,0)*Step_h))</f>
        <v>2.5</v>
      </c>
      <c r="D67" s="20" t="n">
        <v>2.5</v>
      </c>
      <c r="E67" s="14" t="n">
        <f aca="false">IF(ABS(C67-D67)&lt;0.000000001,1,0)</f>
        <v>1</v>
      </c>
      <c r="F67" s="18" t="n">
        <f aca="false">Grid!AA67</f>
        <v>0</v>
      </c>
      <c r="G67" s="20" t="n">
        <v>0</v>
      </c>
      <c r="H67" s="14" t="n">
        <f aca="false">IF(ABS(F67-G67)&lt;0.000000001,1,0)</f>
        <v>1</v>
      </c>
      <c r="I67" s="18" t="n">
        <f aca="false">Grid!AB67</f>
        <v>2.5</v>
      </c>
      <c r="J67" s="20" t="n">
        <v>2.5</v>
      </c>
      <c r="K67" s="14" t="n">
        <f aca="false">IF(ABS(I67-J67)&lt;0.000000001,1,0)</f>
        <v>1</v>
      </c>
    </row>
    <row r="68" customFormat="false" ht="15" hidden="false" customHeight="false" outlineLevel="0" collapsed="false">
      <c r="A68" s="18" t="n">
        <f aca="false">Grid!A68</f>
        <v>45.75</v>
      </c>
      <c r="B68" s="18" t="n">
        <f aca="false">BestRule!Q68</f>
        <v>2.5</v>
      </c>
      <c r="C68" s="12" t="n">
        <f aca="false">MIN(Cap_h,MAX(0,ROUND(($O$4-Alpha_keep*A68)/Step_h,0)*Step_h))</f>
        <v>2.5</v>
      </c>
      <c r="D68" s="20" t="n">
        <v>2.5</v>
      </c>
      <c r="E68" s="14" t="n">
        <f aca="false">IF(ABS(C68-D68)&lt;0.000000001,1,0)</f>
        <v>1</v>
      </c>
      <c r="F68" s="18" t="n">
        <f aca="false">Grid!AA68</f>
        <v>0</v>
      </c>
      <c r="G68" s="20" t="n">
        <v>0</v>
      </c>
      <c r="H68" s="14" t="n">
        <f aca="false">IF(ABS(F68-G68)&lt;0.000000001,1,0)</f>
        <v>1</v>
      </c>
      <c r="I68" s="18" t="n">
        <f aca="false">Grid!AB68</f>
        <v>2.5</v>
      </c>
      <c r="J68" s="20" t="n">
        <v>2.5</v>
      </c>
      <c r="K68" s="14" t="n">
        <f aca="false">IF(ABS(I68-J68)&lt;0.000000001,1,0)</f>
        <v>1</v>
      </c>
    </row>
    <row r="69" customFormat="false" ht="15" hidden="false" customHeight="false" outlineLevel="0" collapsed="false">
      <c r="A69" s="18" t="n">
        <f aca="false">Grid!A69</f>
        <v>46</v>
      </c>
      <c r="B69" s="18" t="n">
        <f aca="false">BestRule!Q69</f>
        <v>2.5</v>
      </c>
      <c r="C69" s="12" t="n">
        <f aca="false">MIN(Cap_h,MAX(0,ROUND(($O$4-Alpha_keep*A69)/Step_h,0)*Step_h))</f>
        <v>2.5</v>
      </c>
      <c r="D69" s="20" t="n">
        <v>2.5</v>
      </c>
      <c r="E69" s="14" t="n">
        <f aca="false">IF(ABS(C69-D69)&lt;0.000000001,1,0)</f>
        <v>1</v>
      </c>
      <c r="F69" s="18" t="n">
        <f aca="false">Grid!AA69</f>
        <v>0</v>
      </c>
      <c r="G69" s="20" t="n">
        <v>0</v>
      </c>
      <c r="H69" s="14" t="n">
        <f aca="false">IF(ABS(F69-G69)&lt;0.000000001,1,0)</f>
        <v>1</v>
      </c>
      <c r="I69" s="18" t="n">
        <f aca="false">Grid!AB69</f>
        <v>2.5</v>
      </c>
      <c r="J69" s="20" t="n">
        <v>2.5</v>
      </c>
      <c r="K69" s="14" t="n">
        <f aca="false">IF(ABS(I69-J69)&lt;0.000000001,1,0)</f>
        <v>1</v>
      </c>
    </row>
    <row r="70" customFormat="false" ht="15" hidden="false" customHeight="false" outlineLevel="0" collapsed="false">
      <c r="A70" s="18" t="n">
        <f aca="false">Grid!A70</f>
        <v>46.25</v>
      </c>
      <c r="B70" s="18" t="n">
        <f aca="false">BestRule!Q70</f>
        <v>2.5</v>
      </c>
      <c r="C70" s="12" t="n">
        <f aca="false">MIN(Cap_h,MAX(0,ROUND(($O$4-Alpha_keep*A70)/Step_h,0)*Step_h))</f>
        <v>2.5</v>
      </c>
      <c r="D70" s="20" t="n">
        <v>2.5</v>
      </c>
      <c r="E70" s="14" t="n">
        <f aca="false">IF(ABS(C70-D70)&lt;0.000000001,1,0)</f>
        <v>1</v>
      </c>
      <c r="F70" s="18" t="n">
        <f aca="false">Grid!AA70</f>
        <v>0</v>
      </c>
      <c r="G70" s="20" t="n">
        <v>0</v>
      </c>
      <c r="H70" s="14" t="n">
        <f aca="false">IF(ABS(F70-G70)&lt;0.000000001,1,0)</f>
        <v>1</v>
      </c>
      <c r="I70" s="18" t="n">
        <f aca="false">Grid!AB70</f>
        <v>2.5</v>
      </c>
      <c r="J70" s="20" t="n">
        <v>2.5</v>
      </c>
      <c r="K70" s="14" t="n">
        <f aca="false">IF(ABS(I70-J70)&lt;0.000000001,1,0)</f>
        <v>1</v>
      </c>
    </row>
    <row r="71" customFormat="false" ht="15" hidden="false" customHeight="false" outlineLevel="0" collapsed="false">
      <c r="A71" s="18" t="n">
        <f aca="false">Grid!A71</f>
        <v>46.5</v>
      </c>
      <c r="B71" s="18" t="n">
        <f aca="false">BestRule!Q71</f>
        <v>2.5</v>
      </c>
      <c r="C71" s="12" t="n">
        <f aca="false">MIN(Cap_h,MAX(0,ROUND(($O$4-Alpha_keep*A71)/Step_h,0)*Step_h))</f>
        <v>2.5</v>
      </c>
      <c r="D71" s="20" t="n">
        <v>2.5</v>
      </c>
      <c r="E71" s="14" t="n">
        <f aca="false">IF(ABS(C71-D71)&lt;0.000000001,1,0)</f>
        <v>1</v>
      </c>
      <c r="F71" s="18" t="n">
        <f aca="false">Grid!AA71</f>
        <v>0</v>
      </c>
      <c r="G71" s="20" t="n">
        <v>0</v>
      </c>
      <c r="H71" s="14" t="n">
        <f aca="false">IF(ABS(F71-G71)&lt;0.000000001,1,0)</f>
        <v>1</v>
      </c>
      <c r="I71" s="18" t="n">
        <f aca="false">Grid!AB71</f>
        <v>2.5</v>
      </c>
      <c r="J71" s="20" t="n">
        <v>2.5</v>
      </c>
      <c r="K71" s="14" t="n">
        <f aca="false">IF(ABS(I71-J71)&lt;0.000000001,1,0)</f>
        <v>1</v>
      </c>
    </row>
    <row r="72" customFormat="false" ht="15" hidden="false" customHeight="false" outlineLevel="0" collapsed="false">
      <c r="A72" s="18" t="n">
        <f aca="false">Grid!A72</f>
        <v>46.75</v>
      </c>
      <c r="B72" s="18" t="n">
        <f aca="false">BestRule!Q72</f>
        <v>2.5</v>
      </c>
      <c r="C72" s="12" t="n">
        <f aca="false">MIN(Cap_h,MAX(0,ROUND(($O$4-Alpha_keep*A72)/Step_h,0)*Step_h))</f>
        <v>2.5</v>
      </c>
      <c r="D72" s="20" t="n">
        <v>2.5</v>
      </c>
      <c r="E72" s="14" t="n">
        <f aca="false">IF(ABS(C72-D72)&lt;0.000000001,1,0)</f>
        <v>1</v>
      </c>
      <c r="F72" s="18" t="n">
        <f aca="false">Grid!AA72</f>
        <v>0</v>
      </c>
      <c r="G72" s="20" t="n">
        <v>0</v>
      </c>
      <c r="H72" s="14" t="n">
        <f aca="false">IF(ABS(F72-G72)&lt;0.000000001,1,0)</f>
        <v>1</v>
      </c>
      <c r="I72" s="18" t="n">
        <f aca="false">Grid!AB72</f>
        <v>2.5</v>
      </c>
      <c r="J72" s="20" t="n">
        <v>2.5</v>
      </c>
      <c r="K72" s="14" t="n">
        <f aca="false">IF(ABS(I72-J72)&lt;0.000000001,1,0)</f>
        <v>1</v>
      </c>
    </row>
    <row r="73" customFormat="false" ht="15" hidden="false" customHeight="false" outlineLevel="0" collapsed="false">
      <c r="A73" s="18" t="n">
        <f aca="false">Grid!A73</f>
        <v>47</v>
      </c>
      <c r="B73" s="18" t="n">
        <f aca="false">BestRule!Q73</f>
        <v>2.5</v>
      </c>
      <c r="C73" s="12" t="n">
        <f aca="false">MIN(Cap_h,MAX(0,ROUND(($O$4-Alpha_keep*A73)/Step_h,0)*Step_h))</f>
        <v>2.5</v>
      </c>
      <c r="D73" s="20" t="n">
        <v>2.5</v>
      </c>
      <c r="E73" s="14" t="n">
        <f aca="false">IF(ABS(C73-D73)&lt;0.000000001,1,0)</f>
        <v>1</v>
      </c>
      <c r="F73" s="18" t="n">
        <f aca="false">Grid!AA73</f>
        <v>0</v>
      </c>
      <c r="G73" s="20" t="n">
        <v>0</v>
      </c>
      <c r="H73" s="14" t="n">
        <f aca="false">IF(ABS(F73-G73)&lt;0.000000001,1,0)</f>
        <v>1</v>
      </c>
      <c r="I73" s="18" t="n">
        <f aca="false">Grid!AB73</f>
        <v>2.5</v>
      </c>
      <c r="J73" s="20" t="n">
        <v>2.5</v>
      </c>
      <c r="K73" s="14" t="n">
        <f aca="false">IF(ABS(I73-J73)&lt;0.000000001,1,0)</f>
        <v>1</v>
      </c>
    </row>
    <row r="74" customFormat="false" ht="15" hidden="false" customHeight="false" outlineLevel="0" collapsed="false">
      <c r="A74" s="18" t="n">
        <f aca="false">Grid!A74</f>
        <v>47.25</v>
      </c>
      <c r="B74" s="18" t="n">
        <f aca="false">BestRule!Q74</f>
        <v>2.5</v>
      </c>
      <c r="C74" s="12" t="n">
        <f aca="false">MIN(Cap_h,MAX(0,ROUND(($O$4-Alpha_keep*A74)/Step_h,0)*Step_h))</f>
        <v>2.5</v>
      </c>
      <c r="D74" s="20" t="n">
        <v>2.5</v>
      </c>
      <c r="E74" s="14" t="n">
        <f aca="false">IF(ABS(C74-D74)&lt;0.000000001,1,0)</f>
        <v>1</v>
      </c>
      <c r="F74" s="18" t="n">
        <f aca="false">Grid!AA74</f>
        <v>0</v>
      </c>
      <c r="G74" s="20" t="n">
        <v>0</v>
      </c>
      <c r="H74" s="14" t="n">
        <f aca="false">IF(ABS(F74-G74)&lt;0.000000001,1,0)</f>
        <v>1</v>
      </c>
      <c r="I74" s="18" t="n">
        <f aca="false">Grid!AB74</f>
        <v>2.5</v>
      </c>
      <c r="J74" s="20" t="n">
        <v>2.5</v>
      </c>
      <c r="K74" s="14" t="n">
        <f aca="false">IF(ABS(I74-J74)&lt;0.000000001,1,0)</f>
        <v>1</v>
      </c>
    </row>
    <row r="75" customFormat="false" ht="15" hidden="false" customHeight="false" outlineLevel="0" collapsed="false">
      <c r="A75" s="18" t="n">
        <f aca="false">Grid!A75</f>
        <v>47.5</v>
      </c>
      <c r="B75" s="18" t="n">
        <f aca="false">BestRule!Q75</f>
        <v>2.5</v>
      </c>
      <c r="C75" s="12" t="n">
        <f aca="false">MIN(Cap_h,MAX(0,ROUND(($O$4-Alpha_keep*A75)/Step_h,0)*Step_h))</f>
        <v>2.5</v>
      </c>
      <c r="D75" s="20" t="n">
        <v>2.5</v>
      </c>
      <c r="E75" s="14" t="n">
        <f aca="false">IF(ABS(C75-D75)&lt;0.000000001,1,0)</f>
        <v>1</v>
      </c>
      <c r="F75" s="18" t="n">
        <f aca="false">Grid!AA75</f>
        <v>0</v>
      </c>
      <c r="G75" s="20" t="n">
        <v>0</v>
      </c>
      <c r="H75" s="14" t="n">
        <f aca="false">IF(ABS(F75-G75)&lt;0.000000001,1,0)</f>
        <v>1</v>
      </c>
      <c r="I75" s="18" t="n">
        <f aca="false">Grid!AB75</f>
        <v>2.5</v>
      </c>
      <c r="J75" s="20" t="n">
        <v>2.5</v>
      </c>
      <c r="K75" s="14" t="n">
        <f aca="false">IF(ABS(I75-J75)&lt;0.000000001,1,0)</f>
        <v>1</v>
      </c>
    </row>
    <row r="76" customFormat="false" ht="15" hidden="false" customHeight="false" outlineLevel="0" collapsed="false">
      <c r="A76" s="18" t="n">
        <f aca="false">Grid!A76</f>
        <v>47.75</v>
      </c>
      <c r="B76" s="18" t="n">
        <f aca="false">BestRule!Q76</f>
        <v>2.5</v>
      </c>
      <c r="C76" s="12" t="n">
        <f aca="false">MIN(Cap_h,MAX(0,ROUND(($O$4-Alpha_keep*A76)/Step_h,0)*Step_h))</f>
        <v>2.5</v>
      </c>
      <c r="D76" s="20" t="n">
        <v>2.5</v>
      </c>
      <c r="E76" s="14" t="n">
        <f aca="false">IF(ABS(C76-D76)&lt;0.000000001,1,0)</f>
        <v>1</v>
      </c>
      <c r="F76" s="18" t="n">
        <f aca="false">Grid!AA76</f>
        <v>0</v>
      </c>
      <c r="G76" s="20" t="n">
        <v>0</v>
      </c>
      <c r="H76" s="14" t="n">
        <f aca="false">IF(ABS(F76-G76)&lt;0.000000001,1,0)</f>
        <v>1</v>
      </c>
      <c r="I76" s="18" t="n">
        <f aca="false">Grid!AB76</f>
        <v>2.5</v>
      </c>
      <c r="J76" s="20" t="n">
        <v>2.5</v>
      </c>
      <c r="K76" s="14" t="n">
        <f aca="false">IF(ABS(I76-J76)&lt;0.000000001,1,0)</f>
        <v>1</v>
      </c>
    </row>
    <row r="77" customFormat="false" ht="15" hidden="false" customHeight="false" outlineLevel="0" collapsed="false">
      <c r="A77" s="18" t="n">
        <f aca="false">Grid!A77</f>
        <v>48</v>
      </c>
      <c r="B77" s="18" t="n">
        <f aca="false">BestRule!Q77</f>
        <v>2.5</v>
      </c>
      <c r="C77" s="12" t="n">
        <f aca="false">MIN(Cap_h,MAX(0,ROUND(($O$4-Alpha_keep*A77)/Step_h,0)*Step_h))</f>
        <v>2.5</v>
      </c>
      <c r="D77" s="20" t="n">
        <v>2.5</v>
      </c>
      <c r="E77" s="14" t="n">
        <f aca="false">IF(ABS(C77-D77)&lt;0.000000001,1,0)</f>
        <v>1</v>
      </c>
      <c r="F77" s="18" t="n">
        <f aca="false">Grid!AA77</f>
        <v>0</v>
      </c>
      <c r="G77" s="20" t="n">
        <v>0</v>
      </c>
      <c r="H77" s="14" t="n">
        <f aca="false">IF(ABS(F77-G77)&lt;0.000000001,1,0)</f>
        <v>1</v>
      </c>
      <c r="I77" s="18" t="n">
        <f aca="false">Grid!AB77</f>
        <v>2.5</v>
      </c>
      <c r="J77" s="20" t="n">
        <v>2.5</v>
      </c>
      <c r="K77" s="14" t="n">
        <f aca="false">IF(ABS(I77-J77)&lt;0.000000001,1,0)</f>
        <v>1</v>
      </c>
    </row>
    <row r="78" customFormat="false" ht="15" hidden="false" customHeight="false" outlineLevel="0" collapsed="false">
      <c r="A78" s="18" t="n">
        <f aca="false">Grid!A78</f>
        <v>48.25</v>
      </c>
      <c r="B78" s="18" t="n">
        <f aca="false">BestRule!Q78</f>
        <v>2.5</v>
      </c>
      <c r="C78" s="12" t="n">
        <f aca="false">MIN(Cap_h,MAX(0,ROUND(($O$4-Alpha_keep*A78)/Step_h,0)*Step_h))</f>
        <v>2.5</v>
      </c>
      <c r="D78" s="20" t="n">
        <v>2.5</v>
      </c>
      <c r="E78" s="14" t="n">
        <f aca="false">IF(ABS(C78-D78)&lt;0.000000001,1,0)</f>
        <v>1</v>
      </c>
      <c r="F78" s="18" t="n">
        <f aca="false">Grid!AA78</f>
        <v>0</v>
      </c>
      <c r="G78" s="20" t="n">
        <v>0</v>
      </c>
      <c r="H78" s="14" t="n">
        <f aca="false">IF(ABS(F78-G78)&lt;0.000000001,1,0)</f>
        <v>1</v>
      </c>
      <c r="I78" s="18" t="n">
        <f aca="false">Grid!AB78</f>
        <v>2.5</v>
      </c>
      <c r="J78" s="20" t="n">
        <v>2.5</v>
      </c>
      <c r="K78" s="14" t="n">
        <f aca="false">IF(ABS(I78-J78)&lt;0.000000001,1,0)</f>
        <v>1</v>
      </c>
    </row>
    <row r="79" customFormat="false" ht="15" hidden="false" customHeight="false" outlineLevel="0" collapsed="false">
      <c r="A79" s="18" t="n">
        <f aca="false">Grid!A79</f>
        <v>48.5</v>
      </c>
      <c r="B79" s="18" t="n">
        <f aca="false">BestRule!Q79</f>
        <v>2.5</v>
      </c>
      <c r="C79" s="12" t="n">
        <f aca="false">MIN(Cap_h,MAX(0,ROUND(($O$4-Alpha_keep*A79)/Step_h,0)*Step_h))</f>
        <v>2.5</v>
      </c>
      <c r="D79" s="20" t="n">
        <v>2.5</v>
      </c>
      <c r="E79" s="14" t="n">
        <f aca="false">IF(ABS(C79-D79)&lt;0.000000001,1,0)</f>
        <v>1</v>
      </c>
      <c r="F79" s="18" t="n">
        <f aca="false">Grid!AA79</f>
        <v>0</v>
      </c>
      <c r="G79" s="20" t="n">
        <v>0</v>
      </c>
      <c r="H79" s="14" t="n">
        <f aca="false">IF(ABS(F79-G79)&lt;0.000000001,1,0)</f>
        <v>1</v>
      </c>
      <c r="I79" s="18" t="n">
        <f aca="false">Grid!AB79</f>
        <v>2.5</v>
      </c>
      <c r="J79" s="20" t="n">
        <v>2.5</v>
      </c>
      <c r="K79" s="14" t="n">
        <f aca="false">IF(ABS(I79-J79)&lt;0.000000001,1,0)</f>
        <v>1</v>
      </c>
    </row>
    <row r="80" customFormat="false" ht="15" hidden="false" customHeight="false" outlineLevel="0" collapsed="false">
      <c r="A80" s="18" t="n">
        <f aca="false">Grid!A80</f>
        <v>48.75</v>
      </c>
      <c r="B80" s="18" t="n">
        <f aca="false">BestRule!Q80</f>
        <v>2.5</v>
      </c>
      <c r="C80" s="12" t="n">
        <f aca="false">MIN(Cap_h,MAX(0,ROUND(($O$4-Alpha_keep*A80)/Step_h,0)*Step_h))</f>
        <v>2.5</v>
      </c>
      <c r="D80" s="20" t="n">
        <v>2.5</v>
      </c>
      <c r="E80" s="14" t="n">
        <f aca="false">IF(ABS(C80-D80)&lt;0.000000001,1,0)</f>
        <v>1</v>
      </c>
      <c r="F80" s="18" t="n">
        <f aca="false">Grid!AA80</f>
        <v>0</v>
      </c>
      <c r="G80" s="20" t="n">
        <v>0</v>
      </c>
      <c r="H80" s="14" t="n">
        <f aca="false">IF(ABS(F80-G80)&lt;0.000000001,1,0)</f>
        <v>1</v>
      </c>
      <c r="I80" s="18" t="n">
        <f aca="false">Grid!AB80</f>
        <v>2.5</v>
      </c>
      <c r="J80" s="20" t="n">
        <v>2.5</v>
      </c>
      <c r="K80" s="14" t="n">
        <f aca="false">IF(ABS(I80-J80)&lt;0.000000001,1,0)</f>
        <v>1</v>
      </c>
    </row>
    <row r="81" customFormat="false" ht="15" hidden="false" customHeight="false" outlineLevel="0" collapsed="false">
      <c r="A81" s="18" t="n">
        <f aca="false">Grid!A81</f>
        <v>49</v>
      </c>
      <c r="B81" s="18" t="n">
        <f aca="false">BestRule!Q81</f>
        <v>2.5</v>
      </c>
      <c r="C81" s="12" t="n">
        <f aca="false">MIN(Cap_h,MAX(0,ROUND(($O$4-Alpha_keep*A81)/Step_h,0)*Step_h))</f>
        <v>2.5</v>
      </c>
      <c r="D81" s="20" t="n">
        <v>2.5</v>
      </c>
      <c r="E81" s="14" t="n">
        <f aca="false">IF(ABS(C81-D81)&lt;0.000000001,1,0)</f>
        <v>1</v>
      </c>
      <c r="F81" s="18" t="n">
        <f aca="false">Grid!AA81</f>
        <v>0</v>
      </c>
      <c r="G81" s="20" t="n">
        <v>0</v>
      </c>
      <c r="H81" s="14" t="n">
        <f aca="false">IF(ABS(F81-G81)&lt;0.000000001,1,0)</f>
        <v>1</v>
      </c>
      <c r="I81" s="18" t="n">
        <f aca="false">Grid!AB81</f>
        <v>2.5</v>
      </c>
      <c r="J81" s="20" t="n">
        <v>2.5</v>
      </c>
      <c r="K81" s="14" t="n">
        <f aca="false">IF(ABS(I81-J81)&lt;0.000000001,1,0)</f>
        <v>1</v>
      </c>
    </row>
    <row r="82" customFormat="false" ht="15" hidden="false" customHeight="false" outlineLevel="0" collapsed="false">
      <c r="A82" s="18" t="n">
        <f aca="false">Grid!A82</f>
        <v>49.25</v>
      </c>
      <c r="B82" s="18" t="n">
        <f aca="false">BestRule!Q82</f>
        <v>2.5</v>
      </c>
      <c r="C82" s="12" t="n">
        <f aca="false">MIN(Cap_h,MAX(0,ROUND(($O$4-Alpha_keep*A82)/Step_h,0)*Step_h))</f>
        <v>2.5</v>
      </c>
      <c r="D82" s="20" t="n">
        <v>2.5</v>
      </c>
      <c r="E82" s="14" t="n">
        <f aca="false">IF(ABS(C82-D82)&lt;0.000000001,1,0)</f>
        <v>1</v>
      </c>
      <c r="F82" s="18" t="n">
        <f aca="false">Grid!AA82</f>
        <v>0</v>
      </c>
      <c r="G82" s="20" t="n">
        <v>0</v>
      </c>
      <c r="H82" s="14" t="n">
        <f aca="false">IF(ABS(F82-G82)&lt;0.000000001,1,0)</f>
        <v>1</v>
      </c>
      <c r="I82" s="18" t="n">
        <f aca="false">Grid!AB82</f>
        <v>2.5</v>
      </c>
      <c r="J82" s="20" t="n">
        <v>2.5</v>
      </c>
      <c r="K82" s="14" t="n">
        <f aca="false">IF(ABS(I82-J82)&lt;0.000000001,1,0)</f>
        <v>1</v>
      </c>
    </row>
    <row r="83" customFormat="false" ht="15" hidden="false" customHeight="false" outlineLevel="0" collapsed="false">
      <c r="A83" s="18" t="n">
        <f aca="false">Grid!A83</f>
        <v>49.5</v>
      </c>
      <c r="B83" s="18" t="n">
        <f aca="false">BestRule!Q83</f>
        <v>2.5</v>
      </c>
      <c r="C83" s="12" t="n">
        <f aca="false">MIN(Cap_h,MAX(0,ROUND(($O$4-Alpha_keep*A83)/Step_h,0)*Step_h))</f>
        <v>2.5</v>
      </c>
      <c r="D83" s="20" t="n">
        <v>2.5</v>
      </c>
      <c r="E83" s="14" t="n">
        <f aca="false">IF(ABS(C83-D83)&lt;0.000000001,1,0)</f>
        <v>1</v>
      </c>
      <c r="F83" s="18" t="n">
        <f aca="false">Grid!AA83</f>
        <v>0</v>
      </c>
      <c r="G83" s="20" t="n">
        <v>0</v>
      </c>
      <c r="H83" s="14" t="n">
        <f aca="false">IF(ABS(F83-G83)&lt;0.000000001,1,0)</f>
        <v>1</v>
      </c>
      <c r="I83" s="18" t="n">
        <f aca="false">Grid!AB83</f>
        <v>2.5</v>
      </c>
      <c r="J83" s="20" t="n">
        <v>2.5</v>
      </c>
      <c r="K83" s="14" t="n">
        <f aca="false">IF(ABS(I83-J83)&lt;0.000000001,1,0)</f>
        <v>1</v>
      </c>
    </row>
    <row r="84" customFormat="false" ht="15" hidden="false" customHeight="false" outlineLevel="0" collapsed="false">
      <c r="A84" s="18" t="n">
        <f aca="false">Grid!A84</f>
        <v>49.75</v>
      </c>
      <c r="B84" s="18" t="n">
        <f aca="false">BestRule!Q84</f>
        <v>2.5</v>
      </c>
      <c r="C84" s="12" t="n">
        <f aca="false">MIN(Cap_h,MAX(0,ROUND(($O$4-Alpha_keep*A84)/Step_h,0)*Step_h))</f>
        <v>2.5</v>
      </c>
      <c r="D84" s="20" t="n">
        <v>2.5</v>
      </c>
      <c r="E84" s="14" t="n">
        <f aca="false">IF(ABS(C84-D84)&lt;0.000000001,1,0)</f>
        <v>1</v>
      </c>
      <c r="F84" s="18" t="n">
        <f aca="false">Grid!AA84</f>
        <v>0</v>
      </c>
      <c r="G84" s="20" t="n">
        <v>0</v>
      </c>
      <c r="H84" s="14" t="n">
        <f aca="false">IF(ABS(F84-G84)&lt;0.000000001,1,0)</f>
        <v>1</v>
      </c>
      <c r="I84" s="18" t="n">
        <f aca="false">Grid!AB84</f>
        <v>2.5</v>
      </c>
      <c r="J84" s="20" t="n">
        <v>2.5</v>
      </c>
      <c r="K84" s="14" t="n">
        <f aca="false">IF(ABS(I84-J84)&lt;0.000000001,1,0)</f>
        <v>1</v>
      </c>
    </row>
    <row r="85" customFormat="false" ht="15" hidden="false" customHeight="false" outlineLevel="0" collapsed="false">
      <c r="A85" s="18" t="n">
        <f aca="false">Grid!A85</f>
        <v>50</v>
      </c>
      <c r="B85" s="18" t="n">
        <f aca="false">BestRule!Q85</f>
        <v>2.5</v>
      </c>
      <c r="C85" s="12" t="n">
        <f aca="false">MIN(Cap_h,MAX(0,ROUND(($O$4-Alpha_keep*A85)/Step_h,0)*Step_h))</f>
        <v>2.5</v>
      </c>
      <c r="D85" s="20" t="n">
        <v>2.5</v>
      </c>
      <c r="E85" s="14" t="n">
        <f aca="false">IF(ABS(C85-D85)&lt;0.000000001,1,0)</f>
        <v>1</v>
      </c>
      <c r="F85" s="18" t="n">
        <f aca="false">Grid!AA85</f>
        <v>0</v>
      </c>
      <c r="G85" s="20" t="n">
        <v>0</v>
      </c>
      <c r="H85" s="14" t="n">
        <f aca="false">IF(ABS(F85-G85)&lt;0.000000001,1,0)</f>
        <v>1</v>
      </c>
      <c r="I85" s="18" t="n">
        <f aca="false">Grid!AB85</f>
        <v>2.5</v>
      </c>
      <c r="J85" s="20" t="n">
        <v>2.5</v>
      </c>
      <c r="K85" s="14" t="n">
        <f aca="false">IF(ABS(I85-J85)&lt;0.000000001,1,0)</f>
        <v>1</v>
      </c>
    </row>
    <row r="86" customFormat="false" ht="15" hidden="false" customHeight="false" outlineLevel="0" collapsed="false">
      <c r="A86" s="18" t="n">
        <f aca="false">Grid!A86</f>
        <v>50.25</v>
      </c>
      <c r="B86" s="18" t="n">
        <f aca="false">BestRule!Q86</f>
        <v>2.5</v>
      </c>
      <c r="C86" s="12" t="n">
        <f aca="false">MIN(Cap_h,MAX(0,ROUND(($O$4-Alpha_keep*A86)/Step_h,0)*Step_h))</f>
        <v>2.5</v>
      </c>
      <c r="D86" s="20" t="n">
        <v>2.5</v>
      </c>
      <c r="E86" s="14" t="n">
        <f aca="false">IF(ABS(C86-D86)&lt;0.000000001,1,0)</f>
        <v>1</v>
      </c>
      <c r="F86" s="18" t="n">
        <f aca="false">Grid!AA86</f>
        <v>0</v>
      </c>
      <c r="G86" s="20" t="n">
        <v>0</v>
      </c>
      <c r="H86" s="14" t="n">
        <f aca="false">IF(ABS(F86-G86)&lt;0.000000001,1,0)</f>
        <v>1</v>
      </c>
      <c r="I86" s="18" t="n">
        <f aca="false">Grid!AB86</f>
        <v>2.5</v>
      </c>
      <c r="J86" s="20" t="n">
        <v>2.5</v>
      </c>
      <c r="K86" s="14" t="n">
        <f aca="false">IF(ABS(I86-J86)&lt;0.000000001,1,0)</f>
        <v>1</v>
      </c>
    </row>
    <row r="87" customFormat="false" ht="15" hidden="false" customHeight="false" outlineLevel="0" collapsed="false">
      <c r="A87" s="18" t="n">
        <f aca="false">Grid!A87</f>
        <v>50.5</v>
      </c>
      <c r="B87" s="18" t="n">
        <f aca="false">BestRule!Q87</f>
        <v>2.5</v>
      </c>
      <c r="C87" s="12" t="n">
        <f aca="false">MIN(Cap_h,MAX(0,ROUND(($O$4-Alpha_keep*A87)/Step_h,0)*Step_h))</f>
        <v>2.5</v>
      </c>
      <c r="D87" s="20" t="n">
        <v>2.5</v>
      </c>
      <c r="E87" s="14" t="n">
        <f aca="false">IF(ABS(C87-D87)&lt;0.000000001,1,0)</f>
        <v>1</v>
      </c>
      <c r="F87" s="18" t="n">
        <f aca="false">Grid!AA87</f>
        <v>0</v>
      </c>
      <c r="G87" s="20" t="n">
        <v>0</v>
      </c>
      <c r="H87" s="14" t="n">
        <f aca="false">IF(ABS(F87-G87)&lt;0.000000001,1,0)</f>
        <v>1</v>
      </c>
      <c r="I87" s="18" t="n">
        <f aca="false">Grid!AB87</f>
        <v>2.5</v>
      </c>
      <c r="J87" s="20" t="n">
        <v>2.5</v>
      </c>
      <c r="K87" s="14" t="n">
        <f aca="false">IF(ABS(I87-J87)&lt;0.000000001,1,0)</f>
        <v>1</v>
      </c>
    </row>
    <row r="88" customFormat="false" ht="15" hidden="false" customHeight="false" outlineLevel="0" collapsed="false">
      <c r="A88" s="18" t="n">
        <f aca="false">Grid!A88</f>
        <v>50.75</v>
      </c>
      <c r="B88" s="18" t="n">
        <f aca="false">BestRule!Q88</f>
        <v>2.5</v>
      </c>
      <c r="C88" s="12" t="n">
        <f aca="false">MIN(Cap_h,MAX(0,ROUND(($O$4-Alpha_keep*A88)/Step_h,0)*Step_h))</f>
        <v>2.5</v>
      </c>
      <c r="D88" s="20" t="n">
        <v>2.5</v>
      </c>
      <c r="E88" s="14" t="n">
        <f aca="false">IF(ABS(C88-D88)&lt;0.000000001,1,0)</f>
        <v>1</v>
      </c>
      <c r="F88" s="18" t="n">
        <f aca="false">Grid!AA88</f>
        <v>0</v>
      </c>
      <c r="G88" s="20" t="n">
        <v>0</v>
      </c>
      <c r="H88" s="14" t="n">
        <f aca="false">IF(ABS(F88-G88)&lt;0.000000001,1,0)</f>
        <v>1</v>
      </c>
      <c r="I88" s="18" t="n">
        <f aca="false">Grid!AB88</f>
        <v>2.5</v>
      </c>
      <c r="J88" s="20" t="n">
        <v>2.5</v>
      </c>
      <c r="K88" s="14" t="n">
        <f aca="false">IF(ABS(I88-J88)&lt;0.000000001,1,0)</f>
        <v>1</v>
      </c>
    </row>
    <row r="89" customFormat="false" ht="15" hidden="false" customHeight="false" outlineLevel="0" collapsed="false">
      <c r="A89" s="18" t="n">
        <f aca="false">Grid!A89</f>
        <v>51</v>
      </c>
      <c r="B89" s="18" t="n">
        <f aca="false">BestRule!Q89</f>
        <v>2.5</v>
      </c>
      <c r="C89" s="12" t="n">
        <f aca="false">MIN(Cap_h,MAX(0,ROUND(($O$4-Alpha_keep*A89)/Step_h,0)*Step_h))</f>
        <v>2.5</v>
      </c>
      <c r="D89" s="20" t="n">
        <v>2.5</v>
      </c>
      <c r="E89" s="14" t="n">
        <f aca="false">IF(ABS(C89-D89)&lt;0.000000001,1,0)</f>
        <v>1</v>
      </c>
      <c r="F89" s="18" t="n">
        <f aca="false">Grid!AA89</f>
        <v>0</v>
      </c>
      <c r="G89" s="20" t="n">
        <v>0</v>
      </c>
      <c r="H89" s="14" t="n">
        <f aca="false">IF(ABS(F89-G89)&lt;0.000000001,1,0)</f>
        <v>1</v>
      </c>
      <c r="I89" s="18" t="n">
        <f aca="false">Grid!AB89</f>
        <v>2.5</v>
      </c>
      <c r="J89" s="20" t="n">
        <v>2.5</v>
      </c>
      <c r="K89" s="14" t="n">
        <f aca="false">IF(ABS(I89-J89)&lt;0.000000001,1,0)</f>
        <v>1</v>
      </c>
    </row>
    <row r="90" customFormat="false" ht="15" hidden="false" customHeight="false" outlineLevel="0" collapsed="false">
      <c r="A90" s="18" t="n">
        <f aca="false">Grid!A90</f>
        <v>51.25</v>
      </c>
      <c r="B90" s="18" t="n">
        <f aca="false">BestRule!Q90</f>
        <v>2.5</v>
      </c>
      <c r="C90" s="12" t="n">
        <f aca="false">MIN(Cap_h,MAX(0,ROUND(($O$4-Alpha_keep*A90)/Step_h,0)*Step_h))</f>
        <v>2.5</v>
      </c>
      <c r="D90" s="20" t="n">
        <v>2.5</v>
      </c>
      <c r="E90" s="14" t="n">
        <f aca="false">IF(ABS(C90-D90)&lt;0.000000001,1,0)</f>
        <v>1</v>
      </c>
      <c r="F90" s="18" t="n">
        <f aca="false">Grid!AA90</f>
        <v>0</v>
      </c>
      <c r="G90" s="20" t="n">
        <v>0</v>
      </c>
      <c r="H90" s="14" t="n">
        <f aca="false">IF(ABS(F90-G90)&lt;0.000000001,1,0)</f>
        <v>1</v>
      </c>
      <c r="I90" s="18" t="n">
        <f aca="false">Grid!AB90</f>
        <v>2.5</v>
      </c>
      <c r="J90" s="20" t="n">
        <v>2.5</v>
      </c>
      <c r="K90" s="14" t="n">
        <f aca="false">IF(ABS(I90-J90)&lt;0.000000001,1,0)</f>
        <v>1</v>
      </c>
    </row>
    <row r="91" customFormat="false" ht="15" hidden="false" customHeight="false" outlineLevel="0" collapsed="false">
      <c r="A91" s="18" t="n">
        <f aca="false">Grid!A91</f>
        <v>51.5</v>
      </c>
      <c r="B91" s="18" t="n">
        <f aca="false">BestRule!Q91</f>
        <v>2.5</v>
      </c>
      <c r="C91" s="12" t="n">
        <f aca="false">MIN(Cap_h,MAX(0,ROUND(($O$4-Alpha_keep*A91)/Step_h,0)*Step_h))</f>
        <v>2.5</v>
      </c>
      <c r="D91" s="20" t="n">
        <v>2.5</v>
      </c>
      <c r="E91" s="14" t="n">
        <f aca="false">IF(ABS(C91-D91)&lt;0.000000001,1,0)</f>
        <v>1</v>
      </c>
      <c r="F91" s="18" t="n">
        <f aca="false">Grid!AA91</f>
        <v>0</v>
      </c>
      <c r="G91" s="20" t="n">
        <v>0</v>
      </c>
      <c r="H91" s="14" t="n">
        <f aca="false">IF(ABS(F91-G91)&lt;0.000000001,1,0)</f>
        <v>1</v>
      </c>
      <c r="I91" s="18" t="n">
        <f aca="false">Grid!AB91</f>
        <v>2.5</v>
      </c>
      <c r="J91" s="20" t="n">
        <v>2.5</v>
      </c>
      <c r="K91" s="14" t="n">
        <f aca="false">IF(ABS(I91-J91)&lt;0.000000001,1,0)</f>
        <v>1</v>
      </c>
    </row>
    <row r="92" customFormat="false" ht="15" hidden="false" customHeight="false" outlineLevel="0" collapsed="false">
      <c r="A92" s="18" t="n">
        <f aca="false">Grid!A92</f>
        <v>51.75</v>
      </c>
      <c r="B92" s="18" t="n">
        <f aca="false">BestRule!Q92</f>
        <v>2.5</v>
      </c>
      <c r="C92" s="12" t="n">
        <f aca="false">MIN(Cap_h,MAX(0,ROUND(($O$4-Alpha_keep*A92)/Step_h,0)*Step_h))</f>
        <v>2.5</v>
      </c>
      <c r="D92" s="20" t="n">
        <v>2.5</v>
      </c>
      <c r="E92" s="14" t="n">
        <f aca="false">IF(ABS(C92-D92)&lt;0.000000001,1,0)</f>
        <v>1</v>
      </c>
      <c r="F92" s="18" t="n">
        <f aca="false">Grid!AA92</f>
        <v>0</v>
      </c>
      <c r="G92" s="20" t="n">
        <v>0</v>
      </c>
      <c r="H92" s="14" t="n">
        <f aca="false">IF(ABS(F92-G92)&lt;0.000000001,1,0)</f>
        <v>1</v>
      </c>
      <c r="I92" s="18" t="n">
        <f aca="false">Grid!AB92</f>
        <v>2.5</v>
      </c>
      <c r="J92" s="20" t="n">
        <v>2.5</v>
      </c>
      <c r="K92" s="14" t="n">
        <f aca="false">IF(ABS(I92-J92)&lt;0.000000001,1,0)</f>
        <v>1</v>
      </c>
    </row>
    <row r="93" customFormat="false" ht="15" hidden="false" customHeight="false" outlineLevel="0" collapsed="false">
      <c r="A93" s="18" t="n">
        <f aca="false">Grid!A93</f>
        <v>52</v>
      </c>
      <c r="B93" s="18" t="n">
        <f aca="false">BestRule!Q93</f>
        <v>2.5</v>
      </c>
      <c r="C93" s="12" t="n">
        <f aca="false">MIN(Cap_h,MAX(0,ROUND(($O$4-Alpha_keep*A93)/Step_h,0)*Step_h))</f>
        <v>2.5</v>
      </c>
      <c r="D93" s="20" t="n">
        <v>2.5</v>
      </c>
      <c r="E93" s="14" t="n">
        <f aca="false">IF(ABS(C93-D93)&lt;0.000000001,1,0)</f>
        <v>1</v>
      </c>
      <c r="F93" s="18" t="n">
        <f aca="false">Grid!AA93</f>
        <v>0</v>
      </c>
      <c r="G93" s="20" t="n">
        <v>0</v>
      </c>
      <c r="H93" s="14" t="n">
        <f aca="false">IF(ABS(F93-G93)&lt;0.000000001,1,0)</f>
        <v>1</v>
      </c>
      <c r="I93" s="18" t="n">
        <f aca="false">Grid!AB93</f>
        <v>2.5</v>
      </c>
      <c r="J93" s="20" t="n">
        <v>2.5</v>
      </c>
      <c r="K93" s="14" t="n">
        <f aca="false">IF(ABS(I93-J93)&lt;0.000000001,1,0)</f>
        <v>1</v>
      </c>
    </row>
    <row r="94" customFormat="false" ht="15" hidden="false" customHeight="false" outlineLevel="0" collapsed="false">
      <c r="A94" s="18" t="n">
        <f aca="false">Grid!A94</f>
        <v>52.25</v>
      </c>
      <c r="B94" s="18" t="n">
        <f aca="false">BestRule!Q94</f>
        <v>2.5</v>
      </c>
      <c r="C94" s="12" t="n">
        <f aca="false">MIN(Cap_h,MAX(0,ROUND(($O$4-Alpha_keep*A94)/Step_h,0)*Step_h))</f>
        <v>2.5</v>
      </c>
      <c r="D94" s="20" t="n">
        <v>2.5</v>
      </c>
      <c r="E94" s="14" t="n">
        <f aca="false">IF(ABS(C94-D94)&lt;0.000000001,1,0)</f>
        <v>1</v>
      </c>
      <c r="F94" s="18" t="n">
        <f aca="false">Grid!AA94</f>
        <v>0</v>
      </c>
      <c r="G94" s="20" t="n">
        <v>0</v>
      </c>
      <c r="H94" s="14" t="n">
        <f aca="false">IF(ABS(F94-G94)&lt;0.000000001,1,0)</f>
        <v>1</v>
      </c>
      <c r="I94" s="18" t="n">
        <f aca="false">Grid!AB94</f>
        <v>2.5</v>
      </c>
      <c r="J94" s="20" t="n">
        <v>2.5</v>
      </c>
      <c r="K94" s="14" t="n">
        <f aca="false">IF(ABS(I94-J94)&lt;0.000000001,1,0)</f>
        <v>1</v>
      </c>
    </row>
    <row r="95" customFormat="false" ht="15" hidden="false" customHeight="false" outlineLevel="0" collapsed="false">
      <c r="A95" s="18" t="n">
        <f aca="false">Grid!A95</f>
        <v>52.5</v>
      </c>
      <c r="B95" s="18" t="n">
        <f aca="false">BestRule!Q95</f>
        <v>2.5</v>
      </c>
      <c r="C95" s="12" t="n">
        <f aca="false">MIN(Cap_h,MAX(0,ROUND(($O$4-Alpha_keep*A95)/Step_h,0)*Step_h))</f>
        <v>2.5</v>
      </c>
      <c r="D95" s="20" t="n">
        <v>2.5</v>
      </c>
      <c r="E95" s="14" t="n">
        <f aca="false">IF(ABS(C95-D95)&lt;0.000000001,1,0)</f>
        <v>1</v>
      </c>
      <c r="F95" s="18" t="n">
        <f aca="false">Grid!AA95</f>
        <v>0</v>
      </c>
      <c r="G95" s="20" t="n">
        <v>0</v>
      </c>
      <c r="H95" s="14" t="n">
        <f aca="false">IF(ABS(F95-G95)&lt;0.000000001,1,0)</f>
        <v>1</v>
      </c>
      <c r="I95" s="18" t="n">
        <f aca="false">Grid!AB95</f>
        <v>2.5</v>
      </c>
      <c r="J95" s="20" t="n">
        <v>2.5</v>
      </c>
      <c r="K95" s="14" t="n">
        <f aca="false">IF(ABS(I95-J95)&lt;0.000000001,1,0)</f>
        <v>1</v>
      </c>
    </row>
    <row r="96" customFormat="false" ht="15" hidden="false" customHeight="false" outlineLevel="0" collapsed="false">
      <c r="A96" s="18" t="n">
        <f aca="false">Grid!A96</f>
        <v>52.75</v>
      </c>
      <c r="B96" s="18" t="n">
        <f aca="false">BestRule!Q96</f>
        <v>2.5</v>
      </c>
      <c r="C96" s="12" t="n">
        <f aca="false">MIN(Cap_h,MAX(0,ROUND(($O$4-Alpha_keep*A96)/Step_h,0)*Step_h))</f>
        <v>2.5</v>
      </c>
      <c r="D96" s="20" t="n">
        <v>2.5</v>
      </c>
      <c r="E96" s="14" t="n">
        <f aca="false">IF(ABS(C96-D96)&lt;0.000000001,1,0)</f>
        <v>1</v>
      </c>
      <c r="F96" s="18" t="n">
        <f aca="false">Grid!AA96</f>
        <v>0</v>
      </c>
      <c r="G96" s="20" t="n">
        <v>0</v>
      </c>
      <c r="H96" s="14" t="n">
        <f aca="false">IF(ABS(F96-G96)&lt;0.000000001,1,0)</f>
        <v>1</v>
      </c>
      <c r="I96" s="18" t="n">
        <f aca="false">Grid!AB96</f>
        <v>2.5</v>
      </c>
      <c r="J96" s="20" t="n">
        <v>2.5</v>
      </c>
      <c r="K96" s="14" t="n">
        <f aca="false">IF(ABS(I96-J96)&lt;0.000000001,1,0)</f>
        <v>1</v>
      </c>
    </row>
    <row r="97" customFormat="false" ht="15" hidden="false" customHeight="false" outlineLevel="0" collapsed="false">
      <c r="A97" s="18" t="n">
        <f aca="false">Grid!A97</f>
        <v>53</v>
      </c>
      <c r="B97" s="18" t="n">
        <f aca="false">BestRule!Q97</f>
        <v>2.5</v>
      </c>
      <c r="C97" s="12" t="n">
        <f aca="false">MIN(Cap_h,MAX(0,ROUND(($O$4-Alpha_keep*A97)/Step_h,0)*Step_h))</f>
        <v>2.5</v>
      </c>
      <c r="D97" s="20" t="n">
        <v>2.5</v>
      </c>
      <c r="E97" s="14" t="n">
        <f aca="false">IF(ABS(C97-D97)&lt;0.000000001,1,0)</f>
        <v>1</v>
      </c>
      <c r="F97" s="18" t="n">
        <f aca="false">Grid!AA97</f>
        <v>0</v>
      </c>
      <c r="G97" s="20" t="n">
        <v>0</v>
      </c>
      <c r="H97" s="14" t="n">
        <f aca="false">IF(ABS(F97-G97)&lt;0.000000001,1,0)</f>
        <v>1</v>
      </c>
      <c r="I97" s="18" t="n">
        <f aca="false">Grid!AB97</f>
        <v>2.5</v>
      </c>
      <c r="J97" s="20" t="n">
        <v>2.5</v>
      </c>
      <c r="K97" s="14" t="n">
        <f aca="false">IF(ABS(I97-J97)&lt;0.000000001,1,0)</f>
        <v>1</v>
      </c>
    </row>
    <row r="98" customFormat="false" ht="15" hidden="false" customHeight="false" outlineLevel="0" collapsed="false">
      <c r="A98" s="18" t="n">
        <f aca="false">Grid!A98</f>
        <v>53.25</v>
      </c>
      <c r="B98" s="18" t="n">
        <f aca="false">BestRule!Q98</f>
        <v>2.5</v>
      </c>
      <c r="C98" s="12" t="n">
        <f aca="false">MIN(Cap_h,MAX(0,ROUND(($O$4-Alpha_keep*A98)/Step_h,0)*Step_h))</f>
        <v>2.5</v>
      </c>
      <c r="D98" s="20" t="n">
        <v>2.5</v>
      </c>
      <c r="E98" s="14" t="n">
        <f aca="false">IF(ABS(C98-D98)&lt;0.000000001,1,0)</f>
        <v>1</v>
      </c>
      <c r="F98" s="18" t="n">
        <f aca="false">Grid!AA98</f>
        <v>0</v>
      </c>
      <c r="G98" s="20" t="n">
        <v>0</v>
      </c>
      <c r="H98" s="14" t="n">
        <f aca="false">IF(ABS(F98-G98)&lt;0.000000001,1,0)</f>
        <v>1</v>
      </c>
      <c r="I98" s="18" t="n">
        <f aca="false">Grid!AB98</f>
        <v>2.5</v>
      </c>
      <c r="J98" s="20" t="n">
        <v>2.5</v>
      </c>
      <c r="K98" s="14" t="n">
        <f aca="false">IF(ABS(I98-J98)&lt;0.000000001,1,0)</f>
        <v>1</v>
      </c>
    </row>
    <row r="99" customFormat="false" ht="15" hidden="false" customHeight="false" outlineLevel="0" collapsed="false">
      <c r="A99" s="18" t="n">
        <f aca="false">Grid!A99</f>
        <v>53.5</v>
      </c>
      <c r="B99" s="18" t="n">
        <f aca="false">BestRule!Q99</f>
        <v>2.5</v>
      </c>
      <c r="C99" s="12" t="n">
        <f aca="false">MIN(Cap_h,MAX(0,ROUND(($O$4-Alpha_keep*A99)/Step_h,0)*Step_h))</f>
        <v>2.5</v>
      </c>
      <c r="D99" s="20" t="n">
        <v>2.5</v>
      </c>
      <c r="E99" s="14" t="n">
        <f aca="false">IF(ABS(C99-D99)&lt;0.000000001,1,0)</f>
        <v>1</v>
      </c>
      <c r="F99" s="18" t="n">
        <f aca="false">Grid!AA99</f>
        <v>0</v>
      </c>
      <c r="G99" s="20" t="n">
        <v>0</v>
      </c>
      <c r="H99" s="14" t="n">
        <f aca="false">IF(ABS(F99-G99)&lt;0.000000001,1,0)</f>
        <v>1</v>
      </c>
      <c r="I99" s="18" t="n">
        <f aca="false">Grid!AB99</f>
        <v>2.5</v>
      </c>
      <c r="J99" s="20" t="n">
        <v>2.5</v>
      </c>
      <c r="K99" s="14" t="n">
        <f aca="false">IF(ABS(I99-J99)&lt;0.000000001,1,0)</f>
        <v>1</v>
      </c>
    </row>
    <row r="100" customFormat="false" ht="15" hidden="false" customHeight="false" outlineLevel="0" collapsed="false">
      <c r="A100" s="18" t="n">
        <f aca="false">Grid!A100</f>
        <v>53.75</v>
      </c>
      <c r="B100" s="18" t="n">
        <f aca="false">BestRule!Q100</f>
        <v>2.5</v>
      </c>
      <c r="C100" s="12" t="n">
        <f aca="false">MIN(Cap_h,MAX(0,ROUND(($O$4-Alpha_keep*A100)/Step_h,0)*Step_h))</f>
        <v>2.5</v>
      </c>
      <c r="D100" s="20" t="n">
        <v>2.5</v>
      </c>
      <c r="E100" s="14" t="n">
        <f aca="false">IF(ABS(C100-D100)&lt;0.000000001,1,0)</f>
        <v>1</v>
      </c>
      <c r="F100" s="18" t="n">
        <f aca="false">Grid!AA100</f>
        <v>0</v>
      </c>
      <c r="G100" s="20" t="n">
        <v>0</v>
      </c>
      <c r="H100" s="14" t="n">
        <f aca="false">IF(ABS(F100-G100)&lt;0.000000001,1,0)</f>
        <v>1</v>
      </c>
      <c r="I100" s="18" t="n">
        <f aca="false">Grid!AB100</f>
        <v>2.5</v>
      </c>
      <c r="J100" s="20" t="n">
        <v>2.5</v>
      </c>
      <c r="K100" s="14" t="n">
        <f aca="false">IF(ABS(I100-J100)&lt;0.000000001,1,0)</f>
        <v>1</v>
      </c>
    </row>
    <row r="101" customFormat="false" ht="15" hidden="false" customHeight="false" outlineLevel="0" collapsed="false">
      <c r="A101" s="18" t="n">
        <f aca="false">Grid!A101</f>
        <v>54</v>
      </c>
      <c r="B101" s="18" t="n">
        <f aca="false">BestRule!Q101</f>
        <v>2.5</v>
      </c>
      <c r="C101" s="12" t="n">
        <f aca="false">MIN(Cap_h,MAX(0,ROUND(($O$4-Alpha_keep*A101)/Step_h,0)*Step_h))</f>
        <v>2.5</v>
      </c>
      <c r="D101" s="20" t="n">
        <v>2.5</v>
      </c>
      <c r="E101" s="14" t="n">
        <f aca="false">IF(ABS(C101-D101)&lt;0.000000001,1,0)</f>
        <v>1</v>
      </c>
      <c r="F101" s="18" t="n">
        <f aca="false">Grid!AA101</f>
        <v>0</v>
      </c>
      <c r="G101" s="20" t="n">
        <v>0</v>
      </c>
      <c r="H101" s="14" t="n">
        <f aca="false">IF(ABS(F101-G101)&lt;0.000000001,1,0)</f>
        <v>1</v>
      </c>
      <c r="I101" s="18" t="n">
        <f aca="false">Grid!AB101</f>
        <v>2.5</v>
      </c>
      <c r="J101" s="20" t="n">
        <v>2.5</v>
      </c>
      <c r="K101" s="14" t="n">
        <f aca="false">IF(ABS(I101-J101)&lt;0.000000001,1,0)</f>
        <v>1</v>
      </c>
    </row>
    <row r="102" customFormat="false" ht="15" hidden="false" customHeight="false" outlineLevel="0" collapsed="false">
      <c r="A102" s="18" t="n">
        <f aca="false">Grid!A102</f>
        <v>54.25</v>
      </c>
      <c r="B102" s="18" t="n">
        <f aca="false">BestRule!Q102</f>
        <v>2.5</v>
      </c>
      <c r="C102" s="12" t="n">
        <f aca="false">MIN(Cap_h,MAX(0,ROUND(($O$4-Alpha_keep*A102)/Step_h,0)*Step_h))</f>
        <v>2.5</v>
      </c>
      <c r="D102" s="20" t="n">
        <v>2.5</v>
      </c>
      <c r="E102" s="14" t="n">
        <f aca="false">IF(ABS(C102-D102)&lt;0.000000001,1,0)</f>
        <v>1</v>
      </c>
      <c r="F102" s="18" t="n">
        <f aca="false">Grid!AA102</f>
        <v>0</v>
      </c>
      <c r="G102" s="20" t="n">
        <v>0</v>
      </c>
      <c r="H102" s="14" t="n">
        <f aca="false">IF(ABS(F102-G102)&lt;0.000000001,1,0)</f>
        <v>1</v>
      </c>
      <c r="I102" s="18" t="n">
        <f aca="false">Grid!AB102</f>
        <v>2.5</v>
      </c>
      <c r="J102" s="20" t="n">
        <v>2.5</v>
      </c>
      <c r="K102" s="14" t="n">
        <f aca="false">IF(ABS(I102-J102)&lt;0.000000001,1,0)</f>
        <v>1</v>
      </c>
    </row>
    <row r="103" customFormat="false" ht="15" hidden="false" customHeight="false" outlineLevel="0" collapsed="false">
      <c r="A103" s="18" t="n">
        <f aca="false">Grid!A103</f>
        <v>54.5</v>
      </c>
      <c r="B103" s="18" t="n">
        <f aca="false">BestRule!Q103</f>
        <v>2.5</v>
      </c>
      <c r="C103" s="12" t="n">
        <f aca="false">MIN(Cap_h,MAX(0,ROUND(($O$4-Alpha_keep*A103)/Step_h,0)*Step_h))</f>
        <v>2.5</v>
      </c>
      <c r="D103" s="20" t="n">
        <v>2.5</v>
      </c>
      <c r="E103" s="14" t="n">
        <f aca="false">IF(ABS(C103-D103)&lt;0.000000001,1,0)</f>
        <v>1</v>
      </c>
      <c r="F103" s="18" t="n">
        <f aca="false">Grid!AA103</f>
        <v>0</v>
      </c>
      <c r="G103" s="20" t="n">
        <v>0</v>
      </c>
      <c r="H103" s="14" t="n">
        <f aca="false">IF(ABS(F103-G103)&lt;0.000000001,1,0)</f>
        <v>1</v>
      </c>
      <c r="I103" s="18" t="n">
        <f aca="false">Grid!AB103</f>
        <v>2.5</v>
      </c>
      <c r="J103" s="20" t="n">
        <v>2.5</v>
      </c>
      <c r="K103" s="14" t="n">
        <f aca="false">IF(ABS(I103-J103)&lt;0.000000001,1,0)</f>
        <v>1</v>
      </c>
    </row>
    <row r="104" customFormat="false" ht="15" hidden="false" customHeight="false" outlineLevel="0" collapsed="false">
      <c r="A104" s="18" t="n">
        <f aca="false">Grid!A104</f>
        <v>54.75</v>
      </c>
      <c r="B104" s="18" t="n">
        <f aca="false">BestRule!Q104</f>
        <v>2.5</v>
      </c>
      <c r="C104" s="12" t="n">
        <f aca="false">MIN(Cap_h,MAX(0,ROUND(($O$4-Alpha_keep*A104)/Step_h,0)*Step_h))</f>
        <v>2.5</v>
      </c>
      <c r="D104" s="20" t="n">
        <v>2.5</v>
      </c>
      <c r="E104" s="14" t="n">
        <f aca="false">IF(ABS(C104-D104)&lt;0.000000001,1,0)</f>
        <v>1</v>
      </c>
      <c r="F104" s="18" t="n">
        <f aca="false">Grid!AA104</f>
        <v>0</v>
      </c>
      <c r="G104" s="20" t="n">
        <v>0</v>
      </c>
      <c r="H104" s="14" t="n">
        <f aca="false">IF(ABS(F104-G104)&lt;0.000000001,1,0)</f>
        <v>1</v>
      </c>
      <c r="I104" s="18" t="n">
        <f aca="false">Grid!AB104</f>
        <v>2.5</v>
      </c>
      <c r="J104" s="20" t="n">
        <v>2.5</v>
      </c>
      <c r="K104" s="14" t="n">
        <f aca="false">IF(ABS(I104-J104)&lt;0.000000001,1,0)</f>
        <v>1</v>
      </c>
    </row>
    <row r="105" customFormat="false" ht="15" hidden="false" customHeight="false" outlineLevel="0" collapsed="false">
      <c r="A105" s="18" t="n">
        <f aca="false">Grid!A105</f>
        <v>55</v>
      </c>
      <c r="B105" s="18" t="n">
        <f aca="false">BestRule!Q105</f>
        <v>2.25</v>
      </c>
      <c r="C105" s="12" t="n">
        <f aca="false">MIN(Cap_h,MAX(0,ROUND(($O$4-Alpha_keep*A105)/Step_h,0)*Step_h))</f>
        <v>2.5</v>
      </c>
      <c r="D105" s="20" t="n">
        <v>2.5</v>
      </c>
      <c r="E105" s="14" t="n">
        <f aca="false">IF(ABS(C105-D105)&lt;0.000000001,1,0)</f>
        <v>1</v>
      </c>
      <c r="F105" s="18" t="n">
        <f aca="false">Grid!AA105</f>
        <v>0</v>
      </c>
      <c r="G105" s="20" t="n">
        <v>0</v>
      </c>
      <c r="H105" s="14" t="n">
        <f aca="false">IF(ABS(F105-G105)&lt;0.000000001,1,0)</f>
        <v>1</v>
      </c>
      <c r="I105" s="18" t="n">
        <f aca="false">Grid!AB105</f>
        <v>2.5</v>
      </c>
      <c r="J105" s="20" t="n">
        <v>2.5</v>
      </c>
      <c r="K105" s="14" t="n">
        <f aca="false">IF(ABS(I105-J105)&lt;0.000000001,1,0)</f>
        <v>1</v>
      </c>
    </row>
    <row r="106" customFormat="false" ht="15" hidden="false" customHeight="false" outlineLevel="0" collapsed="false">
      <c r="A106" s="18" t="n">
        <f aca="false">Grid!A106</f>
        <v>55.25</v>
      </c>
      <c r="B106" s="18" t="n">
        <f aca="false">BestRule!Q106</f>
        <v>2</v>
      </c>
      <c r="C106" s="12" t="n">
        <f aca="false">MIN(Cap_h,MAX(0,ROUND(($O$4-Alpha_keep*A106)/Step_h,0)*Step_h))</f>
        <v>2.5</v>
      </c>
      <c r="D106" s="20" t="n">
        <v>2.5</v>
      </c>
      <c r="E106" s="14" t="n">
        <f aca="false">IF(ABS(C106-D106)&lt;0.000000001,1,0)</f>
        <v>1</v>
      </c>
      <c r="F106" s="18" t="n">
        <f aca="false">Grid!AA106</f>
        <v>0</v>
      </c>
      <c r="G106" s="20" t="n">
        <v>0</v>
      </c>
      <c r="H106" s="14" t="n">
        <f aca="false">IF(ABS(F106-G106)&lt;0.000000001,1,0)</f>
        <v>1</v>
      </c>
      <c r="I106" s="18" t="n">
        <f aca="false">Grid!AB106</f>
        <v>2.5</v>
      </c>
      <c r="J106" s="20" t="n">
        <v>2.5</v>
      </c>
      <c r="K106" s="14" t="n">
        <f aca="false">IF(ABS(I106-J106)&lt;0.000000001,1,0)</f>
        <v>1</v>
      </c>
    </row>
    <row r="107" customFormat="false" ht="15" hidden="false" customHeight="false" outlineLevel="0" collapsed="false">
      <c r="A107" s="18" t="n">
        <f aca="false">Grid!A107</f>
        <v>55.5</v>
      </c>
      <c r="B107" s="18" t="n">
        <f aca="false">BestRule!Q107</f>
        <v>1.75</v>
      </c>
      <c r="C107" s="12" t="n">
        <f aca="false">MIN(Cap_h,MAX(0,ROUND(($O$4-Alpha_keep*A107)/Step_h,0)*Step_h))</f>
        <v>2.5</v>
      </c>
      <c r="D107" s="20" t="n">
        <v>2.5</v>
      </c>
      <c r="E107" s="14" t="n">
        <f aca="false">IF(ABS(C107-D107)&lt;0.000000001,1,0)</f>
        <v>1</v>
      </c>
      <c r="F107" s="18" t="n">
        <f aca="false">Grid!AA107</f>
        <v>0</v>
      </c>
      <c r="G107" s="20" t="n">
        <v>0</v>
      </c>
      <c r="H107" s="14" t="n">
        <f aca="false">IF(ABS(F107-G107)&lt;0.000000001,1,0)</f>
        <v>1</v>
      </c>
      <c r="I107" s="18" t="n">
        <f aca="false">Grid!AB107</f>
        <v>2.5</v>
      </c>
      <c r="J107" s="20" t="n">
        <v>2.5</v>
      </c>
      <c r="K107" s="14" t="n">
        <f aca="false">IF(ABS(I107-J107)&lt;0.000000001,1,0)</f>
        <v>1</v>
      </c>
    </row>
    <row r="108" customFormat="false" ht="15" hidden="false" customHeight="false" outlineLevel="0" collapsed="false">
      <c r="A108" s="18" t="n">
        <f aca="false">Grid!A108</f>
        <v>55.75</v>
      </c>
      <c r="B108" s="18" t="n">
        <f aca="false">BestRule!Q108</f>
        <v>1.5</v>
      </c>
      <c r="C108" s="12" t="n">
        <f aca="false">MIN(Cap_h,MAX(0,ROUND(($O$4-Alpha_keep*A108)/Step_h,0)*Step_h))</f>
        <v>2.5</v>
      </c>
      <c r="D108" s="20" t="n">
        <v>2.5</v>
      </c>
      <c r="E108" s="14" t="n">
        <f aca="false">IF(ABS(C108-D108)&lt;0.000000001,1,0)</f>
        <v>1</v>
      </c>
      <c r="F108" s="18" t="n">
        <f aca="false">Grid!AA108</f>
        <v>0</v>
      </c>
      <c r="G108" s="20" t="n">
        <v>0</v>
      </c>
      <c r="H108" s="14" t="n">
        <f aca="false">IF(ABS(F108-G108)&lt;0.000000001,1,0)</f>
        <v>1</v>
      </c>
      <c r="I108" s="18" t="n">
        <f aca="false">Grid!AB108</f>
        <v>2.5</v>
      </c>
      <c r="J108" s="20" t="n">
        <v>2.5</v>
      </c>
      <c r="K108" s="14" t="n">
        <f aca="false">IF(ABS(I108-J108)&lt;0.000000001,1,0)</f>
        <v>1</v>
      </c>
    </row>
    <row r="109" customFormat="false" ht="15" hidden="false" customHeight="false" outlineLevel="0" collapsed="false">
      <c r="A109" s="18" t="n">
        <f aca="false">Grid!A109</f>
        <v>56</v>
      </c>
      <c r="B109" s="18" t="n">
        <f aca="false">BestRule!Q109</f>
        <v>1.25</v>
      </c>
      <c r="C109" s="12" t="n">
        <f aca="false">MIN(Cap_h,MAX(0,ROUND(($O$4-Alpha_keep*A109)/Step_h,0)*Step_h))</f>
        <v>2.5</v>
      </c>
      <c r="D109" s="20" t="n">
        <v>2.5</v>
      </c>
      <c r="E109" s="14" t="n">
        <f aca="false">IF(ABS(C109-D109)&lt;0.000000001,1,0)</f>
        <v>1</v>
      </c>
      <c r="F109" s="18" t="n">
        <f aca="false">Grid!AA109</f>
        <v>0</v>
      </c>
      <c r="G109" s="20" t="n">
        <v>0</v>
      </c>
      <c r="H109" s="14" t="n">
        <f aca="false">IF(ABS(F109-G109)&lt;0.000000001,1,0)</f>
        <v>1</v>
      </c>
      <c r="I109" s="18" t="n">
        <f aca="false">Grid!AB109</f>
        <v>2.5</v>
      </c>
      <c r="J109" s="20" t="n">
        <v>2.5</v>
      </c>
      <c r="K109" s="14" t="n">
        <f aca="false">IF(ABS(I109-J109)&lt;0.000000001,1,0)</f>
        <v>1</v>
      </c>
    </row>
    <row r="110" customFormat="false" ht="15" hidden="false" customHeight="false" outlineLevel="0" collapsed="false">
      <c r="A110" s="18" t="n">
        <f aca="false">Grid!A110</f>
        <v>56.25</v>
      </c>
      <c r="B110" s="18" t="n">
        <f aca="false">BestRule!Q110</f>
        <v>1</v>
      </c>
      <c r="C110" s="12" t="n">
        <f aca="false">MIN(Cap_h,MAX(0,ROUND(($O$4-Alpha_keep*A110)/Step_h,0)*Step_h))</f>
        <v>2.5</v>
      </c>
      <c r="D110" s="20" t="n">
        <v>2.5</v>
      </c>
      <c r="E110" s="14" t="n">
        <f aca="false">IF(ABS(C110-D110)&lt;0.000000001,1,0)</f>
        <v>1</v>
      </c>
      <c r="F110" s="18" t="n">
        <f aca="false">Grid!AA110</f>
        <v>0</v>
      </c>
      <c r="G110" s="20" t="n">
        <v>0</v>
      </c>
      <c r="H110" s="14" t="n">
        <f aca="false">IF(ABS(F110-G110)&lt;0.000000001,1,0)</f>
        <v>1</v>
      </c>
      <c r="I110" s="18" t="n">
        <f aca="false">Grid!AB110</f>
        <v>2.5</v>
      </c>
      <c r="J110" s="20" t="n">
        <v>2.5</v>
      </c>
      <c r="K110" s="14" t="n">
        <f aca="false">IF(ABS(I110-J110)&lt;0.000000001,1,0)</f>
        <v>1</v>
      </c>
    </row>
    <row r="111" customFormat="false" ht="15" hidden="false" customHeight="false" outlineLevel="0" collapsed="false">
      <c r="A111" s="18" t="n">
        <f aca="false">Grid!A111</f>
        <v>56.5</v>
      </c>
      <c r="B111" s="18" t="n">
        <f aca="false">BestRule!Q111</f>
        <v>0.75</v>
      </c>
      <c r="C111" s="12" t="n">
        <f aca="false">MIN(Cap_h,MAX(0,ROUND(($O$4-Alpha_keep*A111)/Step_h,0)*Step_h))</f>
        <v>2.5</v>
      </c>
      <c r="D111" s="20" t="n">
        <v>2.5</v>
      </c>
      <c r="E111" s="14" t="n">
        <f aca="false">IF(ABS(C111-D111)&lt;0.000000001,1,0)</f>
        <v>1</v>
      </c>
      <c r="F111" s="18" t="n">
        <f aca="false">Grid!AA111</f>
        <v>0</v>
      </c>
      <c r="G111" s="20" t="n">
        <v>0</v>
      </c>
      <c r="H111" s="14" t="n">
        <f aca="false">IF(ABS(F111-G111)&lt;0.000000001,1,0)</f>
        <v>1</v>
      </c>
      <c r="I111" s="18" t="n">
        <f aca="false">Grid!AB111</f>
        <v>2.5</v>
      </c>
      <c r="J111" s="20" t="n">
        <v>2.5</v>
      </c>
      <c r="K111" s="14" t="n">
        <f aca="false">IF(ABS(I111-J111)&lt;0.000000001,1,0)</f>
        <v>1</v>
      </c>
    </row>
    <row r="112" customFormat="false" ht="15" hidden="false" customHeight="false" outlineLevel="0" collapsed="false">
      <c r="A112" s="18" t="n">
        <f aca="false">Grid!A112</f>
        <v>56.75</v>
      </c>
      <c r="B112" s="18" t="n">
        <f aca="false">BestRule!Q112</f>
        <v>0.5</v>
      </c>
      <c r="C112" s="12" t="n">
        <f aca="false">MIN(Cap_h,MAX(0,ROUND(($O$4-Alpha_keep*A112)/Step_h,0)*Step_h))</f>
        <v>2.5</v>
      </c>
      <c r="D112" s="20" t="n">
        <v>2.5</v>
      </c>
      <c r="E112" s="14" t="n">
        <f aca="false">IF(ABS(C112-D112)&lt;0.000000001,1,0)</f>
        <v>1</v>
      </c>
      <c r="F112" s="18" t="n">
        <f aca="false">Grid!AA112</f>
        <v>0</v>
      </c>
      <c r="G112" s="20" t="n">
        <v>0</v>
      </c>
      <c r="H112" s="14" t="n">
        <f aca="false">IF(ABS(F112-G112)&lt;0.000000001,1,0)</f>
        <v>1</v>
      </c>
      <c r="I112" s="18" t="n">
        <f aca="false">Grid!AB112</f>
        <v>2.5</v>
      </c>
      <c r="J112" s="20" t="n">
        <v>2.5</v>
      </c>
      <c r="K112" s="14" t="n">
        <f aca="false">IF(ABS(I112-J112)&lt;0.000000001,1,0)</f>
        <v>1</v>
      </c>
    </row>
    <row r="113" customFormat="false" ht="15" hidden="false" customHeight="false" outlineLevel="0" collapsed="false">
      <c r="A113" s="18" t="n">
        <f aca="false">Grid!A113</f>
        <v>57</v>
      </c>
      <c r="B113" s="18" t="n">
        <f aca="false">BestRule!Q113</f>
        <v>0.25</v>
      </c>
      <c r="C113" s="12" t="n">
        <f aca="false">MIN(Cap_h,MAX(0,ROUND(($O$4-Alpha_keep*A113)/Step_h,0)*Step_h))</f>
        <v>2.5</v>
      </c>
      <c r="D113" s="20" t="n">
        <v>2.5</v>
      </c>
      <c r="E113" s="14" t="n">
        <f aca="false">IF(ABS(C113-D113)&lt;0.000000001,1,0)</f>
        <v>1</v>
      </c>
      <c r="F113" s="18" t="n">
        <f aca="false">Grid!AA113</f>
        <v>0</v>
      </c>
      <c r="G113" s="20" t="n">
        <v>0</v>
      </c>
      <c r="H113" s="14" t="n">
        <f aca="false">IF(ABS(F113-G113)&lt;0.000000001,1,0)</f>
        <v>1</v>
      </c>
      <c r="I113" s="18" t="n">
        <f aca="false">Grid!AB113</f>
        <v>2.5</v>
      </c>
      <c r="J113" s="20" t="n">
        <v>2.5</v>
      </c>
      <c r="K113" s="14" t="n">
        <f aca="false">IF(ABS(I113-J113)&lt;0.000000001,1,0)</f>
        <v>1</v>
      </c>
    </row>
    <row r="114" customFormat="false" ht="15" hidden="false" customHeight="false" outlineLevel="0" collapsed="false">
      <c r="A114" s="18" t="n">
        <f aca="false">Grid!A114</f>
        <v>57.25</v>
      </c>
      <c r="B114" s="18" t="n">
        <f aca="false">BestRule!Q114</f>
        <v>0</v>
      </c>
      <c r="C114" s="12" t="n">
        <f aca="false">MIN(Cap_h,MAX(0,ROUND(($O$4-Alpha_keep*A114)/Step_h,0)*Step_h))</f>
        <v>2.25</v>
      </c>
      <c r="D114" s="20" t="n">
        <v>2.25</v>
      </c>
      <c r="E114" s="14" t="n">
        <f aca="false">IF(ABS(C114-D114)&lt;0.000000001,1,0)</f>
        <v>1</v>
      </c>
      <c r="F114" s="18" t="n">
        <f aca="false">Grid!AA114</f>
        <v>0</v>
      </c>
      <c r="G114" s="20" t="n">
        <v>0</v>
      </c>
      <c r="H114" s="14" t="n">
        <f aca="false">IF(ABS(F114-G114)&lt;0.000000001,1,0)</f>
        <v>1</v>
      </c>
      <c r="I114" s="18" t="n">
        <f aca="false">Grid!AB114</f>
        <v>2.5</v>
      </c>
      <c r="J114" s="20" t="n">
        <v>2.5</v>
      </c>
      <c r="K114" s="14" t="n">
        <f aca="false">IF(ABS(I114-J114)&lt;0.000000001,1,0)</f>
        <v>1</v>
      </c>
    </row>
    <row r="115" customFormat="false" ht="15" hidden="false" customHeight="false" outlineLevel="0" collapsed="false">
      <c r="A115" s="18" t="n">
        <f aca="false">Grid!A115</f>
        <v>57.5</v>
      </c>
      <c r="B115" s="18" t="n">
        <f aca="false">BestRule!Q115</f>
        <v>0</v>
      </c>
      <c r="C115" s="12" t="n">
        <f aca="false">MIN(Cap_h,MAX(0,ROUND(($O$4-Alpha_keep*A115)/Step_h,0)*Step_h))</f>
        <v>2</v>
      </c>
      <c r="D115" s="20" t="n">
        <v>2</v>
      </c>
      <c r="E115" s="14" t="n">
        <f aca="false">IF(ABS(C115-D115)&lt;0.000000001,1,0)</f>
        <v>1</v>
      </c>
      <c r="F115" s="18" t="n">
        <f aca="false">Grid!AA115</f>
        <v>0</v>
      </c>
      <c r="G115" s="20" t="n">
        <v>0</v>
      </c>
      <c r="H115" s="14" t="n">
        <f aca="false">IF(ABS(F115-G115)&lt;0.000000001,1,0)</f>
        <v>1</v>
      </c>
      <c r="I115" s="18" t="n">
        <f aca="false">Grid!AB115</f>
        <v>2.5</v>
      </c>
      <c r="J115" s="20" t="n">
        <v>2.5</v>
      </c>
      <c r="K115" s="14" t="n">
        <f aca="false">IF(ABS(I115-J115)&lt;0.000000001,1,0)</f>
        <v>1</v>
      </c>
    </row>
    <row r="116" customFormat="false" ht="15" hidden="false" customHeight="false" outlineLevel="0" collapsed="false">
      <c r="A116" s="18" t="n">
        <f aca="false">Grid!A116</f>
        <v>57.75</v>
      </c>
      <c r="B116" s="18" t="n">
        <f aca="false">BestRule!Q116</f>
        <v>0</v>
      </c>
      <c r="C116" s="12" t="n">
        <f aca="false">MIN(Cap_h,MAX(0,ROUND(($O$4-Alpha_keep*A116)/Step_h,0)*Step_h))</f>
        <v>1.75</v>
      </c>
      <c r="D116" s="20" t="n">
        <v>1.75</v>
      </c>
      <c r="E116" s="14" t="n">
        <f aca="false">IF(ABS(C116-D116)&lt;0.000000001,1,0)</f>
        <v>1</v>
      </c>
      <c r="F116" s="18" t="n">
        <f aca="false">Grid!AA116</f>
        <v>0</v>
      </c>
      <c r="G116" s="20" t="n">
        <v>0</v>
      </c>
      <c r="H116" s="14" t="n">
        <f aca="false">IF(ABS(F116-G116)&lt;0.000000001,1,0)</f>
        <v>1</v>
      </c>
      <c r="I116" s="18" t="n">
        <f aca="false">Grid!AB116</f>
        <v>2.5</v>
      </c>
      <c r="J116" s="20" t="n">
        <v>2.5</v>
      </c>
      <c r="K116" s="14" t="n">
        <f aca="false">IF(ABS(I116-J116)&lt;0.000000001,1,0)</f>
        <v>1</v>
      </c>
    </row>
    <row r="117" customFormat="false" ht="15" hidden="false" customHeight="false" outlineLevel="0" collapsed="false">
      <c r="A117" s="18" t="n">
        <f aca="false">Grid!A117</f>
        <v>58</v>
      </c>
      <c r="B117" s="18" t="n">
        <f aca="false">BestRule!Q117</f>
        <v>0</v>
      </c>
      <c r="C117" s="12" t="n">
        <f aca="false">MIN(Cap_h,MAX(0,ROUND(($O$4-Alpha_keep*A117)/Step_h,0)*Step_h))</f>
        <v>1.5</v>
      </c>
      <c r="D117" s="20" t="n">
        <v>1.5</v>
      </c>
      <c r="E117" s="14" t="n">
        <f aca="false">IF(ABS(C117-D117)&lt;0.000000001,1,0)</f>
        <v>1</v>
      </c>
      <c r="F117" s="18" t="n">
        <f aca="false">Grid!AA117</f>
        <v>0</v>
      </c>
      <c r="G117" s="20" t="n">
        <v>0</v>
      </c>
      <c r="H117" s="14" t="n">
        <f aca="false">IF(ABS(F117-G117)&lt;0.000000001,1,0)</f>
        <v>1</v>
      </c>
      <c r="I117" s="18" t="n">
        <f aca="false">Grid!AB117</f>
        <v>2.5</v>
      </c>
      <c r="J117" s="20" t="n">
        <v>2.5</v>
      </c>
      <c r="K117" s="14" t="n">
        <f aca="false">IF(ABS(I117-J117)&lt;0.000000001,1,0)</f>
        <v>1</v>
      </c>
    </row>
    <row r="118" customFormat="false" ht="15" hidden="false" customHeight="false" outlineLevel="0" collapsed="false">
      <c r="A118" s="18" t="n">
        <f aca="false">Grid!A118</f>
        <v>58.25</v>
      </c>
      <c r="B118" s="18" t="n">
        <f aca="false">BestRule!Q118</f>
        <v>0</v>
      </c>
      <c r="C118" s="12" t="n">
        <f aca="false">MIN(Cap_h,MAX(0,ROUND(($O$4-Alpha_keep*A118)/Step_h,0)*Step_h))</f>
        <v>1.25</v>
      </c>
      <c r="D118" s="20" t="n">
        <v>1.25</v>
      </c>
      <c r="E118" s="14" t="n">
        <f aca="false">IF(ABS(C118-D118)&lt;0.000000001,1,0)</f>
        <v>1</v>
      </c>
      <c r="F118" s="18" t="n">
        <f aca="false">Grid!AA118</f>
        <v>0</v>
      </c>
      <c r="G118" s="20" t="n">
        <v>0</v>
      </c>
      <c r="H118" s="14" t="n">
        <f aca="false">IF(ABS(F118-G118)&lt;0.000000001,1,0)</f>
        <v>1</v>
      </c>
      <c r="I118" s="18" t="n">
        <f aca="false">Grid!AB118</f>
        <v>2.5</v>
      </c>
      <c r="J118" s="20" t="n">
        <v>2.5</v>
      </c>
      <c r="K118" s="14" t="n">
        <f aca="false">IF(ABS(I118-J118)&lt;0.000000001,1,0)</f>
        <v>1</v>
      </c>
    </row>
    <row r="119" customFormat="false" ht="15" hidden="false" customHeight="false" outlineLevel="0" collapsed="false">
      <c r="A119" s="18" t="n">
        <f aca="false">Grid!A119</f>
        <v>58.5</v>
      </c>
      <c r="B119" s="18" t="n">
        <f aca="false">BestRule!Q119</f>
        <v>0</v>
      </c>
      <c r="C119" s="12" t="n">
        <f aca="false">MIN(Cap_h,MAX(0,ROUND(($O$4-Alpha_keep*A119)/Step_h,0)*Step_h))</f>
        <v>1</v>
      </c>
      <c r="D119" s="20" t="n">
        <v>1</v>
      </c>
      <c r="E119" s="14" t="n">
        <f aca="false">IF(ABS(C119-D119)&lt;0.000000001,1,0)</f>
        <v>1</v>
      </c>
      <c r="F119" s="18" t="n">
        <f aca="false">Grid!AA119</f>
        <v>0</v>
      </c>
      <c r="G119" s="20" t="n">
        <v>0</v>
      </c>
      <c r="H119" s="14" t="n">
        <f aca="false">IF(ABS(F119-G119)&lt;0.000000001,1,0)</f>
        <v>1</v>
      </c>
      <c r="I119" s="18" t="n">
        <f aca="false">Grid!AB119</f>
        <v>2.5</v>
      </c>
      <c r="J119" s="20" t="n">
        <v>2.5</v>
      </c>
      <c r="K119" s="14" t="n">
        <f aca="false">IF(ABS(I119-J119)&lt;0.000000001,1,0)</f>
        <v>1</v>
      </c>
    </row>
    <row r="120" customFormat="false" ht="15" hidden="false" customHeight="false" outlineLevel="0" collapsed="false">
      <c r="A120" s="18" t="n">
        <f aca="false">Grid!A120</f>
        <v>58.75</v>
      </c>
      <c r="B120" s="18" t="n">
        <f aca="false">BestRule!Q120</f>
        <v>0</v>
      </c>
      <c r="C120" s="12" t="n">
        <f aca="false">MIN(Cap_h,MAX(0,ROUND(($O$4-Alpha_keep*A120)/Step_h,0)*Step_h))</f>
        <v>0.75</v>
      </c>
      <c r="D120" s="20" t="n">
        <v>0.75</v>
      </c>
      <c r="E120" s="14" t="n">
        <f aca="false">IF(ABS(C120-D120)&lt;0.000000001,1,0)</f>
        <v>1</v>
      </c>
      <c r="F120" s="18" t="n">
        <f aca="false">Grid!AA120</f>
        <v>0</v>
      </c>
      <c r="G120" s="20" t="n">
        <v>0</v>
      </c>
      <c r="H120" s="14" t="n">
        <f aca="false">IF(ABS(F120-G120)&lt;0.000000001,1,0)</f>
        <v>1</v>
      </c>
      <c r="I120" s="18" t="n">
        <f aca="false">Grid!AB120</f>
        <v>2.5</v>
      </c>
      <c r="J120" s="20" t="n">
        <v>2.5</v>
      </c>
      <c r="K120" s="14" t="n">
        <f aca="false">IF(ABS(I120-J120)&lt;0.000000001,1,0)</f>
        <v>1</v>
      </c>
    </row>
    <row r="121" customFormat="false" ht="15" hidden="false" customHeight="false" outlineLevel="0" collapsed="false">
      <c r="A121" s="18" t="n">
        <f aca="false">Grid!A121</f>
        <v>59</v>
      </c>
      <c r="B121" s="18" t="n">
        <f aca="false">BestRule!Q121</f>
        <v>0</v>
      </c>
      <c r="C121" s="12" t="n">
        <f aca="false">MIN(Cap_h,MAX(0,ROUND(($O$4-Alpha_keep*A121)/Step_h,0)*Step_h))</f>
        <v>0.5</v>
      </c>
      <c r="D121" s="20" t="n">
        <v>0.5</v>
      </c>
      <c r="E121" s="14" t="n">
        <f aca="false">IF(ABS(C121-D121)&lt;0.000000001,1,0)</f>
        <v>1</v>
      </c>
      <c r="F121" s="18" t="n">
        <f aca="false">Grid!AA121</f>
        <v>0</v>
      </c>
      <c r="G121" s="20" t="n">
        <v>0</v>
      </c>
      <c r="H121" s="14" t="n">
        <f aca="false">IF(ABS(F121-G121)&lt;0.000000001,1,0)</f>
        <v>1</v>
      </c>
      <c r="I121" s="18" t="n">
        <f aca="false">Grid!AB121</f>
        <v>2.5</v>
      </c>
      <c r="J121" s="20" t="n">
        <v>2.5</v>
      </c>
      <c r="K121" s="14" t="n">
        <f aca="false">IF(ABS(I121-J121)&lt;0.000000001,1,0)</f>
        <v>1</v>
      </c>
    </row>
    <row r="122" customFormat="false" ht="15" hidden="false" customHeight="false" outlineLevel="0" collapsed="false">
      <c r="A122" s="18" t="n">
        <f aca="false">Grid!A122</f>
        <v>59.25</v>
      </c>
      <c r="B122" s="18" t="n">
        <f aca="false">BestRule!Q122</f>
        <v>0</v>
      </c>
      <c r="C122" s="12" t="n">
        <f aca="false">MIN(Cap_h,MAX(0,ROUND(($O$4-Alpha_keep*A122)/Step_h,0)*Step_h))</f>
        <v>0.25</v>
      </c>
      <c r="D122" s="20" t="n">
        <v>0.25</v>
      </c>
      <c r="E122" s="14" t="n">
        <f aca="false">IF(ABS(C122-D122)&lt;0.000000001,1,0)</f>
        <v>1</v>
      </c>
      <c r="F122" s="18" t="n">
        <f aca="false">Grid!AA122</f>
        <v>0</v>
      </c>
      <c r="G122" s="20" t="n">
        <v>0</v>
      </c>
      <c r="H122" s="14" t="n">
        <f aca="false">IF(ABS(F122-G122)&lt;0.000000001,1,0)</f>
        <v>1</v>
      </c>
      <c r="I122" s="18" t="n">
        <f aca="false">Grid!AB122</f>
        <v>2.5</v>
      </c>
      <c r="J122" s="20" t="n">
        <v>2.5</v>
      </c>
      <c r="K122" s="14" t="n">
        <f aca="false">IF(ABS(I122-J122)&lt;0.000000001,1,0)</f>
        <v>1</v>
      </c>
    </row>
    <row r="123" customFormat="false" ht="15" hidden="false" customHeight="false" outlineLevel="0" collapsed="false">
      <c r="A123" s="18" t="n">
        <f aca="false">Grid!A123</f>
        <v>59.5</v>
      </c>
      <c r="B123" s="18" t="n">
        <f aca="false">BestRule!Q123</f>
        <v>0</v>
      </c>
      <c r="C123" s="12" t="n">
        <f aca="false">MIN(Cap_h,MAX(0,ROUND(($O$4-Alpha_keep*A123)/Step_h,0)*Step_h))</f>
        <v>-0</v>
      </c>
      <c r="D123" s="20" t="n">
        <v>0</v>
      </c>
      <c r="E123" s="14" t="n">
        <f aca="false">IF(ABS(C123-D123)&lt;0.000000001,1,0)</f>
        <v>1</v>
      </c>
      <c r="F123" s="18" t="n">
        <f aca="false">Grid!AA123</f>
        <v>0</v>
      </c>
      <c r="G123" s="20" t="n">
        <v>0</v>
      </c>
      <c r="H123" s="14" t="n">
        <f aca="false">IF(ABS(F123-G123)&lt;0.000000001,1,0)</f>
        <v>1</v>
      </c>
      <c r="I123" s="18" t="n">
        <f aca="false">Grid!AB123</f>
        <v>2.5</v>
      </c>
      <c r="J123" s="20" t="n">
        <v>2.5</v>
      </c>
      <c r="K123" s="14" t="n">
        <f aca="false">IF(ABS(I123-J123)&lt;0.000000001,1,0)</f>
        <v>1</v>
      </c>
    </row>
    <row r="124" customFormat="false" ht="15" hidden="false" customHeight="false" outlineLevel="0" collapsed="false">
      <c r="A124" s="18" t="n">
        <f aca="false">Grid!A124</f>
        <v>59.75</v>
      </c>
      <c r="B124" s="18" t="n">
        <f aca="false">BestRule!Q124</f>
        <v>0</v>
      </c>
      <c r="C124" s="12" t="n">
        <f aca="false">MIN(Cap_h,MAX(0,ROUND(($O$4-Alpha_keep*A124)/Step_h,0)*Step_h))</f>
        <v>0</v>
      </c>
      <c r="D124" s="20" t="n">
        <v>0</v>
      </c>
      <c r="E124" s="14" t="n">
        <f aca="false">IF(ABS(C124-D124)&lt;0.000000001,1,0)</f>
        <v>1</v>
      </c>
      <c r="F124" s="18" t="n">
        <f aca="false">Grid!AA124</f>
        <v>0</v>
      </c>
      <c r="G124" s="20" t="n">
        <v>0</v>
      </c>
      <c r="H124" s="14" t="n">
        <f aca="false">IF(ABS(F124-G124)&lt;0.000000001,1,0)</f>
        <v>1</v>
      </c>
      <c r="I124" s="18" t="n">
        <f aca="false">Grid!AB124</f>
        <v>2.5</v>
      </c>
      <c r="J124" s="20" t="n">
        <v>2.5</v>
      </c>
      <c r="K124" s="14" t="n">
        <f aca="false">IF(ABS(I124-J124)&lt;0.000000001,1,0)</f>
        <v>1</v>
      </c>
    </row>
    <row r="125" customFormat="false" ht="15" hidden="false" customHeight="false" outlineLevel="0" collapsed="false">
      <c r="A125" s="18" t="n">
        <f aca="false">Grid!A125</f>
        <v>60</v>
      </c>
      <c r="B125" s="18" t="n">
        <f aca="false">BestRule!Q125</f>
        <v>0</v>
      </c>
      <c r="C125" s="12" t="n">
        <f aca="false">MIN(Cap_h,MAX(0,ROUND(($O$4-Alpha_keep*A125)/Step_h,0)*Step_h))</f>
        <v>0</v>
      </c>
      <c r="D125" s="20" t="n">
        <v>0</v>
      </c>
      <c r="E125" s="14" t="n">
        <f aca="false">IF(ABS(C125-D125)&lt;0.000000001,1,0)</f>
        <v>1</v>
      </c>
      <c r="F125" s="18" t="n">
        <f aca="false">Grid!AA125</f>
        <v>0</v>
      </c>
      <c r="G125" s="20" t="n">
        <v>0</v>
      </c>
      <c r="H125" s="14" t="n">
        <f aca="false">IF(ABS(F125-G125)&lt;0.000000001,1,0)</f>
        <v>1</v>
      </c>
      <c r="I125" s="18" t="n">
        <f aca="false">Grid!AB125</f>
        <v>2.5</v>
      </c>
      <c r="J125" s="20" t="n">
        <v>2.5</v>
      </c>
      <c r="K125" s="14" t="n">
        <f aca="false">IF(ABS(I125-J125)&lt;0.000000001,1,0)</f>
        <v>1</v>
      </c>
    </row>
    <row r="126" customFormat="false" ht="15" hidden="false" customHeight="false" outlineLevel="0" collapsed="false">
      <c r="A126" s="18" t="n">
        <f aca="false">Grid!A126</f>
        <v>60.25</v>
      </c>
      <c r="B126" s="18" t="n">
        <f aca="false">BestRule!Q126</f>
        <v>0</v>
      </c>
      <c r="C126" s="12" t="n">
        <f aca="false">MIN(Cap_h,MAX(0,ROUND(($O$4-Alpha_keep*A126)/Step_h,0)*Step_h))</f>
        <v>0</v>
      </c>
      <c r="D126" s="20" t="n">
        <v>0</v>
      </c>
      <c r="E126" s="14" t="n">
        <f aca="false">IF(ABS(C126-D126)&lt;0.000000001,1,0)</f>
        <v>1</v>
      </c>
      <c r="F126" s="18" t="n">
        <f aca="false">Grid!AA126</f>
        <v>0</v>
      </c>
      <c r="G126" s="20" t="n">
        <v>0</v>
      </c>
      <c r="H126" s="14" t="n">
        <f aca="false">IF(ABS(F126-G126)&lt;0.000000001,1,0)</f>
        <v>1</v>
      </c>
      <c r="I126" s="18" t="n">
        <f aca="false">Grid!AB126</f>
        <v>2.5</v>
      </c>
      <c r="J126" s="20" t="n">
        <v>2.5</v>
      </c>
      <c r="K126" s="14" t="n">
        <f aca="false">IF(ABS(I126-J126)&lt;0.000000001,1,0)</f>
        <v>1</v>
      </c>
    </row>
    <row r="127" customFormat="false" ht="15" hidden="false" customHeight="false" outlineLevel="0" collapsed="false">
      <c r="A127" s="18" t="n">
        <f aca="false">Grid!A127</f>
        <v>60.5</v>
      </c>
      <c r="B127" s="18" t="n">
        <f aca="false">BestRule!Q127</f>
        <v>0</v>
      </c>
      <c r="C127" s="12" t="n">
        <f aca="false">MIN(Cap_h,MAX(0,ROUND(($O$4-Alpha_keep*A127)/Step_h,0)*Step_h))</f>
        <v>0</v>
      </c>
      <c r="D127" s="20" t="n">
        <v>0</v>
      </c>
      <c r="E127" s="14" t="n">
        <f aca="false">IF(ABS(C127-D127)&lt;0.000000001,1,0)</f>
        <v>1</v>
      </c>
      <c r="F127" s="18" t="n">
        <f aca="false">Grid!AA127</f>
        <v>0</v>
      </c>
      <c r="G127" s="20" t="n">
        <v>0</v>
      </c>
      <c r="H127" s="14" t="n">
        <f aca="false">IF(ABS(F127-G127)&lt;0.000000001,1,0)</f>
        <v>1</v>
      </c>
      <c r="I127" s="18" t="n">
        <f aca="false">Grid!AB127</f>
        <v>2.5</v>
      </c>
      <c r="J127" s="20" t="n">
        <v>2.5</v>
      </c>
      <c r="K127" s="14" t="n">
        <f aca="false">IF(ABS(I127-J127)&lt;0.000000001,1,0)</f>
        <v>1</v>
      </c>
    </row>
    <row r="128" customFormat="false" ht="15" hidden="false" customHeight="false" outlineLevel="0" collapsed="false">
      <c r="A128" s="18" t="n">
        <f aca="false">Grid!A128</f>
        <v>60.75</v>
      </c>
      <c r="B128" s="18" t="n">
        <f aca="false">BestRule!Q128</f>
        <v>0</v>
      </c>
      <c r="C128" s="12" t="n">
        <f aca="false">MIN(Cap_h,MAX(0,ROUND(($O$4-Alpha_keep*A128)/Step_h,0)*Step_h))</f>
        <v>0</v>
      </c>
      <c r="D128" s="20" t="n">
        <v>0</v>
      </c>
      <c r="E128" s="14" t="n">
        <f aca="false">IF(ABS(C128-D128)&lt;0.000000001,1,0)</f>
        <v>1</v>
      </c>
      <c r="F128" s="18" t="n">
        <f aca="false">Grid!AA128</f>
        <v>0</v>
      </c>
      <c r="G128" s="20" t="n">
        <v>0</v>
      </c>
      <c r="H128" s="14" t="n">
        <f aca="false">IF(ABS(F128-G128)&lt;0.000000001,1,0)</f>
        <v>1</v>
      </c>
      <c r="I128" s="18" t="n">
        <f aca="false">Grid!AB128</f>
        <v>2.5</v>
      </c>
      <c r="J128" s="20" t="n">
        <v>2.5</v>
      </c>
      <c r="K128" s="14" t="n">
        <f aca="false">IF(ABS(I128-J128)&lt;0.000000001,1,0)</f>
        <v>1</v>
      </c>
    </row>
    <row r="129" customFormat="false" ht="15" hidden="false" customHeight="false" outlineLevel="0" collapsed="false">
      <c r="A129" s="18" t="n">
        <f aca="false">Grid!A129</f>
        <v>61</v>
      </c>
      <c r="B129" s="18" t="n">
        <f aca="false">BestRule!Q129</f>
        <v>0</v>
      </c>
      <c r="C129" s="12" t="n">
        <f aca="false">MIN(Cap_h,MAX(0,ROUND(($O$4-Alpha_keep*A129)/Step_h,0)*Step_h))</f>
        <v>0</v>
      </c>
      <c r="D129" s="20" t="n">
        <v>0</v>
      </c>
      <c r="E129" s="14" t="n">
        <f aca="false">IF(ABS(C129-D129)&lt;0.000000001,1,0)</f>
        <v>1</v>
      </c>
      <c r="F129" s="18" t="n">
        <f aca="false">Grid!AA129</f>
        <v>0</v>
      </c>
      <c r="G129" s="20" t="n">
        <v>0</v>
      </c>
      <c r="H129" s="14" t="n">
        <f aca="false">IF(ABS(F129-G129)&lt;0.000000001,1,0)</f>
        <v>1</v>
      </c>
      <c r="I129" s="18" t="n">
        <f aca="false">Grid!AB129</f>
        <v>2.5</v>
      </c>
      <c r="J129" s="20" t="n">
        <v>2.5</v>
      </c>
      <c r="K129" s="14" t="n">
        <f aca="false">IF(ABS(I129-J129)&lt;0.000000001,1,0)</f>
        <v>1</v>
      </c>
    </row>
    <row r="130" customFormat="false" ht="15" hidden="false" customHeight="false" outlineLevel="0" collapsed="false">
      <c r="A130" s="18" t="n">
        <f aca="false">Grid!A130</f>
        <v>61.25</v>
      </c>
      <c r="B130" s="18" t="n">
        <f aca="false">BestRule!Q130</f>
        <v>0</v>
      </c>
      <c r="C130" s="12" t="n">
        <f aca="false">MIN(Cap_h,MAX(0,ROUND(($O$4-Alpha_keep*A130)/Step_h,0)*Step_h))</f>
        <v>0</v>
      </c>
      <c r="D130" s="20" t="n">
        <v>0</v>
      </c>
      <c r="E130" s="14" t="n">
        <f aca="false">IF(ABS(C130-D130)&lt;0.000000001,1,0)</f>
        <v>1</v>
      </c>
      <c r="F130" s="18" t="n">
        <f aca="false">Grid!AA130</f>
        <v>0</v>
      </c>
      <c r="G130" s="20" t="n">
        <v>0</v>
      </c>
      <c r="H130" s="14" t="n">
        <f aca="false">IF(ABS(F130-G130)&lt;0.000000001,1,0)</f>
        <v>1</v>
      </c>
      <c r="I130" s="18" t="n">
        <f aca="false">Grid!AB130</f>
        <v>2.5</v>
      </c>
      <c r="J130" s="20" t="n">
        <v>2.5</v>
      </c>
      <c r="K130" s="14" t="n">
        <f aca="false">IF(ABS(I130-J130)&lt;0.000000001,1,0)</f>
        <v>1</v>
      </c>
    </row>
    <row r="131" customFormat="false" ht="15" hidden="false" customHeight="false" outlineLevel="0" collapsed="false">
      <c r="A131" s="18" t="n">
        <f aca="false">Grid!A131</f>
        <v>61.5</v>
      </c>
      <c r="B131" s="18" t="n">
        <f aca="false">BestRule!Q131</f>
        <v>0</v>
      </c>
      <c r="C131" s="12" t="n">
        <f aca="false">MIN(Cap_h,MAX(0,ROUND(($O$4-Alpha_keep*A131)/Step_h,0)*Step_h))</f>
        <v>0</v>
      </c>
      <c r="D131" s="20" t="n">
        <v>0</v>
      </c>
      <c r="E131" s="14" t="n">
        <f aca="false">IF(ABS(C131-D131)&lt;0.000000001,1,0)</f>
        <v>1</v>
      </c>
      <c r="F131" s="18" t="n">
        <f aca="false">Grid!AA131</f>
        <v>0</v>
      </c>
      <c r="G131" s="20" t="n">
        <v>0</v>
      </c>
      <c r="H131" s="14" t="n">
        <f aca="false">IF(ABS(F131-G131)&lt;0.000000001,1,0)</f>
        <v>1</v>
      </c>
      <c r="I131" s="18" t="n">
        <f aca="false">Grid!AB131</f>
        <v>2.5</v>
      </c>
      <c r="J131" s="20" t="n">
        <v>2.5</v>
      </c>
      <c r="K131" s="14" t="n">
        <f aca="false">IF(ABS(I131-J131)&lt;0.000000001,1,0)</f>
        <v>1</v>
      </c>
    </row>
    <row r="132" customFormat="false" ht="15" hidden="false" customHeight="false" outlineLevel="0" collapsed="false">
      <c r="A132" s="18" t="n">
        <f aca="false">Grid!A132</f>
        <v>61.75</v>
      </c>
      <c r="B132" s="18" t="n">
        <f aca="false">BestRule!Q132</f>
        <v>0</v>
      </c>
      <c r="C132" s="12" t="n">
        <f aca="false">MIN(Cap_h,MAX(0,ROUND(($O$4-Alpha_keep*A132)/Step_h,0)*Step_h))</f>
        <v>0</v>
      </c>
      <c r="D132" s="20" t="n">
        <v>0</v>
      </c>
      <c r="E132" s="14" t="n">
        <f aca="false">IF(ABS(C132-D132)&lt;0.000000001,1,0)</f>
        <v>1</v>
      </c>
      <c r="F132" s="18" t="n">
        <f aca="false">Grid!AA132</f>
        <v>0</v>
      </c>
      <c r="G132" s="20" t="n">
        <v>0</v>
      </c>
      <c r="H132" s="14" t="n">
        <f aca="false">IF(ABS(F132-G132)&lt;0.000000001,1,0)</f>
        <v>1</v>
      </c>
      <c r="I132" s="18" t="n">
        <f aca="false">Grid!AB132</f>
        <v>2.5</v>
      </c>
      <c r="J132" s="20" t="n">
        <v>2.5</v>
      </c>
      <c r="K132" s="14" t="n">
        <f aca="false">IF(ABS(I132-J132)&lt;0.000000001,1,0)</f>
        <v>1</v>
      </c>
    </row>
    <row r="133" customFormat="false" ht="15" hidden="false" customHeight="false" outlineLevel="0" collapsed="false">
      <c r="A133" s="18" t="n">
        <f aca="false">Grid!A133</f>
        <v>62</v>
      </c>
      <c r="B133" s="18" t="n">
        <f aca="false">BestRule!Q133</f>
        <v>0</v>
      </c>
      <c r="C133" s="12" t="n">
        <f aca="false">MIN(Cap_h,MAX(0,ROUND(($O$4-Alpha_keep*A133)/Step_h,0)*Step_h))</f>
        <v>0</v>
      </c>
      <c r="D133" s="20" t="n">
        <v>0</v>
      </c>
      <c r="E133" s="14" t="n">
        <f aca="false">IF(ABS(C133-D133)&lt;0.000000001,1,0)</f>
        <v>1</v>
      </c>
      <c r="F133" s="18" t="n">
        <f aca="false">Grid!AA133</f>
        <v>0</v>
      </c>
      <c r="G133" s="20" t="n">
        <v>0</v>
      </c>
      <c r="H133" s="14" t="n">
        <f aca="false">IF(ABS(F133-G133)&lt;0.000000001,1,0)</f>
        <v>1</v>
      </c>
      <c r="I133" s="18" t="n">
        <f aca="false">Grid!AB133</f>
        <v>2.5</v>
      </c>
      <c r="J133" s="20" t="n">
        <v>2.5</v>
      </c>
      <c r="K133" s="14" t="n">
        <f aca="false">IF(ABS(I133-J133)&lt;0.000000001,1,0)</f>
        <v>1</v>
      </c>
    </row>
    <row r="134" customFormat="false" ht="15" hidden="false" customHeight="false" outlineLevel="0" collapsed="false">
      <c r="A134" s="18" t="n">
        <f aca="false">Grid!A134</f>
        <v>62.25</v>
      </c>
      <c r="B134" s="18" t="n">
        <f aca="false">BestRule!Q134</f>
        <v>0</v>
      </c>
      <c r="C134" s="12" t="n">
        <f aca="false">MIN(Cap_h,MAX(0,ROUND(($O$4-Alpha_keep*A134)/Step_h,0)*Step_h))</f>
        <v>0</v>
      </c>
      <c r="D134" s="20" t="n">
        <v>0</v>
      </c>
      <c r="E134" s="14" t="n">
        <f aca="false">IF(ABS(C134-D134)&lt;0.000000001,1,0)</f>
        <v>1</v>
      </c>
      <c r="F134" s="18" t="n">
        <f aca="false">Grid!AA134</f>
        <v>0</v>
      </c>
      <c r="G134" s="20" t="n">
        <v>0</v>
      </c>
      <c r="H134" s="14" t="n">
        <f aca="false">IF(ABS(F134-G134)&lt;0.000000001,1,0)</f>
        <v>1</v>
      </c>
      <c r="I134" s="18" t="n">
        <f aca="false">Grid!AB134</f>
        <v>2.5</v>
      </c>
      <c r="J134" s="20" t="n">
        <v>2.5</v>
      </c>
      <c r="K134" s="14" t="n">
        <f aca="false">IF(ABS(I134-J134)&lt;0.000000001,1,0)</f>
        <v>1</v>
      </c>
    </row>
    <row r="135" customFormat="false" ht="15" hidden="false" customHeight="false" outlineLevel="0" collapsed="false">
      <c r="A135" s="18" t="n">
        <f aca="false">Grid!A135</f>
        <v>62.5</v>
      </c>
      <c r="B135" s="18" t="n">
        <f aca="false">BestRule!Q135</f>
        <v>0</v>
      </c>
      <c r="C135" s="12" t="n">
        <f aca="false">MIN(Cap_h,MAX(0,ROUND(($O$4-Alpha_keep*A135)/Step_h,0)*Step_h))</f>
        <v>0</v>
      </c>
      <c r="D135" s="20" t="n">
        <v>0</v>
      </c>
      <c r="E135" s="14" t="n">
        <f aca="false">IF(ABS(C135-D135)&lt;0.000000001,1,0)</f>
        <v>1</v>
      </c>
      <c r="F135" s="18" t="n">
        <f aca="false">Grid!AA135</f>
        <v>0</v>
      </c>
      <c r="G135" s="20" t="n">
        <v>0</v>
      </c>
      <c r="H135" s="14" t="n">
        <f aca="false">IF(ABS(F135-G135)&lt;0.000000001,1,0)</f>
        <v>1</v>
      </c>
      <c r="I135" s="18" t="n">
        <f aca="false">Grid!AB135</f>
        <v>2.5</v>
      </c>
      <c r="J135" s="20" t="n">
        <v>2.5</v>
      </c>
      <c r="K135" s="14" t="n">
        <f aca="false">IF(ABS(I135-J135)&lt;0.000000001,1,0)</f>
        <v>1</v>
      </c>
    </row>
    <row r="136" customFormat="false" ht="15" hidden="false" customHeight="false" outlineLevel="0" collapsed="false">
      <c r="A136" s="18" t="n">
        <f aca="false">Grid!A136</f>
        <v>62.75</v>
      </c>
      <c r="B136" s="18" t="n">
        <f aca="false">BestRule!Q136</f>
        <v>0</v>
      </c>
      <c r="C136" s="12" t="n">
        <f aca="false">MIN(Cap_h,MAX(0,ROUND(($O$4-Alpha_keep*A136)/Step_h,0)*Step_h))</f>
        <v>0</v>
      </c>
      <c r="D136" s="20" t="n">
        <v>0</v>
      </c>
      <c r="E136" s="14" t="n">
        <f aca="false">IF(ABS(C136-D136)&lt;0.000000001,1,0)</f>
        <v>1</v>
      </c>
      <c r="F136" s="18" t="n">
        <f aca="false">Grid!AA136</f>
        <v>0</v>
      </c>
      <c r="G136" s="20" t="n">
        <v>0</v>
      </c>
      <c r="H136" s="14" t="n">
        <f aca="false">IF(ABS(F136-G136)&lt;0.000000001,1,0)</f>
        <v>1</v>
      </c>
      <c r="I136" s="18" t="n">
        <f aca="false">Grid!AB136</f>
        <v>2.5</v>
      </c>
      <c r="J136" s="20" t="n">
        <v>2.5</v>
      </c>
      <c r="K136" s="14" t="n">
        <f aca="false">IF(ABS(I136-J136)&lt;0.000000001,1,0)</f>
        <v>1</v>
      </c>
    </row>
    <row r="137" customFormat="false" ht="15" hidden="false" customHeight="false" outlineLevel="0" collapsed="false">
      <c r="A137" s="18" t="n">
        <f aca="false">Grid!A137</f>
        <v>63</v>
      </c>
      <c r="B137" s="18" t="n">
        <f aca="false">BestRule!Q137</f>
        <v>0</v>
      </c>
      <c r="C137" s="12" t="n">
        <f aca="false">MIN(Cap_h,MAX(0,ROUND(($O$4-Alpha_keep*A137)/Step_h,0)*Step_h))</f>
        <v>0</v>
      </c>
      <c r="D137" s="20" t="n">
        <v>0</v>
      </c>
      <c r="E137" s="14" t="n">
        <f aca="false">IF(ABS(C137-D137)&lt;0.000000001,1,0)</f>
        <v>1</v>
      </c>
      <c r="F137" s="18" t="n">
        <f aca="false">Grid!AA137</f>
        <v>0</v>
      </c>
      <c r="G137" s="20" t="n">
        <v>0</v>
      </c>
      <c r="H137" s="14" t="n">
        <f aca="false">IF(ABS(F137-G137)&lt;0.000000001,1,0)</f>
        <v>1</v>
      </c>
      <c r="I137" s="18" t="n">
        <f aca="false">Grid!AB137</f>
        <v>2.5</v>
      </c>
      <c r="J137" s="20" t="n">
        <v>2.5</v>
      </c>
      <c r="K137" s="14" t="n">
        <f aca="false">IF(ABS(I137-J137)&lt;0.000000001,1,0)</f>
        <v>1</v>
      </c>
    </row>
    <row r="138" customFormat="false" ht="15" hidden="false" customHeight="false" outlineLevel="0" collapsed="false">
      <c r="A138" s="18" t="n">
        <f aca="false">Grid!A138</f>
        <v>63.25</v>
      </c>
      <c r="B138" s="18" t="n">
        <f aca="false">BestRule!Q138</f>
        <v>0</v>
      </c>
      <c r="C138" s="12" t="n">
        <f aca="false">MIN(Cap_h,MAX(0,ROUND(($O$4-Alpha_keep*A138)/Step_h,0)*Step_h))</f>
        <v>0</v>
      </c>
      <c r="D138" s="20" t="n">
        <v>0</v>
      </c>
      <c r="E138" s="14" t="n">
        <f aca="false">IF(ABS(C138-D138)&lt;0.000000001,1,0)</f>
        <v>1</v>
      </c>
      <c r="F138" s="18" t="n">
        <f aca="false">Grid!AA138</f>
        <v>0</v>
      </c>
      <c r="G138" s="20" t="n">
        <v>0</v>
      </c>
      <c r="H138" s="14" t="n">
        <f aca="false">IF(ABS(F138-G138)&lt;0.000000001,1,0)</f>
        <v>1</v>
      </c>
      <c r="I138" s="18" t="n">
        <f aca="false">Grid!AB138</f>
        <v>2.5</v>
      </c>
      <c r="J138" s="20" t="n">
        <v>2.5</v>
      </c>
      <c r="K138" s="14" t="n">
        <f aca="false">IF(ABS(I138-J138)&lt;0.000000001,1,0)</f>
        <v>1</v>
      </c>
    </row>
    <row r="139" customFormat="false" ht="15" hidden="false" customHeight="false" outlineLevel="0" collapsed="false">
      <c r="A139" s="18" t="n">
        <f aca="false">Grid!A139</f>
        <v>63.5</v>
      </c>
      <c r="B139" s="18" t="n">
        <f aca="false">BestRule!Q139</f>
        <v>0</v>
      </c>
      <c r="C139" s="12" t="n">
        <f aca="false">MIN(Cap_h,MAX(0,ROUND(($O$4-Alpha_keep*A139)/Step_h,0)*Step_h))</f>
        <v>0</v>
      </c>
      <c r="D139" s="20" t="n">
        <v>0</v>
      </c>
      <c r="E139" s="14" t="n">
        <f aca="false">IF(ABS(C139-D139)&lt;0.000000001,1,0)</f>
        <v>1</v>
      </c>
      <c r="F139" s="18" t="n">
        <f aca="false">Grid!AA139</f>
        <v>0</v>
      </c>
      <c r="G139" s="20" t="n">
        <v>0</v>
      </c>
      <c r="H139" s="14" t="n">
        <f aca="false">IF(ABS(F139-G139)&lt;0.000000001,1,0)</f>
        <v>1</v>
      </c>
      <c r="I139" s="18" t="n">
        <f aca="false">Grid!AB139</f>
        <v>2.5</v>
      </c>
      <c r="J139" s="20" t="n">
        <v>2.5</v>
      </c>
      <c r="K139" s="14" t="n">
        <f aca="false">IF(ABS(I139-J139)&lt;0.000000001,1,0)</f>
        <v>1</v>
      </c>
    </row>
    <row r="140" customFormat="false" ht="15" hidden="false" customHeight="false" outlineLevel="0" collapsed="false">
      <c r="A140" s="18" t="n">
        <f aca="false">Grid!A140</f>
        <v>63.75</v>
      </c>
      <c r="B140" s="18" t="n">
        <f aca="false">BestRule!Q140</f>
        <v>0</v>
      </c>
      <c r="C140" s="12" t="n">
        <f aca="false">MIN(Cap_h,MAX(0,ROUND(($O$4-Alpha_keep*A140)/Step_h,0)*Step_h))</f>
        <v>0</v>
      </c>
      <c r="D140" s="20" t="n">
        <v>0</v>
      </c>
      <c r="E140" s="14" t="n">
        <f aca="false">IF(ABS(C140-D140)&lt;0.000000001,1,0)</f>
        <v>1</v>
      </c>
      <c r="F140" s="18" t="n">
        <f aca="false">Grid!AA140</f>
        <v>0</v>
      </c>
      <c r="G140" s="20" t="n">
        <v>0</v>
      </c>
      <c r="H140" s="14" t="n">
        <f aca="false">IF(ABS(F140-G140)&lt;0.000000001,1,0)</f>
        <v>1</v>
      </c>
      <c r="I140" s="18" t="n">
        <f aca="false">Grid!AB140</f>
        <v>2.5</v>
      </c>
      <c r="J140" s="20" t="n">
        <v>2.5</v>
      </c>
      <c r="K140" s="14" t="n">
        <f aca="false">IF(ABS(I140-J140)&lt;0.000000001,1,0)</f>
        <v>1</v>
      </c>
    </row>
    <row r="141" customFormat="false" ht="15" hidden="false" customHeight="false" outlineLevel="0" collapsed="false">
      <c r="A141" s="18" t="n">
        <f aca="false">Grid!A141</f>
        <v>64</v>
      </c>
      <c r="B141" s="18" t="n">
        <f aca="false">BestRule!Q141</f>
        <v>0</v>
      </c>
      <c r="C141" s="12" t="n">
        <f aca="false">MIN(Cap_h,MAX(0,ROUND(($O$4-Alpha_keep*A141)/Step_h,0)*Step_h))</f>
        <v>0</v>
      </c>
      <c r="D141" s="20" t="n">
        <v>0</v>
      </c>
      <c r="E141" s="14" t="n">
        <f aca="false">IF(ABS(C141-D141)&lt;0.000000001,1,0)</f>
        <v>1</v>
      </c>
      <c r="F141" s="18" t="n">
        <f aca="false">Grid!AA141</f>
        <v>0</v>
      </c>
      <c r="G141" s="20" t="n">
        <v>0</v>
      </c>
      <c r="H141" s="14" t="n">
        <f aca="false">IF(ABS(F141-G141)&lt;0.000000001,1,0)</f>
        <v>1</v>
      </c>
      <c r="I141" s="18" t="n">
        <f aca="false">Grid!AB141</f>
        <v>2.5</v>
      </c>
      <c r="J141" s="20" t="n">
        <v>2.5</v>
      </c>
      <c r="K141" s="14" t="n">
        <f aca="false">IF(ABS(I141-J141)&lt;0.000000001,1,0)</f>
        <v>1</v>
      </c>
    </row>
    <row r="142" customFormat="false" ht="15" hidden="false" customHeight="false" outlineLevel="0" collapsed="false">
      <c r="A142" s="18" t="n">
        <f aca="false">Grid!A142</f>
        <v>64.25</v>
      </c>
      <c r="B142" s="18" t="n">
        <f aca="false">BestRule!Q142</f>
        <v>0</v>
      </c>
      <c r="C142" s="12" t="n">
        <f aca="false">MIN(Cap_h,MAX(0,ROUND(($O$4-Alpha_keep*A142)/Step_h,0)*Step_h))</f>
        <v>0</v>
      </c>
      <c r="D142" s="20" t="n">
        <v>0</v>
      </c>
      <c r="E142" s="14" t="n">
        <f aca="false">IF(ABS(C142-D142)&lt;0.000000001,1,0)</f>
        <v>1</v>
      </c>
      <c r="F142" s="18" t="n">
        <f aca="false">Grid!AA142</f>
        <v>0</v>
      </c>
      <c r="G142" s="20" t="n">
        <v>0</v>
      </c>
      <c r="H142" s="14" t="n">
        <f aca="false">IF(ABS(F142-G142)&lt;0.000000001,1,0)</f>
        <v>1</v>
      </c>
      <c r="I142" s="18" t="n">
        <f aca="false">Grid!AB142</f>
        <v>2.5</v>
      </c>
      <c r="J142" s="20" t="n">
        <v>2.5</v>
      </c>
      <c r="K142" s="14" t="n">
        <f aca="false">IF(ABS(I142-J142)&lt;0.000000001,1,0)</f>
        <v>1</v>
      </c>
    </row>
    <row r="143" customFormat="false" ht="15" hidden="false" customHeight="false" outlineLevel="0" collapsed="false">
      <c r="A143" s="18" t="n">
        <f aca="false">Grid!A143</f>
        <v>64.5</v>
      </c>
      <c r="B143" s="18" t="n">
        <f aca="false">BestRule!Q143</f>
        <v>0</v>
      </c>
      <c r="C143" s="12" t="n">
        <f aca="false">MIN(Cap_h,MAX(0,ROUND(($O$4-Alpha_keep*A143)/Step_h,0)*Step_h))</f>
        <v>0</v>
      </c>
      <c r="D143" s="20" t="n">
        <v>0</v>
      </c>
      <c r="E143" s="14" t="n">
        <f aca="false">IF(ABS(C143-D143)&lt;0.000000001,1,0)</f>
        <v>1</v>
      </c>
      <c r="F143" s="18" t="n">
        <f aca="false">Grid!AA143</f>
        <v>0</v>
      </c>
      <c r="G143" s="20" t="n">
        <v>0</v>
      </c>
      <c r="H143" s="14" t="n">
        <f aca="false">IF(ABS(F143-G143)&lt;0.000000001,1,0)</f>
        <v>1</v>
      </c>
      <c r="I143" s="18" t="n">
        <f aca="false">Grid!AB143</f>
        <v>2.5</v>
      </c>
      <c r="J143" s="20" t="n">
        <v>2.5</v>
      </c>
      <c r="K143" s="14" t="n">
        <f aca="false">IF(ABS(I143-J143)&lt;0.000000001,1,0)</f>
        <v>1</v>
      </c>
    </row>
    <row r="144" customFormat="false" ht="15" hidden="false" customHeight="false" outlineLevel="0" collapsed="false">
      <c r="A144" s="18" t="n">
        <f aca="false">Grid!A144</f>
        <v>64.75</v>
      </c>
      <c r="B144" s="18" t="n">
        <f aca="false">BestRule!Q144</f>
        <v>0</v>
      </c>
      <c r="C144" s="12" t="n">
        <f aca="false">MIN(Cap_h,MAX(0,ROUND(($O$4-Alpha_keep*A144)/Step_h,0)*Step_h))</f>
        <v>0</v>
      </c>
      <c r="D144" s="20" t="n">
        <v>0</v>
      </c>
      <c r="E144" s="14" t="n">
        <f aca="false">IF(ABS(C144-D144)&lt;0.000000001,1,0)</f>
        <v>1</v>
      </c>
      <c r="F144" s="18" t="n">
        <f aca="false">Grid!AA144</f>
        <v>0</v>
      </c>
      <c r="G144" s="20" t="n">
        <v>0</v>
      </c>
      <c r="H144" s="14" t="n">
        <f aca="false">IF(ABS(F144-G144)&lt;0.000000001,1,0)</f>
        <v>1</v>
      </c>
      <c r="I144" s="18" t="n">
        <f aca="false">Grid!AB144</f>
        <v>2.5</v>
      </c>
      <c r="J144" s="20" t="n">
        <v>2.5</v>
      </c>
      <c r="K144" s="14" t="n">
        <f aca="false">IF(ABS(I144-J144)&lt;0.000000001,1,0)</f>
        <v>1</v>
      </c>
    </row>
    <row r="145" customFormat="false" ht="15" hidden="false" customHeight="false" outlineLevel="0" collapsed="false">
      <c r="A145" s="18" t="n">
        <f aca="false">Grid!A145</f>
        <v>65</v>
      </c>
      <c r="B145" s="18" t="n">
        <f aca="false">BestRule!Q145</f>
        <v>0</v>
      </c>
      <c r="C145" s="12" t="n">
        <f aca="false">MIN(Cap_h,MAX(0,ROUND(($O$4-Alpha_keep*A145)/Step_h,0)*Step_h))</f>
        <v>0</v>
      </c>
      <c r="D145" s="20" t="n">
        <v>0</v>
      </c>
      <c r="E145" s="14" t="n">
        <f aca="false">IF(ABS(C145-D145)&lt;0.000000001,1,0)</f>
        <v>1</v>
      </c>
      <c r="F145" s="18" t="n">
        <f aca="false">Grid!AA145</f>
        <v>0</v>
      </c>
      <c r="G145" s="20" t="n">
        <v>0</v>
      </c>
      <c r="H145" s="14" t="n">
        <f aca="false">IF(ABS(F145-G145)&lt;0.000000001,1,0)</f>
        <v>1</v>
      </c>
      <c r="I145" s="18" t="n">
        <f aca="false">Grid!AB145</f>
        <v>2.5</v>
      </c>
      <c r="J145" s="20" t="n">
        <v>2.5</v>
      </c>
      <c r="K145" s="14" t="n">
        <f aca="false">IF(ABS(I145-J145)&lt;0.000000001,1,0)</f>
        <v>1</v>
      </c>
    </row>
    <row r="146" customFormat="false" ht="15" hidden="false" customHeight="false" outlineLevel="0" collapsed="false">
      <c r="A146" s="18" t="n">
        <f aca="false">Grid!A146</f>
        <v>65.25</v>
      </c>
      <c r="B146" s="18" t="n">
        <f aca="false">BestRule!Q146</f>
        <v>0</v>
      </c>
      <c r="C146" s="12" t="n">
        <f aca="false">MIN(Cap_h,MAX(0,ROUND(($O$4-Alpha_keep*A146)/Step_h,0)*Step_h))</f>
        <v>0</v>
      </c>
      <c r="D146" s="20" t="n">
        <v>0</v>
      </c>
      <c r="E146" s="14" t="n">
        <f aca="false">IF(ABS(C146-D146)&lt;0.000000001,1,0)</f>
        <v>1</v>
      </c>
      <c r="F146" s="18" t="n">
        <f aca="false">Grid!AA146</f>
        <v>0</v>
      </c>
      <c r="G146" s="20" t="n">
        <v>0</v>
      </c>
      <c r="H146" s="14" t="n">
        <f aca="false">IF(ABS(F146-G146)&lt;0.000000001,1,0)</f>
        <v>1</v>
      </c>
      <c r="I146" s="18" t="n">
        <f aca="false">Grid!AB146</f>
        <v>2.5</v>
      </c>
      <c r="J146" s="20" t="n">
        <v>2.5</v>
      </c>
      <c r="K146" s="14" t="n">
        <f aca="false">IF(ABS(I146-J146)&lt;0.000000001,1,0)</f>
        <v>1</v>
      </c>
    </row>
    <row r="147" customFormat="false" ht="15" hidden="false" customHeight="false" outlineLevel="0" collapsed="false">
      <c r="A147" s="18" t="n">
        <f aca="false">Grid!A147</f>
        <v>65.5</v>
      </c>
      <c r="B147" s="18" t="n">
        <f aca="false">BestRule!Q147</f>
        <v>0</v>
      </c>
      <c r="C147" s="12" t="n">
        <f aca="false">MIN(Cap_h,MAX(0,ROUND(($O$4-Alpha_keep*A147)/Step_h,0)*Step_h))</f>
        <v>0</v>
      </c>
      <c r="D147" s="20" t="n">
        <v>0</v>
      </c>
      <c r="E147" s="14" t="n">
        <f aca="false">IF(ABS(C147-D147)&lt;0.000000001,1,0)</f>
        <v>1</v>
      </c>
      <c r="F147" s="18" t="n">
        <f aca="false">Grid!AA147</f>
        <v>0</v>
      </c>
      <c r="G147" s="20" t="n">
        <v>0</v>
      </c>
      <c r="H147" s="14" t="n">
        <f aca="false">IF(ABS(F147-G147)&lt;0.000000001,1,0)</f>
        <v>1</v>
      </c>
      <c r="I147" s="18" t="n">
        <f aca="false">Grid!AB147</f>
        <v>2.5</v>
      </c>
      <c r="J147" s="20" t="n">
        <v>2.5</v>
      </c>
      <c r="K147" s="14" t="n">
        <f aca="false">IF(ABS(I147-J147)&lt;0.000000001,1,0)</f>
        <v>1</v>
      </c>
    </row>
    <row r="148" customFormat="false" ht="15" hidden="false" customHeight="false" outlineLevel="0" collapsed="false">
      <c r="A148" s="18" t="n">
        <f aca="false">Grid!A148</f>
        <v>65.75</v>
      </c>
      <c r="B148" s="18" t="n">
        <f aca="false">BestRule!Q148</f>
        <v>0</v>
      </c>
      <c r="C148" s="12" t="n">
        <f aca="false">MIN(Cap_h,MAX(0,ROUND(($O$4-Alpha_keep*A148)/Step_h,0)*Step_h))</f>
        <v>0</v>
      </c>
      <c r="D148" s="20" t="n">
        <v>0</v>
      </c>
      <c r="E148" s="14" t="n">
        <f aca="false">IF(ABS(C148-D148)&lt;0.000000001,1,0)</f>
        <v>1</v>
      </c>
      <c r="F148" s="18" t="n">
        <f aca="false">Grid!AA148</f>
        <v>0</v>
      </c>
      <c r="G148" s="20" t="n">
        <v>0</v>
      </c>
      <c r="H148" s="14" t="n">
        <f aca="false">IF(ABS(F148-G148)&lt;0.000000001,1,0)</f>
        <v>1</v>
      </c>
      <c r="I148" s="18" t="n">
        <f aca="false">Grid!AB148</f>
        <v>2.5</v>
      </c>
      <c r="J148" s="20" t="n">
        <v>2.5</v>
      </c>
      <c r="K148" s="14" t="n">
        <f aca="false">IF(ABS(I148-J148)&lt;0.000000001,1,0)</f>
        <v>1</v>
      </c>
    </row>
    <row r="149" customFormat="false" ht="15" hidden="false" customHeight="false" outlineLevel="0" collapsed="false">
      <c r="A149" s="18" t="n">
        <f aca="false">Grid!A149</f>
        <v>66</v>
      </c>
      <c r="B149" s="18" t="n">
        <f aca="false">BestRule!Q149</f>
        <v>0</v>
      </c>
      <c r="C149" s="12" t="n">
        <f aca="false">MIN(Cap_h,MAX(0,ROUND(($O$4-Alpha_keep*A149)/Step_h,0)*Step_h))</f>
        <v>0</v>
      </c>
      <c r="D149" s="20" t="n">
        <v>0</v>
      </c>
      <c r="E149" s="14" t="n">
        <f aca="false">IF(ABS(C149-D149)&lt;0.000000001,1,0)</f>
        <v>1</v>
      </c>
      <c r="F149" s="18" t="n">
        <f aca="false">Grid!AA149</f>
        <v>0</v>
      </c>
      <c r="G149" s="20" t="n">
        <v>0</v>
      </c>
      <c r="H149" s="14" t="n">
        <f aca="false">IF(ABS(F149-G149)&lt;0.000000001,1,0)</f>
        <v>1</v>
      </c>
      <c r="I149" s="18" t="n">
        <f aca="false">Grid!AB149</f>
        <v>2.5</v>
      </c>
      <c r="J149" s="20" t="n">
        <v>2.5</v>
      </c>
      <c r="K149" s="14" t="n">
        <f aca="false">IF(ABS(I149-J149)&lt;0.000000001,1,0)</f>
        <v>1</v>
      </c>
    </row>
    <row r="150" customFormat="false" ht="15" hidden="false" customHeight="false" outlineLevel="0" collapsed="false">
      <c r="A150" s="18" t="n">
        <f aca="false">Grid!A150</f>
        <v>66.25</v>
      </c>
      <c r="B150" s="18" t="n">
        <f aca="false">BestRule!Q150</f>
        <v>0</v>
      </c>
      <c r="C150" s="12" t="n">
        <f aca="false">MIN(Cap_h,MAX(0,ROUND(($O$4-Alpha_keep*A150)/Step_h,0)*Step_h))</f>
        <v>0</v>
      </c>
      <c r="D150" s="20" t="n">
        <v>0</v>
      </c>
      <c r="E150" s="14" t="n">
        <f aca="false">IF(ABS(C150-D150)&lt;0.000000001,1,0)</f>
        <v>1</v>
      </c>
      <c r="F150" s="18" t="n">
        <f aca="false">Grid!AA150</f>
        <v>0</v>
      </c>
      <c r="G150" s="20" t="n">
        <v>0</v>
      </c>
      <c r="H150" s="14" t="n">
        <f aca="false">IF(ABS(F150-G150)&lt;0.000000001,1,0)</f>
        <v>1</v>
      </c>
      <c r="I150" s="18" t="n">
        <f aca="false">Grid!AB150</f>
        <v>2.5</v>
      </c>
      <c r="J150" s="20" t="n">
        <v>2.5</v>
      </c>
      <c r="K150" s="14" t="n">
        <f aca="false">IF(ABS(I150-J150)&lt;0.000000001,1,0)</f>
        <v>1</v>
      </c>
    </row>
    <row r="151" customFormat="false" ht="15" hidden="false" customHeight="false" outlineLevel="0" collapsed="false">
      <c r="A151" s="18" t="n">
        <f aca="false">Grid!A151</f>
        <v>66.5</v>
      </c>
      <c r="B151" s="18" t="n">
        <f aca="false">BestRule!Q151</f>
        <v>0</v>
      </c>
      <c r="C151" s="12" t="n">
        <f aca="false">MIN(Cap_h,MAX(0,ROUND(($O$4-Alpha_keep*A151)/Step_h,0)*Step_h))</f>
        <v>0</v>
      </c>
      <c r="D151" s="20" t="n">
        <v>0</v>
      </c>
      <c r="E151" s="14" t="n">
        <f aca="false">IF(ABS(C151-D151)&lt;0.000000001,1,0)</f>
        <v>1</v>
      </c>
      <c r="F151" s="18" t="n">
        <f aca="false">Grid!AA151</f>
        <v>0</v>
      </c>
      <c r="G151" s="20" t="n">
        <v>0</v>
      </c>
      <c r="H151" s="14" t="n">
        <f aca="false">IF(ABS(F151-G151)&lt;0.000000001,1,0)</f>
        <v>1</v>
      </c>
      <c r="I151" s="18" t="n">
        <f aca="false">Grid!AB151</f>
        <v>2.5</v>
      </c>
      <c r="J151" s="20" t="n">
        <v>2.5</v>
      </c>
      <c r="K151" s="14" t="n">
        <f aca="false">IF(ABS(I151-J151)&lt;0.000000001,1,0)</f>
        <v>1</v>
      </c>
    </row>
    <row r="152" customFormat="false" ht="15" hidden="false" customHeight="false" outlineLevel="0" collapsed="false">
      <c r="A152" s="18" t="n">
        <f aca="false">Grid!A152</f>
        <v>66.75</v>
      </c>
      <c r="B152" s="18" t="n">
        <f aca="false">BestRule!Q152</f>
        <v>0</v>
      </c>
      <c r="C152" s="12" t="n">
        <f aca="false">MIN(Cap_h,MAX(0,ROUND(($O$4-Alpha_keep*A152)/Step_h,0)*Step_h))</f>
        <v>0</v>
      </c>
      <c r="D152" s="20" t="n">
        <v>0</v>
      </c>
      <c r="E152" s="14" t="n">
        <f aca="false">IF(ABS(C152-D152)&lt;0.000000001,1,0)</f>
        <v>1</v>
      </c>
      <c r="F152" s="18" t="n">
        <f aca="false">Grid!AA152</f>
        <v>0</v>
      </c>
      <c r="G152" s="20" t="n">
        <v>0</v>
      </c>
      <c r="H152" s="14" t="n">
        <f aca="false">IF(ABS(F152-G152)&lt;0.000000001,1,0)</f>
        <v>1</v>
      </c>
      <c r="I152" s="18" t="n">
        <f aca="false">Grid!AB152</f>
        <v>2.5</v>
      </c>
      <c r="J152" s="20" t="n">
        <v>2.5</v>
      </c>
      <c r="K152" s="14" t="n">
        <f aca="false">IF(ABS(I152-J152)&lt;0.000000001,1,0)</f>
        <v>1</v>
      </c>
    </row>
    <row r="153" customFormat="false" ht="15" hidden="false" customHeight="false" outlineLevel="0" collapsed="false">
      <c r="A153" s="18" t="n">
        <f aca="false">Grid!A153</f>
        <v>67</v>
      </c>
      <c r="B153" s="18" t="n">
        <f aca="false">BestRule!Q153</f>
        <v>0</v>
      </c>
      <c r="C153" s="12" t="n">
        <f aca="false">MIN(Cap_h,MAX(0,ROUND(($O$4-Alpha_keep*A153)/Step_h,0)*Step_h))</f>
        <v>0</v>
      </c>
      <c r="D153" s="20" t="n">
        <v>0</v>
      </c>
      <c r="E153" s="14" t="n">
        <f aca="false">IF(ABS(C153-D153)&lt;0.000000001,1,0)</f>
        <v>1</v>
      </c>
      <c r="F153" s="18" t="n">
        <f aca="false">Grid!AA153</f>
        <v>0</v>
      </c>
      <c r="G153" s="20" t="n">
        <v>0</v>
      </c>
      <c r="H153" s="14" t="n">
        <f aca="false">IF(ABS(F153-G153)&lt;0.000000001,1,0)</f>
        <v>1</v>
      </c>
      <c r="I153" s="18" t="n">
        <f aca="false">Grid!AB153</f>
        <v>2.5</v>
      </c>
      <c r="J153" s="20" t="n">
        <v>2.5</v>
      </c>
      <c r="K153" s="14" t="n">
        <f aca="false">IF(ABS(I153-J153)&lt;0.000000001,1,0)</f>
        <v>1</v>
      </c>
    </row>
    <row r="154" customFormat="false" ht="15" hidden="false" customHeight="false" outlineLevel="0" collapsed="false">
      <c r="A154" s="18" t="n">
        <f aca="false">Grid!A154</f>
        <v>67.25</v>
      </c>
      <c r="B154" s="18" t="n">
        <f aca="false">BestRule!Q154</f>
        <v>0</v>
      </c>
      <c r="C154" s="12" t="n">
        <f aca="false">MIN(Cap_h,MAX(0,ROUND(($O$4-Alpha_keep*A154)/Step_h,0)*Step_h))</f>
        <v>0</v>
      </c>
      <c r="D154" s="20" t="n">
        <v>0</v>
      </c>
      <c r="E154" s="14" t="n">
        <f aca="false">IF(ABS(C154-D154)&lt;0.000000001,1,0)</f>
        <v>1</v>
      </c>
      <c r="F154" s="18" t="n">
        <f aca="false">Grid!AA154</f>
        <v>0</v>
      </c>
      <c r="G154" s="20" t="n">
        <v>0</v>
      </c>
      <c r="H154" s="14" t="n">
        <f aca="false">IF(ABS(F154-G154)&lt;0.000000001,1,0)</f>
        <v>1</v>
      </c>
      <c r="I154" s="18" t="n">
        <f aca="false">Grid!AB154</f>
        <v>2.5</v>
      </c>
      <c r="J154" s="20" t="n">
        <v>2.5</v>
      </c>
      <c r="K154" s="14" t="n">
        <f aca="false">IF(ABS(I154-J154)&lt;0.000000001,1,0)</f>
        <v>1</v>
      </c>
    </row>
    <row r="155" customFormat="false" ht="15" hidden="false" customHeight="false" outlineLevel="0" collapsed="false">
      <c r="A155" s="18" t="n">
        <f aca="false">Grid!A155</f>
        <v>67.5</v>
      </c>
      <c r="B155" s="18" t="n">
        <f aca="false">BestRule!Q155</f>
        <v>0</v>
      </c>
      <c r="C155" s="12" t="n">
        <f aca="false">MIN(Cap_h,MAX(0,ROUND(($O$4-Alpha_keep*A155)/Step_h,0)*Step_h))</f>
        <v>0</v>
      </c>
      <c r="D155" s="20" t="n">
        <v>0</v>
      </c>
      <c r="E155" s="14" t="n">
        <f aca="false">IF(ABS(C155-D155)&lt;0.000000001,1,0)</f>
        <v>1</v>
      </c>
      <c r="F155" s="18" t="n">
        <f aca="false">Grid!AA155</f>
        <v>0</v>
      </c>
      <c r="G155" s="20" t="n">
        <v>0</v>
      </c>
      <c r="H155" s="14" t="n">
        <f aca="false">IF(ABS(F155-G155)&lt;0.000000001,1,0)</f>
        <v>1</v>
      </c>
      <c r="I155" s="18" t="n">
        <f aca="false">Grid!AB155</f>
        <v>2.5</v>
      </c>
      <c r="J155" s="20" t="n">
        <v>2.5</v>
      </c>
      <c r="K155" s="14" t="n">
        <f aca="false">IF(ABS(I155-J155)&lt;0.000000001,1,0)</f>
        <v>1</v>
      </c>
    </row>
    <row r="156" customFormat="false" ht="15" hidden="false" customHeight="false" outlineLevel="0" collapsed="false">
      <c r="A156" s="18" t="n">
        <f aca="false">Grid!A156</f>
        <v>67.75</v>
      </c>
      <c r="B156" s="18" t="n">
        <f aca="false">BestRule!Q156</f>
        <v>0</v>
      </c>
      <c r="C156" s="12" t="n">
        <f aca="false">MIN(Cap_h,MAX(0,ROUND(($O$4-Alpha_keep*A156)/Step_h,0)*Step_h))</f>
        <v>0</v>
      </c>
      <c r="D156" s="20" t="n">
        <v>0</v>
      </c>
      <c r="E156" s="14" t="n">
        <f aca="false">IF(ABS(C156-D156)&lt;0.000000001,1,0)</f>
        <v>1</v>
      </c>
      <c r="F156" s="18" t="n">
        <f aca="false">Grid!AA156</f>
        <v>0</v>
      </c>
      <c r="G156" s="20" t="n">
        <v>0</v>
      </c>
      <c r="H156" s="14" t="n">
        <f aca="false">IF(ABS(F156-G156)&lt;0.000000001,1,0)</f>
        <v>1</v>
      </c>
      <c r="I156" s="18" t="n">
        <f aca="false">Grid!AB156</f>
        <v>2.5</v>
      </c>
      <c r="J156" s="20" t="n">
        <v>2.5</v>
      </c>
      <c r="K156" s="14" t="n">
        <f aca="false">IF(ABS(I156-J156)&lt;0.000000001,1,0)</f>
        <v>1</v>
      </c>
    </row>
    <row r="157" customFormat="false" ht="15" hidden="false" customHeight="false" outlineLevel="0" collapsed="false">
      <c r="A157" s="18" t="n">
        <f aca="false">Grid!A157</f>
        <v>68</v>
      </c>
      <c r="B157" s="18" t="n">
        <f aca="false">BestRule!Q157</f>
        <v>0</v>
      </c>
      <c r="C157" s="12" t="n">
        <f aca="false">MIN(Cap_h,MAX(0,ROUND(($O$4-Alpha_keep*A157)/Step_h,0)*Step_h))</f>
        <v>0</v>
      </c>
      <c r="D157" s="20" t="n">
        <v>0</v>
      </c>
      <c r="E157" s="14" t="n">
        <f aca="false">IF(ABS(C157-D157)&lt;0.000000001,1,0)</f>
        <v>1</v>
      </c>
      <c r="F157" s="18" t="n">
        <f aca="false">Grid!AA157</f>
        <v>0</v>
      </c>
      <c r="G157" s="20" t="n">
        <v>0</v>
      </c>
      <c r="H157" s="14" t="n">
        <f aca="false">IF(ABS(F157-G157)&lt;0.000000001,1,0)</f>
        <v>1</v>
      </c>
      <c r="I157" s="18" t="n">
        <f aca="false">Grid!AB157</f>
        <v>2.5</v>
      </c>
      <c r="J157" s="20" t="n">
        <v>2.5</v>
      </c>
      <c r="K157" s="14" t="n">
        <f aca="false">IF(ABS(I157-J157)&lt;0.000000001,1,0)</f>
        <v>1</v>
      </c>
    </row>
    <row r="158" customFormat="false" ht="15" hidden="false" customHeight="false" outlineLevel="0" collapsed="false">
      <c r="A158" s="18" t="n">
        <f aca="false">Grid!A158</f>
        <v>68.25</v>
      </c>
      <c r="B158" s="18" t="n">
        <f aca="false">BestRule!Q158</f>
        <v>0</v>
      </c>
      <c r="C158" s="12" t="n">
        <f aca="false">MIN(Cap_h,MAX(0,ROUND(($O$4-Alpha_keep*A158)/Step_h,0)*Step_h))</f>
        <v>0</v>
      </c>
      <c r="D158" s="20" t="n">
        <v>0</v>
      </c>
      <c r="E158" s="14" t="n">
        <f aca="false">IF(ABS(C158-D158)&lt;0.000000001,1,0)</f>
        <v>1</v>
      </c>
      <c r="F158" s="18" t="n">
        <f aca="false">Grid!AA158</f>
        <v>0</v>
      </c>
      <c r="G158" s="20" t="n">
        <v>0</v>
      </c>
      <c r="H158" s="14" t="n">
        <f aca="false">IF(ABS(F158-G158)&lt;0.000000001,1,0)</f>
        <v>1</v>
      </c>
      <c r="I158" s="18" t="n">
        <f aca="false">Grid!AB158</f>
        <v>2.5</v>
      </c>
      <c r="J158" s="20" t="n">
        <v>2.5</v>
      </c>
      <c r="K158" s="14" t="n">
        <f aca="false">IF(ABS(I158-J158)&lt;0.000000001,1,0)</f>
        <v>1</v>
      </c>
    </row>
    <row r="159" customFormat="false" ht="15" hidden="false" customHeight="false" outlineLevel="0" collapsed="false">
      <c r="A159" s="18" t="n">
        <f aca="false">Grid!A159</f>
        <v>68.5</v>
      </c>
      <c r="B159" s="18" t="n">
        <f aca="false">BestRule!Q159</f>
        <v>0</v>
      </c>
      <c r="C159" s="12" t="n">
        <f aca="false">MIN(Cap_h,MAX(0,ROUND(($O$4-Alpha_keep*A159)/Step_h,0)*Step_h))</f>
        <v>0</v>
      </c>
      <c r="D159" s="20" t="n">
        <v>0</v>
      </c>
      <c r="E159" s="14" t="n">
        <f aca="false">IF(ABS(C159-D159)&lt;0.000000001,1,0)</f>
        <v>1</v>
      </c>
      <c r="F159" s="18" t="n">
        <f aca="false">Grid!AA159</f>
        <v>0</v>
      </c>
      <c r="G159" s="20" t="n">
        <v>0</v>
      </c>
      <c r="H159" s="14" t="n">
        <f aca="false">IF(ABS(F159-G159)&lt;0.000000001,1,0)</f>
        <v>1</v>
      </c>
      <c r="I159" s="18" t="n">
        <f aca="false">Grid!AB159</f>
        <v>2.5</v>
      </c>
      <c r="J159" s="20" t="n">
        <v>2.5</v>
      </c>
      <c r="K159" s="14" t="n">
        <f aca="false">IF(ABS(I159-J159)&lt;0.000000001,1,0)</f>
        <v>1</v>
      </c>
    </row>
    <row r="160" customFormat="false" ht="15" hidden="false" customHeight="false" outlineLevel="0" collapsed="false">
      <c r="A160" s="18" t="n">
        <f aca="false">Grid!A160</f>
        <v>68.75</v>
      </c>
      <c r="B160" s="18" t="n">
        <f aca="false">BestRule!Q160</f>
        <v>0</v>
      </c>
      <c r="C160" s="12" t="n">
        <f aca="false">MIN(Cap_h,MAX(0,ROUND(($O$4-Alpha_keep*A160)/Step_h,0)*Step_h))</f>
        <v>0</v>
      </c>
      <c r="D160" s="20" t="n">
        <v>0</v>
      </c>
      <c r="E160" s="14" t="n">
        <f aca="false">IF(ABS(C160-D160)&lt;0.000000001,1,0)</f>
        <v>1</v>
      </c>
      <c r="F160" s="18" t="n">
        <f aca="false">Grid!AA160</f>
        <v>0</v>
      </c>
      <c r="G160" s="20" t="n">
        <v>0</v>
      </c>
      <c r="H160" s="14" t="n">
        <f aca="false">IF(ABS(F160-G160)&lt;0.000000001,1,0)</f>
        <v>1</v>
      </c>
      <c r="I160" s="18" t="n">
        <f aca="false">Grid!AB160</f>
        <v>2.5</v>
      </c>
      <c r="J160" s="20" t="n">
        <v>2.5</v>
      </c>
      <c r="K160" s="14" t="n">
        <f aca="false">IF(ABS(I160-J160)&lt;0.000000001,1,0)</f>
        <v>1</v>
      </c>
    </row>
    <row r="161" customFormat="false" ht="15" hidden="false" customHeight="false" outlineLevel="0" collapsed="false">
      <c r="A161" s="18" t="n">
        <f aca="false">Grid!A161</f>
        <v>69</v>
      </c>
      <c r="B161" s="18" t="n">
        <f aca="false">BestRule!Q161</f>
        <v>0</v>
      </c>
      <c r="C161" s="12" t="n">
        <f aca="false">MIN(Cap_h,MAX(0,ROUND(($O$4-Alpha_keep*A161)/Step_h,0)*Step_h))</f>
        <v>0</v>
      </c>
      <c r="D161" s="20" t="n">
        <v>0</v>
      </c>
      <c r="E161" s="14" t="n">
        <f aca="false">IF(ABS(C161-D161)&lt;0.000000001,1,0)</f>
        <v>1</v>
      </c>
      <c r="F161" s="18" t="n">
        <f aca="false">Grid!AA161</f>
        <v>0</v>
      </c>
      <c r="G161" s="20" t="n">
        <v>0</v>
      </c>
      <c r="H161" s="14" t="n">
        <f aca="false">IF(ABS(F161-G161)&lt;0.000000001,1,0)</f>
        <v>1</v>
      </c>
      <c r="I161" s="18" t="n">
        <f aca="false">Grid!AB161</f>
        <v>2.5</v>
      </c>
      <c r="J161" s="20" t="n">
        <v>2.5</v>
      </c>
      <c r="K161" s="14" t="n">
        <f aca="false">IF(ABS(I161-J161)&lt;0.000000001,1,0)</f>
        <v>1</v>
      </c>
    </row>
    <row r="162" customFormat="false" ht="15" hidden="false" customHeight="false" outlineLevel="0" collapsed="false">
      <c r="A162" s="18" t="n">
        <f aca="false">Grid!A162</f>
        <v>69.25</v>
      </c>
      <c r="B162" s="18" t="n">
        <f aca="false">BestRule!Q162</f>
        <v>0</v>
      </c>
      <c r="C162" s="12" t="n">
        <f aca="false">MIN(Cap_h,MAX(0,ROUND(($O$4-Alpha_keep*A162)/Step_h,0)*Step_h))</f>
        <v>0</v>
      </c>
      <c r="D162" s="20" t="n">
        <v>0</v>
      </c>
      <c r="E162" s="14" t="n">
        <f aca="false">IF(ABS(C162-D162)&lt;0.000000001,1,0)</f>
        <v>1</v>
      </c>
      <c r="F162" s="18" t="n">
        <f aca="false">Grid!AA162</f>
        <v>0</v>
      </c>
      <c r="G162" s="20" t="n">
        <v>0</v>
      </c>
      <c r="H162" s="14" t="n">
        <f aca="false">IF(ABS(F162-G162)&lt;0.000000001,1,0)</f>
        <v>1</v>
      </c>
      <c r="I162" s="18" t="n">
        <f aca="false">Grid!AB162</f>
        <v>2.5</v>
      </c>
      <c r="J162" s="20" t="n">
        <v>2.5</v>
      </c>
      <c r="K162" s="14" t="n">
        <f aca="false">IF(ABS(I162-J162)&lt;0.000000001,1,0)</f>
        <v>1</v>
      </c>
    </row>
    <row r="163" customFormat="false" ht="15" hidden="false" customHeight="false" outlineLevel="0" collapsed="false">
      <c r="A163" s="18" t="n">
        <f aca="false">Grid!A163</f>
        <v>69.5</v>
      </c>
      <c r="B163" s="18" t="n">
        <f aca="false">BestRule!Q163</f>
        <v>0</v>
      </c>
      <c r="C163" s="12" t="n">
        <f aca="false">MIN(Cap_h,MAX(0,ROUND(($O$4-Alpha_keep*A163)/Step_h,0)*Step_h))</f>
        <v>0</v>
      </c>
      <c r="D163" s="20" t="n">
        <v>0</v>
      </c>
      <c r="E163" s="14" t="n">
        <f aca="false">IF(ABS(C163-D163)&lt;0.000000001,1,0)</f>
        <v>1</v>
      </c>
      <c r="F163" s="18" t="n">
        <f aca="false">Grid!AA163</f>
        <v>0</v>
      </c>
      <c r="G163" s="20" t="n">
        <v>0</v>
      </c>
      <c r="H163" s="14" t="n">
        <f aca="false">IF(ABS(F163-G163)&lt;0.000000001,1,0)</f>
        <v>1</v>
      </c>
      <c r="I163" s="18" t="n">
        <f aca="false">Grid!AB163</f>
        <v>2.5</v>
      </c>
      <c r="J163" s="20" t="n">
        <v>2.5</v>
      </c>
      <c r="K163" s="14" t="n">
        <f aca="false">IF(ABS(I163-J163)&lt;0.000000001,1,0)</f>
        <v>1</v>
      </c>
    </row>
    <row r="164" customFormat="false" ht="15" hidden="false" customHeight="false" outlineLevel="0" collapsed="false">
      <c r="A164" s="18" t="n">
        <f aca="false">Grid!A164</f>
        <v>69.75</v>
      </c>
      <c r="B164" s="18" t="n">
        <f aca="false">BestRule!Q164</f>
        <v>0</v>
      </c>
      <c r="C164" s="12" t="n">
        <f aca="false">MIN(Cap_h,MAX(0,ROUND(($O$4-Alpha_keep*A164)/Step_h,0)*Step_h))</f>
        <v>0</v>
      </c>
      <c r="D164" s="20" t="n">
        <v>0</v>
      </c>
      <c r="E164" s="14" t="n">
        <f aca="false">IF(ABS(C164-D164)&lt;0.000000001,1,0)</f>
        <v>1</v>
      </c>
      <c r="F164" s="18" t="n">
        <f aca="false">Grid!AA164</f>
        <v>0</v>
      </c>
      <c r="G164" s="20" t="n">
        <v>0</v>
      </c>
      <c r="H164" s="14" t="n">
        <f aca="false">IF(ABS(F164-G164)&lt;0.000000001,1,0)</f>
        <v>1</v>
      </c>
      <c r="I164" s="18" t="n">
        <f aca="false">Grid!AB164</f>
        <v>2.5</v>
      </c>
      <c r="J164" s="20" t="n">
        <v>2.5</v>
      </c>
      <c r="K164" s="14" t="n">
        <f aca="false">IF(ABS(I164-J164)&lt;0.000000001,1,0)</f>
        <v>1</v>
      </c>
    </row>
    <row r="165" customFormat="false" ht="15" hidden="false" customHeight="false" outlineLevel="0" collapsed="false">
      <c r="A165" s="18" t="n">
        <f aca="false">Grid!A165</f>
        <v>70</v>
      </c>
      <c r="B165" s="18" t="n">
        <f aca="false">BestRule!Q165</f>
        <v>0</v>
      </c>
      <c r="C165" s="12" t="n">
        <f aca="false">MIN(Cap_h,MAX(0,ROUND(($O$4-Alpha_keep*A165)/Step_h,0)*Step_h))</f>
        <v>0</v>
      </c>
      <c r="D165" s="20" t="n">
        <v>0</v>
      </c>
      <c r="E165" s="14" t="n">
        <f aca="false">IF(ABS(C165-D165)&lt;0.000000001,1,0)</f>
        <v>1</v>
      </c>
      <c r="F165" s="18" t="n">
        <f aca="false">Grid!AA165</f>
        <v>0</v>
      </c>
      <c r="G165" s="20" t="n">
        <v>0</v>
      </c>
      <c r="H165" s="14" t="n">
        <f aca="false">IF(ABS(F165-G165)&lt;0.000000001,1,0)</f>
        <v>1</v>
      </c>
      <c r="I165" s="18" t="n">
        <f aca="false">Grid!AB165</f>
        <v>2.5</v>
      </c>
      <c r="J165" s="20" t="n">
        <v>2.5</v>
      </c>
      <c r="K165" s="14" t="n">
        <f aca="false">IF(ABS(I165-J165)&lt;0.000000001,1,0)</f>
        <v>1</v>
      </c>
    </row>
    <row r="166" customFormat="false" ht="15" hidden="false" customHeight="false" outlineLevel="0" collapsed="false">
      <c r="A166" s="18" t="n">
        <f aca="false">Grid!A166</f>
        <v>70.25</v>
      </c>
      <c r="B166" s="18" t="n">
        <f aca="false">BestRule!Q166</f>
        <v>0</v>
      </c>
      <c r="C166" s="12" t="n">
        <f aca="false">MIN(Cap_h,MAX(0,ROUND(($O$4-Alpha_keep*A166)/Step_h,0)*Step_h))</f>
        <v>0</v>
      </c>
      <c r="D166" s="20" t="n">
        <v>0</v>
      </c>
      <c r="E166" s="14" t="n">
        <f aca="false">IF(ABS(C166-D166)&lt;0.000000001,1,0)</f>
        <v>1</v>
      </c>
      <c r="F166" s="18" t="n">
        <f aca="false">Grid!AA166</f>
        <v>0</v>
      </c>
      <c r="G166" s="20" t="n">
        <v>0</v>
      </c>
      <c r="H166" s="14" t="n">
        <f aca="false">IF(ABS(F166-G166)&lt;0.000000001,1,0)</f>
        <v>1</v>
      </c>
      <c r="I166" s="18" t="n">
        <f aca="false">Grid!AB166</f>
        <v>2.5</v>
      </c>
      <c r="J166" s="20" t="n">
        <v>2.5</v>
      </c>
      <c r="K166" s="14" t="n">
        <f aca="false">IF(ABS(I166-J166)&lt;0.000000001,1,0)</f>
        <v>1</v>
      </c>
    </row>
    <row r="167" customFormat="false" ht="15" hidden="false" customHeight="false" outlineLevel="0" collapsed="false">
      <c r="A167" s="18" t="n">
        <f aca="false">Grid!A167</f>
        <v>70.5</v>
      </c>
      <c r="B167" s="18" t="n">
        <f aca="false">BestRule!Q167</f>
        <v>0</v>
      </c>
      <c r="C167" s="12" t="n">
        <f aca="false">MIN(Cap_h,MAX(0,ROUND(($O$4-Alpha_keep*A167)/Step_h,0)*Step_h))</f>
        <v>0</v>
      </c>
      <c r="D167" s="20" t="n">
        <v>0</v>
      </c>
      <c r="E167" s="14" t="n">
        <f aca="false">IF(ABS(C167-D167)&lt;0.000000001,1,0)</f>
        <v>1</v>
      </c>
      <c r="F167" s="18" t="n">
        <f aca="false">Grid!AA167</f>
        <v>0</v>
      </c>
      <c r="G167" s="20" t="n">
        <v>0</v>
      </c>
      <c r="H167" s="14" t="n">
        <f aca="false">IF(ABS(F167-G167)&lt;0.000000001,1,0)</f>
        <v>1</v>
      </c>
      <c r="I167" s="18" t="n">
        <f aca="false">Grid!AB167</f>
        <v>2.5</v>
      </c>
      <c r="J167" s="20" t="n">
        <v>2.5</v>
      </c>
      <c r="K167" s="14" t="n">
        <f aca="false">IF(ABS(I167-J167)&lt;0.000000001,1,0)</f>
        <v>1</v>
      </c>
    </row>
    <row r="168" customFormat="false" ht="15" hidden="false" customHeight="false" outlineLevel="0" collapsed="false">
      <c r="A168" s="18" t="n">
        <f aca="false">Grid!A168</f>
        <v>70.75</v>
      </c>
      <c r="B168" s="18" t="n">
        <f aca="false">BestRule!Q168</f>
        <v>0</v>
      </c>
      <c r="C168" s="12" t="n">
        <f aca="false">MIN(Cap_h,MAX(0,ROUND(($O$4-Alpha_keep*A168)/Step_h,0)*Step_h))</f>
        <v>0</v>
      </c>
      <c r="D168" s="20" t="n">
        <v>0</v>
      </c>
      <c r="E168" s="14" t="n">
        <f aca="false">IF(ABS(C168-D168)&lt;0.000000001,1,0)</f>
        <v>1</v>
      </c>
      <c r="F168" s="18" t="n">
        <f aca="false">Grid!AA168</f>
        <v>0</v>
      </c>
      <c r="G168" s="20" t="n">
        <v>0</v>
      </c>
      <c r="H168" s="14" t="n">
        <f aca="false">IF(ABS(F168-G168)&lt;0.000000001,1,0)</f>
        <v>1</v>
      </c>
      <c r="I168" s="18" t="n">
        <f aca="false">Grid!AB168</f>
        <v>2.5</v>
      </c>
      <c r="J168" s="20" t="n">
        <v>2.5</v>
      </c>
      <c r="K168" s="14" t="n">
        <f aca="false">IF(ABS(I168-J168)&lt;0.000000001,1,0)</f>
        <v>1</v>
      </c>
    </row>
    <row r="169" customFormat="false" ht="15" hidden="false" customHeight="false" outlineLevel="0" collapsed="false">
      <c r="A169" s="18" t="n">
        <f aca="false">Grid!A169</f>
        <v>71</v>
      </c>
      <c r="B169" s="18" t="n">
        <f aca="false">BestRule!Q169</f>
        <v>0</v>
      </c>
      <c r="C169" s="12" t="n">
        <f aca="false">MIN(Cap_h,MAX(0,ROUND(($O$4-Alpha_keep*A169)/Step_h,0)*Step_h))</f>
        <v>0</v>
      </c>
      <c r="D169" s="20" t="n">
        <v>0</v>
      </c>
      <c r="E169" s="14" t="n">
        <f aca="false">IF(ABS(C169-D169)&lt;0.000000001,1,0)</f>
        <v>1</v>
      </c>
      <c r="F169" s="18" t="n">
        <f aca="false">Grid!AA169</f>
        <v>0</v>
      </c>
      <c r="G169" s="20" t="n">
        <v>0</v>
      </c>
      <c r="H169" s="14" t="n">
        <f aca="false">IF(ABS(F169-G169)&lt;0.000000001,1,0)</f>
        <v>1</v>
      </c>
      <c r="I169" s="18" t="n">
        <f aca="false">Grid!AB169</f>
        <v>2.5</v>
      </c>
      <c r="J169" s="20" t="n">
        <v>2.5</v>
      </c>
      <c r="K169" s="14" t="n">
        <f aca="false">IF(ABS(I169-J169)&lt;0.000000001,1,0)</f>
        <v>1</v>
      </c>
    </row>
    <row r="170" customFormat="false" ht="15" hidden="false" customHeight="false" outlineLevel="0" collapsed="false">
      <c r="A170" s="18" t="n">
        <f aca="false">Grid!A170</f>
        <v>71.25</v>
      </c>
      <c r="B170" s="18" t="n">
        <f aca="false">BestRule!Q170</f>
        <v>0</v>
      </c>
      <c r="C170" s="12" t="n">
        <f aca="false">MIN(Cap_h,MAX(0,ROUND(($O$4-Alpha_keep*A170)/Step_h,0)*Step_h))</f>
        <v>0</v>
      </c>
      <c r="D170" s="20" t="n">
        <v>0</v>
      </c>
      <c r="E170" s="14" t="n">
        <f aca="false">IF(ABS(C170-D170)&lt;0.000000001,1,0)</f>
        <v>1</v>
      </c>
      <c r="F170" s="18" t="n">
        <f aca="false">Grid!AA170</f>
        <v>0</v>
      </c>
      <c r="G170" s="20" t="n">
        <v>0</v>
      </c>
      <c r="H170" s="14" t="n">
        <f aca="false">IF(ABS(F170-G170)&lt;0.000000001,1,0)</f>
        <v>1</v>
      </c>
      <c r="I170" s="18" t="n">
        <f aca="false">Grid!AB170</f>
        <v>2.5</v>
      </c>
      <c r="J170" s="20" t="n">
        <v>2.5</v>
      </c>
      <c r="K170" s="14" t="n">
        <f aca="false">IF(ABS(I170-J170)&lt;0.000000001,1,0)</f>
        <v>1</v>
      </c>
    </row>
    <row r="171" customFormat="false" ht="15" hidden="false" customHeight="false" outlineLevel="0" collapsed="false">
      <c r="A171" s="18" t="n">
        <f aca="false">Grid!A171</f>
        <v>71.5</v>
      </c>
      <c r="B171" s="18" t="n">
        <f aca="false">BestRule!Q171</f>
        <v>0</v>
      </c>
      <c r="C171" s="12" t="n">
        <f aca="false">MIN(Cap_h,MAX(0,ROUND(($O$4-Alpha_keep*A171)/Step_h,0)*Step_h))</f>
        <v>0</v>
      </c>
      <c r="D171" s="20" t="n">
        <v>0</v>
      </c>
      <c r="E171" s="14" t="n">
        <f aca="false">IF(ABS(C171-D171)&lt;0.000000001,1,0)</f>
        <v>1</v>
      </c>
      <c r="F171" s="18" t="n">
        <f aca="false">Grid!AA171</f>
        <v>0</v>
      </c>
      <c r="G171" s="20" t="n">
        <v>0</v>
      </c>
      <c r="H171" s="14" t="n">
        <f aca="false">IF(ABS(F171-G171)&lt;0.000000001,1,0)</f>
        <v>1</v>
      </c>
      <c r="I171" s="18" t="n">
        <f aca="false">Grid!AB171</f>
        <v>2.5</v>
      </c>
      <c r="J171" s="20" t="n">
        <v>2.5</v>
      </c>
      <c r="K171" s="14" t="n">
        <f aca="false">IF(ABS(I171-J171)&lt;0.000000001,1,0)</f>
        <v>1</v>
      </c>
    </row>
    <row r="172" customFormat="false" ht="15" hidden="false" customHeight="false" outlineLevel="0" collapsed="false">
      <c r="A172" s="18" t="n">
        <f aca="false">Grid!A172</f>
        <v>71.75</v>
      </c>
      <c r="B172" s="18" t="n">
        <f aca="false">BestRule!Q172</f>
        <v>0</v>
      </c>
      <c r="C172" s="12" t="n">
        <f aca="false">MIN(Cap_h,MAX(0,ROUND(($O$4-Alpha_keep*A172)/Step_h,0)*Step_h))</f>
        <v>0</v>
      </c>
      <c r="D172" s="20" t="n">
        <v>0</v>
      </c>
      <c r="E172" s="14" t="n">
        <f aca="false">IF(ABS(C172-D172)&lt;0.000000001,1,0)</f>
        <v>1</v>
      </c>
      <c r="F172" s="18" t="n">
        <f aca="false">Grid!AA172</f>
        <v>0</v>
      </c>
      <c r="G172" s="20" t="n">
        <v>0</v>
      </c>
      <c r="H172" s="14" t="n">
        <f aca="false">IF(ABS(F172-G172)&lt;0.000000001,1,0)</f>
        <v>1</v>
      </c>
      <c r="I172" s="18" t="n">
        <f aca="false">Grid!AB172</f>
        <v>2.5</v>
      </c>
      <c r="J172" s="20" t="n">
        <v>2.5</v>
      </c>
      <c r="K172" s="14" t="n">
        <f aca="false">IF(ABS(I172-J172)&lt;0.000000001,1,0)</f>
        <v>1</v>
      </c>
    </row>
    <row r="173" customFormat="false" ht="15" hidden="false" customHeight="false" outlineLevel="0" collapsed="false">
      <c r="A173" s="18" t="n">
        <f aca="false">Grid!A173</f>
        <v>72</v>
      </c>
      <c r="B173" s="18" t="n">
        <f aca="false">BestRule!Q173</f>
        <v>0</v>
      </c>
      <c r="C173" s="12" t="n">
        <f aca="false">MIN(Cap_h,MAX(0,ROUND(($O$4-Alpha_keep*A173)/Step_h,0)*Step_h))</f>
        <v>0</v>
      </c>
      <c r="D173" s="20" t="n">
        <v>0</v>
      </c>
      <c r="E173" s="14" t="n">
        <f aca="false">IF(ABS(C173-D173)&lt;0.000000001,1,0)</f>
        <v>1</v>
      </c>
      <c r="F173" s="18" t="n">
        <f aca="false">Grid!AA173</f>
        <v>0</v>
      </c>
      <c r="G173" s="20" t="n">
        <v>0</v>
      </c>
      <c r="H173" s="14" t="n">
        <f aca="false">IF(ABS(F173-G173)&lt;0.000000001,1,0)</f>
        <v>1</v>
      </c>
      <c r="I173" s="18" t="n">
        <f aca="false">Grid!AB173</f>
        <v>2.5</v>
      </c>
      <c r="J173" s="20" t="n">
        <v>2.5</v>
      </c>
      <c r="K173" s="14" t="n">
        <f aca="false">IF(ABS(I173-J173)&lt;0.000000001,1,0)</f>
        <v>1</v>
      </c>
    </row>
    <row r="174" customFormat="false" ht="15" hidden="false" customHeight="false" outlineLevel="0" collapsed="false">
      <c r="A174" s="18" t="n">
        <f aca="false">Grid!A174</f>
        <v>72.25</v>
      </c>
      <c r="B174" s="18" t="n">
        <f aca="false">BestRule!Q174</f>
        <v>0</v>
      </c>
      <c r="C174" s="12" t="n">
        <f aca="false">MIN(Cap_h,MAX(0,ROUND(($O$4-Alpha_keep*A174)/Step_h,0)*Step_h))</f>
        <v>0</v>
      </c>
      <c r="D174" s="20" t="n">
        <v>0</v>
      </c>
      <c r="E174" s="14" t="n">
        <f aca="false">IF(ABS(C174-D174)&lt;0.000000001,1,0)</f>
        <v>1</v>
      </c>
      <c r="F174" s="18" t="n">
        <f aca="false">Grid!AA174</f>
        <v>0</v>
      </c>
      <c r="G174" s="20" t="n">
        <v>0</v>
      </c>
      <c r="H174" s="14" t="n">
        <f aca="false">IF(ABS(F174-G174)&lt;0.000000001,1,0)</f>
        <v>1</v>
      </c>
      <c r="I174" s="18" t="n">
        <f aca="false">Grid!AB174</f>
        <v>2.5</v>
      </c>
      <c r="J174" s="20" t="n">
        <v>2.5</v>
      </c>
      <c r="K174" s="14" t="n">
        <f aca="false">IF(ABS(I174-J174)&lt;0.000000001,1,0)</f>
        <v>1</v>
      </c>
    </row>
    <row r="175" customFormat="false" ht="15" hidden="false" customHeight="false" outlineLevel="0" collapsed="false">
      <c r="A175" s="18" t="n">
        <f aca="false">Grid!A175</f>
        <v>72.5</v>
      </c>
      <c r="B175" s="18" t="n">
        <f aca="false">BestRule!Q175</f>
        <v>0</v>
      </c>
      <c r="C175" s="12" t="n">
        <f aca="false">MIN(Cap_h,MAX(0,ROUND(($O$4-Alpha_keep*A175)/Step_h,0)*Step_h))</f>
        <v>0</v>
      </c>
      <c r="D175" s="20" t="n">
        <v>0</v>
      </c>
      <c r="E175" s="14" t="n">
        <f aca="false">IF(ABS(C175-D175)&lt;0.000000001,1,0)</f>
        <v>1</v>
      </c>
      <c r="F175" s="18" t="n">
        <f aca="false">Grid!AA175</f>
        <v>0</v>
      </c>
      <c r="G175" s="20" t="n">
        <v>0</v>
      </c>
      <c r="H175" s="14" t="n">
        <f aca="false">IF(ABS(F175-G175)&lt;0.000000001,1,0)</f>
        <v>1</v>
      </c>
      <c r="I175" s="18" t="n">
        <f aca="false">Grid!AB175</f>
        <v>2.5</v>
      </c>
      <c r="J175" s="20" t="n">
        <v>2.5</v>
      </c>
      <c r="K175" s="14" t="n">
        <f aca="false">IF(ABS(I175-J175)&lt;0.000000001,1,0)</f>
        <v>1</v>
      </c>
    </row>
    <row r="176" customFormat="false" ht="15" hidden="false" customHeight="false" outlineLevel="0" collapsed="false">
      <c r="A176" s="18" t="n">
        <f aca="false">Grid!A176</f>
        <v>72.75</v>
      </c>
      <c r="B176" s="18" t="n">
        <f aca="false">BestRule!Q176</f>
        <v>0</v>
      </c>
      <c r="C176" s="12" t="n">
        <f aca="false">MIN(Cap_h,MAX(0,ROUND(($O$4-Alpha_keep*A176)/Step_h,0)*Step_h))</f>
        <v>0</v>
      </c>
      <c r="D176" s="20" t="n">
        <v>0</v>
      </c>
      <c r="E176" s="14" t="n">
        <f aca="false">IF(ABS(C176-D176)&lt;0.000000001,1,0)</f>
        <v>1</v>
      </c>
      <c r="F176" s="18" t="n">
        <f aca="false">Grid!AA176</f>
        <v>0</v>
      </c>
      <c r="G176" s="20" t="n">
        <v>0</v>
      </c>
      <c r="H176" s="14" t="n">
        <f aca="false">IF(ABS(F176-G176)&lt;0.000000001,1,0)</f>
        <v>1</v>
      </c>
      <c r="I176" s="18" t="n">
        <f aca="false">Grid!AB176</f>
        <v>2.5</v>
      </c>
      <c r="J176" s="20" t="n">
        <v>2.5</v>
      </c>
      <c r="K176" s="14" t="n">
        <f aca="false">IF(ABS(I176-J176)&lt;0.000000001,1,0)</f>
        <v>1</v>
      </c>
    </row>
    <row r="177" customFormat="false" ht="15" hidden="false" customHeight="false" outlineLevel="0" collapsed="false">
      <c r="A177" s="18" t="n">
        <f aca="false">Grid!A177</f>
        <v>73</v>
      </c>
      <c r="B177" s="18" t="n">
        <f aca="false">BestRule!Q177</f>
        <v>0</v>
      </c>
      <c r="C177" s="12" t="n">
        <f aca="false">MIN(Cap_h,MAX(0,ROUND(($O$4-Alpha_keep*A177)/Step_h,0)*Step_h))</f>
        <v>0</v>
      </c>
      <c r="D177" s="20" t="n">
        <v>0</v>
      </c>
      <c r="E177" s="14" t="n">
        <f aca="false">IF(ABS(C177-D177)&lt;0.000000001,1,0)</f>
        <v>1</v>
      </c>
      <c r="F177" s="18" t="n">
        <f aca="false">Grid!AA177</f>
        <v>0</v>
      </c>
      <c r="G177" s="20" t="n">
        <v>0</v>
      </c>
      <c r="H177" s="14" t="n">
        <f aca="false">IF(ABS(F177-G177)&lt;0.000000001,1,0)</f>
        <v>1</v>
      </c>
      <c r="I177" s="18" t="n">
        <f aca="false">Grid!AB177</f>
        <v>2.5</v>
      </c>
      <c r="J177" s="20" t="n">
        <v>2.5</v>
      </c>
      <c r="K177" s="14" t="n">
        <f aca="false">IF(ABS(I177-J177)&lt;0.000000001,1,0)</f>
        <v>1</v>
      </c>
    </row>
    <row r="178" customFormat="false" ht="15" hidden="false" customHeight="false" outlineLevel="0" collapsed="false">
      <c r="A178" s="18" t="n">
        <f aca="false">Grid!A178</f>
        <v>73.25</v>
      </c>
      <c r="B178" s="18" t="n">
        <f aca="false">BestRule!Q178</f>
        <v>0</v>
      </c>
      <c r="C178" s="12" t="n">
        <f aca="false">MIN(Cap_h,MAX(0,ROUND(($O$4-Alpha_keep*A178)/Step_h,0)*Step_h))</f>
        <v>0</v>
      </c>
      <c r="D178" s="20" t="n">
        <v>0</v>
      </c>
      <c r="E178" s="14" t="n">
        <f aca="false">IF(ABS(C178-D178)&lt;0.000000001,1,0)</f>
        <v>1</v>
      </c>
      <c r="F178" s="18" t="n">
        <f aca="false">Grid!AA178</f>
        <v>0</v>
      </c>
      <c r="G178" s="20" t="n">
        <v>0</v>
      </c>
      <c r="H178" s="14" t="n">
        <f aca="false">IF(ABS(F178-G178)&lt;0.000000001,1,0)</f>
        <v>1</v>
      </c>
      <c r="I178" s="18" t="n">
        <f aca="false">Grid!AB178</f>
        <v>2.5</v>
      </c>
      <c r="J178" s="20" t="n">
        <v>2.5</v>
      </c>
      <c r="K178" s="14" t="n">
        <f aca="false">IF(ABS(I178-J178)&lt;0.000000001,1,0)</f>
        <v>1</v>
      </c>
    </row>
    <row r="179" customFormat="false" ht="15" hidden="false" customHeight="false" outlineLevel="0" collapsed="false">
      <c r="A179" s="18" t="n">
        <f aca="false">Grid!A179</f>
        <v>73.5</v>
      </c>
      <c r="B179" s="18" t="n">
        <f aca="false">BestRule!Q179</f>
        <v>0</v>
      </c>
      <c r="C179" s="12" t="n">
        <f aca="false">MIN(Cap_h,MAX(0,ROUND(($O$4-Alpha_keep*A179)/Step_h,0)*Step_h))</f>
        <v>0</v>
      </c>
      <c r="D179" s="20" t="n">
        <v>0</v>
      </c>
      <c r="E179" s="14" t="n">
        <f aca="false">IF(ABS(C179-D179)&lt;0.000000001,1,0)</f>
        <v>1</v>
      </c>
      <c r="F179" s="18" t="n">
        <f aca="false">Grid!AA179</f>
        <v>0</v>
      </c>
      <c r="G179" s="20" t="n">
        <v>0</v>
      </c>
      <c r="H179" s="14" t="n">
        <f aca="false">IF(ABS(F179-G179)&lt;0.000000001,1,0)</f>
        <v>1</v>
      </c>
      <c r="I179" s="18" t="n">
        <f aca="false">Grid!AB179</f>
        <v>2.5</v>
      </c>
      <c r="J179" s="20" t="n">
        <v>2.5</v>
      </c>
      <c r="K179" s="14" t="n">
        <f aca="false">IF(ABS(I179-J179)&lt;0.000000001,1,0)</f>
        <v>1</v>
      </c>
    </row>
    <row r="180" customFormat="false" ht="15" hidden="false" customHeight="false" outlineLevel="0" collapsed="false">
      <c r="A180" s="18" t="n">
        <f aca="false">Grid!A180</f>
        <v>73.75</v>
      </c>
      <c r="B180" s="18" t="n">
        <f aca="false">BestRule!Q180</f>
        <v>0</v>
      </c>
      <c r="C180" s="12" t="n">
        <f aca="false">MIN(Cap_h,MAX(0,ROUND(($O$4-Alpha_keep*A180)/Step_h,0)*Step_h))</f>
        <v>0</v>
      </c>
      <c r="D180" s="20" t="n">
        <v>0</v>
      </c>
      <c r="E180" s="14" t="n">
        <f aca="false">IF(ABS(C180-D180)&lt;0.000000001,1,0)</f>
        <v>1</v>
      </c>
      <c r="F180" s="18" t="n">
        <f aca="false">Grid!AA180</f>
        <v>0</v>
      </c>
      <c r="G180" s="20" t="n">
        <v>0</v>
      </c>
      <c r="H180" s="14" t="n">
        <f aca="false">IF(ABS(F180-G180)&lt;0.000000001,1,0)</f>
        <v>1</v>
      </c>
      <c r="I180" s="18" t="n">
        <f aca="false">Grid!AB180</f>
        <v>2.5</v>
      </c>
      <c r="J180" s="20" t="n">
        <v>2.5</v>
      </c>
      <c r="K180" s="14" t="n">
        <f aca="false">IF(ABS(I180-J180)&lt;0.000000001,1,0)</f>
        <v>1</v>
      </c>
    </row>
    <row r="181" customFormat="false" ht="15" hidden="false" customHeight="false" outlineLevel="0" collapsed="false">
      <c r="A181" s="18" t="n">
        <f aca="false">Grid!A181</f>
        <v>74</v>
      </c>
      <c r="B181" s="18" t="n">
        <f aca="false">BestRule!Q181</f>
        <v>0</v>
      </c>
      <c r="C181" s="12" t="n">
        <f aca="false">MIN(Cap_h,MAX(0,ROUND(($O$4-Alpha_keep*A181)/Step_h,0)*Step_h))</f>
        <v>0</v>
      </c>
      <c r="D181" s="20" t="n">
        <v>0</v>
      </c>
      <c r="E181" s="14" t="n">
        <f aca="false">IF(ABS(C181-D181)&lt;0.000000001,1,0)</f>
        <v>1</v>
      </c>
      <c r="F181" s="18" t="n">
        <f aca="false">Grid!AA181</f>
        <v>0</v>
      </c>
      <c r="G181" s="20" t="n">
        <v>0</v>
      </c>
      <c r="H181" s="14" t="n">
        <f aca="false">IF(ABS(F181-G181)&lt;0.000000001,1,0)</f>
        <v>1</v>
      </c>
      <c r="I181" s="18" t="n">
        <f aca="false">Grid!AB181</f>
        <v>2.5</v>
      </c>
      <c r="J181" s="20" t="n">
        <v>2.5</v>
      </c>
      <c r="K181" s="14" t="n">
        <f aca="false">IF(ABS(I181-J181)&lt;0.000000001,1,0)</f>
        <v>1</v>
      </c>
    </row>
    <row r="182" customFormat="false" ht="15" hidden="false" customHeight="false" outlineLevel="0" collapsed="false">
      <c r="A182" s="18" t="n">
        <f aca="false">Grid!A182</f>
        <v>74.25</v>
      </c>
      <c r="B182" s="18" t="n">
        <f aca="false">BestRule!Q182</f>
        <v>0</v>
      </c>
      <c r="C182" s="12" t="n">
        <f aca="false">MIN(Cap_h,MAX(0,ROUND(($O$4-Alpha_keep*A182)/Step_h,0)*Step_h))</f>
        <v>0</v>
      </c>
      <c r="D182" s="20" t="n">
        <v>0</v>
      </c>
      <c r="E182" s="14" t="n">
        <f aca="false">IF(ABS(C182-D182)&lt;0.000000001,1,0)</f>
        <v>1</v>
      </c>
      <c r="F182" s="18" t="n">
        <f aca="false">Grid!AA182</f>
        <v>0</v>
      </c>
      <c r="G182" s="20" t="n">
        <v>0</v>
      </c>
      <c r="H182" s="14" t="n">
        <f aca="false">IF(ABS(F182-G182)&lt;0.000000001,1,0)</f>
        <v>1</v>
      </c>
      <c r="I182" s="18" t="n">
        <f aca="false">Grid!AB182</f>
        <v>2.5</v>
      </c>
      <c r="J182" s="20" t="n">
        <v>2.5</v>
      </c>
      <c r="K182" s="14" t="n">
        <f aca="false">IF(ABS(I182-J182)&lt;0.000000001,1,0)</f>
        <v>1</v>
      </c>
    </row>
    <row r="183" customFormat="false" ht="15" hidden="false" customHeight="false" outlineLevel="0" collapsed="false">
      <c r="A183" s="18" t="n">
        <f aca="false">Grid!A183</f>
        <v>74.5</v>
      </c>
      <c r="B183" s="18" t="n">
        <f aca="false">BestRule!Q183</f>
        <v>0</v>
      </c>
      <c r="C183" s="12" t="n">
        <f aca="false">MIN(Cap_h,MAX(0,ROUND(($O$4-Alpha_keep*A183)/Step_h,0)*Step_h))</f>
        <v>0</v>
      </c>
      <c r="D183" s="20" t="n">
        <v>0</v>
      </c>
      <c r="E183" s="14" t="n">
        <f aca="false">IF(ABS(C183-D183)&lt;0.000000001,1,0)</f>
        <v>1</v>
      </c>
      <c r="F183" s="18" t="n">
        <f aca="false">Grid!AA183</f>
        <v>0</v>
      </c>
      <c r="G183" s="20" t="n">
        <v>0</v>
      </c>
      <c r="H183" s="14" t="n">
        <f aca="false">IF(ABS(F183-G183)&lt;0.000000001,1,0)</f>
        <v>1</v>
      </c>
      <c r="I183" s="18" t="n">
        <f aca="false">Grid!AB183</f>
        <v>2.5</v>
      </c>
      <c r="J183" s="20" t="n">
        <v>2.5</v>
      </c>
      <c r="K183" s="14" t="n">
        <f aca="false">IF(ABS(I183-J183)&lt;0.000000001,1,0)</f>
        <v>1</v>
      </c>
    </row>
    <row r="184" customFormat="false" ht="15" hidden="false" customHeight="false" outlineLevel="0" collapsed="false">
      <c r="A184" s="18" t="n">
        <f aca="false">Grid!A184</f>
        <v>74.75</v>
      </c>
      <c r="B184" s="18" t="n">
        <f aca="false">BestRule!Q184</f>
        <v>0</v>
      </c>
      <c r="C184" s="12" t="n">
        <f aca="false">MIN(Cap_h,MAX(0,ROUND(($O$4-Alpha_keep*A184)/Step_h,0)*Step_h))</f>
        <v>0</v>
      </c>
      <c r="D184" s="20" t="n">
        <v>0</v>
      </c>
      <c r="E184" s="14" t="n">
        <f aca="false">IF(ABS(C184-D184)&lt;0.000000001,1,0)</f>
        <v>1</v>
      </c>
      <c r="F184" s="18" t="n">
        <f aca="false">Grid!AA184</f>
        <v>0</v>
      </c>
      <c r="G184" s="20" t="n">
        <v>0</v>
      </c>
      <c r="H184" s="14" t="n">
        <f aca="false">IF(ABS(F184-G184)&lt;0.000000001,1,0)</f>
        <v>1</v>
      </c>
      <c r="I184" s="18" t="n">
        <f aca="false">Grid!AB184</f>
        <v>2.5</v>
      </c>
      <c r="J184" s="20" t="n">
        <v>2.5</v>
      </c>
      <c r="K184" s="14" t="n">
        <f aca="false">IF(ABS(I184-J184)&lt;0.000000001,1,0)</f>
        <v>1</v>
      </c>
    </row>
    <row r="185" customFormat="false" ht="15" hidden="false" customHeight="false" outlineLevel="0" collapsed="false">
      <c r="A185" s="18" t="n">
        <f aca="false">Grid!A185</f>
        <v>75</v>
      </c>
      <c r="B185" s="18" t="n">
        <f aca="false">BestRule!Q185</f>
        <v>0</v>
      </c>
      <c r="C185" s="12" t="n">
        <f aca="false">MIN(Cap_h,MAX(0,ROUND(($O$4-Alpha_keep*A185)/Step_h,0)*Step_h))</f>
        <v>0</v>
      </c>
      <c r="D185" s="20" t="n">
        <v>0</v>
      </c>
      <c r="E185" s="14" t="n">
        <f aca="false">IF(ABS(C185-D185)&lt;0.000000001,1,0)</f>
        <v>1</v>
      </c>
      <c r="F185" s="18" t="n">
        <f aca="false">Grid!AA185</f>
        <v>0</v>
      </c>
      <c r="G185" s="20" t="n">
        <v>0</v>
      </c>
      <c r="H185" s="14" t="n">
        <f aca="false">IF(ABS(F185-G185)&lt;0.000000001,1,0)</f>
        <v>1</v>
      </c>
      <c r="I185" s="18" t="n">
        <f aca="false">Grid!AB185</f>
        <v>2.5</v>
      </c>
      <c r="J185" s="20" t="n">
        <v>2.5</v>
      </c>
      <c r="K185" s="14" t="n">
        <f aca="false">IF(ABS(I185-J185)&lt;0.000000001,1,0)</f>
        <v>1</v>
      </c>
    </row>
    <row r="186" customFormat="false" ht="15" hidden="false" customHeight="false" outlineLevel="0" collapsed="false">
      <c r="A186" s="18" t="n">
        <f aca="false">Grid!A186</f>
        <v>75.25</v>
      </c>
      <c r="B186" s="18" t="n">
        <f aca="false">BestRule!Q186</f>
        <v>0</v>
      </c>
      <c r="C186" s="12" t="n">
        <f aca="false">MIN(Cap_h,MAX(0,ROUND(($O$4-Alpha_keep*A186)/Step_h,0)*Step_h))</f>
        <v>0</v>
      </c>
      <c r="D186" s="20" t="n">
        <v>0</v>
      </c>
      <c r="E186" s="14" t="n">
        <f aca="false">IF(ABS(C186-D186)&lt;0.000000001,1,0)</f>
        <v>1</v>
      </c>
      <c r="F186" s="18" t="n">
        <f aca="false">Grid!AA186</f>
        <v>0</v>
      </c>
      <c r="G186" s="20" t="n">
        <v>0</v>
      </c>
      <c r="H186" s="14" t="n">
        <f aca="false">IF(ABS(F186-G186)&lt;0.000000001,1,0)</f>
        <v>1</v>
      </c>
      <c r="I186" s="18" t="n">
        <f aca="false">Grid!AB186</f>
        <v>2.5</v>
      </c>
      <c r="J186" s="20" t="n">
        <v>2.5</v>
      </c>
      <c r="K186" s="14" t="n">
        <f aca="false">IF(ABS(I186-J186)&lt;0.000000001,1,0)</f>
        <v>1</v>
      </c>
    </row>
    <row r="187" customFormat="false" ht="15" hidden="false" customHeight="false" outlineLevel="0" collapsed="false">
      <c r="A187" s="18" t="n">
        <f aca="false">Grid!A187</f>
        <v>75.5</v>
      </c>
      <c r="B187" s="18" t="n">
        <f aca="false">BestRule!Q187</f>
        <v>0</v>
      </c>
      <c r="C187" s="12" t="n">
        <f aca="false">MIN(Cap_h,MAX(0,ROUND(($O$4-Alpha_keep*A187)/Step_h,0)*Step_h))</f>
        <v>0</v>
      </c>
      <c r="D187" s="20" t="n">
        <v>0</v>
      </c>
      <c r="E187" s="14" t="n">
        <f aca="false">IF(ABS(C187-D187)&lt;0.000000001,1,0)</f>
        <v>1</v>
      </c>
      <c r="F187" s="18" t="n">
        <f aca="false">Grid!AA187</f>
        <v>0</v>
      </c>
      <c r="G187" s="20" t="n">
        <v>0</v>
      </c>
      <c r="H187" s="14" t="n">
        <f aca="false">IF(ABS(F187-G187)&lt;0.000000001,1,0)</f>
        <v>1</v>
      </c>
      <c r="I187" s="18" t="n">
        <f aca="false">Grid!AB187</f>
        <v>2.5</v>
      </c>
      <c r="J187" s="20" t="n">
        <v>2.5</v>
      </c>
      <c r="K187" s="14" t="n">
        <f aca="false">IF(ABS(I187-J187)&lt;0.000000001,1,0)</f>
        <v>1</v>
      </c>
    </row>
    <row r="188" customFormat="false" ht="15" hidden="false" customHeight="false" outlineLevel="0" collapsed="false">
      <c r="A188" s="18" t="n">
        <f aca="false">Grid!A188</f>
        <v>75.75</v>
      </c>
      <c r="B188" s="18" t="n">
        <f aca="false">BestRule!Q188</f>
        <v>0</v>
      </c>
      <c r="C188" s="12" t="n">
        <f aca="false">MIN(Cap_h,MAX(0,ROUND(($O$4-Alpha_keep*A188)/Step_h,0)*Step_h))</f>
        <v>0</v>
      </c>
      <c r="D188" s="20" t="n">
        <v>0</v>
      </c>
      <c r="E188" s="14" t="n">
        <f aca="false">IF(ABS(C188-D188)&lt;0.000000001,1,0)</f>
        <v>1</v>
      </c>
      <c r="F188" s="18" t="n">
        <f aca="false">Grid!AA188</f>
        <v>0</v>
      </c>
      <c r="G188" s="20" t="n">
        <v>0</v>
      </c>
      <c r="H188" s="14" t="n">
        <f aca="false">IF(ABS(F188-G188)&lt;0.000000001,1,0)</f>
        <v>1</v>
      </c>
      <c r="I188" s="18" t="n">
        <f aca="false">Grid!AB188</f>
        <v>2.5</v>
      </c>
      <c r="J188" s="20" t="n">
        <v>2.5</v>
      </c>
      <c r="K188" s="14" t="n">
        <f aca="false">IF(ABS(I188-J188)&lt;0.000000001,1,0)</f>
        <v>1</v>
      </c>
    </row>
    <row r="189" customFormat="false" ht="15" hidden="false" customHeight="false" outlineLevel="0" collapsed="false">
      <c r="A189" s="18" t="n">
        <f aca="false">Grid!A189</f>
        <v>76</v>
      </c>
      <c r="B189" s="18" t="n">
        <f aca="false">BestRule!Q189</f>
        <v>0</v>
      </c>
      <c r="C189" s="12" t="n">
        <f aca="false">MIN(Cap_h,MAX(0,ROUND(($O$4-Alpha_keep*A189)/Step_h,0)*Step_h))</f>
        <v>0</v>
      </c>
      <c r="D189" s="20" t="n">
        <v>0</v>
      </c>
      <c r="E189" s="14" t="n">
        <f aca="false">IF(ABS(C189-D189)&lt;0.000000001,1,0)</f>
        <v>1</v>
      </c>
      <c r="F189" s="18" t="n">
        <f aca="false">Grid!AA189</f>
        <v>0</v>
      </c>
      <c r="G189" s="20" t="n">
        <v>0</v>
      </c>
      <c r="H189" s="14" t="n">
        <f aca="false">IF(ABS(F189-G189)&lt;0.000000001,1,0)</f>
        <v>1</v>
      </c>
      <c r="I189" s="18" t="n">
        <f aca="false">Grid!AB189</f>
        <v>2.5</v>
      </c>
      <c r="J189" s="20" t="n">
        <v>2.5</v>
      </c>
      <c r="K189" s="14" t="n">
        <f aca="false">IF(ABS(I189-J189)&lt;0.000000001,1,0)</f>
        <v>1</v>
      </c>
    </row>
    <row r="190" customFormat="false" ht="15" hidden="false" customHeight="false" outlineLevel="0" collapsed="false">
      <c r="A190" s="18" t="n">
        <f aca="false">Grid!A190</f>
        <v>76.25</v>
      </c>
      <c r="B190" s="18" t="n">
        <f aca="false">BestRule!Q190</f>
        <v>0</v>
      </c>
      <c r="C190" s="12" t="n">
        <f aca="false">MIN(Cap_h,MAX(0,ROUND(($O$4-Alpha_keep*A190)/Step_h,0)*Step_h))</f>
        <v>0</v>
      </c>
      <c r="D190" s="20" t="n">
        <v>0</v>
      </c>
      <c r="E190" s="14" t="n">
        <f aca="false">IF(ABS(C190-D190)&lt;0.000000001,1,0)</f>
        <v>1</v>
      </c>
      <c r="F190" s="18" t="n">
        <f aca="false">Grid!AA190</f>
        <v>0</v>
      </c>
      <c r="G190" s="20" t="n">
        <v>0</v>
      </c>
      <c r="H190" s="14" t="n">
        <f aca="false">IF(ABS(F190-G190)&lt;0.000000001,1,0)</f>
        <v>1</v>
      </c>
      <c r="I190" s="18" t="n">
        <f aca="false">Grid!AB190</f>
        <v>2.5</v>
      </c>
      <c r="J190" s="20" t="n">
        <v>2.5</v>
      </c>
      <c r="K190" s="14" t="n">
        <f aca="false">IF(ABS(I190-J190)&lt;0.000000001,1,0)</f>
        <v>1</v>
      </c>
    </row>
    <row r="191" customFormat="false" ht="15" hidden="false" customHeight="false" outlineLevel="0" collapsed="false">
      <c r="A191" s="18" t="n">
        <f aca="false">Grid!A191</f>
        <v>76.5</v>
      </c>
      <c r="B191" s="18" t="n">
        <f aca="false">BestRule!Q191</f>
        <v>0</v>
      </c>
      <c r="C191" s="12" t="n">
        <f aca="false">MIN(Cap_h,MAX(0,ROUND(($O$4-Alpha_keep*A191)/Step_h,0)*Step_h))</f>
        <v>0</v>
      </c>
      <c r="D191" s="20" t="n">
        <v>0</v>
      </c>
      <c r="E191" s="14" t="n">
        <f aca="false">IF(ABS(C191-D191)&lt;0.000000001,1,0)</f>
        <v>1</v>
      </c>
      <c r="F191" s="18" t="n">
        <f aca="false">Grid!AA191</f>
        <v>0</v>
      </c>
      <c r="G191" s="20" t="n">
        <v>0</v>
      </c>
      <c r="H191" s="14" t="n">
        <f aca="false">IF(ABS(F191-G191)&lt;0.000000001,1,0)</f>
        <v>1</v>
      </c>
      <c r="I191" s="18" t="n">
        <f aca="false">Grid!AB191</f>
        <v>2.5</v>
      </c>
      <c r="J191" s="20" t="n">
        <v>2.5</v>
      </c>
      <c r="K191" s="14" t="n">
        <f aca="false">IF(ABS(I191-J191)&lt;0.000000001,1,0)</f>
        <v>1</v>
      </c>
    </row>
    <row r="192" customFormat="false" ht="15" hidden="false" customHeight="false" outlineLevel="0" collapsed="false">
      <c r="A192" s="18" t="n">
        <f aca="false">Grid!A192</f>
        <v>76.75</v>
      </c>
      <c r="B192" s="18" t="n">
        <f aca="false">BestRule!Q192</f>
        <v>0</v>
      </c>
      <c r="C192" s="12" t="n">
        <f aca="false">MIN(Cap_h,MAX(0,ROUND(($O$4-Alpha_keep*A192)/Step_h,0)*Step_h))</f>
        <v>0</v>
      </c>
      <c r="D192" s="20" t="n">
        <v>0</v>
      </c>
      <c r="E192" s="14" t="n">
        <f aca="false">IF(ABS(C192-D192)&lt;0.000000001,1,0)</f>
        <v>1</v>
      </c>
      <c r="F192" s="18" t="n">
        <f aca="false">Grid!AA192</f>
        <v>0</v>
      </c>
      <c r="G192" s="20" t="n">
        <v>0</v>
      </c>
      <c r="H192" s="14" t="n">
        <f aca="false">IF(ABS(F192-G192)&lt;0.000000001,1,0)</f>
        <v>1</v>
      </c>
      <c r="I192" s="18" t="n">
        <f aca="false">Grid!AB192</f>
        <v>2.5</v>
      </c>
      <c r="J192" s="20" t="n">
        <v>2.5</v>
      </c>
      <c r="K192" s="14" t="n">
        <f aca="false">IF(ABS(I192-J192)&lt;0.000000001,1,0)</f>
        <v>1</v>
      </c>
    </row>
    <row r="193" customFormat="false" ht="15" hidden="false" customHeight="false" outlineLevel="0" collapsed="false">
      <c r="A193" s="18" t="n">
        <f aca="false">Grid!A193</f>
        <v>77</v>
      </c>
      <c r="B193" s="18" t="n">
        <f aca="false">BestRule!Q193</f>
        <v>0</v>
      </c>
      <c r="C193" s="12" t="n">
        <f aca="false">MIN(Cap_h,MAX(0,ROUND(($O$4-Alpha_keep*A193)/Step_h,0)*Step_h))</f>
        <v>0</v>
      </c>
      <c r="D193" s="20" t="n">
        <v>0</v>
      </c>
      <c r="E193" s="14" t="n">
        <f aca="false">IF(ABS(C193-D193)&lt;0.000000001,1,0)</f>
        <v>1</v>
      </c>
      <c r="F193" s="18" t="n">
        <f aca="false">Grid!AA193</f>
        <v>0</v>
      </c>
      <c r="G193" s="20" t="n">
        <v>0</v>
      </c>
      <c r="H193" s="14" t="n">
        <f aca="false">IF(ABS(F193-G193)&lt;0.000000001,1,0)</f>
        <v>1</v>
      </c>
      <c r="I193" s="18" t="n">
        <f aca="false">Grid!AB193</f>
        <v>2.5</v>
      </c>
      <c r="J193" s="20" t="n">
        <v>2.5</v>
      </c>
      <c r="K193" s="14" t="n">
        <f aca="false">IF(ABS(I193-J193)&lt;0.000000001,1,0)</f>
        <v>1</v>
      </c>
    </row>
    <row r="194" customFormat="false" ht="15" hidden="false" customHeight="false" outlineLevel="0" collapsed="false">
      <c r="A194" s="18" t="n">
        <f aca="false">Grid!A194</f>
        <v>77.25</v>
      </c>
      <c r="B194" s="18" t="n">
        <f aca="false">BestRule!Q194</f>
        <v>0</v>
      </c>
      <c r="C194" s="12" t="n">
        <f aca="false">MIN(Cap_h,MAX(0,ROUND(($O$4-Alpha_keep*A194)/Step_h,0)*Step_h))</f>
        <v>0</v>
      </c>
      <c r="D194" s="20" t="n">
        <v>0</v>
      </c>
      <c r="E194" s="14" t="n">
        <f aca="false">IF(ABS(C194-D194)&lt;0.000000001,1,0)</f>
        <v>1</v>
      </c>
      <c r="F194" s="18" t="n">
        <f aca="false">Grid!AA194</f>
        <v>0</v>
      </c>
      <c r="G194" s="20" t="n">
        <v>0</v>
      </c>
      <c r="H194" s="14" t="n">
        <f aca="false">IF(ABS(F194-G194)&lt;0.000000001,1,0)</f>
        <v>1</v>
      </c>
      <c r="I194" s="18" t="n">
        <f aca="false">Grid!AB194</f>
        <v>2.5</v>
      </c>
      <c r="J194" s="20" t="n">
        <v>2.5</v>
      </c>
      <c r="K194" s="14" t="n">
        <f aca="false">IF(ABS(I194-J194)&lt;0.000000001,1,0)</f>
        <v>1</v>
      </c>
    </row>
    <row r="195" customFormat="false" ht="15" hidden="false" customHeight="false" outlineLevel="0" collapsed="false">
      <c r="A195" s="18" t="n">
        <f aca="false">Grid!A195</f>
        <v>77.5</v>
      </c>
      <c r="B195" s="18" t="n">
        <f aca="false">BestRule!Q195</f>
        <v>0</v>
      </c>
      <c r="C195" s="12" t="n">
        <f aca="false">MIN(Cap_h,MAX(0,ROUND(($O$4-Alpha_keep*A195)/Step_h,0)*Step_h))</f>
        <v>0</v>
      </c>
      <c r="D195" s="20" t="n">
        <v>0</v>
      </c>
      <c r="E195" s="14" t="n">
        <f aca="false">IF(ABS(C195-D195)&lt;0.000000001,1,0)</f>
        <v>1</v>
      </c>
      <c r="F195" s="18" t="n">
        <f aca="false">Grid!AA195</f>
        <v>0</v>
      </c>
      <c r="G195" s="20" t="n">
        <v>0</v>
      </c>
      <c r="H195" s="14" t="n">
        <f aca="false">IF(ABS(F195-G195)&lt;0.000000001,1,0)</f>
        <v>1</v>
      </c>
      <c r="I195" s="18" t="n">
        <f aca="false">Grid!AB195</f>
        <v>2.5</v>
      </c>
      <c r="J195" s="20" t="n">
        <v>2.5</v>
      </c>
      <c r="K195" s="14" t="n">
        <f aca="false">IF(ABS(I195-J195)&lt;0.000000001,1,0)</f>
        <v>1</v>
      </c>
    </row>
    <row r="196" customFormat="false" ht="15" hidden="false" customHeight="false" outlineLevel="0" collapsed="false">
      <c r="A196" s="18" t="n">
        <f aca="false">Grid!A196</f>
        <v>77.75</v>
      </c>
      <c r="B196" s="18" t="n">
        <f aca="false">BestRule!Q196</f>
        <v>0</v>
      </c>
      <c r="C196" s="12" t="n">
        <f aca="false">MIN(Cap_h,MAX(0,ROUND(($O$4-Alpha_keep*A196)/Step_h,0)*Step_h))</f>
        <v>0</v>
      </c>
      <c r="D196" s="20" t="n">
        <v>0</v>
      </c>
      <c r="E196" s="14" t="n">
        <f aca="false">IF(ABS(C196-D196)&lt;0.000000001,1,0)</f>
        <v>1</v>
      </c>
      <c r="F196" s="18" t="n">
        <f aca="false">Grid!AA196</f>
        <v>0</v>
      </c>
      <c r="G196" s="20" t="n">
        <v>0</v>
      </c>
      <c r="H196" s="14" t="n">
        <f aca="false">IF(ABS(F196-G196)&lt;0.000000001,1,0)</f>
        <v>1</v>
      </c>
      <c r="I196" s="18" t="n">
        <f aca="false">Grid!AB196</f>
        <v>2.5</v>
      </c>
      <c r="J196" s="20" t="n">
        <v>2.5</v>
      </c>
      <c r="K196" s="14" t="n">
        <f aca="false">IF(ABS(I196-J196)&lt;0.000000001,1,0)</f>
        <v>1</v>
      </c>
    </row>
    <row r="197" customFormat="false" ht="15" hidden="false" customHeight="false" outlineLevel="0" collapsed="false">
      <c r="A197" s="18" t="n">
        <f aca="false">Grid!A197</f>
        <v>78</v>
      </c>
      <c r="B197" s="18" t="n">
        <f aca="false">BestRule!Q197</f>
        <v>0</v>
      </c>
      <c r="C197" s="12" t="n">
        <f aca="false">MIN(Cap_h,MAX(0,ROUND(($O$4-Alpha_keep*A197)/Step_h,0)*Step_h))</f>
        <v>0</v>
      </c>
      <c r="D197" s="20" t="n">
        <v>0</v>
      </c>
      <c r="E197" s="14" t="n">
        <f aca="false">IF(ABS(C197-D197)&lt;0.000000001,1,0)</f>
        <v>1</v>
      </c>
      <c r="F197" s="18" t="n">
        <f aca="false">Grid!AA197</f>
        <v>0</v>
      </c>
      <c r="G197" s="20" t="n">
        <v>0</v>
      </c>
      <c r="H197" s="14" t="n">
        <f aca="false">IF(ABS(F197-G197)&lt;0.000000001,1,0)</f>
        <v>1</v>
      </c>
      <c r="I197" s="18" t="n">
        <f aca="false">Grid!AB197</f>
        <v>2.25</v>
      </c>
      <c r="J197" s="20" t="n">
        <v>2.25</v>
      </c>
      <c r="K197" s="14" t="n">
        <f aca="false">IF(ABS(I197-J197)&lt;0.000000001,1,0)</f>
        <v>1</v>
      </c>
    </row>
    <row r="198" customFormat="false" ht="15" hidden="false" customHeight="false" outlineLevel="0" collapsed="false">
      <c r="A198" s="18" t="n">
        <f aca="false">Grid!A198</f>
        <v>78.25</v>
      </c>
      <c r="B198" s="18" t="n">
        <f aca="false">BestRule!Q198</f>
        <v>0</v>
      </c>
      <c r="C198" s="12" t="n">
        <f aca="false">MIN(Cap_h,MAX(0,ROUND(($O$4-Alpha_keep*A198)/Step_h,0)*Step_h))</f>
        <v>0</v>
      </c>
      <c r="D198" s="20" t="n">
        <v>0</v>
      </c>
      <c r="E198" s="14" t="n">
        <f aca="false">IF(ABS(C198-D198)&lt;0.000000001,1,0)</f>
        <v>1</v>
      </c>
      <c r="F198" s="18" t="n">
        <f aca="false">Grid!AA198</f>
        <v>0</v>
      </c>
      <c r="G198" s="20" t="n">
        <v>0</v>
      </c>
      <c r="H198" s="14" t="n">
        <f aca="false">IF(ABS(F198-G198)&lt;0.000000001,1,0)</f>
        <v>1</v>
      </c>
      <c r="I198" s="18" t="n">
        <f aca="false">Grid!AB198</f>
        <v>2</v>
      </c>
      <c r="J198" s="20" t="n">
        <v>2</v>
      </c>
      <c r="K198" s="14" t="n">
        <f aca="false">IF(ABS(I198-J198)&lt;0.000000001,1,0)</f>
        <v>1</v>
      </c>
    </row>
    <row r="199" customFormat="false" ht="15" hidden="false" customHeight="false" outlineLevel="0" collapsed="false">
      <c r="A199" s="18" t="n">
        <f aca="false">Grid!A199</f>
        <v>78.5</v>
      </c>
      <c r="B199" s="18" t="n">
        <f aca="false">BestRule!Q199</f>
        <v>0</v>
      </c>
      <c r="C199" s="12" t="n">
        <f aca="false">MIN(Cap_h,MAX(0,ROUND(($O$4-Alpha_keep*A199)/Step_h,0)*Step_h))</f>
        <v>0</v>
      </c>
      <c r="D199" s="20" t="n">
        <v>0</v>
      </c>
      <c r="E199" s="14" t="n">
        <f aca="false">IF(ABS(C199-D199)&lt;0.000000001,1,0)</f>
        <v>1</v>
      </c>
      <c r="F199" s="18" t="n">
        <f aca="false">Grid!AA199</f>
        <v>0</v>
      </c>
      <c r="G199" s="20" t="n">
        <v>0</v>
      </c>
      <c r="H199" s="14" t="n">
        <f aca="false">IF(ABS(F199-G199)&lt;0.000000001,1,0)</f>
        <v>1</v>
      </c>
      <c r="I199" s="18" t="n">
        <f aca="false">Grid!AB199</f>
        <v>1.75</v>
      </c>
      <c r="J199" s="20" t="n">
        <v>1.75</v>
      </c>
      <c r="K199" s="14" t="n">
        <f aca="false">IF(ABS(I199-J199)&lt;0.000000001,1,0)</f>
        <v>1</v>
      </c>
    </row>
    <row r="200" customFormat="false" ht="15" hidden="false" customHeight="false" outlineLevel="0" collapsed="false">
      <c r="A200" s="18" t="n">
        <f aca="false">Grid!A200</f>
        <v>78.75</v>
      </c>
      <c r="B200" s="18" t="n">
        <f aca="false">BestRule!Q200</f>
        <v>0</v>
      </c>
      <c r="C200" s="12" t="n">
        <f aca="false">MIN(Cap_h,MAX(0,ROUND(($O$4-Alpha_keep*A200)/Step_h,0)*Step_h))</f>
        <v>0</v>
      </c>
      <c r="D200" s="20" t="n">
        <v>0</v>
      </c>
      <c r="E200" s="14" t="n">
        <f aca="false">IF(ABS(C200-D200)&lt;0.000000001,1,0)</f>
        <v>1</v>
      </c>
      <c r="F200" s="18" t="n">
        <f aca="false">Grid!AA200</f>
        <v>0</v>
      </c>
      <c r="G200" s="20" t="n">
        <v>0</v>
      </c>
      <c r="H200" s="14" t="n">
        <f aca="false">IF(ABS(F200-G200)&lt;0.000000001,1,0)</f>
        <v>1</v>
      </c>
      <c r="I200" s="18" t="n">
        <f aca="false">Grid!AB200</f>
        <v>1.5</v>
      </c>
      <c r="J200" s="20" t="n">
        <v>1.5</v>
      </c>
      <c r="K200" s="14" t="n">
        <f aca="false">IF(ABS(I200-J200)&lt;0.000000001,1,0)</f>
        <v>1</v>
      </c>
    </row>
    <row r="201" customFormat="false" ht="15" hidden="false" customHeight="false" outlineLevel="0" collapsed="false">
      <c r="A201" s="18" t="n">
        <f aca="false">Grid!A201</f>
        <v>79</v>
      </c>
      <c r="B201" s="18" t="n">
        <f aca="false">BestRule!Q201</f>
        <v>0</v>
      </c>
      <c r="C201" s="12" t="n">
        <f aca="false">MIN(Cap_h,MAX(0,ROUND(($O$4-Alpha_keep*A201)/Step_h,0)*Step_h))</f>
        <v>0</v>
      </c>
      <c r="D201" s="20" t="n">
        <v>0</v>
      </c>
      <c r="E201" s="14" t="n">
        <f aca="false">IF(ABS(C201-D201)&lt;0.000000001,1,0)</f>
        <v>1</v>
      </c>
      <c r="F201" s="18" t="n">
        <f aca="false">Grid!AA201</f>
        <v>0</v>
      </c>
      <c r="G201" s="20" t="n">
        <v>0</v>
      </c>
      <c r="H201" s="14" t="n">
        <f aca="false">IF(ABS(F201-G201)&lt;0.000000001,1,0)</f>
        <v>1</v>
      </c>
      <c r="I201" s="18" t="n">
        <f aca="false">Grid!AB201</f>
        <v>1.25</v>
      </c>
      <c r="J201" s="20" t="n">
        <v>1.25</v>
      </c>
      <c r="K201" s="14" t="n">
        <f aca="false">IF(ABS(I201-J201)&lt;0.000000001,1,0)</f>
        <v>1</v>
      </c>
    </row>
    <row r="202" customFormat="false" ht="15" hidden="false" customHeight="false" outlineLevel="0" collapsed="false">
      <c r="A202" s="18" t="n">
        <f aca="false">Grid!A202</f>
        <v>79.25</v>
      </c>
      <c r="B202" s="18" t="n">
        <f aca="false">BestRule!Q202</f>
        <v>0</v>
      </c>
      <c r="C202" s="12" t="n">
        <f aca="false">MIN(Cap_h,MAX(0,ROUND(($O$4-Alpha_keep*A202)/Step_h,0)*Step_h))</f>
        <v>0</v>
      </c>
      <c r="D202" s="20" t="n">
        <v>0</v>
      </c>
      <c r="E202" s="14" t="n">
        <f aca="false">IF(ABS(C202-D202)&lt;0.000000001,1,0)</f>
        <v>1</v>
      </c>
      <c r="F202" s="18" t="n">
        <f aca="false">Grid!AA202</f>
        <v>0</v>
      </c>
      <c r="G202" s="20" t="n">
        <v>0</v>
      </c>
      <c r="H202" s="14" t="n">
        <f aca="false">IF(ABS(F202-G202)&lt;0.000000001,1,0)</f>
        <v>1</v>
      </c>
      <c r="I202" s="18" t="n">
        <f aca="false">Grid!AB202</f>
        <v>1</v>
      </c>
      <c r="J202" s="20" t="n">
        <v>1</v>
      </c>
      <c r="K202" s="14" t="n">
        <f aca="false">IF(ABS(I202-J202)&lt;0.000000001,1,0)</f>
        <v>1</v>
      </c>
    </row>
    <row r="203" customFormat="false" ht="15" hidden="false" customHeight="false" outlineLevel="0" collapsed="false">
      <c r="A203" s="18" t="n">
        <f aca="false">Grid!A203</f>
        <v>79.5</v>
      </c>
      <c r="B203" s="18" t="n">
        <f aca="false">BestRule!Q203</f>
        <v>0</v>
      </c>
      <c r="C203" s="12" t="n">
        <f aca="false">MIN(Cap_h,MAX(0,ROUND(($O$4-Alpha_keep*A203)/Step_h,0)*Step_h))</f>
        <v>0</v>
      </c>
      <c r="D203" s="20" t="n">
        <v>0</v>
      </c>
      <c r="E203" s="14" t="n">
        <f aca="false">IF(ABS(C203-D203)&lt;0.000000001,1,0)</f>
        <v>1</v>
      </c>
      <c r="F203" s="18" t="n">
        <f aca="false">Grid!AA203</f>
        <v>0</v>
      </c>
      <c r="G203" s="20" t="n">
        <v>0</v>
      </c>
      <c r="H203" s="14" t="n">
        <f aca="false">IF(ABS(F203-G203)&lt;0.000000001,1,0)</f>
        <v>1</v>
      </c>
      <c r="I203" s="18" t="n">
        <f aca="false">Grid!AB203</f>
        <v>0.75</v>
      </c>
      <c r="J203" s="20" t="n">
        <v>0.75</v>
      </c>
      <c r="K203" s="14" t="n">
        <f aca="false">IF(ABS(I203-J203)&lt;0.000000001,1,0)</f>
        <v>1</v>
      </c>
    </row>
    <row r="204" customFormat="false" ht="15" hidden="false" customHeight="false" outlineLevel="0" collapsed="false">
      <c r="A204" s="18" t="n">
        <f aca="false">Grid!A204</f>
        <v>79.75</v>
      </c>
      <c r="B204" s="18" t="n">
        <f aca="false">BestRule!Q204</f>
        <v>0</v>
      </c>
      <c r="C204" s="12" t="n">
        <f aca="false">MIN(Cap_h,MAX(0,ROUND(($O$4-Alpha_keep*A204)/Step_h,0)*Step_h))</f>
        <v>0</v>
      </c>
      <c r="D204" s="20" t="n">
        <v>0</v>
      </c>
      <c r="E204" s="14" t="n">
        <f aca="false">IF(ABS(C204-D204)&lt;0.000000001,1,0)</f>
        <v>1</v>
      </c>
      <c r="F204" s="18" t="n">
        <f aca="false">Grid!AA204</f>
        <v>0</v>
      </c>
      <c r="G204" s="20" t="n">
        <v>0</v>
      </c>
      <c r="H204" s="14" t="n">
        <f aca="false">IF(ABS(F204-G204)&lt;0.000000001,1,0)</f>
        <v>1</v>
      </c>
      <c r="I204" s="18" t="n">
        <f aca="false">Grid!AB204</f>
        <v>0.5</v>
      </c>
      <c r="J204" s="20" t="n">
        <v>0.5</v>
      </c>
      <c r="K204" s="14" t="n">
        <f aca="false">IF(ABS(I204-J204)&lt;0.000000001,1,0)</f>
        <v>1</v>
      </c>
    </row>
    <row r="205" customFormat="false" ht="15" hidden="false" customHeight="false" outlineLevel="0" collapsed="false">
      <c r="A205" s="18" t="n">
        <f aca="false">Grid!A205</f>
        <v>80</v>
      </c>
      <c r="B205" s="18" t="n">
        <f aca="false">BestRule!Q205</f>
        <v>0</v>
      </c>
      <c r="C205" s="12" t="n">
        <f aca="false">MIN(Cap_h,MAX(0,ROUND(($O$4-Alpha_keep*A205)/Step_h,0)*Step_h))</f>
        <v>0</v>
      </c>
      <c r="D205" s="20" t="n">
        <v>0</v>
      </c>
      <c r="E205" s="14" t="n">
        <f aca="false">IF(ABS(C205-D205)&lt;0.000000001,1,0)</f>
        <v>1</v>
      </c>
      <c r="F205" s="18" t="n">
        <f aca="false">Grid!AA205</f>
        <v>0</v>
      </c>
      <c r="G205" s="20" t="n">
        <v>0</v>
      </c>
      <c r="H205" s="14" t="n">
        <f aca="false">IF(ABS(F205-G205)&lt;0.000000001,1,0)</f>
        <v>1</v>
      </c>
      <c r="I205" s="18" t="n">
        <f aca="false">Grid!AB205</f>
        <v>0.5</v>
      </c>
      <c r="J205" s="20" t="n">
        <v>0.5</v>
      </c>
      <c r="K205" s="14" t="n">
        <f aca="false">IF(ABS(I205-J205)&lt;0.000000001,1,0)</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1" min="2" style="0" width="9"/>
    <col collapsed="false" customWidth="true" hidden="false" outlineLevel="0" max="22" min="22" style="0" width="12"/>
    <col collapsed="false" customWidth="true" hidden="false" outlineLevel="0" max="23" min="23" style="0" width="3"/>
    <col collapsed="false" customWidth="true" hidden="false" outlineLevel="0" max="24" min="24" style="0" width="52"/>
    <col collapsed="false" customWidth="true" hidden="false" outlineLevel="0" max="27" min="25" style="0" width="12"/>
    <col collapsed="false" customWidth="true" hidden="false" outlineLevel="0" max="28" min="28" style="0" width="14"/>
    <col collapsed="false" customWidth="true" hidden="false" outlineLevel="0" max="29" min="29" style="0" width="12"/>
    <col collapsed="false" customWidth="true" hidden="false" outlineLevel="0" max="30" min="30" style="0" width="16"/>
  </cols>
  <sheetData>
    <row r="1" customFormat="false" ht="15" hidden="false" customHeight="false" outlineLevel="0" collapsed="false">
      <c r="A1" s="1" t="s">
        <v>202</v>
      </c>
    </row>
    <row r="2" customFormat="false" ht="15" hidden="false" customHeight="false" outlineLevel="0" collapsed="false">
      <c r="A2" s="10" t="s">
        <v>203</v>
      </c>
    </row>
    <row r="4" customFormat="false" ht="35.05" hidden="false" customHeight="false" outlineLevel="0" collapsed="false">
      <c r="A4" s="8" t="s">
        <v>133</v>
      </c>
      <c r="B4" s="8" t="s">
        <v>204</v>
      </c>
      <c r="C4" s="8" t="s">
        <v>205</v>
      </c>
      <c r="D4" s="8" t="s">
        <v>206</v>
      </c>
      <c r="E4" s="8" t="s">
        <v>207</v>
      </c>
      <c r="F4" s="8" t="s">
        <v>208</v>
      </c>
      <c r="G4" s="8" t="s">
        <v>209</v>
      </c>
      <c r="H4" s="8" t="s">
        <v>210</v>
      </c>
      <c r="I4" s="8" t="s">
        <v>211</v>
      </c>
      <c r="J4" s="8" t="s">
        <v>212</v>
      </c>
      <c r="K4" s="8" t="s">
        <v>213</v>
      </c>
      <c r="L4" s="8" t="s">
        <v>214</v>
      </c>
      <c r="M4" s="8" t="s">
        <v>215</v>
      </c>
      <c r="N4" s="8" t="s">
        <v>216</v>
      </c>
      <c r="O4" s="8" t="s">
        <v>217</v>
      </c>
      <c r="P4" s="8" t="s">
        <v>218</v>
      </c>
      <c r="Q4" s="8" t="s">
        <v>219</v>
      </c>
      <c r="R4" s="8" t="s">
        <v>220</v>
      </c>
      <c r="S4" s="8" t="s">
        <v>221</v>
      </c>
      <c r="T4" s="8" t="s">
        <v>222</v>
      </c>
      <c r="U4" s="8" t="s">
        <v>223</v>
      </c>
      <c r="V4" s="8" t="s">
        <v>224</v>
      </c>
      <c r="X4" s="8" t="s">
        <v>225</v>
      </c>
      <c r="Y4" s="8" t="s">
        <v>226</v>
      </c>
      <c r="Z4" s="8" t="s">
        <v>227</v>
      </c>
      <c r="AA4" s="8" t="s">
        <v>228</v>
      </c>
      <c r="AB4" s="8" t="s">
        <v>229</v>
      </c>
      <c r="AC4" s="8" t="s">
        <v>230</v>
      </c>
      <c r="AD4" s="8" t="s">
        <v>231</v>
      </c>
    </row>
    <row r="5" customFormat="false" ht="15" hidden="false" customHeight="false" outlineLevel="0" collapsed="false">
      <c r="A5" s="18" t="n">
        <f aca="false">Grid!A5</f>
        <v>30</v>
      </c>
      <c r="B5" s="20" t="n">
        <v>2.25</v>
      </c>
      <c r="C5" s="20" t="n">
        <v>2.25</v>
      </c>
      <c r="D5" s="20" t="n">
        <v>2.5</v>
      </c>
      <c r="E5" s="20" t="n">
        <v>2.5</v>
      </c>
      <c r="F5" s="20" t="n">
        <v>2.5</v>
      </c>
      <c r="G5" s="20" t="n">
        <v>2.25</v>
      </c>
      <c r="H5" s="20" t="n">
        <v>2.25</v>
      </c>
      <c r="I5" s="20" t="n">
        <v>2.5</v>
      </c>
      <c r="J5" s="20" t="n">
        <v>2.5</v>
      </c>
      <c r="K5" s="20" t="n">
        <v>2.25</v>
      </c>
      <c r="L5" s="14" t="n">
        <f aca="false">1-INDEX(GuardBlock,1,ROUND(B5/Step_h,0)+1)</f>
        <v>1</v>
      </c>
      <c r="M5" s="14" t="n">
        <f aca="false">1-INDEX(GuardBlock,1,ROUND(C5/Step_h,0)+1)</f>
        <v>1</v>
      </c>
      <c r="N5" s="14" t="n">
        <f aca="false">1-INDEX(GuardBlock,1,ROUND(D5/Step_h,0)+1)</f>
        <v>0</v>
      </c>
      <c r="O5" s="14" t="n">
        <f aca="false">1-INDEX(GuardBlock,1,ROUND(E5/Step_h,0)+1)</f>
        <v>0</v>
      </c>
      <c r="P5" s="14" t="n">
        <f aca="false">1-INDEX(GuardBlock,1,ROUND(F5/Step_h,0)+1)</f>
        <v>0</v>
      </c>
      <c r="Q5" s="14" t="n">
        <f aca="false">1-INDEX(GuardBlock,1,ROUND(G5/Step_h,0)+1)</f>
        <v>1</v>
      </c>
      <c r="R5" s="14" t="n">
        <f aca="false">1-INDEX(GuardBlock,1,ROUND(H5/Step_h,0)+1)</f>
        <v>1</v>
      </c>
      <c r="S5" s="14" t="n">
        <f aca="false">1-INDEX(GuardBlock,1,ROUND(I5/Step_h,0)+1)</f>
        <v>0</v>
      </c>
      <c r="T5" s="14" t="n">
        <f aca="false">1-INDEX(GuardBlock,1,ROUND(J5/Step_h,0)+1)</f>
        <v>0</v>
      </c>
      <c r="U5" s="14" t="n">
        <f aca="false">1-INDEX(GuardBlock,1,ROUND(K5/Step_h,0)+1)</f>
        <v>1</v>
      </c>
      <c r="V5" s="28" t="n">
        <f aca="false">BestRule!W5</f>
        <v>0</v>
      </c>
      <c r="X5" s="14" t="n">
        <v>1</v>
      </c>
      <c r="Y5" s="14" t="n">
        <f aca="false">SUM(L5:L205)</f>
        <v>84</v>
      </c>
      <c r="Z5" s="12" t="n">
        <f aca="false">_xlfn.MAXIFS($A$5:$A$205,L5:L205,1)</f>
        <v>53</v>
      </c>
      <c r="AA5" s="29" t="n">
        <f aca="false">COUNTIFS(L5:L205,1,$A$5:$A$205,"&lt;45")/Y5</f>
        <v>0.690476190476191</v>
      </c>
      <c r="AB5" s="30" t="n">
        <f aca="false">SUMPRODUCT(L5:L205,$V$5:$V$205)</f>
        <v>1.61083235307849E-006</v>
      </c>
      <c r="AC5" s="20" t="n">
        <v>0.173377456688883</v>
      </c>
      <c r="AD5" s="26" t="n">
        <v>3</v>
      </c>
    </row>
    <row r="6" customFormat="false" ht="15" hidden="false" customHeight="false" outlineLevel="0" collapsed="false">
      <c r="A6" s="18" t="n">
        <f aca="false">Grid!A6</f>
        <v>30.25</v>
      </c>
      <c r="B6" s="20" t="n">
        <v>2.25</v>
      </c>
      <c r="C6" s="20" t="n">
        <v>2.5</v>
      </c>
      <c r="D6" s="20" t="n">
        <v>2.25</v>
      </c>
      <c r="E6" s="20" t="n">
        <v>2.5</v>
      </c>
      <c r="F6" s="20" t="n">
        <v>2.25</v>
      </c>
      <c r="G6" s="20" t="n">
        <v>2.5</v>
      </c>
      <c r="H6" s="20" t="n">
        <v>2.5</v>
      </c>
      <c r="I6" s="20" t="n">
        <v>2.25</v>
      </c>
      <c r="J6" s="20" t="n">
        <v>2.25</v>
      </c>
      <c r="K6" s="20" t="n">
        <v>2.5</v>
      </c>
      <c r="L6" s="14" t="n">
        <f aca="false">1-INDEX(GuardBlock,2,ROUND(B6/Step_h,0)+1)</f>
        <v>1</v>
      </c>
      <c r="M6" s="14" t="n">
        <f aca="false">1-INDEX(GuardBlock,2,ROUND(C6/Step_h,0)+1)</f>
        <v>0</v>
      </c>
      <c r="N6" s="14" t="n">
        <f aca="false">1-INDEX(GuardBlock,2,ROUND(D6/Step_h,0)+1)</f>
        <v>1</v>
      </c>
      <c r="O6" s="14" t="n">
        <f aca="false">1-INDEX(GuardBlock,2,ROUND(E6/Step_h,0)+1)</f>
        <v>0</v>
      </c>
      <c r="P6" s="14" t="n">
        <f aca="false">1-INDEX(GuardBlock,2,ROUND(F6/Step_h,0)+1)</f>
        <v>1</v>
      </c>
      <c r="Q6" s="14" t="n">
        <f aca="false">1-INDEX(GuardBlock,2,ROUND(G6/Step_h,0)+1)</f>
        <v>0</v>
      </c>
      <c r="R6" s="14" t="n">
        <f aca="false">1-INDEX(GuardBlock,2,ROUND(H6/Step_h,0)+1)</f>
        <v>0</v>
      </c>
      <c r="S6" s="14" t="n">
        <f aca="false">1-INDEX(GuardBlock,2,ROUND(I6/Step_h,0)+1)</f>
        <v>1</v>
      </c>
      <c r="T6" s="14" t="n">
        <f aca="false">1-INDEX(GuardBlock,2,ROUND(J6/Step_h,0)+1)</f>
        <v>1</v>
      </c>
      <c r="U6" s="14" t="n">
        <f aca="false">1-INDEX(GuardBlock,2,ROUND(K6/Step_h,0)+1)</f>
        <v>0</v>
      </c>
      <c r="V6" s="28" t="n">
        <f aca="false">BestRule!W6</f>
        <v>0</v>
      </c>
      <c r="X6" s="14" t="n">
        <v>2</v>
      </c>
      <c r="Y6" s="14" t="n">
        <f aca="false">SUM(M5:M205)</f>
        <v>77</v>
      </c>
      <c r="Z6" s="12" t="n">
        <f aca="false">_xlfn.MAXIFS($A$5:$A$205,M5:M205,1)</f>
        <v>52</v>
      </c>
      <c r="AA6" s="29" t="n">
        <f aca="false">COUNTIFS(M5:M205,1,$A$5:$A$205,"&lt;45")/Y6</f>
        <v>0.701298701298701</v>
      </c>
      <c r="AB6" s="30" t="n">
        <f aca="false">SUMPRODUCT(M5:M205,$V$5:$V$205)</f>
        <v>5.72343089725092E-010</v>
      </c>
      <c r="AC6" s="20" t="n">
        <v>0.290371869682531</v>
      </c>
      <c r="AD6" s="26" t="n">
        <v>3</v>
      </c>
    </row>
    <row r="7" customFormat="false" ht="15" hidden="false" customHeight="false" outlineLevel="0" collapsed="false">
      <c r="A7" s="18" t="n">
        <f aca="false">Grid!A7</f>
        <v>30.5</v>
      </c>
      <c r="B7" s="20" t="n">
        <v>2.5</v>
      </c>
      <c r="C7" s="20" t="n">
        <v>2.25</v>
      </c>
      <c r="D7" s="20" t="n">
        <v>2</v>
      </c>
      <c r="E7" s="20" t="n">
        <v>2.5</v>
      </c>
      <c r="F7" s="20" t="n">
        <v>2.25</v>
      </c>
      <c r="G7" s="20" t="n">
        <v>2.5</v>
      </c>
      <c r="H7" s="20" t="n">
        <v>2.25</v>
      </c>
      <c r="I7" s="20" t="n">
        <v>2</v>
      </c>
      <c r="J7" s="20" t="n">
        <v>2</v>
      </c>
      <c r="K7" s="20" t="n">
        <v>2.25</v>
      </c>
      <c r="L7" s="14" t="n">
        <f aca="false">1-INDEX(GuardBlock,3,ROUND(B7/Step_h,0)+1)</f>
        <v>0</v>
      </c>
      <c r="M7" s="14" t="n">
        <f aca="false">1-INDEX(GuardBlock,3,ROUND(C7/Step_h,0)+1)</f>
        <v>1</v>
      </c>
      <c r="N7" s="14" t="n">
        <f aca="false">1-INDEX(GuardBlock,3,ROUND(D7/Step_h,0)+1)</f>
        <v>1</v>
      </c>
      <c r="O7" s="14" t="n">
        <f aca="false">1-INDEX(GuardBlock,3,ROUND(E7/Step_h,0)+1)</f>
        <v>0</v>
      </c>
      <c r="P7" s="14" t="n">
        <f aca="false">1-INDEX(GuardBlock,3,ROUND(F7/Step_h,0)+1)</f>
        <v>1</v>
      </c>
      <c r="Q7" s="14" t="n">
        <f aca="false">1-INDEX(GuardBlock,3,ROUND(G7/Step_h,0)+1)</f>
        <v>0</v>
      </c>
      <c r="R7" s="14" t="n">
        <f aca="false">1-INDEX(GuardBlock,3,ROUND(H7/Step_h,0)+1)</f>
        <v>1</v>
      </c>
      <c r="S7" s="14" t="n">
        <f aca="false">1-INDEX(GuardBlock,3,ROUND(I7/Step_h,0)+1)</f>
        <v>1</v>
      </c>
      <c r="T7" s="14" t="n">
        <f aca="false">1-INDEX(GuardBlock,3,ROUND(J7/Step_h,0)+1)</f>
        <v>1</v>
      </c>
      <c r="U7" s="14" t="n">
        <f aca="false">1-INDEX(GuardBlock,3,ROUND(K7/Step_h,0)+1)</f>
        <v>1</v>
      </c>
      <c r="V7" s="28" t="n">
        <f aca="false">BestRule!W7</f>
        <v>0</v>
      </c>
      <c r="X7" s="14" t="n">
        <v>3</v>
      </c>
      <c r="Y7" s="14" t="n">
        <f aca="false">SUM(N5:N205)</f>
        <v>74</v>
      </c>
      <c r="Z7" s="12" t="n">
        <f aca="false">_xlfn.MAXIFS($A$5:$A$205,N5:N205,1)</f>
        <v>54.25</v>
      </c>
      <c r="AA7" s="29" t="n">
        <f aca="false">COUNTIFS(N5:N205,1,$A$5:$A$205,"&lt;45")/Y7</f>
        <v>0.689189189189189</v>
      </c>
      <c r="AB7" s="30" t="n">
        <f aca="false">SUMPRODUCT(N5:N205,$V$5:$V$205)</f>
        <v>0.0281024360230972</v>
      </c>
      <c r="AC7" s="20" t="n">
        <v>0.64850251841014</v>
      </c>
      <c r="AD7" s="26" t="n">
        <v>3</v>
      </c>
    </row>
    <row r="8" customFormat="false" ht="15" hidden="false" customHeight="false" outlineLevel="0" collapsed="false">
      <c r="A8" s="18" t="n">
        <f aca="false">Grid!A8</f>
        <v>30.75</v>
      </c>
      <c r="B8" s="20" t="n">
        <v>1.75</v>
      </c>
      <c r="C8" s="20" t="n">
        <v>1.75</v>
      </c>
      <c r="D8" s="20" t="n">
        <v>1.75</v>
      </c>
      <c r="E8" s="20" t="n">
        <v>2.5</v>
      </c>
      <c r="F8" s="20" t="n">
        <v>2.5</v>
      </c>
      <c r="G8" s="20" t="n">
        <v>2.5</v>
      </c>
      <c r="H8" s="20" t="n">
        <v>2.5</v>
      </c>
      <c r="I8" s="20" t="n">
        <v>2</v>
      </c>
      <c r="J8" s="20" t="n">
        <v>2.5</v>
      </c>
      <c r="K8" s="20" t="n">
        <v>1.75</v>
      </c>
      <c r="L8" s="14" t="n">
        <f aca="false">1-INDEX(GuardBlock,4,ROUND(B8/Step_h,0)+1)</f>
        <v>1</v>
      </c>
      <c r="M8" s="14" t="n">
        <f aca="false">1-INDEX(GuardBlock,4,ROUND(C8/Step_h,0)+1)</f>
        <v>1</v>
      </c>
      <c r="N8" s="14" t="n">
        <f aca="false">1-INDEX(GuardBlock,4,ROUND(D8/Step_h,0)+1)</f>
        <v>1</v>
      </c>
      <c r="O8" s="14" t="n">
        <f aca="false">1-INDEX(GuardBlock,4,ROUND(E8/Step_h,0)+1)</f>
        <v>0</v>
      </c>
      <c r="P8" s="14" t="n">
        <f aca="false">1-INDEX(GuardBlock,4,ROUND(F8/Step_h,0)+1)</f>
        <v>0</v>
      </c>
      <c r="Q8" s="14" t="n">
        <f aca="false">1-INDEX(GuardBlock,4,ROUND(G8/Step_h,0)+1)</f>
        <v>0</v>
      </c>
      <c r="R8" s="14" t="n">
        <f aca="false">1-INDEX(GuardBlock,4,ROUND(H8/Step_h,0)+1)</f>
        <v>0</v>
      </c>
      <c r="S8" s="14" t="n">
        <f aca="false">1-INDEX(GuardBlock,4,ROUND(I8/Step_h,0)+1)</f>
        <v>1</v>
      </c>
      <c r="T8" s="14" t="n">
        <f aca="false">1-INDEX(GuardBlock,4,ROUND(J8/Step_h,0)+1)</f>
        <v>0</v>
      </c>
      <c r="U8" s="14" t="n">
        <f aca="false">1-INDEX(GuardBlock,4,ROUND(K8/Step_h,0)+1)</f>
        <v>1</v>
      </c>
      <c r="V8" s="28" t="n">
        <f aca="false">BestRule!W8</f>
        <v>0</v>
      </c>
      <c r="X8" s="14" t="n">
        <v>4</v>
      </c>
      <c r="Y8" s="14" t="n">
        <f aca="false">SUM(O5:O205)</f>
        <v>76</v>
      </c>
      <c r="Z8" s="12" t="n">
        <f aca="false">_xlfn.MAXIFS($A$5:$A$205,O5:O205,1)</f>
        <v>53.5</v>
      </c>
      <c r="AA8" s="29" t="n">
        <f aca="false">COUNTIFS(O5:O205,1,$A$5:$A$205,"&lt;45")/Y8</f>
        <v>0.697368421052632</v>
      </c>
      <c r="AB8" s="30" t="n">
        <f aca="false">SUMPRODUCT(O5:O205,$V$5:$V$205)</f>
        <v>4.85237285592593E-005</v>
      </c>
      <c r="AC8" s="20" t="n">
        <v>1.40012135331875</v>
      </c>
      <c r="AD8" s="26" t="n">
        <v>3</v>
      </c>
    </row>
    <row r="9" customFormat="false" ht="15" hidden="false" customHeight="false" outlineLevel="0" collapsed="false">
      <c r="A9" s="18" t="n">
        <f aca="false">Grid!A9</f>
        <v>31</v>
      </c>
      <c r="B9" s="20" t="n">
        <v>1.75</v>
      </c>
      <c r="C9" s="20" t="n">
        <v>1.5</v>
      </c>
      <c r="D9" s="20" t="n">
        <v>2.5</v>
      </c>
      <c r="E9" s="20" t="n">
        <v>2.25</v>
      </c>
      <c r="F9" s="20" t="n">
        <v>1.75</v>
      </c>
      <c r="G9" s="20" t="n">
        <v>1.5</v>
      </c>
      <c r="H9" s="20" t="n">
        <v>1.75</v>
      </c>
      <c r="I9" s="20" t="n">
        <v>1.75</v>
      </c>
      <c r="J9" s="20" t="n">
        <v>1.75</v>
      </c>
      <c r="K9" s="20" t="n">
        <v>2.25</v>
      </c>
      <c r="L9" s="14" t="n">
        <f aca="false">1-INDEX(GuardBlock,5,ROUND(B9/Step_h,0)+1)</f>
        <v>1</v>
      </c>
      <c r="M9" s="14" t="n">
        <f aca="false">1-INDEX(GuardBlock,5,ROUND(C9/Step_h,0)+1)</f>
        <v>1</v>
      </c>
      <c r="N9" s="14" t="n">
        <f aca="false">1-INDEX(GuardBlock,5,ROUND(D9/Step_h,0)+1)</f>
        <v>0</v>
      </c>
      <c r="O9" s="14" t="n">
        <f aca="false">1-INDEX(GuardBlock,5,ROUND(E9/Step_h,0)+1)</f>
        <v>1</v>
      </c>
      <c r="P9" s="14" t="n">
        <f aca="false">1-INDEX(GuardBlock,5,ROUND(F9/Step_h,0)+1)</f>
        <v>1</v>
      </c>
      <c r="Q9" s="14" t="n">
        <f aca="false">1-INDEX(GuardBlock,5,ROUND(G9/Step_h,0)+1)</f>
        <v>1</v>
      </c>
      <c r="R9" s="14" t="n">
        <f aca="false">1-INDEX(GuardBlock,5,ROUND(H9/Step_h,0)+1)</f>
        <v>1</v>
      </c>
      <c r="S9" s="14" t="n">
        <f aca="false">1-INDEX(GuardBlock,5,ROUND(I9/Step_h,0)+1)</f>
        <v>1</v>
      </c>
      <c r="T9" s="14" t="n">
        <f aca="false">1-INDEX(GuardBlock,5,ROUND(J9/Step_h,0)+1)</f>
        <v>1</v>
      </c>
      <c r="U9" s="14" t="n">
        <f aca="false">1-INDEX(GuardBlock,5,ROUND(K9/Step_h,0)+1)</f>
        <v>1</v>
      </c>
      <c r="V9" s="28" t="n">
        <f aca="false">BestRule!W9</f>
        <v>0</v>
      </c>
      <c r="X9" s="14" t="n">
        <v>5</v>
      </c>
      <c r="Y9" s="14" t="n">
        <f aca="false">SUM(P5:P205)</f>
        <v>76</v>
      </c>
      <c r="Z9" s="12" t="n">
        <f aca="false">_xlfn.MAXIFS($A$5:$A$205,P5:P205,1)</f>
        <v>53</v>
      </c>
      <c r="AA9" s="29" t="n">
        <f aca="false">COUNTIFS(P5:P205,1,$A$5:$A$205,"&lt;45")/Y9</f>
        <v>0.710526315789474</v>
      </c>
      <c r="AB9" s="30" t="n">
        <f aca="false">SUMPRODUCT(P5:P205,$V$5:$V$205)</f>
        <v>1.33383452837435E-006</v>
      </c>
      <c r="AC9" s="20" t="n">
        <v>0.375040373352817</v>
      </c>
      <c r="AD9" s="26" t="n">
        <v>3</v>
      </c>
    </row>
    <row r="10" customFormat="false" ht="15" hidden="false" customHeight="false" outlineLevel="0" collapsed="false">
      <c r="A10" s="18" t="n">
        <f aca="false">Grid!A10</f>
        <v>31.25</v>
      </c>
      <c r="B10" s="20" t="n">
        <v>2.5</v>
      </c>
      <c r="C10" s="20" t="n">
        <v>1.75</v>
      </c>
      <c r="D10" s="20" t="n">
        <v>2</v>
      </c>
      <c r="E10" s="20" t="n">
        <v>2.25</v>
      </c>
      <c r="F10" s="20" t="n">
        <v>1.75</v>
      </c>
      <c r="G10" s="20" t="n">
        <v>1.5</v>
      </c>
      <c r="H10" s="20" t="n">
        <v>1.75</v>
      </c>
      <c r="I10" s="20" t="n">
        <v>2.5</v>
      </c>
      <c r="J10" s="20" t="n">
        <v>2.25</v>
      </c>
      <c r="K10" s="20" t="n">
        <v>1.5</v>
      </c>
      <c r="L10" s="14" t="n">
        <f aca="false">1-INDEX(GuardBlock,6,ROUND(B10/Step_h,0)+1)</f>
        <v>0</v>
      </c>
      <c r="M10" s="14" t="n">
        <f aca="false">1-INDEX(GuardBlock,6,ROUND(C10/Step_h,0)+1)</f>
        <v>1</v>
      </c>
      <c r="N10" s="14" t="n">
        <f aca="false">1-INDEX(GuardBlock,6,ROUND(D10/Step_h,0)+1)</f>
        <v>1</v>
      </c>
      <c r="O10" s="14" t="n">
        <f aca="false">1-INDEX(GuardBlock,6,ROUND(E10/Step_h,0)+1)</f>
        <v>1</v>
      </c>
      <c r="P10" s="14" t="n">
        <f aca="false">1-INDEX(GuardBlock,6,ROUND(F10/Step_h,0)+1)</f>
        <v>1</v>
      </c>
      <c r="Q10" s="14" t="n">
        <f aca="false">1-INDEX(GuardBlock,6,ROUND(G10/Step_h,0)+1)</f>
        <v>1</v>
      </c>
      <c r="R10" s="14" t="n">
        <f aca="false">1-INDEX(GuardBlock,6,ROUND(H10/Step_h,0)+1)</f>
        <v>1</v>
      </c>
      <c r="S10" s="14" t="n">
        <f aca="false">1-INDEX(GuardBlock,6,ROUND(I10/Step_h,0)+1)</f>
        <v>0</v>
      </c>
      <c r="T10" s="14" t="n">
        <f aca="false">1-INDEX(GuardBlock,6,ROUND(J10/Step_h,0)+1)</f>
        <v>1</v>
      </c>
      <c r="U10" s="14" t="n">
        <f aca="false">1-INDEX(GuardBlock,6,ROUND(K10/Step_h,0)+1)</f>
        <v>1</v>
      </c>
      <c r="V10" s="28" t="n">
        <f aca="false">BestRule!W10</f>
        <v>0</v>
      </c>
      <c r="X10" s="14" t="n">
        <v>6</v>
      </c>
      <c r="Y10" s="14" t="n">
        <f aca="false">SUM(Q5:Q205)</f>
        <v>75</v>
      </c>
      <c r="Z10" s="12" t="n">
        <f aca="false">_xlfn.MAXIFS($A$5:$A$205,Q5:Q205,1)</f>
        <v>52.25</v>
      </c>
      <c r="AA10" s="29" t="n">
        <f aca="false">COUNTIFS(Q5:Q205,1,$A$5:$A$205,"&lt;45")/Y10</f>
        <v>0.68</v>
      </c>
      <c r="AB10" s="30" t="n">
        <f aca="false">SUMPRODUCT(Q5:Q205,$V$5:$V$205)</f>
        <v>4.9961505662679E-009</v>
      </c>
      <c r="AC10" s="20" t="n">
        <v>0.631458403485766</v>
      </c>
      <c r="AD10" s="26" t="n">
        <v>4</v>
      </c>
    </row>
    <row r="11" customFormat="false" ht="15" hidden="false" customHeight="false" outlineLevel="0" collapsed="false">
      <c r="A11" s="18" t="n">
        <f aca="false">Grid!A11</f>
        <v>31.5</v>
      </c>
      <c r="B11" s="20" t="n">
        <v>1.25</v>
      </c>
      <c r="C11" s="20" t="n">
        <v>2.25</v>
      </c>
      <c r="D11" s="20" t="n">
        <v>1</v>
      </c>
      <c r="E11" s="20" t="n">
        <v>1.25</v>
      </c>
      <c r="F11" s="20" t="n">
        <v>1.75</v>
      </c>
      <c r="G11" s="20" t="n">
        <v>1.75</v>
      </c>
      <c r="H11" s="20" t="n">
        <v>1.25</v>
      </c>
      <c r="I11" s="20" t="n">
        <v>2</v>
      </c>
      <c r="J11" s="20" t="n">
        <v>1.25</v>
      </c>
      <c r="K11" s="20" t="n">
        <v>1.25</v>
      </c>
      <c r="L11" s="14" t="n">
        <f aca="false">1-INDEX(GuardBlock,7,ROUND(B11/Step_h,0)+1)</f>
        <v>1</v>
      </c>
      <c r="M11" s="14" t="n">
        <f aca="false">1-INDEX(GuardBlock,7,ROUND(C11/Step_h,0)+1)</f>
        <v>1</v>
      </c>
      <c r="N11" s="14" t="n">
        <f aca="false">1-INDEX(GuardBlock,7,ROUND(D11/Step_h,0)+1)</f>
        <v>1</v>
      </c>
      <c r="O11" s="14" t="n">
        <f aca="false">1-INDEX(GuardBlock,7,ROUND(E11/Step_h,0)+1)</f>
        <v>1</v>
      </c>
      <c r="P11" s="14" t="n">
        <f aca="false">1-INDEX(GuardBlock,7,ROUND(F11/Step_h,0)+1)</f>
        <v>1</v>
      </c>
      <c r="Q11" s="14" t="n">
        <f aca="false">1-INDEX(GuardBlock,7,ROUND(G11/Step_h,0)+1)</f>
        <v>1</v>
      </c>
      <c r="R11" s="14" t="n">
        <f aca="false">1-INDEX(GuardBlock,7,ROUND(H11/Step_h,0)+1)</f>
        <v>1</v>
      </c>
      <c r="S11" s="14" t="n">
        <f aca="false">1-INDEX(GuardBlock,7,ROUND(I11/Step_h,0)+1)</f>
        <v>1</v>
      </c>
      <c r="T11" s="14" t="n">
        <f aca="false">1-INDEX(GuardBlock,7,ROUND(J11/Step_h,0)+1)</f>
        <v>1</v>
      </c>
      <c r="U11" s="14" t="n">
        <f aca="false">1-INDEX(GuardBlock,7,ROUND(K11/Step_h,0)+1)</f>
        <v>1</v>
      </c>
      <c r="V11" s="28" t="n">
        <f aca="false">BestRule!W11</f>
        <v>0</v>
      </c>
      <c r="X11" s="14" t="n">
        <v>7</v>
      </c>
      <c r="Y11" s="14" t="n">
        <f aca="false">SUM(R5:R205)</f>
        <v>78</v>
      </c>
      <c r="Z11" s="12" t="n">
        <f aca="false">_xlfn.MAXIFS($A$5:$A$205,R5:R205,1)</f>
        <v>52.75</v>
      </c>
      <c r="AA11" s="29" t="n">
        <f aca="false">COUNTIFS(R5:R205,1,$A$5:$A$205,"&lt;45")/Y11</f>
        <v>0.717948717948718</v>
      </c>
      <c r="AB11" s="30" t="n">
        <f aca="false">SUMPRODUCT(R5:R205,$V$5:$V$205)</f>
        <v>2.73156348641977E-007</v>
      </c>
      <c r="AC11" s="20" t="n">
        <v>0.548438861252038</v>
      </c>
      <c r="AD11" s="26" t="n">
        <v>3</v>
      </c>
    </row>
    <row r="12" customFormat="false" ht="15" hidden="false" customHeight="false" outlineLevel="0" collapsed="false">
      <c r="A12" s="18" t="n">
        <f aca="false">Grid!A12</f>
        <v>31.75</v>
      </c>
      <c r="B12" s="20" t="n">
        <v>1.75</v>
      </c>
      <c r="C12" s="20" t="n">
        <v>0.75</v>
      </c>
      <c r="D12" s="20" t="n">
        <v>0.75</v>
      </c>
      <c r="E12" s="20" t="n">
        <v>1.75</v>
      </c>
      <c r="F12" s="20" t="n">
        <v>1.5</v>
      </c>
      <c r="G12" s="20" t="n">
        <v>1.75</v>
      </c>
      <c r="H12" s="20" t="n">
        <v>2.25</v>
      </c>
      <c r="I12" s="20" t="n">
        <v>1</v>
      </c>
      <c r="J12" s="20" t="n">
        <v>0.75</v>
      </c>
      <c r="K12" s="20" t="n">
        <v>0.75</v>
      </c>
      <c r="L12" s="14" t="n">
        <f aca="false">1-INDEX(GuardBlock,8,ROUND(B12/Step_h,0)+1)</f>
        <v>1</v>
      </c>
      <c r="M12" s="14" t="n">
        <f aca="false">1-INDEX(GuardBlock,8,ROUND(C12/Step_h,0)+1)</f>
        <v>1</v>
      </c>
      <c r="N12" s="14" t="n">
        <f aca="false">1-INDEX(GuardBlock,8,ROUND(D12/Step_h,0)+1)</f>
        <v>1</v>
      </c>
      <c r="O12" s="14" t="n">
        <f aca="false">1-INDEX(GuardBlock,8,ROUND(E12/Step_h,0)+1)</f>
        <v>1</v>
      </c>
      <c r="P12" s="14" t="n">
        <f aca="false">1-INDEX(GuardBlock,8,ROUND(F12/Step_h,0)+1)</f>
        <v>1</v>
      </c>
      <c r="Q12" s="14" t="n">
        <f aca="false">1-INDEX(GuardBlock,8,ROUND(G12/Step_h,0)+1)</f>
        <v>1</v>
      </c>
      <c r="R12" s="14" t="n">
        <f aca="false">1-INDEX(GuardBlock,8,ROUND(H12/Step_h,0)+1)</f>
        <v>1</v>
      </c>
      <c r="S12" s="14" t="n">
        <f aca="false">1-INDEX(GuardBlock,8,ROUND(I12/Step_h,0)+1)</f>
        <v>1</v>
      </c>
      <c r="T12" s="14" t="n">
        <f aca="false">1-INDEX(GuardBlock,8,ROUND(J12/Step_h,0)+1)</f>
        <v>1</v>
      </c>
      <c r="U12" s="14" t="n">
        <f aca="false">1-INDEX(GuardBlock,8,ROUND(K12/Step_h,0)+1)</f>
        <v>1</v>
      </c>
      <c r="V12" s="28" t="n">
        <f aca="false">BestRule!W12</f>
        <v>0</v>
      </c>
      <c r="X12" s="14" t="n">
        <v>8</v>
      </c>
      <c r="Y12" s="14" t="n">
        <f aca="false">SUM(S5:S205)</f>
        <v>74</v>
      </c>
      <c r="Z12" s="12" t="n">
        <f aca="false">_xlfn.MAXIFS($A$5:$A$205,S5:S205,1)</f>
        <v>51.25</v>
      </c>
      <c r="AA12" s="29" t="n">
        <f aca="false">COUNTIFS(S5:S205,1,$A$5:$A$205,"&lt;45")/Y12</f>
        <v>0.72972972972973</v>
      </c>
      <c r="AB12" s="30" t="n">
        <f aca="false">SUMPRODUCT(S5:S205,$V$5:$V$205)</f>
        <v>1.20411345043594E-012</v>
      </c>
      <c r="AC12" s="20" t="n">
        <v>0.357036289203307</v>
      </c>
      <c r="AD12" s="26" t="n">
        <v>3</v>
      </c>
    </row>
    <row r="13" customFormat="false" ht="15" hidden="false" customHeight="false" outlineLevel="0" collapsed="false">
      <c r="A13" s="18" t="n">
        <f aca="false">Grid!A13</f>
        <v>32</v>
      </c>
      <c r="B13" s="20" t="n">
        <v>1.75</v>
      </c>
      <c r="C13" s="20" t="n">
        <v>0.5</v>
      </c>
      <c r="D13" s="20" t="n">
        <v>1.75</v>
      </c>
      <c r="E13" s="20" t="n">
        <v>2.5</v>
      </c>
      <c r="F13" s="20" t="n">
        <v>1.5</v>
      </c>
      <c r="G13" s="20" t="n">
        <v>1</v>
      </c>
      <c r="H13" s="20" t="n">
        <v>1.25</v>
      </c>
      <c r="I13" s="20" t="n">
        <v>2</v>
      </c>
      <c r="J13" s="20" t="n">
        <v>1.75</v>
      </c>
      <c r="K13" s="20" t="n">
        <v>1.5</v>
      </c>
      <c r="L13" s="14" t="n">
        <f aca="false">1-INDEX(GuardBlock,9,ROUND(B13/Step_h,0)+1)</f>
        <v>1</v>
      </c>
      <c r="M13" s="14" t="n">
        <f aca="false">1-INDEX(GuardBlock,9,ROUND(C13/Step_h,0)+1)</f>
        <v>1</v>
      </c>
      <c r="N13" s="14" t="n">
        <f aca="false">1-INDEX(GuardBlock,9,ROUND(D13/Step_h,0)+1)</f>
        <v>1</v>
      </c>
      <c r="O13" s="14" t="n">
        <f aca="false">1-INDEX(GuardBlock,9,ROUND(E13/Step_h,0)+1)</f>
        <v>0</v>
      </c>
      <c r="P13" s="14" t="n">
        <f aca="false">1-INDEX(GuardBlock,9,ROUND(F13/Step_h,0)+1)</f>
        <v>1</v>
      </c>
      <c r="Q13" s="14" t="n">
        <f aca="false">1-INDEX(GuardBlock,9,ROUND(G13/Step_h,0)+1)</f>
        <v>1</v>
      </c>
      <c r="R13" s="14" t="n">
        <f aca="false">1-INDEX(GuardBlock,9,ROUND(H13/Step_h,0)+1)</f>
        <v>1</v>
      </c>
      <c r="S13" s="14" t="n">
        <f aca="false">1-INDEX(GuardBlock,9,ROUND(I13/Step_h,0)+1)</f>
        <v>1</v>
      </c>
      <c r="T13" s="14" t="n">
        <f aca="false">1-INDEX(GuardBlock,9,ROUND(J13/Step_h,0)+1)</f>
        <v>1</v>
      </c>
      <c r="U13" s="14" t="n">
        <f aca="false">1-INDEX(GuardBlock,9,ROUND(K13/Step_h,0)+1)</f>
        <v>1</v>
      </c>
      <c r="V13" s="28" t="n">
        <f aca="false">BestRule!W13</f>
        <v>0</v>
      </c>
      <c r="X13" s="14" t="n">
        <v>9</v>
      </c>
      <c r="Y13" s="14" t="n">
        <f aca="false">SUM(T5:T205)</f>
        <v>82</v>
      </c>
      <c r="Z13" s="12" t="n">
        <f aca="false">_xlfn.MAXIFS($A$5:$A$205,T5:T205,1)</f>
        <v>53.75</v>
      </c>
      <c r="AA13" s="29" t="n">
        <f aca="false">COUNTIFS(T5:T205,1,$A$5:$A$205,"&lt;45")/Y13</f>
        <v>0.682926829268293</v>
      </c>
      <c r="AB13" s="30" t="n">
        <f aca="false">SUMPRODUCT(T5:T205,$V$5:$V$205)</f>
        <v>0.000643467080485892</v>
      </c>
      <c r="AC13" s="20" t="n">
        <v>0.444787535010534</v>
      </c>
      <c r="AD13" s="26" t="n">
        <v>3</v>
      </c>
    </row>
    <row r="14" customFormat="false" ht="15" hidden="false" customHeight="false" outlineLevel="0" collapsed="false">
      <c r="A14" s="18" t="n">
        <f aca="false">Grid!A14</f>
        <v>32.25</v>
      </c>
      <c r="B14" s="20" t="n">
        <v>0.75</v>
      </c>
      <c r="C14" s="20" t="n">
        <v>0.5</v>
      </c>
      <c r="D14" s="20" t="n">
        <v>0.25</v>
      </c>
      <c r="E14" s="20" t="n">
        <v>0.25</v>
      </c>
      <c r="F14" s="20" t="n">
        <v>1.25</v>
      </c>
      <c r="G14" s="20" t="n">
        <v>1.25</v>
      </c>
      <c r="H14" s="20" t="n">
        <v>1.75</v>
      </c>
      <c r="I14" s="20" t="n">
        <v>2.5</v>
      </c>
      <c r="J14" s="20" t="n">
        <v>2.5</v>
      </c>
      <c r="K14" s="20" t="n">
        <v>0.25</v>
      </c>
      <c r="L14" s="14" t="n">
        <f aca="false">1-INDEX(GuardBlock,10,ROUND(B14/Step_h,0)+1)</f>
        <v>1</v>
      </c>
      <c r="M14" s="14" t="n">
        <f aca="false">1-INDEX(GuardBlock,10,ROUND(C14/Step_h,0)+1)</f>
        <v>1</v>
      </c>
      <c r="N14" s="14" t="n">
        <f aca="false">1-INDEX(GuardBlock,10,ROUND(D14/Step_h,0)+1)</f>
        <v>1</v>
      </c>
      <c r="O14" s="14" t="n">
        <f aca="false">1-INDEX(GuardBlock,10,ROUND(E14/Step_h,0)+1)</f>
        <v>1</v>
      </c>
      <c r="P14" s="14" t="n">
        <f aca="false">1-INDEX(GuardBlock,10,ROUND(F14/Step_h,0)+1)</f>
        <v>1</v>
      </c>
      <c r="Q14" s="14" t="n">
        <f aca="false">1-INDEX(GuardBlock,10,ROUND(G14/Step_h,0)+1)</f>
        <v>1</v>
      </c>
      <c r="R14" s="14" t="n">
        <f aca="false">1-INDEX(GuardBlock,10,ROUND(H14/Step_h,0)+1)</f>
        <v>1</v>
      </c>
      <c r="S14" s="14" t="n">
        <f aca="false">1-INDEX(GuardBlock,10,ROUND(I14/Step_h,0)+1)</f>
        <v>0</v>
      </c>
      <c r="T14" s="14" t="n">
        <f aca="false">1-INDEX(GuardBlock,10,ROUND(J14/Step_h,0)+1)</f>
        <v>0</v>
      </c>
      <c r="U14" s="14" t="n">
        <f aca="false">1-INDEX(GuardBlock,10,ROUND(K14/Step_h,0)+1)</f>
        <v>1</v>
      </c>
      <c r="V14" s="28" t="n">
        <f aca="false">BestRule!W14</f>
        <v>0</v>
      </c>
      <c r="X14" s="14" t="n">
        <v>10</v>
      </c>
      <c r="Y14" s="14" t="n">
        <f aca="false">SUM(U5:U205)</f>
        <v>81</v>
      </c>
      <c r="Z14" s="12" t="n">
        <f aca="false">_xlfn.MAXIFS($A$5:$A$205,U5:U205,1)</f>
        <v>53.5</v>
      </c>
      <c r="AA14" s="29" t="n">
        <f aca="false">COUNTIFS(U5:U205,1,$A$5:$A$205,"&lt;45")/Y14</f>
        <v>0.691358024691358</v>
      </c>
      <c r="AB14" s="30" t="n">
        <f aca="false">SUMPRODUCT(U5:U205,$V$5:$V$205)</f>
        <v>4.85285571773099E-005</v>
      </c>
      <c r="AC14" s="20" t="n">
        <v>0.656165730187723</v>
      </c>
      <c r="AD14" s="26" t="n">
        <v>3</v>
      </c>
    </row>
    <row r="15" customFormat="false" ht="15" hidden="false" customHeight="false" outlineLevel="0" collapsed="false">
      <c r="A15" s="18" t="n">
        <f aca="false">Grid!A15</f>
        <v>32.5</v>
      </c>
      <c r="B15" s="20" t="n">
        <v>0.75</v>
      </c>
      <c r="C15" s="20" t="n">
        <v>0</v>
      </c>
      <c r="D15" s="20" t="n">
        <v>0</v>
      </c>
      <c r="E15" s="20" t="n">
        <v>1</v>
      </c>
      <c r="F15" s="20" t="n">
        <v>0</v>
      </c>
      <c r="G15" s="20" t="n">
        <v>2.5</v>
      </c>
      <c r="H15" s="20" t="n">
        <v>0.5</v>
      </c>
      <c r="I15" s="20" t="n">
        <v>0.75</v>
      </c>
      <c r="J15" s="20" t="n">
        <v>1.25</v>
      </c>
      <c r="K15" s="20" t="n">
        <v>1.75</v>
      </c>
      <c r="L15" s="14" t="n">
        <f aca="false">1-INDEX(GuardBlock,11,ROUND(B15/Step_h,0)+1)</f>
        <v>1</v>
      </c>
      <c r="M15" s="14" t="n">
        <f aca="false">1-INDEX(GuardBlock,11,ROUND(C15/Step_h,0)+1)</f>
        <v>1</v>
      </c>
      <c r="N15" s="14" t="n">
        <f aca="false">1-INDEX(GuardBlock,11,ROUND(D15/Step_h,0)+1)</f>
        <v>1</v>
      </c>
      <c r="O15" s="14" t="n">
        <f aca="false">1-INDEX(GuardBlock,11,ROUND(E15/Step_h,0)+1)</f>
        <v>1</v>
      </c>
      <c r="P15" s="14" t="n">
        <f aca="false">1-INDEX(GuardBlock,11,ROUND(F15/Step_h,0)+1)</f>
        <v>1</v>
      </c>
      <c r="Q15" s="14" t="n">
        <f aca="false">1-INDEX(GuardBlock,11,ROUND(G15/Step_h,0)+1)</f>
        <v>0</v>
      </c>
      <c r="R15" s="14" t="n">
        <f aca="false">1-INDEX(GuardBlock,11,ROUND(H15/Step_h,0)+1)</f>
        <v>1</v>
      </c>
      <c r="S15" s="14" t="n">
        <f aca="false">1-INDEX(GuardBlock,11,ROUND(I15/Step_h,0)+1)</f>
        <v>1</v>
      </c>
      <c r="T15" s="14" t="n">
        <f aca="false">1-INDEX(GuardBlock,11,ROUND(J15/Step_h,0)+1)</f>
        <v>1</v>
      </c>
      <c r="U15" s="14" t="n">
        <f aca="false">1-INDEX(GuardBlock,11,ROUND(K15/Step_h,0)+1)</f>
        <v>1</v>
      </c>
      <c r="V15" s="28" t="n">
        <f aca="false">BestRule!W15</f>
        <v>0</v>
      </c>
    </row>
    <row r="16" customFormat="false" ht="15" hidden="false" customHeight="false" outlineLevel="0" collapsed="false">
      <c r="A16" s="18" t="n">
        <f aca="false">Grid!A16</f>
        <v>32.75</v>
      </c>
      <c r="B16" s="20" t="n">
        <v>0</v>
      </c>
      <c r="C16" s="20" t="n">
        <v>0</v>
      </c>
      <c r="D16" s="20" t="n">
        <v>0</v>
      </c>
      <c r="E16" s="20" t="n">
        <v>0</v>
      </c>
      <c r="F16" s="20" t="n">
        <v>0.5</v>
      </c>
      <c r="G16" s="20" t="n">
        <v>2.5</v>
      </c>
      <c r="H16" s="20" t="n">
        <v>0.5</v>
      </c>
      <c r="I16" s="20" t="n">
        <v>1.25</v>
      </c>
      <c r="J16" s="20" t="n">
        <v>1.75</v>
      </c>
      <c r="K16" s="20" t="n">
        <v>2.25</v>
      </c>
      <c r="L16" s="14" t="n">
        <f aca="false">1-INDEX(GuardBlock,12,ROUND(B16/Step_h,0)+1)</f>
        <v>1</v>
      </c>
      <c r="M16" s="14" t="n">
        <f aca="false">1-INDEX(GuardBlock,12,ROUND(C16/Step_h,0)+1)</f>
        <v>1</v>
      </c>
      <c r="N16" s="14" t="n">
        <f aca="false">1-INDEX(GuardBlock,12,ROUND(D16/Step_h,0)+1)</f>
        <v>1</v>
      </c>
      <c r="O16" s="14" t="n">
        <f aca="false">1-INDEX(GuardBlock,12,ROUND(E16/Step_h,0)+1)</f>
        <v>1</v>
      </c>
      <c r="P16" s="14" t="n">
        <f aca="false">1-INDEX(GuardBlock,12,ROUND(F16/Step_h,0)+1)</f>
        <v>1</v>
      </c>
      <c r="Q16" s="14" t="n">
        <f aca="false">1-INDEX(GuardBlock,12,ROUND(G16/Step_h,0)+1)</f>
        <v>0</v>
      </c>
      <c r="R16" s="14" t="n">
        <f aca="false">1-INDEX(GuardBlock,12,ROUND(H16/Step_h,0)+1)</f>
        <v>1</v>
      </c>
      <c r="S16" s="14" t="n">
        <f aca="false">1-INDEX(GuardBlock,12,ROUND(I16/Step_h,0)+1)</f>
        <v>1</v>
      </c>
      <c r="T16" s="14" t="n">
        <f aca="false">1-INDEX(GuardBlock,12,ROUND(J16/Step_h,0)+1)</f>
        <v>1</v>
      </c>
      <c r="U16" s="14" t="n">
        <f aca="false">1-INDEX(GuardBlock,12,ROUND(K16/Step_h,0)+1)</f>
        <v>1</v>
      </c>
      <c r="V16" s="28" t="n">
        <f aca="false">BestRule!W16</f>
        <v>0</v>
      </c>
      <c r="X16" s="2" t="s">
        <v>232</v>
      </c>
      <c r="Y16" s="14" t="n">
        <f aca="false">MIN(Y5:Y14)</f>
        <v>74</v>
      </c>
      <c r="Z16" s="10" t="s">
        <v>233</v>
      </c>
    </row>
    <row r="17" customFormat="false" ht="15" hidden="false" customHeight="false" outlineLevel="0" collapsed="false">
      <c r="A17" s="18" t="n">
        <f aca="false">Grid!A17</f>
        <v>33</v>
      </c>
      <c r="B17" s="20" t="n">
        <v>1.75</v>
      </c>
      <c r="C17" s="20" t="n">
        <v>0</v>
      </c>
      <c r="D17" s="20" t="n">
        <v>0</v>
      </c>
      <c r="E17" s="20" t="n">
        <v>0</v>
      </c>
      <c r="F17" s="20" t="n">
        <v>2</v>
      </c>
      <c r="G17" s="20" t="n">
        <v>0</v>
      </c>
      <c r="H17" s="20" t="n">
        <v>0.25</v>
      </c>
      <c r="I17" s="20" t="n">
        <v>0.5</v>
      </c>
      <c r="J17" s="20" t="n">
        <v>0.5</v>
      </c>
      <c r="K17" s="20" t="n">
        <v>1</v>
      </c>
      <c r="L17" s="14" t="n">
        <f aca="false">1-INDEX(GuardBlock,13,ROUND(B17/Step_h,0)+1)</f>
        <v>1</v>
      </c>
      <c r="M17" s="14" t="n">
        <f aca="false">1-INDEX(GuardBlock,13,ROUND(C17/Step_h,0)+1)</f>
        <v>1</v>
      </c>
      <c r="N17" s="14" t="n">
        <f aca="false">1-INDEX(GuardBlock,13,ROUND(D17/Step_h,0)+1)</f>
        <v>1</v>
      </c>
      <c r="O17" s="14" t="n">
        <f aca="false">1-INDEX(GuardBlock,13,ROUND(E17/Step_h,0)+1)</f>
        <v>1</v>
      </c>
      <c r="P17" s="14" t="n">
        <f aca="false">1-INDEX(GuardBlock,13,ROUND(F17/Step_h,0)+1)</f>
        <v>1</v>
      </c>
      <c r="Q17" s="14" t="n">
        <f aca="false">1-INDEX(GuardBlock,13,ROUND(G17/Step_h,0)+1)</f>
        <v>1</v>
      </c>
      <c r="R17" s="14" t="n">
        <f aca="false">1-INDEX(GuardBlock,13,ROUND(H17/Step_h,0)+1)</f>
        <v>1</v>
      </c>
      <c r="S17" s="14" t="n">
        <f aca="false">1-INDEX(GuardBlock,13,ROUND(I17/Step_h,0)+1)</f>
        <v>1</v>
      </c>
      <c r="T17" s="14" t="n">
        <f aca="false">1-INDEX(GuardBlock,13,ROUND(J17/Step_h,0)+1)</f>
        <v>1</v>
      </c>
      <c r="U17" s="14" t="n">
        <f aca="false">1-INDEX(GuardBlock,13,ROUND(K17/Step_h,0)+1)</f>
        <v>1</v>
      </c>
      <c r="V17" s="28" t="n">
        <f aca="false">BestRule!W17</f>
        <v>0</v>
      </c>
      <c r="X17" s="2" t="s">
        <v>234</v>
      </c>
      <c r="Y17" s="14" t="n">
        <f aca="false">MAX(Y5:Y14)</f>
        <v>84</v>
      </c>
      <c r="Z17" s="10" t="s">
        <v>235</v>
      </c>
    </row>
    <row r="18" customFormat="false" ht="15" hidden="false" customHeight="false" outlineLevel="0" collapsed="false">
      <c r="A18" s="18" t="n">
        <f aca="false">Grid!A18</f>
        <v>33.25</v>
      </c>
      <c r="B18" s="20" t="n">
        <v>1.25</v>
      </c>
      <c r="C18" s="20" t="n">
        <v>2.5</v>
      </c>
      <c r="D18" s="20" t="n">
        <v>0</v>
      </c>
      <c r="E18" s="20" t="n">
        <v>1.25</v>
      </c>
      <c r="F18" s="20" t="n">
        <v>1.25</v>
      </c>
      <c r="G18" s="20" t="n">
        <v>0.25</v>
      </c>
      <c r="H18" s="20" t="n">
        <v>2.25</v>
      </c>
      <c r="I18" s="20" t="n">
        <v>2.25</v>
      </c>
      <c r="J18" s="20" t="n">
        <v>1</v>
      </c>
      <c r="K18" s="20" t="n">
        <v>0</v>
      </c>
      <c r="L18" s="14" t="n">
        <f aca="false">1-INDEX(GuardBlock,14,ROUND(B18/Step_h,0)+1)</f>
        <v>1</v>
      </c>
      <c r="M18" s="14" t="n">
        <f aca="false">1-INDEX(GuardBlock,14,ROUND(C18/Step_h,0)+1)</f>
        <v>0</v>
      </c>
      <c r="N18" s="14" t="n">
        <f aca="false">1-INDEX(GuardBlock,14,ROUND(D18/Step_h,0)+1)</f>
        <v>1</v>
      </c>
      <c r="O18" s="14" t="n">
        <f aca="false">1-INDEX(GuardBlock,14,ROUND(E18/Step_h,0)+1)</f>
        <v>1</v>
      </c>
      <c r="P18" s="14" t="n">
        <f aca="false">1-INDEX(GuardBlock,14,ROUND(F18/Step_h,0)+1)</f>
        <v>1</v>
      </c>
      <c r="Q18" s="14" t="n">
        <f aca="false">1-INDEX(GuardBlock,14,ROUND(G18/Step_h,0)+1)</f>
        <v>1</v>
      </c>
      <c r="R18" s="14" t="n">
        <f aca="false">1-INDEX(GuardBlock,14,ROUND(H18/Step_h,0)+1)</f>
        <v>1</v>
      </c>
      <c r="S18" s="14" t="n">
        <f aca="false">1-INDEX(GuardBlock,14,ROUND(I18/Step_h,0)+1)</f>
        <v>1</v>
      </c>
      <c r="T18" s="14" t="n">
        <f aca="false">1-INDEX(GuardBlock,14,ROUND(J18/Step_h,0)+1)</f>
        <v>1</v>
      </c>
      <c r="U18" s="14" t="n">
        <f aca="false">1-INDEX(GuardBlock,14,ROUND(K18/Step_h,0)+1)</f>
        <v>1</v>
      </c>
      <c r="V18" s="28" t="n">
        <f aca="false">BestRule!W18</f>
        <v>0</v>
      </c>
      <c r="X18" s="2" t="s">
        <v>236</v>
      </c>
      <c r="Y18" s="12" t="n">
        <f aca="false">MAX(Z5:Z14)</f>
        <v>54.25</v>
      </c>
      <c r="Z18" s="10" t="s">
        <v>237</v>
      </c>
    </row>
    <row r="19" customFormat="false" ht="15" hidden="false" customHeight="false" outlineLevel="0" collapsed="false">
      <c r="A19" s="18" t="n">
        <f aca="false">Grid!A19</f>
        <v>33.5</v>
      </c>
      <c r="B19" s="20" t="n">
        <v>0.25</v>
      </c>
      <c r="C19" s="20" t="n">
        <v>2.25</v>
      </c>
      <c r="D19" s="20" t="n">
        <v>0.25</v>
      </c>
      <c r="E19" s="20" t="n">
        <v>0.75</v>
      </c>
      <c r="F19" s="20" t="n">
        <v>1.5</v>
      </c>
      <c r="G19" s="20" t="n">
        <v>2.5</v>
      </c>
      <c r="H19" s="20" t="n">
        <v>1.5</v>
      </c>
      <c r="I19" s="20" t="n">
        <v>2.5</v>
      </c>
      <c r="J19" s="20" t="n">
        <v>0.25</v>
      </c>
      <c r="K19" s="20" t="n">
        <v>0.25</v>
      </c>
      <c r="L19" s="14" t="n">
        <f aca="false">1-INDEX(GuardBlock,15,ROUND(B19/Step_h,0)+1)</f>
        <v>1</v>
      </c>
      <c r="M19" s="14" t="n">
        <f aca="false">1-INDEX(GuardBlock,15,ROUND(C19/Step_h,0)+1)</f>
        <v>1</v>
      </c>
      <c r="N19" s="14" t="n">
        <f aca="false">1-INDEX(GuardBlock,15,ROUND(D19/Step_h,0)+1)</f>
        <v>1</v>
      </c>
      <c r="O19" s="14" t="n">
        <f aca="false">1-INDEX(GuardBlock,15,ROUND(E19/Step_h,0)+1)</f>
        <v>1</v>
      </c>
      <c r="P19" s="14" t="n">
        <f aca="false">1-INDEX(GuardBlock,15,ROUND(F19/Step_h,0)+1)</f>
        <v>1</v>
      </c>
      <c r="Q19" s="14" t="n">
        <f aca="false">1-INDEX(GuardBlock,15,ROUND(G19/Step_h,0)+1)</f>
        <v>0</v>
      </c>
      <c r="R19" s="14" t="n">
        <f aca="false">1-INDEX(GuardBlock,15,ROUND(H19/Step_h,0)+1)</f>
        <v>1</v>
      </c>
      <c r="S19" s="14" t="n">
        <f aca="false">1-INDEX(GuardBlock,15,ROUND(I19/Step_h,0)+1)</f>
        <v>0</v>
      </c>
      <c r="T19" s="14" t="n">
        <f aca="false">1-INDEX(GuardBlock,15,ROUND(J19/Step_h,0)+1)</f>
        <v>1</v>
      </c>
      <c r="U19" s="14" t="n">
        <f aca="false">1-INDEX(GuardBlock,15,ROUND(K19/Step_h,0)+1)</f>
        <v>1</v>
      </c>
      <c r="V19" s="28" t="n">
        <f aca="false">BestRule!W19</f>
        <v>0</v>
      </c>
      <c r="X19" s="2" t="s">
        <v>238</v>
      </c>
      <c r="Y19" s="29" t="n">
        <f aca="false">MIN(AA5:AA14)</f>
        <v>0.68</v>
      </c>
      <c r="Z19" s="10" t="s">
        <v>239</v>
      </c>
    </row>
    <row r="20" customFormat="false" ht="15" hidden="false" customHeight="false" outlineLevel="0" collapsed="false">
      <c r="A20" s="18" t="n">
        <f aca="false">Grid!A20</f>
        <v>33.75</v>
      </c>
      <c r="B20" s="20" t="n">
        <v>0.25</v>
      </c>
      <c r="C20" s="20" t="n">
        <v>0</v>
      </c>
      <c r="D20" s="20" t="n">
        <v>0</v>
      </c>
      <c r="E20" s="20" t="n">
        <v>0</v>
      </c>
      <c r="F20" s="20" t="n">
        <v>0.25</v>
      </c>
      <c r="G20" s="20" t="n">
        <v>0</v>
      </c>
      <c r="H20" s="20" t="n">
        <v>0.75</v>
      </c>
      <c r="I20" s="20" t="n">
        <v>1</v>
      </c>
      <c r="J20" s="20" t="n">
        <v>1.25</v>
      </c>
      <c r="K20" s="20" t="n">
        <v>1</v>
      </c>
      <c r="L20" s="14" t="n">
        <f aca="false">1-INDEX(GuardBlock,16,ROUND(B20/Step_h,0)+1)</f>
        <v>1</v>
      </c>
      <c r="M20" s="14" t="n">
        <f aca="false">1-INDEX(GuardBlock,16,ROUND(C20/Step_h,0)+1)</f>
        <v>1</v>
      </c>
      <c r="N20" s="14" t="n">
        <f aca="false">1-INDEX(GuardBlock,16,ROUND(D20/Step_h,0)+1)</f>
        <v>1</v>
      </c>
      <c r="O20" s="14" t="n">
        <f aca="false">1-INDEX(GuardBlock,16,ROUND(E20/Step_h,0)+1)</f>
        <v>1</v>
      </c>
      <c r="P20" s="14" t="n">
        <f aca="false">1-INDEX(GuardBlock,16,ROUND(F20/Step_h,0)+1)</f>
        <v>1</v>
      </c>
      <c r="Q20" s="14" t="n">
        <f aca="false">1-INDEX(GuardBlock,16,ROUND(G20/Step_h,0)+1)</f>
        <v>1</v>
      </c>
      <c r="R20" s="14" t="n">
        <f aca="false">1-INDEX(GuardBlock,16,ROUND(H20/Step_h,0)+1)</f>
        <v>1</v>
      </c>
      <c r="S20" s="14" t="n">
        <f aca="false">1-INDEX(GuardBlock,16,ROUND(I20/Step_h,0)+1)</f>
        <v>1</v>
      </c>
      <c r="T20" s="14" t="n">
        <f aca="false">1-INDEX(GuardBlock,16,ROUND(J20/Step_h,0)+1)</f>
        <v>1</v>
      </c>
      <c r="U20" s="14" t="n">
        <f aca="false">1-INDEX(GuardBlock,16,ROUND(K20/Step_h,0)+1)</f>
        <v>1</v>
      </c>
      <c r="V20" s="28" t="n">
        <f aca="false">BestRule!W20</f>
        <v>0</v>
      </c>
      <c r="X20" s="2" t="s">
        <v>240</v>
      </c>
      <c r="Y20" s="23" t="n">
        <f aca="false">MAX(AB5:AB14)</f>
        <v>0.0281024360230972</v>
      </c>
      <c r="Z20" s="10" t="s">
        <v>241</v>
      </c>
    </row>
    <row r="21" customFormat="false" ht="15" hidden="false" customHeight="false" outlineLevel="0" collapsed="false">
      <c r="A21" s="18" t="n">
        <f aca="false">Grid!A21</f>
        <v>34</v>
      </c>
      <c r="B21" s="20" t="n">
        <v>0.25</v>
      </c>
      <c r="C21" s="20" t="n">
        <v>0</v>
      </c>
      <c r="D21" s="20" t="n">
        <v>2.5</v>
      </c>
      <c r="E21" s="20" t="n">
        <v>0.25</v>
      </c>
      <c r="F21" s="20" t="n">
        <v>0</v>
      </c>
      <c r="G21" s="20" t="n">
        <v>1.5</v>
      </c>
      <c r="H21" s="20" t="n">
        <v>0.5</v>
      </c>
      <c r="I21" s="20" t="n">
        <v>0.75</v>
      </c>
      <c r="J21" s="20" t="n">
        <v>0</v>
      </c>
      <c r="K21" s="20" t="n">
        <v>0</v>
      </c>
      <c r="L21" s="14" t="n">
        <f aca="false">1-INDEX(GuardBlock,17,ROUND(B21/Step_h,0)+1)</f>
        <v>1</v>
      </c>
      <c r="M21" s="14" t="n">
        <f aca="false">1-INDEX(GuardBlock,17,ROUND(C21/Step_h,0)+1)</f>
        <v>1</v>
      </c>
      <c r="N21" s="14" t="n">
        <f aca="false">1-INDEX(GuardBlock,17,ROUND(D21/Step_h,0)+1)</f>
        <v>0</v>
      </c>
      <c r="O21" s="14" t="n">
        <f aca="false">1-INDEX(GuardBlock,17,ROUND(E21/Step_h,0)+1)</f>
        <v>1</v>
      </c>
      <c r="P21" s="14" t="n">
        <f aca="false">1-INDEX(GuardBlock,17,ROUND(F21/Step_h,0)+1)</f>
        <v>1</v>
      </c>
      <c r="Q21" s="14" t="n">
        <f aca="false">1-INDEX(GuardBlock,17,ROUND(G21/Step_h,0)+1)</f>
        <v>1</v>
      </c>
      <c r="R21" s="14" t="n">
        <f aca="false">1-INDEX(GuardBlock,17,ROUND(H21/Step_h,0)+1)</f>
        <v>1</v>
      </c>
      <c r="S21" s="14" t="n">
        <f aca="false">1-INDEX(GuardBlock,17,ROUND(I21/Step_h,0)+1)</f>
        <v>1</v>
      </c>
      <c r="T21" s="14" t="n">
        <f aca="false">1-INDEX(GuardBlock,17,ROUND(J21/Step_h,0)+1)</f>
        <v>1</v>
      </c>
      <c r="U21" s="14" t="n">
        <f aca="false">1-INDEX(GuardBlock,17,ROUND(K21/Step_h,0)+1)</f>
        <v>1</v>
      </c>
      <c r="V21" s="28" t="n">
        <f aca="false">BestRule!W21</f>
        <v>0</v>
      </c>
      <c r="X21" s="2" t="s">
        <v>242</v>
      </c>
      <c r="Y21" s="12" t="n">
        <f aca="false">MIN(AC5:AC14)</f>
        <v>0.173377456688883</v>
      </c>
      <c r="Z21" s="10" t="s">
        <v>243</v>
      </c>
    </row>
    <row r="22" customFormat="false" ht="15" hidden="false" customHeight="false" outlineLevel="0" collapsed="false">
      <c r="A22" s="18" t="n">
        <f aca="false">Grid!A22</f>
        <v>34.25</v>
      </c>
      <c r="B22" s="20" t="n">
        <v>0</v>
      </c>
      <c r="C22" s="20" t="n">
        <v>1.25</v>
      </c>
      <c r="D22" s="20" t="n">
        <v>0.5</v>
      </c>
      <c r="E22" s="20" t="n">
        <v>0.75</v>
      </c>
      <c r="F22" s="20" t="n">
        <v>0</v>
      </c>
      <c r="G22" s="20" t="n">
        <v>1</v>
      </c>
      <c r="H22" s="20" t="n">
        <v>0.75</v>
      </c>
      <c r="I22" s="20" t="n">
        <v>2.25</v>
      </c>
      <c r="J22" s="20" t="n">
        <v>0</v>
      </c>
      <c r="K22" s="20" t="n">
        <v>1</v>
      </c>
      <c r="L22" s="14" t="n">
        <f aca="false">1-INDEX(GuardBlock,18,ROUND(B22/Step_h,0)+1)</f>
        <v>1</v>
      </c>
      <c r="M22" s="14" t="n">
        <f aca="false">1-INDEX(GuardBlock,18,ROUND(C22/Step_h,0)+1)</f>
        <v>1</v>
      </c>
      <c r="N22" s="14" t="n">
        <f aca="false">1-INDEX(GuardBlock,18,ROUND(D22/Step_h,0)+1)</f>
        <v>1</v>
      </c>
      <c r="O22" s="14" t="n">
        <f aca="false">1-INDEX(GuardBlock,18,ROUND(E22/Step_h,0)+1)</f>
        <v>1</v>
      </c>
      <c r="P22" s="14" t="n">
        <f aca="false">1-INDEX(GuardBlock,18,ROUND(F22/Step_h,0)+1)</f>
        <v>1</v>
      </c>
      <c r="Q22" s="14" t="n">
        <f aca="false">1-INDEX(GuardBlock,18,ROUND(G22/Step_h,0)+1)</f>
        <v>1</v>
      </c>
      <c r="R22" s="14" t="n">
        <f aca="false">1-INDEX(GuardBlock,18,ROUND(H22/Step_h,0)+1)</f>
        <v>1</v>
      </c>
      <c r="S22" s="14" t="n">
        <f aca="false">1-INDEX(GuardBlock,18,ROUND(I22/Step_h,0)+1)</f>
        <v>1</v>
      </c>
      <c r="T22" s="14" t="n">
        <f aca="false">1-INDEX(GuardBlock,18,ROUND(J22/Step_h,0)+1)</f>
        <v>1</v>
      </c>
      <c r="U22" s="14" t="n">
        <f aca="false">1-INDEX(GuardBlock,18,ROUND(K22/Step_h,0)+1)</f>
        <v>1</v>
      </c>
      <c r="V22" s="28" t="n">
        <f aca="false">BestRule!W22</f>
        <v>0</v>
      </c>
      <c r="X22" s="2" t="s">
        <v>244</v>
      </c>
      <c r="Y22" s="12" t="n">
        <f aca="false">MAX(AC5:AC14)</f>
        <v>1.40012135331875</v>
      </c>
      <c r="Z22" s="10" t="s">
        <v>245</v>
      </c>
    </row>
    <row r="23" customFormat="false" ht="15" hidden="false" customHeight="false" outlineLevel="0" collapsed="false">
      <c r="A23" s="18" t="n">
        <f aca="false">Grid!A23</f>
        <v>34.5</v>
      </c>
      <c r="B23" s="20" t="n">
        <v>1.75</v>
      </c>
      <c r="C23" s="20" t="n">
        <v>0.75</v>
      </c>
      <c r="D23" s="20" t="n">
        <v>0.5</v>
      </c>
      <c r="E23" s="20" t="n">
        <v>0.75</v>
      </c>
      <c r="F23" s="20" t="n">
        <v>0</v>
      </c>
      <c r="G23" s="20" t="n">
        <v>0</v>
      </c>
      <c r="H23" s="20" t="n">
        <v>0.25</v>
      </c>
      <c r="I23" s="20" t="n">
        <v>0.75</v>
      </c>
      <c r="J23" s="20" t="n">
        <v>2</v>
      </c>
      <c r="K23" s="20" t="n">
        <v>1</v>
      </c>
      <c r="L23" s="14" t="n">
        <f aca="false">1-INDEX(GuardBlock,19,ROUND(B23/Step_h,0)+1)</f>
        <v>1</v>
      </c>
      <c r="M23" s="14" t="n">
        <f aca="false">1-INDEX(GuardBlock,19,ROUND(C23/Step_h,0)+1)</f>
        <v>1</v>
      </c>
      <c r="N23" s="14" t="n">
        <f aca="false">1-INDEX(GuardBlock,19,ROUND(D23/Step_h,0)+1)</f>
        <v>1</v>
      </c>
      <c r="O23" s="14" t="n">
        <f aca="false">1-INDEX(GuardBlock,19,ROUND(E23/Step_h,0)+1)</f>
        <v>1</v>
      </c>
      <c r="P23" s="14" t="n">
        <f aca="false">1-INDEX(GuardBlock,19,ROUND(F23/Step_h,0)+1)</f>
        <v>1</v>
      </c>
      <c r="Q23" s="14" t="n">
        <f aca="false">1-INDEX(GuardBlock,19,ROUND(G23/Step_h,0)+1)</f>
        <v>1</v>
      </c>
      <c r="R23" s="14" t="n">
        <f aca="false">1-INDEX(GuardBlock,19,ROUND(H23/Step_h,0)+1)</f>
        <v>1</v>
      </c>
      <c r="S23" s="14" t="n">
        <f aca="false">1-INDEX(GuardBlock,19,ROUND(I23/Step_h,0)+1)</f>
        <v>1</v>
      </c>
      <c r="T23" s="14" t="n">
        <f aca="false">1-INDEX(GuardBlock,19,ROUND(J23/Step_h,0)+1)</f>
        <v>1</v>
      </c>
      <c r="U23" s="14" t="n">
        <f aca="false">1-INDEX(GuardBlock,19,ROUND(K23/Step_h,0)+1)</f>
        <v>1</v>
      </c>
      <c r="V23" s="28" t="n">
        <f aca="false">BestRule!W23</f>
        <v>0</v>
      </c>
      <c r="X23" s="2" t="s">
        <v>246</v>
      </c>
      <c r="Y23" s="14" t="n">
        <f aca="false">MIN(AD5:AD14)</f>
        <v>3</v>
      </c>
      <c r="Z23" s="10" t="s">
        <v>247</v>
      </c>
    </row>
    <row r="24" customFormat="false" ht="15" hidden="false" customHeight="false" outlineLevel="0" collapsed="false">
      <c r="A24" s="18" t="n">
        <f aca="false">Grid!A24</f>
        <v>34.75</v>
      </c>
      <c r="B24" s="20" t="n">
        <v>2</v>
      </c>
      <c r="C24" s="20" t="n">
        <v>2.5</v>
      </c>
      <c r="D24" s="20" t="n">
        <v>0.25</v>
      </c>
      <c r="E24" s="20" t="n">
        <v>0.25</v>
      </c>
      <c r="F24" s="20" t="n">
        <v>2.5</v>
      </c>
      <c r="G24" s="20" t="n">
        <v>2.25</v>
      </c>
      <c r="H24" s="20" t="n">
        <v>0.5</v>
      </c>
      <c r="I24" s="20" t="n">
        <v>0.25</v>
      </c>
      <c r="J24" s="20" t="n">
        <v>0</v>
      </c>
      <c r="K24" s="20" t="n">
        <v>1.5</v>
      </c>
      <c r="L24" s="14" t="n">
        <f aca="false">1-INDEX(GuardBlock,20,ROUND(B24/Step_h,0)+1)</f>
        <v>1</v>
      </c>
      <c r="M24" s="14" t="n">
        <f aca="false">1-INDEX(GuardBlock,20,ROUND(C24/Step_h,0)+1)</f>
        <v>0</v>
      </c>
      <c r="N24" s="14" t="n">
        <f aca="false">1-INDEX(GuardBlock,20,ROUND(D24/Step_h,0)+1)</f>
        <v>1</v>
      </c>
      <c r="O24" s="14" t="n">
        <f aca="false">1-INDEX(GuardBlock,20,ROUND(E24/Step_h,0)+1)</f>
        <v>1</v>
      </c>
      <c r="P24" s="14" t="n">
        <f aca="false">1-INDEX(GuardBlock,20,ROUND(F24/Step_h,0)+1)</f>
        <v>0</v>
      </c>
      <c r="Q24" s="14" t="n">
        <f aca="false">1-INDEX(GuardBlock,20,ROUND(G24/Step_h,0)+1)</f>
        <v>1</v>
      </c>
      <c r="R24" s="14" t="n">
        <f aca="false">1-INDEX(GuardBlock,20,ROUND(H24/Step_h,0)+1)</f>
        <v>1</v>
      </c>
      <c r="S24" s="14" t="n">
        <f aca="false">1-INDEX(GuardBlock,20,ROUND(I24/Step_h,0)+1)</f>
        <v>1</v>
      </c>
      <c r="T24" s="14" t="n">
        <f aca="false">1-INDEX(GuardBlock,20,ROUND(J24/Step_h,0)+1)</f>
        <v>1</v>
      </c>
      <c r="U24" s="14" t="n">
        <f aca="false">1-INDEX(GuardBlock,20,ROUND(K24/Step_h,0)+1)</f>
        <v>1</v>
      </c>
      <c r="V24" s="28" t="n">
        <f aca="false">BestRule!W24</f>
        <v>0</v>
      </c>
      <c r="X24" s="2" t="s">
        <v>248</v>
      </c>
      <c r="Y24" s="14" t="n">
        <f aca="false">MAX(AD5:AD14)</f>
        <v>4</v>
      </c>
      <c r="Z24" s="10" t="s">
        <v>249</v>
      </c>
    </row>
    <row r="25" customFormat="false" ht="15" hidden="false" customHeight="false" outlineLevel="0" collapsed="false">
      <c r="A25" s="18" t="n">
        <f aca="false">Grid!A25</f>
        <v>35</v>
      </c>
      <c r="B25" s="20" t="n">
        <v>0.75</v>
      </c>
      <c r="C25" s="20" t="n">
        <v>1.5</v>
      </c>
      <c r="D25" s="20" t="n">
        <v>1.5</v>
      </c>
      <c r="E25" s="20" t="n">
        <v>0</v>
      </c>
      <c r="F25" s="20" t="n">
        <v>2.25</v>
      </c>
      <c r="G25" s="20" t="n">
        <v>1.25</v>
      </c>
      <c r="H25" s="20" t="n">
        <v>0</v>
      </c>
      <c r="I25" s="20" t="n">
        <v>1</v>
      </c>
      <c r="J25" s="20" t="n">
        <v>1.5</v>
      </c>
      <c r="K25" s="20" t="n">
        <v>0</v>
      </c>
      <c r="L25" s="14" t="n">
        <f aca="false">1-INDEX(GuardBlock,21,ROUND(B25/Step_h,0)+1)</f>
        <v>1</v>
      </c>
      <c r="M25" s="14" t="n">
        <f aca="false">1-INDEX(GuardBlock,21,ROUND(C25/Step_h,0)+1)</f>
        <v>1</v>
      </c>
      <c r="N25" s="14" t="n">
        <f aca="false">1-INDEX(GuardBlock,21,ROUND(D25/Step_h,0)+1)</f>
        <v>1</v>
      </c>
      <c r="O25" s="14" t="n">
        <f aca="false">1-INDEX(GuardBlock,21,ROUND(E25/Step_h,0)+1)</f>
        <v>1</v>
      </c>
      <c r="P25" s="14" t="n">
        <f aca="false">1-INDEX(GuardBlock,21,ROUND(F25/Step_h,0)+1)</f>
        <v>1</v>
      </c>
      <c r="Q25" s="14" t="n">
        <f aca="false">1-INDEX(GuardBlock,21,ROUND(G25/Step_h,0)+1)</f>
        <v>1</v>
      </c>
      <c r="R25" s="14" t="n">
        <f aca="false">1-INDEX(GuardBlock,21,ROUND(H25/Step_h,0)+1)</f>
        <v>1</v>
      </c>
      <c r="S25" s="14" t="n">
        <f aca="false">1-INDEX(GuardBlock,21,ROUND(I25/Step_h,0)+1)</f>
        <v>1</v>
      </c>
      <c r="T25" s="14" t="n">
        <f aca="false">1-INDEX(GuardBlock,21,ROUND(J25/Step_h,0)+1)</f>
        <v>1</v>
      </c>
      <c r="U25" s="14" t="n">
        <f aca="false">1-INDEX(GuardBlock,21,ROUND(K25/Step_h,0)+1)</f>
        <v>1</v>
      </c>
      <c r="V25" s="28" t="n">
        <f aca="false">BestRule!W25</f>
        <v>0</v>
      </c>
    </row>
    <row r="26" customFormat="false" ht="15" hidden="false" customHeight="false" outlineLevel="0" collapsed="false">
      <c r="A26" s="18" t="n">
        <f aca="false">Grid!A26</f>
        <v>35.25</v>
      </c>
      <c r="B26" s="20" t="n">
        <v>1</v>
      </c>
      <c r="C26" s="20" t="n">
        <v>0.25</v>
      </c>
      <c r="D26" s="20" t="n">
        <v>0</v>
      </c>
      <c r="E26" s="20" t="n">
        <v>2.25</v>
      </c>
      <c r="F26" s="20" t="n">
        <v>2</v>
      </c>
      <c r="G26" s="20" t="n">
        <v>1.25</v>
      </c>
      <c r="H26" s="20" t="n">
        <v>1</v>
      </c>
      <c r="I26" s="20" t="n">
        <v>0.25</v>
      </c>
      <c r="J26" s="20" t="n">
        <v>0</v>
      </c>
      <c r="K26" s="20" t="n">
        <v>1.75</v>
      </c>
      <c r="L26" s="14" t="n">
        <f aca="false">1-INDEX(GuardBlock,22,ROUND(B26/Step_h,0)+1)</f>
        <v>1</v>
      </c>
      <c r="M26" s="14" t="n">
        <f aca="false">1-INDEX(GuardBlock,22,ROUND(C26/Step_h,0)+1)</f>
        <v>1</v>
      </c>
      <c r="N26" s="14" t="n">
        <f aca="false">1-INDEX(GuardBlock,22,ROUND(D26/Step_h,0)+1)</f>
        <v>1</v>
      </c>
      <c r="O26" s="14" t="n">
        <f aca="false">1-INDEX(GuardBlock,22,ROUND(E26/Step_h,0)+1)</f>
        <v>1</v>
      </c>
      <c r="P26" s="14" t="n">
        <f aca="false">1-INDEX(GuardBlock,22,ROUND(F26/Step_h,0)+1)</f>
        <v>1</v>
      </c>
      <c r="Q26" s="14" t="n">
        <f aca="false">1-INDEX(GuardBlock,22,ROUND(G26/Step_h,0)+1)</f>
        <v>1</v>
      </c>
      <c r="R26" s="14" t="n">
        <f aca="false">1-INDEX(GuardBlock,22,ROUND(H26/Step_h,0)+1)</f>
        <v>1</v>
      </c>
      <c r="S26" s="14" t="n">
        <f aca="false">1-INDEX(GuardBlock,22,ROUND(I26/Step_h,0)+1)</f>
        <v>1</v>
      </c>
      <c r="T26" s="14" t="n">
        <f aca="false">1-INDEX(GuardBlock,22,ROUND(J26/Step_h,0)+1)</f>
        <v>1</v>
      </c>
      <c r="U26" s="14" t="n">
        <f aca="false">1-INDEX(GuardBlock,22,ROUND(K26/Step_h,0)+1)</f>
        <v>1</v>
      </c>
      <c r="V26" s="28" t="n">
        <f aca="false">BestRule!W26</f>
        <v>0</v>
      </c>
      <c r="X26" s="10" t="s">
        <v>250</v>
      </c>
    </row>
    <row r="27" customFormat="false" ht="15" hidden="false" customHeight="false" outlineLevel="0" collapsed="false">
      <c r="A27" s="18" t="n">
        <f aca="false">Grid!A27</f>
        <v>35.5</v>
      </c>
      <c r="B27" s="20" t="n">
        <v>1.5</v>
      </c>
      <c r="C27" s="20" t="n">
        <v>1.75</v>
      </c>
      <c r="D27" s="20" t="n">
        <v>0.25</v>
      </c>
      <c r="E27" s="20" t="n">
        <v>0</v>
      </c>
      <c r="F27" s="20" t="n">
        <v>1.75</v>
      </c>
      <c r="G27" s="20" t="n">
        <v>1.25</v>
      </c>
      <c r="H27" s="20" t="n">
        <v>0.75</v>
      </c>
      <c r="I27" s="20" t="n">
        <v>0</v>
      </c>
      <c r="J27" s="20" t="n">
        <v>0</v>
      </c>
      <c r="K27" s="20" t="n">
        <v>1.25</v>
      </c>
      <c r="L27" s="14" t="n">
        <f aca="false">1-INDEX(GuardBlock,23,ROUND(B27/Step_h,0)+1)</f>
        <v>1</v>
      </c>
      <c r="M27" s="14" t="n">
        <f aca="false">1-INDEX(GuardBlock,23,ROUND(C27/Step_h,0)+1)</f>
        <v>1</v>
      </c>
      <c r="N27" s="14" t="n">
        <f aca="false">1-INDEX(GuardBlock,23,ROUND(D27/Step_h,0)+1)</f>
        <v>1</v>
      </c>
      <c r="O27" s="14" t="n">
        <f aca="false">1-INDEX(GuardBlock,23,ROUND(E27/Step_h,0)+1)</f>
        <v>1</v>
      </c>
      <c r="P27" s="14" t="n">
        <f aca="false">1-INDEX(GuardBlock,23,ROUND(F27/Step_h,0)+1)</f>
        <v>1</v>
      </c>
      <c r="Q27" s="14" t="n">
        <f aca="false">1-INDEX(GuardBlock,23,ROUND(G27/Step_h,0)+1)</f>
        <v>1</v>
      </c>
      <c r="R27" s="14" t="n">
        <f aca="false">1-INDEX(GuardBlock,23,ROUND(H27/Step_h,0)+1)</f>
        <v>1</v>
      </c>
      <c r="S27" s="14" t="n">
        <f aca="false">1-INDEX(GuardBlock,23,ROUND(I27/Step_h,0)+1)</f>
        <v>1</v>
      </c>
      <c r="T27" s="14" t="n">
        <f aca="false">1-INDEX(GuardBlock,23,ROUND(J27/Step_h,0)+1)</f>
        <v>1</v>
      </c>
      <c r="U27" s="14" t="n">
        <f aca="false">1-INDEX(GuardBlock,23,ROUND(K27/Step_h,0)+1)</f>
        <v>1</v>
      </c>
      <c r="V27" s="28" t="n">
        <f aca="false">BestRule!W27</f>
        <v>0</v>
      </c>
    </row>
    <row r="28" customFormat="false" ht="15" hidden="false" customHeight="false" outlineLevel="0" collapsed="false">
      <c r="A28" s="18" t="n">
        <f aca="false">Grid!A28</f>
        <v>35.75</v>
      </c>
      <c r="B28" s="20" t="n">
        <v>2</v>
      </c>
      <c r="C28" s="20" t="n">
        <v>0</v>
      </c>
      <c r="D28" s="20" t="n">
        <v>0</v>
      </c>
      <c r="E28" s="20" t="n">
        <v>2</v>
      </c>
      <c r="F28" s="20" t="n">
        <v>1.25</v>
      </c>
      <c r="G28" s="20" t="n">
        <v>1.75</v>
      </c>
      <c r="H28" s="20" t="n">
        <v>1</v>
      </c>
      <c r="I28" s="20" t="n">
        <v>0.75</v>
      </c>
      <c r="J28" s="20" t="n">
        <v>1.75</v>
      </c>
      <c r="K28" s="20" t="n">
        <v>2.25</v>
      </c>
      <c r="L28" s="14" t="n">
        <f aca="false">1-INDEX(GuardBlock,24,ROUND(B28/Step_h,0)+1)</f>
        <v>1</v>
      </c>
      <c r="M28" s="14" t="n">
        <f aca="false">1-INDEX(GuardBlock,24,ROUND(C28/Step_h,0)+1)</f>
        <v>1</v>
      </c>
      <c r="N28" s="14" t="n">
        <f aca="false">1-INDEX(GuardBlock,24,ROUND(D28/Step_h,0)+1)</f>
        <v>1</v>
      </c>
      <c r="O28" s="14" t="n">
        <f aca="false">1-INDEX(GuardBlock,24,ROUND(E28/Step_h,0)+1)</f>
        <v>1</v>
      </c>
      <c r="P28" s="14" t="n">
        <f aca="false">1-INDEX(GuardBlock,24,ROUND(F28/Step_h,0)+1)</f>
        <v>1</v>
      </c>
      <c r="Q28" s="14" t="n">
        <f aca="false">1-INDEX(GuardBlock,24,ROUND(G28/Step_h,0)+1)</f>
        <v>1</v>
      </c>
      <c r="R28" s="14" t="n">
        <f aca="false">1-INDEX(GuardBlock,24,ROUND(H28/Step_h,0)+1)</f>
        <v>1</v>
      </c>
      <c r="S28" s="14" t="n">
        <f aca="false">1-INDEX(GuardBlock,24,ROUND(I28/Step_h,0)+1)</f>
        <v>1</v>
      </c>
      <c r="T28" s="14" t="n">
        <f aca="false">1-INDEX(GuardBlock,24,ROUND(J28/Step_h,0)+1)</f>
        <v>1</v>
      </c>
      <c r="U28" s="14" t="n">
        <f aca="false">1-INDEX(GuardBlock,24,ROUND(K28/Step_h,0)+1)</f>
        <v>1</v>
      </c>
      <c r="V28" s="28" t="n">
        <f aca="false">BestRule!W28</f>
        <v>0</v>
      </c>
    </row>
    <row r="29" customFormat="false" ht="15" hidden="false" customHeight="false" outlineLevel="0" collapsed="false">
      <c r="A29" s="18" t="n">
        <f aca="false">Grid!A29</f>
        <v>36</v>
      </c>
      <c r="B29" s="20" t="n">
        <v>1.25</v>
      </c>
      <c r="C29" s="20" t="n">
        <v>0.5</v>
      </c>
      <c r="D29" s="20" t="n">
        <v>0</v>
      </c>
      <c r="E29" s="20" t="n">
        <v>1.25</v>
      </c>
      <c r="F29" s="20" t="n">
        <v>1.5</v>
      </c>
      <c r="G29" s="20" t="n">
        <v>0.25</v>
      </c>
      <c r="H29" s="20" t="n">
        <v>2</v>
      </c>
      <c r="I29" s="20" t="n">
        <v>0</v>
      </c>
      <c r="J29" s="20" t="n">
        <v>0.25</v>
      </c>
      <c r="K29" s="20" t="n">
        <v>1.5</v>
      </c>
      <c r="L29" s="14" t="n">
        <f aca="false">1-INDEX(GuardBlock,25,ROUND(B29/Step_h,0)+1)</f>
        <v>1</v>
      </c>
      <c r="M29" s="14" t="n">
        <f aca="false">1-INDEX(GuardBlock,25,ROUND(C29/Step_h,0)+1)</f>
        <v>1</v>
      </c>
      <c r="N29" s="14" t="n">
        <f aca="false">1-INDEX(GuardBlock,25,ROUND(D29/Step_h,0)+1)</f>
        <v>1</v>
      </c>
      <c r="O29" s="14" t="n">
        <f aca="false">1-INDEX(GuardBlock,25,ROUND(E29/Step_h,0)+1)</f>
        <v>1</v>
      </c>
      <c r="P29" s="14" t="n">
        <f aca="false">1-INDEX(GuardBlock,25,ROUND(F29/Step_h,0)+1)</f>
        <v>1</v>
      </c>
      <c r="Q29" s="14" t="n">
        <f aca="false">1-INDEX(GuardBlock,25,ROUND(G29/Step_h,0)+1)</f>
        <v>1</v>
      </c>
      <c r="R29" s="14" t="n">
        <f aca="false">1-INDEX(GuardBlock,25,ROUND(H29/Step_h,0)+1)</f>
        <v>1</v>
      </c>
      <c r="S29" s="14" t="n">
        <f aca="false">1-INDEX(GuardBlock,25,ROUND(I29/Step_h,0)+1)</f>
        <v>1</v>
      </c>
      <c r="T29" s="14" t="n">
        <f aca="false">1-INDEX(GuardBlock,25,ROUND(J29/Step_h,0)+1)</f>
        <v>1</v>
      </c>
      <c r="U29" s="14" t="n">
        <f aca="false">1-INDEX(GuardBlock,25,ROUND(K29/Step_h,0)+1)</f>
        <v>1</v>
      </c>
      <c r="V29" s="28" t="n">
        <f aca="false">BestRule!W29</f>
        <v>0</v>
      </c>
    </row>
    <row r="30" customFormat="false" ht="15" hidden="false" customHeight="false" outlineLevel="0" collapsed="false">
      <c r="A30" s="18" t="n">
        <f aca="false">Grid!A30</f>
        <v>36.25</v>
      </c>
      <c r="B30" s="20" t="n">
        <v>2.25</v>
      </c>
      <c r="C30" s="20" t="n">
        <v>1</v>
      </c>
      <c r="D30" s="20" t="n">
        <v>2.5</v>
      </c>
      <c r="E30" s="20" t="n">
        <v>0</v>
      </c>
      <c r="F30" s="20" t="n">
        <v>0.75</v>
      </c>
      <c r="G30" s="20" t="n">
        <v>0</v>
      </c>
      <c r="H30" s="20" t="n">
        <v>0.5</v>
      </c>
      <c r="I30" s="20" t="n">
        <v>1.5</v>
      </c>
      <c r="J30" s="20" t="n">
        <v>0.25</v>
      </c>
      <c r="K30" s="20" t="n">
        <v>0</v>
      </c>
      <c r="L30" s="14" t="n">
        <f aca="false">1-INDEX(GuardBlock,26,ROUND(B30/Step_h,0)+1)</f>
        <v>1</v>
      </c>
      <c r="M30" s="14" t="n">
        <f aca="false">1-INDEX(GuardBlock,26,ROUND(C30/Step_h,0)+1)</f>
        <v>1</v>
      </c>
      <c r="N30" s="14" t="n">
        <f aca="false">1-INDEX(GuardBlock,26,ROUND(D30/Step_h,0)+1)</f>
        <v>0</v>
      </c>
      <c r="O30" s="14" t="n">
        <f aca="false">1-INDEX(GuardBlock,26,ROUND(E30/Step_h,0)+1)</f>
        <v>1</v>
      </c>
      <c r="P30" s="14" t="n">
        <f aca="false">1-INDEX(GuardBlock,26,ROUND(F30/Step_h,0)+1)</f>
        <v>1</v>
      </c>
      <c r="Q30" s="14" t="n">
        <f aca="false">1-INDEX(GuardBlock,26,ROUND(G30/Step_h,0)+1)</f>
        <v>1</v>
      </c>
      <c r="R30" s="14" t="n">
        <f aca="false">1-INDEX(GuardBlock,26,ROUND(H30/Step_h,0)+1)</f>
        <v>1</v>
      </c>
      <c r="S30" s="14" t="n">
        <f aca="false">1-INDEX(GuardBlock,26,ROUND(I30/Step_h,0)+1)</f>
        <v>1</v>
      </c>
      <c r="T30" s="14" t="n">
        <f aca="false">1-INDEX(GuardBlock,26,ROUND(J30/Step_h,0)+1)</f>
        <v>1</v>
      </c>
      <c r="U30" s="14" t="n">
        <f aca="false">1-INDEX(GuardBlock,26,ROUND(K30/Step_h,0)+1)</f>
        <v>1</v>
      </c>
      <c r="V30" s="28" t="n">
        <f aca="false">BestRule!W30</f>
        <v>0</v>
      </c>
    </row>
    <row r="31" customFormat="false" ht="15" hidden="false" customHeight="false" outlineLevel="0" collapsed="false">
      <c r="A31" s="18" t="n">
        <f aca="false">Grid!A31</f>
        <v>36.5</v>
      </c>
      <c r="B31" s="20" t="n">
        <v>0</v>
      </c>
      <c r="C31" s="20" t="n">
        <v>1.25</v>
      </c>
      <c r="D31" s="20" t="n">
        <v>0.75</v>
      </c>
      <c r="E31" s="20" t="n">
        <v>0</v>
      </c>
      <c r="F31" s="20" t="n">
        <v>2.5</v>
      </c>
      <c r="G31" s="20" t="n">
        <v>0.5</v>
      </c>
      <c r="H31" s="20" t="n">
        <v>1.25</v>
      </c>
      <c r="I31" s="20" t="n">
        <v>0.25</v>
      </c>
      <c r="J31" s="20" t="n">
        <v>1</v>
      </c>
      <c r="K31" s="20" t="n">
        <v>1</v>
      </c>
      <c r="L31" s="14" t="n">
        <f aca="false">1-INDEX(GuardBlock,27,ROUND(B31/Step_h,0)+1)</f>
        <v>1</v>
      </c>
      <c r="M31" s="14" t="n">
        <f aca="false">1-INDEX(GuardBlock,27,ROUND(C31/Step_h,0)+1)</f>
        <v>1</v>
      </c>
      <c r="N31" s="14" t="n">
        <f aca="false">1-INDEX(GuardBlock,27,ROUND(D31/Step_h,0)+1)</f>
        <v>1</v>
      </c>
      <c r="O31" s="14" t="n">
        <f aca="false">1-INDEX(GuardBlock,27,ROUND(E31/Step_h,0)+1)</f>
        <v>1</v>
      </c>
      <c r="P31" s="14" t="n">
        <f aca="false">1-INDEX(GuardBlock,27,ROUND(F31/Step_h,0)+1)</f>
        <v>0</v>
      </c>
      <c r="Q31" s="14" t="n">
        <f aca="false">1-INDEX(GuardBlock,27,ROUND(G31/Step_h,0)+1)</f>
        <v>1</v>
      </c>
      <c r="R31" s="14" t="n">
        <f aca="false">1-INDEX(GuardBlock,27,ROUND(H31/Step_h,0)+1)</f>
        <v>1</v>
      </c>
      <c r="S31" s="14" t="n">
        <f aca="false">1-INDEX(GuardBlock,27,ROUND(I31/Step_h,0)+1)</f>
        <v>1</v>
      </c>
      <c r="T31" s="14" t="n">
        <f aca="false">1-INDEX(GuardBlock,27,ROUND(J31/Step_h,0)+1)</f>
        <v>1</v>
      </c>
      <c r="U31" s="14" t="n">
        <f aca="false">1-INDEX(GuardBlock,27,ROUND(K31/Step_h,0)+1)</f>
        <v>1</v>
      </c>
      <c r="V31" s="28" t="n">
        <f aca="false">BestRule!W31</f>
        <v>0</v>
      </c>
    </row>
    <row r="32" customFormat="false" ht="15" hidden="false" customHeight="false" outlineLevel="0" collapsed="false">
      <c r="A32" s="18" t="n">
        <f aca="false">Grid!A32</f>
        <v>36.75</v>
      </c>
      <c r="B32" s="20" t="n">
        <v>0</v>
      </c>
      <c r="C32" s="20" t="n">
        <v>2</v>
      </c>
      <c r="D32" s="20" t="n">
        <v>0</v>
      </c>
      <c r="E32" s="20" t="n">
        <v>0.75</v>
      </c>
      <c r="F32" s="20" t="n">
        <v>2.25</v>
      </c>
      <c r="G32" s="20" t="n">
        <v>0.25</v>
      </c>
      <c r="H32" s="20" t="n">
        <v>2.5</v>
      </c>
      <c r="I32" s="20" t="n">
        <v>0.5</v>
      </c>
      <c r="J32" s="20" t="n">
        <v>0.25</v>
      </c>
      <c r="K32" s="20" t="n">
        <v>1</v>
      </c>
      <c r="L32" s="14" t="n">
        <f aca="false">1-INDEX(GuardBlock,28,ROUND(B32/Step_h,0)+1)</f>
        <v>1</v>
      </c>
      <c r="M32" s="14" t="n">
        <f aca="false">1-INDEX(GuardBlock,28,ROUND(C32/Step_h,0)+1)</f>
        <v>1</v>
      </c>
      <c r="N32" s="14" t="n">
        <f aca="false">1-INDEX(GuardBlock,28,ROUND(D32/Step_h,0)+1)</f>
        <v>1</v>
      </c>
      <c r="O32" s="14" t="n">
        <f aca="false">1-INDEX(GuardBlock,28,ROUND(E32/Step_h,0)+1)</f>
        <v>1</v>
      </c>
      <c r="P32" s="14" t="n">
        <f aca="false">1-INDEX(GuardBlock,28,ROUND(F32/Step_h,0)+1)</f>
        <v>1</v>
      </c>
      <c r="Q32" s="14" t="n">
        <f aca="false">1-INDEX(GuardBlock,28,ROUND(G32/Step_h,0)+1)</f>
        <v>1</v>
      </c>
      <c r="R32" s="14" t="n">
        <f aca="false">1-INDEX(GuardBlock,28,ROUND(H32/Step_h,0)+1)</f>
        <v>0</v>
      </c>
      <c r="S32" s="14" t="n">
        <f aca="false">1-INDEX(GuardBlock,28,ROUND(I32/Step_h,0)+1)</f>
        <v>1</v>
      </c>
      <c r="T32" s="14" t="n">
        <f aca="false">1-INDEX(GuardBlock,28,ROUND(J32/Step_h,0)+1)</f>
        <v>1</v>
      </c>
      <c r="U32" s="14" t="n">
        <f aca="false">1-INDEX(GuardBlock,28,ROUND(K32/Step_h,0)+1)</f>
        <v>1</v>
      </c>
      <c r="V32" s="28" t="n">
        <f aca="false">BestRule!W32</f>
        <v>0</v>
      </c>
    </row>
    <row r="33" customFormat="false" ht="15" hidden="false" customHeight="false" outlineLevel="0" collapsed="false">
      <c r="A33" s="18" t="n">
        <f aca="false">Grid!A33</f>
        <v>37</v>
      </c>
      <c r="B33" s="20" t="n">
        <v>0</v>
      </c>
      <c r="C33" s="20" t="n">
        <v>1.25</v>
      </c>
      <c r="D33" s="20" t="n">
        <v>0</v>
      </c>
      <c r="E33" s="20" t="n">
        <v>2.25</v>
      </c>
      <c r="F33" s="20" t="n">
        <v>0</v>
      </c>
      <c r="G33" s="20" t="n">
        <v>0</v>
      </c>
      <c r="H33" s="20" t="n">
        <v>0</v>
      </c>
      <c r="I33" s="20" t="n">
        <v>0.5</v>
      </c>
      <c r="J33" s="20" t="n">
        <v>0</v>
      </c>
      <c r="K33" s="20" t="n">
        <v>2.25</v>
      </c>
      <c r="L33" s="14" t="n">
        <f aca="false">1-INDEX(GuardBlock,29,ROUND(B33/Step_h,0)+1)</f>
        <v>1</v>
      </c>
      <c r="M33" s="14" t="n">
        <f aca="false">1-INDEX(GuardBlock,29,ROUND(C33/Step_h,0)+1)</f>
        <v>1</v>
      </c>
      <c r="N33" s="14" t="n">
        <f aca="false">1-INDEX(GuardBlock,29,ROUND(D33/Step_h,0)+1)</f>
        <v>1</v>
      </c>
      <c r="O33" s="14" t="n">
        <f aca="false">1-INDEX(GuardBlock,29,ROUND(E33/Step_h,0)+1)</f>
        <v>1</v>
      </c>
      <c r="P33" s="14" t="n">
        <f aca="false">1-INDEX(GuardBlock,29,ROUND(F33/Step_h,0)+1)</f>
        <v>1</v>
      </c>
      <c r="Q33" s="14" t="n">
        <f aca="false">1-INDEX(GuardBlock,29,ROUND(G33/Step_h,0)+1)</f>
        <v>1</v>
      </c>
      <c r="R33" s="14" t="n">
        <f aca="false">1-INDEX(GuardBlock,29,ROUND(H33/Step_h,0)+1)</f>
        <v>1</v>
      </c>
      <c r="S33" s="14" t="n">
        <f aca="false">1-INDEX(GuardBlock,29,ROUND(I33/Step_h,0)+1)</f>
        <v>1</v>
      </c>
      <c r="T33" s="14" t="n">
        <f aca="false">1-INDEX(GuardBlock,29,ROUND(J33/Step_h,0)+1)</f>
        <v>1</v>
      </c>
      <c r="U33" s="14" t="n">
        <f aca="false">1-INDEX(GuardBlock,29,ROUND(K33/Step_h,0)+1)</f>
        <v>1</v>
      </c>
      <c r="V33" s="28" t="n">
        <f aca="false">BestRule!W33</f>
        <v>0</v>
      </c>
    </row>
    <row r="34" customFormat="false" ht="15" hidden="false" customHeight="false" outlineLevel="0" collapsed="false">
      <c r="A34" s="18" t="n">
        <f aca="false">Grid!A34</f>
        <v>37.25</v>
      </c>
      <c r="B34" s="20" t="n">
        <v>0.25</v>
      </c>
      <c r="C34" s="20" t="n">
        <v>0</v>
      </c>
      <c r="D34" s="20" t="n">
        <v>0.5</v>
      </c>
      <c r="E34" s="20" t="n">
        <v>1.75</v>
      </c>
      <c r="F34" s="20" t="n">
        <v>2</v>
      </c>
      <c r="G34" s="20" t="n">
        <v>0</v>
      </c>
      <c r="H34" s="20" t="n">
        <v>0</v>
      </c>
      <c r="I34" s="20" t="n">
        <v>1.25</v>
      </c>
      <c r="J34" s="20" t="n">
        <v>0.25</v>
      </c>
      <c r="K34" s="20" t="n">
        <v>0</v>
      </c>
      <c r="L34" s="14" t="n">
        <f aca="false">1-INDEX(GuardBlock,30,ROUND(B34/Step_h,0)+1)</f>
        <v>1</v>
      </c>
      <c r="M34" s="14" t="n">
        <f aca="false">1-INDEX(GuardBlock,30,ROUND(C34/Step_h,0)+1)</f>
        <v>1</v>
      </c>
      <c r="N34" s="14" t="n">
        <f aca="false">1-INDEX(GuardBlock,30,ROUND(D34/Step_h,0)+1)</f>
        <v>1</v>
      </c>
      <c r="O34" s="14" t="n">
        <f aca="false">1-INDEX(GuardBlock,30,ROUND(E34/Step_h,0)+1)</f>
        <v>1</v>
      </c>
      <c r="P34" s="14" t="n">
        <f aca="false">1-INDEX(GuardBlock,30,ROUND(F34/Step_h,0)+1)</f>
        <v>1</v>
      </c>
      <c r="Q34" s="14" t="n">
        <f aca="false">1-INDEX(GuardBlock,30,ROUND(G34/Step_h,0)+1)</f>
        <v>1</v>
      </c>
      <c r="R34" s="14" t="n">
        <f aca="false">1-INDEX(GuardBlock,30,ROUND(H34/Step_h,0)+1)</f>
        <v>1</v>
      </c>
      <c r="S34" s="14" t="n">
        <f aca="false">1-INDEX(GuardBlock,30,ROUND(I34/Step_h,0)+1)</f>
        <v>1</v>
      </c>
      <c r="T34" s="14" t="n">
        <f aca="false">1-INDEX(GuardBlock,30,ROUND(J34/Step_h,0)+1)</f>
        <v>1</v>
      </c>
      <c r="U34" s="14" t="n">
        <f aca="false">1-INDEX(GuardBlock,30,ROUND(K34/Step_h,0)+1)</f>
        <v>1</v>
      </c>
      <c r="V34" s="28" t="n">
        <f aca="false">BestRule!W34</f>
        <v>0</v>
      </c>
    </row>
    <row r="35" customFormat="false" ht="15" hidden="false" customHeight="false" outlineLevel="0" collapsed="false">
      <c r="A35" s="18" t="n">
        <f aca="false">Grid!A35</f>
        <v>37.5</v>
      </c>
      <c r="B35" s="20" t="n">
        <v>0</v>
      </c>
      <c r="C35" s="20" t="n">
        <v>0.25</v>
      </c>
      <c r="D35" s="20" t="n">
        <v>1</v>
      </c>
      <c r="E35" s="20" t="n">
        <v>0.5</v>
      </c>
      <c r="F35" s="20" t="n">
        <v>0.75</v>
      </c>
      <c r="G35" s="20" t="n">
        <v>0</v>
      </c>
      <c r="H35" s="20" t="n">
        <v>0.25</v>
      </c>
      <c r="I35" s="20" t="n">
        <v>2</v>
      </c>
      <c r="J35" s="20" t="n">
        <v>0.25</v>
      </c>
      <c r="K35" s="20" t="n">
        <v>1.5</v>
      </c>
      <c r="L35" s="14" t="n">
        <f aca="false">1-INDEX(GuardBlock,31,ROUND(B35/Step_h,0)+1)</f>
        <v>1</v>
      </c>
      <c r="M35" s="14" t="n">
        <f aca="false">1-INDEX(GuardBlock,31,ROUND(C35/Step_h,0)+1)</f>
        <v>1</v>
      </c>
      <c r="N35" s="14" t="n">
        <f aca="false">1-INDEX(GuardBlock,31,ROUND(D35/Step_h,0)+1)</f>
        <v>1</v>
      </c>
      <c r="O35" s="14" t="n">
        <f aca="false">1-INDEX(GuardBlock,31,ROUND(E35/Step_h,0)+1)</f>
        <v>1</v>
      </c>
      <c r="P35" s="14" t="n">
        <f aca="false">1-INDEX(GuardBlock,31,ROUND(F35/Step_h,0)+1)</f>
        <v>1</v>
      </c>
      <c r="Q35" s="14" t="n">
        <f aca="false">1-INDEX(GuardBlock,31,ROUND(G35/Step_h,0)+1)</f>
        <v>1</v>
      </c>
      <c r="R35" s="14" t="n">
        <f aca="false">1-INDEX(GuardBlock,31,ROUND(H35/Step_h,0)+1)</f>
        <v>1</v>
      </c>
      <c r="S35" s="14" t="n">
        <f aca="false">1-INDEX(GuardBlock,31,ROUND(I35/Step_h,0)+1)</f>
        <v>1</v>
      </c>
      <c r="T35" s="14" t="n">
        <f aca="false">1-INDEX(GuardBlock,31,ROUND(J35/Step_h,0)+1)</f>
        <v>1</v>
      </c>
      <c r="U35" s="14" t="n">
        <f aca="false">1-INDEX(GuardBlock,31,ROUND(K35/Step_h,0)+1)</f>
        <v>1</v>
      </c>
      <c r="V35" s="28" t="n">
        <f aca="false">BestRule!W35</f>
        <v>0</v>
      </c>
    </row>
    <row r="36" customFormat="false" ht="15" hidden="false" customHeight="false" outlineLevel="0" collapsed="false">
      <c r="A36" s="18" t="n">
        <f aca="false">Grid!A36</f>
        <v>37.75</v>
      </c>
      <c r="B36" s="20" t="n">
        <v>2.25</v>
      </c>
      <c r="C36" s="20" t="n">
        <v>1.75</v>
      </c>
      <c r="D36" s="20" t="n">
        <v>0</v>
      </c>
      <c r="E36" s="20" t="n">
        <v>1</v>
      </c>
      <c r="F36" s="20" t="n">
        <v>1.25</v>
      </c>
      <c r="G36" s="20" t="n">
        <v>1</v>
      </c>
      <c r="H36" s="20" t="n">
        <v>2</v>
      </c>
      <c r="I36" s="20" t="n">
        <v>0</v>
      </c>
      <c r="J36" s="20" t="n">
        <v>1.5</v>
      </c>
      <c r="K36" s="20" t="n">
        <v>2.5</v>
      </c>
      <c r="L36" s="14" t="n">
        <f aca="false">1-INDEX(GuardBlock,32,ROUND(B36/Step_h,0)+1)</f>
        <v>1</v>
      </c>
      <c r="M36" s="14" t="n">
        <f aca="false">1-INDEX(GuardBlock,32,ROUND(C36/Step_h,0)+1)</f>
        <v>1</v>
      </c>
      <c r="N36" s="14" t="n">
        <f aca="false">1-INDEX(GuardBlock,32,ROUND(D36/Step_h,0)+1)</f>
        <v>1</v>
      </c>
      <c r="O36" s="14" t="n">
        <f aca="false">1-INDEX(GuardBlock,32,ROUND(E36/Step_h,0)+1)</f>
        <v>1</v>
      </c>
      <c r="P36" s="14" t="n">
        <f aca="false">1-INDEX(GuardBlock,32,ROUND(F36/Step_h,0)+1)</f>
        <v>1</v>
      </c>
      <c r="Q36" s="14" t="n">
        <f aca="false">1-INDEX(GuardBlock,32,ROUND(G36/Step_h,0)+1)</f>
        <v>1</v>
      </c>
      <c r="R36" s="14" t="n">
        <f aca="false">1-INDEX(GuardBlock,32,ROUND(H36/Step_h,0)+1)</f>
        <v>1</v>
      </c>
      <c r="S36" s="14" t="n">
        <f aca="false">1-INDEX(GuardBlock,32,ROUND(I36/Step_h,0)+1)</f>
        <v>1</v>
      </c>
      <c r="T36" s="14" t="n">
        <f aca="false">1-INDEX(GuardBlock,32,ROUND(J36/Step_h,0)+1)</f>
        <v>1</v>
      </c>
      <c r="U36" s="14" t="n">
        <f aca="false">1-INDEX(GuardBlock,32,ROUND(K36/Step_h,0)+1)</f>
        <v>0</v>
      </c>
      <c r="V36" s="28" t="n">
        <f aca="false">BestRule!W36</f>
        <v>0</v>
      </c>
    </row>
    <row r="37" customFormat="false" ht="15" hidden="false" customHeight="false" outlineLevel="0" collapsed="false">
      <c r="A37" s="18" t="n">
        <f aca="false">Grid!A37</f>
        <v>38</v>
      </c>
      <c r="B37" s="20" t="n">
        <v>0.75</v>
      </c>
      <c r="C37" s="20" t="n">
        <v>1.5</v>
      </c>
      <c r="D37" s="20" t="n">
        <v>2</v>
      </c>
      <c r="E37" s="20" t="n">
        <v>1.75</v>
      </c>
      <c r="F37" s="20" t="n">
        <v>1</v>
      </c>
      <c r="G37" s="20" t="n">
        <v>0.25</v>
      </c>
      <c r="H37" s="20" t="n">
        <v>1.25</v>
      </c>
      <c r="I37" s="20" t="n">
        <v>2</v>
      </c>
      <c r="J37" s="20" t="n">
        <v>0</v>
      </c>
      <c r="K37" s="20" t="n">
        <v>2</v>
      </c>
      <c r="L37" s="14" t="n">
        <f aca="false">1-INDEX(GuardBlock,33,ROUND(B37/Step_h,0)+1)</f>
        <v>1</v>
      </c>
      <c r="M37" s="14" t="n">
        <f aca="false">1-INDEX(GuardBlock,33,ROUND(C37/Step_h,0)+1)</f>
        <v>1</v>
      </c>
      <c r="N37" s="14" t="n">
        <f aca="false">1-INDEX(GuardBlock,33,ROUND(D37/Step_h,0)+1)</f>
        <v>1</v>
      </c>
      <c r="O37" s="14" t="n">
        <f aca="false">1-INDEX(GuardBlock,33,ROUND(E37/Step_h,0)+1)</f>
        <v>1</v>
      </c>
      <c r="P37" s="14" t="n">
        <f aca="false">1-INDEX(GuardBlock,33,ROUND(F37/Step_h,0)+1)</f>
        <v>1</v>
      </c>
      <c r="Q37" s="14" t="n">
        <f aca="false">1-INDEX(GuardBlock,33,ROUND(G37/Step_h,0)+1)</f>
        <v>1</v>
      </c>
      <c r="R37" s="14" t="n">
        <f aca="false">1-INDEX(GuardBlock,33,ROUND(H37/Step_h,0)+1)</f>
        <v>1</v>
      </c>
      <c r="S37" s="14" t="n">
        <f aca="false">1-INDEX(GuardBlock,33,ROUND(I37/Step_h,0)+1)</f>
        <v>1</v>
      </c>
      <c r="T37" s="14" t="n">
        <f aca="false">1-INDEX(GuardBlock,33,ROUND(J37/Step_h,0)+1)</f>
        <v>1</v>
      </c>
      <c r="U37" s="14" t="n">
        <f aca="false">1-INDEX(GuardBlock,33,ROUND(K37/Step_h,0)+1)</f>
        <v>1</v>
      </c>
      <c r="V37" s="28" t="n">
        <f aca="false">BestRule!W37</f>
        <v>0</v>
      </c>
    </row>
    <row r="38" customFormat="false" ht="15" hidden="false" customHeight="false" outlineLevel="0" collapsed="false">
      <c r="A38" s="18" t="n">
        <f aca="false">Grid!A38</f>
        <v>38.25</v>
      </c>
      <c r="B38" s="20" t="n">
        <v>0.25</v>
      </c>
      <c r="C38" s="20" t="n">
        <v>2.5</v>
      </c>
      <c r="D38" s="20" t="n">
        <v>1</v>
      </c>
      <c r="E38" s="20" t="n">
        <v>0.25</v>
      </c>
      <c r="F38" s="20" t="n">
        <v>2</v>
      </c>
      <c r="G38" s="20" t="n">
        <v>0</v>
      </c>
      <c r="H38" s="20" t="n">
        <v>0.25</v>
      </c>
      <c r="I38" s="20" t="n">
        <v>0.5</v>
      </c>
      <c r="J38" s="20" t="n">
        <v>0.25</v>
      </c>
      <c r="K38" s="20" t="n">
        <v>0.75</v>
      </c>
      <c r="L38" s="14" t="n">
        <f aca="false">1-INDEX(GuardBlock,34,ROUND(B38/Step_h,0)+1)</f>
        <v>1</v>
      </c>
      <c r="M38" s="14" t="n">
        <f aca="false">1-INDEX(GuardBlock,34,ROUND(C38/Step_h,0)+1)</f>
        <v>0</v>
      </c>
      <c r="N38" s="14" t="n">
        <f aca="false">1-INDEX(GuardBlock,34,ROUND(D38/Step_h,0)+1)</f>
        <v>1</v>
      </c>
      <c r="O38" s="14" t="n">
        <f aca="false">1-INDEX(GuardBlock,34,ROUND(E38/Step_h,0)+1)</f>
        <v>1</v>
      </c>
      <c r="P38" s="14" t="n">
        <f aca="false">1-INDEX(GuardBlock,34,ROUND(F38/Step_h,0)+1)</f>
        <v>1</v>
      </c>
      <c r="Q38" s="14" t="n">
        <f aca="false">1-INDEX(GuardBlock,34,ROUND(G38/Step_h,0)+1)</f>
        <v>1</v>
      </c>
      <c r="R38" s="14" t="n">
        <f aca="false">1-INDEX(GuardBlock,34,ROUND(H38/Step_h,0)+1)</f>
        <v>1</v>
      </c>
      <c r="S38" s="14" t="n">
        <f aca="false">1-INDEX(GuardBlock,34,ROUND(I38/Step_h,0)+1)</f>
        <v>1</v>
      </c>
      <c r="T38" s="14" t="n">
        <f aca="false">1-INDEX(GuardBlock,34,ROUND(J38/Step_h,0)+1)</f>
        <v>1</v>
      </c>
      <c r="U38" s="14" t="n">
        <f aca="false">1-INDEX(GuardBlock,34,ROUND(K38/Step_h,0)+1)</f>
        <v>1</v>
      </c>
      <c r="V38" s="28" t="n">
        <f aca="false">BestRule!W38</f>
        <v>0</v>
      </c>
    </row>
    <row r="39" customFormat="false" ht="15" hidden="false" customHeight="false" outlineLevel="0" collapsed="false">
      <c r="A39" s="18" t="n">
        <f aca="false">Grid!A39</f>
        <v>38.5</v>
      </c>
      <c r="B39" s="20" t="n">
        <v>2.25</v>
      </c>
      <c r="C39" s="20" t="n">
        <v>1.75</v>
      </c>
      <c r="D39" s="20" t="n">
        <v>0.5</v>
      </c>
      <c r="E39" s="20" t="n">
        <v>2</v>
      </c>
      <c r="F39" s="20" t="n">
        <v>0.25</v>
      </c>
      <c r="G39" s="20" t="n">
        <v>0</v>
      </c>
      <c r="H39" s="20" t="n">
        <v>1</v>
      </c>
      <c r="I39" s="20" t="n">
        <v>1.5</v>
      </c>
      <c r="J39" s="20" t="n">
        <v>0</v>
      </c>
      <c r="K39" s="20" t="n">
        <v>2</v>
      </c>
      <c r="L39" s="14" t="n">
        <f aca="false">1-INDEX(GuardBlock,35,ROUND(B39/Step_h,0)+1)</f>
        <v>1</v>
      </c>
      <c r="M39" s="14" t="n">
        <f aca="false">1-INDEX(GuardBlock,35,ROUND(C39/Step_h,0)+1)</f>
        <v>1</v>
      </c>
      <c r="N39" s="14" t="n">
        <f aca="false">1-INDEX(GuardBlock,35,ROUND(D39/Step_h,0)+1)</f>
        <v>1</v>
      </c>
      <c r="O39" s="14" t="n">
        <f aca="false">1-INDEX(GuardBlock,35,ROUND(E39/Step_h,0)+1)</f>
        <v>1</v>
      </c>
      <c r="P39" s="14" t="n">
        <f aca="false">1-INDEX(GuardBlock,35,ROUND(F39/Step_h,0)+1)</f>
        <v>1</v>
      </c>
      <c r="Q39" s="14" t="n">
        <f aca="false">1-INDEX(GuardBlock,35,ROUND(G39/Step_h,0)+1)</f>
        <v>1</v>
      </c>
      <c r="R39" s="14" t="n">
        <f aca="false">1-INDEX(GuardBlock,35,ROUND(H39/Step_h,0)+1)</f>
        <v>1</v>
      </c>
      <c r="S39" s="14" t="n">
        <f aca="false">1-INDEX(GuardBlock,35,ROUND(I39/Step_h,0)+1)</f>
        <v>1</v>
      </c>
      <c r="T39" s="14" t="n">
        <f aca="false">1-INDEX(GuardBlock,35,ROUND(J39/Step_h,0)+1)</f>
        <v>1</v>
      </c>
      <c r="U39" s="14" t="n">
        <f aca="false">1-INDEX(GuardBlock,35,ROUND(K39/Step_h,0)+1)</f>
        <v>1</v>
      </c>
      <c r="V39" s="28" t="n">
        <f aca="false">BestRule!W39</f>
        <v>0</v>
      </c>
    </row>
    <row r="40" customFormat="false" ht="15" hidden="false" customHeight="false" outlineLevel="0" collapsed="false">
      <c r="A40" s="18" t="n">
        <f aca="false">Grid!A40</f>
        <v>38.75</v>
      </c>
      <c r="B40" s="20" t="n">
        <v>0.25</v>
      </c>
      <c r="C40" s="20" t="n">
        <v>2.25</v>
      </c>
      <c r="D40" s="20" t="n">
        <v>0.25</v>
      </c>
      <c r="E40" s="20" t="n">
        <v>1.5</v>
      </c>
      <c r="F40" s="20" t="n">
        <v>0.75</v>
      </c>
      <c r="G40" s="20" t="n">
        <v>0.5</v>
      </c>
      <c r="H40" s="20" t="n">
        <v>1</v>
      </c>
      <c r="I40" s="20" t="n">
        <v>0.25</v>
      </c>
      <c r="J40" s="20" t="n">
        <v>0.5</v>
      </c>
      <c r="K40" s="20" t="n">
        <v>1</v>
      </c>
      <c r="L40" s="14" t="n">
        <f aca="false">1-INDEX(GuardBlock,36,ROUND(B40/Step_h,0)+1)</f>
        <v>1</v>
      </c>
      <c r="M40" s="14" t="n">
        <f aca="false">1-INDEX(GuardBlock,36,ROUND(C40/Step_h,0)+1)</f>
        <v>1</v>
      </c>
      <c r="N40" s="14" t="n">
        <f aca="false">1-INDEX(GuardBlock,36,ROUND(D40/Step_h,0)+1)</f>
        <v>1</v>
      </c>
      <c r="O40" s="14" t="n">
        <f aca="false">1-INDEX(GuardBlock,36,ROUND(E40/Step_h,0)+1)</f>
        <v>1</v>
      </c>
      <c r="P40" s="14" t="n">
        <f aca="false">1-INDEX(GuardBlock,36,ROUND(F40/Step_h,0)+1)</f>
        <v>1</v>
      </c>
      <c r="Q40" s="14" t="n">
        <f aca="false">1-INDEX(GuardBlock,36,ROUND(G40/Step_h,0)+1)</f>
        <v>1</v>
      </c>
      <c r="R40" s="14" t="n">
        <f aca="false">1-INDEX(GuardBlock,36,ROUND(H40/Step_h,0)+1)</f>
        <v>1</v>
      </c>
      <c r="S40" s="14" t="n">
        <f aca="false">1-INDEX(GuardBlock,36,ROUND(I40/Step_h,0)+1)</f>
        <v>1</v>
      </c>
      <c r="T40" s="14" t="n">
        <f aca="false">1-INDEX(GuardBlock,36,ROUND(J40/Step_h,0)+1)</f>
        <v>1</v>
      </c>
      <c r="U40" s="14" t="n">
        <f aca="false">1-INDEX(GuardBlock,36,ROUND(K40/Step_h,0)+1)</f>
        <v>1</v>
      </c>
      <c r="V40" s="28" t="n">
        <f aca="false">BestRule!W40</f>
        <v>0</v>
      </c>
    </row>
    <row r="41" customFormat="false" ht="15" hidden="false" customHeight="false" outlineLevel="0" collapsed="false">
      <c r="A41" s="18" t="n">
        <f aca="false">Grid!A41</f>
        <v>39</v>
      </c>
      <c r="B41" s="20" t="n">
        <v>0</v>
      </c>
      <c r="C41" s="20" t="n">
        <v>0.75</v>
      </c>
      <c r="D41" s="20" t="n">
        <v>2.5</v>
      </c>
      <c r="E41" s="20" t="n">
        <v>0.25</v>
      </c>
      <c r="F41" s="20" t="n">
        <v>2.5</v>
      </c>
      <c r="G41" s="20" t="n">
        <v>0.25</v>
      </c>
      <c r="H41" s="20" t="n">
        <v>1</v>
      </c>
      <c r="I41" s="20" t="n">
        <v>1.75</v>
      </c>
      <c r="J41" s="20" t="n">
        <v>0.25</v>
      </c>
      <c r="K41" s="20" t="n">
        <v>1</v>
      </c>
      <c r="L41" s="14" t="n">
        <f aca="false">1-INDEX(GuardBlock,37,ROUND(B41/Step_h,0)+1)</f>
        <v>1</v>
      </c>
      <c r="M41" s="14" t="n">
        <f aca="false">1-INDEX(GuardBlock,37,ROUND(C41/Step_h,0)+1)</f>
        <v>1</v>
      </c>
      <c r="N41" s="14" t="n">
        <f aca="false">1-INDEX(GuardBlock,37,ROUND(D41/Step_h,0)+1)</f>
        <v>0</v>
      </c>
      <c r="O41" s="14" t="n">
        <f aca="false">1-INDEX(GuardBlock,37,ROUND(E41/Step_h,0)+1)</f>
        <v>1</v>
      </c>
      <c r="P41" s="14" t="n">
        <f aca="false">1-INDEX(GuardBlock,37,ROUND(F41/Step_h,0)+1)</f>
        <v>0</v>
      </c>
      <c r="Q41" s="14" t="n">
        <f aca="false">1-INDEX(GuardBlock,37,ROUND(G41/Step_h,0)+1)</f>
        <v>1</v>
      </c>
      <c r="R41" s="14" t="n">
        <f aca="false">1-INDEX(GuardBlock,37,ROUND(H41/Step_h,0)+1)</f>
        <v>1</v>
      </c>
      <c r="S41" s="14" t="n">
        <f aca="false">1-INDEX(GuardBlock,37,ROUND(I41/Step_h,0)+1)</f>
        <v>1</v>
      </c>
      <c r="T41" s="14" t="n">
        <f aca="false">1-INDEX(GuardBlock,37,ROUND(J41/Step_h,0)+1)</f>
        <v>1</v>
      </c>
      <c r="U41" s="14" t="n">
        <f aca="false">1-INDEX(GuardBlock,37,ROUND(K41/Step_h,0)+1)</f>
        <v>1</v>
      </c>
      <c r="V41" s="28" t="n">
        <f aca="false">BestRule!W41</f>
        <v>0</v>
      </c>
    </row>
    <row r="42" customFormat="false" ht="15" hidden="false" customHeight="false" outlineLevel="0" collapsed="false">
      <c r="A42" s="18" t="n">
        <f aca="false">Grid!A42</f>
        <v>39.25</v>
      </c>
      <c r="B42" s="20" t="n">
        <v>1.5</v>
      </c>
      <c r="C42" s="20" t="n">
        <v>2</v>
      </c>
      <c r="D42" s="20" t="n">
        <v>0</v>
      </c>
      <c r="E42" s="20" t="n">
        <v>1.25</v>
      </c>
      <c r="F42" s="20" t="n">
        <v>0.75</v>
      </c>
      <c r="G42" s="20" t="n">
        <v>2.5</v>
      </c>
      <c r="H42" s="20" t="n">
        <v>0</v>
      </c>
      <c r="I42" s="20" t="n">
        <v>1</v>
      </c>
      <c r="J42" s="20" t="n">
        <v>1</v>
      </c>
      <c r="K42" s="20" t="n">
        <v>1.75</v>
      </c>
      <c r="L42" s="14" t="n">
        <f aca="false">1-INDEX(GuardBlock,38,ROUND(B42/Step_h,0)+1)</f>
        <v>1</v>
      </c>
      <c r="M42" s="14" t="n">
        <f aca="false">1-INDEX(GuardBlock,38,ROUND(C42/Step_h,0)+1)</f>
        <v>1</v>
      </c>
      <c r="N42" s="14" t="n">
        <f aca="false">1-INDEX(GuardBlock,38,ROUND(D42/Step_h,0)+1)</f>
        <v>1</v>
      </c>
      <c r="O42" s="14" t="n">
        <f aca="false">1-INDEX(GuardBlock,38,ROUND(E42/Step_h,0)+1)</f>
        <v>1</v>
      </c>
      <c r="P42" s="14" t="n">
        <f aca="false">1-INDEX(GuardBlock,38,ROUND(F42/Step_h,0)+1)</f>
        <v>1</v>
      </c>
      <c r="Q42" s="14" t="n">
        <f aca="false">1-INDEX(GuardBlock,38,ROUND(G42/Step_h,0)+1)</f>
        <v>0</v>
      </c>
      <c r="R42" s="14" t="n">
        <f aca="false">1-INDEX(GuardBlock,38,ROUND(H42/Step_h,0)+1)</f>
        <v>1</v>
      </c>
      <c r="S42" s="14" t="n">
        <f aca="false">1-INDEX(GuardBlock,38,ROUND(I42/Step_h,0)+1)</f>
        <v>1</v>
      </c>
      <c r="T42" s="14" t="n">
        <f aca="false">1-INDEX(GuardBlock,38,ROUND(J42/Step_h,0)+1)</f>
        <v>1</v>
      </c>
      <c r="U42" s="14" t="n">
        <f aca="false">1-INDEX(GuardBlock,38,ROUND(K42/Step_h,0)+1)</f>
        <v>1</v>
      </c>
      <c r="V42" s="28" t="n">
        <f aca="false">BestRule!W42</f>
        <v>0</v>
      </c>
    </row>
    <row r="43" customFormat="false" ht="15" hidden="false" customHeight="false" outlineLevel="0" collapsed="false">
      <c r="A43" s="18" t="n">
        <f aca="false">Grid!A43</f>
        <v>39.5</v>
      </c>
      <c r="B43" s="20" t="n">
        <v>1.25</v>
      </c>
      <c r="C43" s="20" t="n">
        <v>1.75</v>
      </c>
      <c r="D43" s="20" t="n">
        <v>2.5</v>
      </c>
      <c r="E43" s="20" t="n">
        <v>1.25</v>
      </c>
      <c r="F43" s="20" t="n">
        <v>0</v>
      </c>
      <c r="G43" s="20" t="n">
        <v>2.5</v>
      </c>
      <c r="H43" s="20" t="n">
        <v>1.5</v>
      </c>
      <c r="I43" s="20" t="n">
        <v>0.5</v>
      </c>
      <c r="J43" s="20" t="n">
        <v>0.5</v>
      </c>
      <c r="K43" s="20" t="n">
        <v>1.75</v>
      </c>
      <c r="L43" s="14" t="n">
        <f aca="false">1-INDEX(GuardBlock,39,ROUND(B43/Step_h,0)+1)</f>
        <v>1</v>
      </c>
      <c r="M43" s="14" t="n">
        <f aca="false">1-INDEX(GuardBlock,39,ROUND(C43/Step_h,0)+1)</f>
        <v>1</v>
      </c>
      <c r="N43" s="14" t="n">
        <f aca="false">1-INDEX(GuardBlock,39,ROUND(D43/Step_h,0)+1)</f>
        <v>0</v>
      </c>
      <c r="O43" s="14" t="n">
        <f aca="false">1-INDEX(GuardBlock,39,ROUND(E43/Step_h,0)+1)</f>
        <v>1</v>
      </c>
      <c r="P43" s="14" t="n">
        <f aca="false">1-INDEX(GuardBlock,39,ROUND(F43/Step_h,0)+1)</f>
        <v>1</v>
      </c>
      <c r="Q43" s="14" t="n">
        <f aca="false">1-INDEX(GuardBlock,39,ROUND(G43/Step_h,0)+1)</f>
        <v>0</v>
      </c>
      <c r="R43" s="14" t="n">
        <f aca="false">1-INDEX(GuardBlock,39,ROUND(H43/Step_h,0)+1)</f>
        <v>1</v>
      </c>
      <c r="S43" s="14" t="n">
        <f aca="false">1-INDEX(GuardBlock,39,ROUND(I43/Step_h,0)+1)</f>
        <v>1</v>
      </c>
      <c r="T43" s="14" t="n">
        <f aca="false">1-INDEX(GuardBlock,39,ROUND(J43/Step_h,0)+1)</f>
        <v>1</v>
      </c>
      <c r="U43" s="14" t="n">
        <f aca="false">1-INDEX(GuardBlock,39,ROUND(K43/Step_h,0)+1)</f>
        <v>1</v>
      </c>
      <c r="V43" s="28" t="n">
        <f aca="false">BestRule!W43</f>
        <v>0</v>
      </c>
    </row>
    <row r="44" customFormat="false" ht="15" hidden="false" customHeight="false" outlineLevel="0" collapsed="false">
      <c r="A44" s="18" t="n">
        <f aca="false">Grid!A44</f>
        <v>39.75</v>
      </c>
      <c r="B44" s="20" t="n">
        <v>1.25</v>
      </c>
      <c r="C44" s="20" t="n">
        <v>0.25</v>
      </c>
      <c r="D44" s="20" t="n">
        <v>2</v>
      </c>
      <c r="E44" s="20" t="n">
        <v>1.25</v>
      </c>
      <c r="F44" s="20" t="n">
        <v>0</v>
      </c>
      <c r="G44" s="20" t="n">
        <v>1.5</v>
      </c>
      <c r="H44" s="20" t="n">
        <v>0.25</v>
      </c>
      <c r="I44" s="20" t="n">
        <v>0</v>
      </c>
      <c r="J44" s="20" t="n">
        <v>0.5</v>
      </c>
      <c r="K44" s="20" t="n">
        <v>0.25</v>
      </c>
      <c r="L44" s="14" t="n">
        <f aca="false">1-INDEX(GuardBlock,40,ROUND(B44/Step_h,0)+1)</f>
        <v>1</v>
      </c>
      <c r="M44" s="14" t="n">
        <f aca="false">1-INDEX(GuardBlock,40,ROUND(C44/Step_h,0)+1)</f>
        <v>1</v>
      </c>
      <c r="N44" s="14" t="n">
        <f aca="false">1-INDEX(GuardBlock,40,ROUND(D44/Step_h,0)+1)</f>
        <v>1</v>
      </c>
      <c r="O44" s="14" t="n">
        <f aca="false">1-INDEX(GuardBlock,40,ROUND(E44/Step_h,0)+1)</f>
        <v>1</v>
      </c>
      <c r="P44" s="14" t="n">
        <f aca="false">1-INDEX(GuardBlock,40,ROUND(F44/Step_h,0)+1)</f>
        <v>1</v>
      </c>
      <c r="Q44" s="14" t="n">
        <f aca="false">1-INDEX(GuardBlock,40,ROUND(G44/Step_h,0)+1)</f>
        <v>1</v>
      </c>
      <c r="R44" s="14" t="n">
        <f aca="false">1-INDEX(GuardBlock,40,ROUND(H44/Step_h,0)+1)</f>
        <v>1</v>
      </c>
      <c r="S44" s="14" t="n">
        <f aca="false">1-INDEX(GuardBlock,40,ROUND(I44/Step_h,0)+1)</f>
        <v>1</v>
      </c>
      <c r="T44" s="14" t="n">
        <f aca="false">1-INDEX(GuardBlock,40,ROUND(J44/Step_h,0)+1)</f>
        <v>1</v>
      </c>
      <c r="U44" s="14" t="n">
        <f aca="false">1-INDEX(GuardBlock,40,ROUND(K44/Step_h,0)+1)</f>
        <v>1</v>
      </c>
      <c r="V44" s="28" t="n">
        <f aca="false">BestRule!W44</f>
        <v>0</v>
      </c>
    </row>
    <row r="45" customFormat="false" ht="15" hidden="false" customHeight="false" outlineLevel="0" collapsed="false">
      <c r="A45" s="18" t="n">
        <f aca="false">Grid!A45</f>
        <v>40</v>
      </c>
      <c r="B45" s="20" t="n">
        <v>1.25</v>
      </c>
      <c r="C45" s="20" t="n">
        <v>0.5</v>
      </c>
      <c r="D45" s="20" t="n">
        <v>0.25</v>
      </c>
      <c r="E45" s="20" t="n">
        <v>0.5</v>
      </c>
      <c r="F45" s="20" t="n">
        <v>0</v>
      </c>
      <c r="G45" s="20" t="n">
        <v>0.5</v>
      </c>
      <c r="H45" s="20" t="n">
        <v>0.25</v>
      </c>
      <c r="I45" s="20" t="n">
        <v>1.25</v>
      </c>
      <c r="J45" s="20" t="n">
        <v>2.25</v>
      </c>
      <c r="K45" s="20" t="n">
        <v>1.25</v>
      </c>
      <c r="L45" s="14" t="n">
        <f aca="false">1-INDEX(GuardBlock,41,ROUND(B45/Step_h,0)+1)</f>
        <v>1</v>
      </c>
      <c r="M45" s="14" t="n">
        <f aca="false">1-INDEX(GuardBlock,41,ROUND(C45/Step_h,0)+1)</f>
        <v>1</v>
      </c>
      <c r="N45" s="14" t="n">
        <f aca="false">1-INDEX(GuardBlock,41,ROUND(D45/Step_h,0)+1)</f>
        <v>1</v>
      </c>
      <c r="O45" s="14" t="n">
        <f aca="false">1-INDEX(GuardBlock,41,ROUND(E45/Step_h,0)+1)</f>
        <v>1</v>
      </c>
      <c r="P45" s="14" t="n">
        <f aca="false">1-INDEX(GuardBlock,41,ROUND(F45/Step_h,0)+1)</f>
        <v>1</v>
      </c>
      <c r="Q45" s="14" t="n">
        <f aca="false">1-INDEX(GuardBlock,41,ROUND(G45/Step_h,0)+1)</f>
        <v>1</v>
      </c>
      <c r="R45" s="14" t="n">
        <f aca="false">1-INDEX(GuardBlock,41,ROUND(H45/Step_h,0)+1)</f>
        <v>1</v>
      </c>
      <c r="S45" s="14" t="n">
        <f aca="false">1-INDEX(GuardBlock,41,ROUND(I45/Step_h,0)+1)</f>
        <v>1</v>
      </c>
      <c r="T45" s="14" t="n">
        <f aca="false">1-INDEX(GuardBlock,41,ROUND(J45/Step_h,0)+1)</f>
        <v>1</v>
      </c>
      <c r="U45" s="14" t="n">
        <f aca="false">1-INDEX(GuardBlock,41,ROUND(K45/Step_h,0)+1)</f>
        <v>1</v>
      </c>
      <c r="V45" s="28" t="n">
        <f aca="false">BestRule!W45</f>
        <v>0</v>
      </c>
    </row>
    <row r="46" customFormat="false" ht="15" hidden="false" customHeight="false" outlineLevel="0" collapsed="false">
      <c r="A46" s="18" t="n">
        <f aca="false">Grid!A46</f>
        <v>40.25</v>
      </c>
      <c r="B46" s="20" t="n">
        <v>0</v>
      </c>
      <c r="C46" s="20" t="n">
        <v>0.5</v>
      </c>
      <c r="D46" s="20" t="n">
        <v>2.25</v>
      </c>
      <c r="E46" s="20" t="n">
        <v>1.25</v>
      </c>
      <c r="F46" s="20" t="n">
        <v>1.75</v>
      </c>
      <c r="G46" s="20" t="n">
        <v>0</v>
      </c>
      <c r="H46" s="20" t="n">
        <v>0.25</v>
      </c>
      <c r="I46" s="20" t="n">
        <v>2.5</v>
      </c>
      <c r="J46" s="20" t="n">
        <v>0.75</v>
      </c>
      <c r="K46" s="20" t="n">
        <v>0.25</v>
      </c>
      <c r="L46" s="14" t="n">
        <f aca="false">1-INDEX(GuardBlock,42,ROUND(B46/Step_h,0)+1)</f>
        <v>1</v>
      </c>
      <c r="M46" s="14" t="n">
        <f aca="false">1-INDEX(GuardBlock,42,ROUND(C46/Step_h,0)+1)</f>
        <v>1</v>
      </c>
      <c r="N46" s="14" t="n">
        <f aca="false">1-INDEX(GuardBlock,42,ROUND(D46/Step_h,0)+1)</f>
        <v>1</v>
      </c>
      <c r="O46" s="14" t="n">
        <f aca="false">1-INDEX(GuardBlock,42,ROUND(E46/Step_h,0)+1)</f>
        <v>1</v>
      </c>
      <c r="P46" s="14" t="n">
        <f aca="false">1-INDEX(GuardBlock,42,ROUND(F46/Step_h,0)+1)</f>
        <v>1</v>
      </c>
      <c r="Q46" s="14" t="n">
        <f aca="false">1-INDEX(GuardBlock,42,ROUND(G46/Step_h,0)+1)</f>
        <v>1</v>
      </c>
      <c r="R46" s="14" t="n">
        <f aca="false">1-INDEX(GuardBlock,42,ROUND(H46/Step_h,0)+1)</f>
        <v>1</v>
      </c>
      <c r="S46" s="14" t="n">
        <f aca="false">1-INDEX(GuardBlock,42,ROUND(I46/Step_h,0)+1)</f>
        <v>0</v>
      </c>
      <c r="T46" s="14" t="n">
        <f aca="false">1-INDEX(GuardBlock,42,ROUND(J46/Step_h,0)+1)</f>
        <v>1</v>
      </c>
      <c r="U46" s="14" t="n">
        <f aca="false">1-INDEX(GuardBlock,42,ROUND(K46/Step_h,0)+1)</f>
        <v>1</v>
      </c>
      <c r="V46" s="28" t="n">
        <f aca="false">BestRule!W46</f>
        <v>0</v>
      </c>
    </row>
    <row r="47" customFormat="false" ht="15" hidden="false" customHeight="false" outlineLevel="0" collapsed="false">
      <c r="A47" s="18" t="n">
        <f aca="false">Grid!A47</f>
        <v>40.5</v>
      </c>
      <c r="B47" s="20" t="n">
        <v>1.25</v>
      </c>
      <c r="C47" s="20" t="n">
        <v>1.75</v>
      </c>
      <c r="D47" s="20" t="n">
        <v>0.25</v>
      </c>
      <c r="E47" s="20" t="n">
        <v>0.5</v>
      </c>
      <c r="F47" s="20" t="n">
        <v>0.25</v>
      </c>
      <c r="G47" s="20" t="n">
        <v>0</v>
      </c>
      <c r="H47" s="20" t="n">
        <v>0</v>
      </c>
      <c r="I47" s="20" t="n">
        <v>1.75</v>
      </c>
      <c r="J47" s="20" t="n">
        <v>0</v>
      </c>
      <c r="K47" s="20" t="n">
        <v>0.75</v>
      </c>
      <c r="L47" s="14" t="n">
        <f aca="false">1-INDEX(GuardBlock,43,ROUND(B47/Step_h,0)+1)</f>
        <v>1</v>
      </c>
      <c r="M47" s="14" t="n">
        <f aca="false">1-INDEX(GuardBlock,43,ROUND(C47/Step_h,0)+1)</f>
        <v>1</v>
      </c>
      <c r="N47" s="14" t="n">
        <f aca="false">1-INDEX(GuardBlock,43,ROUND(D47/Step_h,0)+1)</f>
        <v>1</v>
      </c>
      <c r="O47" s="14" t="n">
        <f aca="false">1-INDEX(GuardBlock,43,ROUND(E47/Step_h,0)+1)</f>
        <v>1</v>
      </c>
      <c r="P47" s="14" t="n">
        <f aca="false">1-INDEX(GuardBlock,43,ROUND(F47/Step_h,0)+1)</f>
        <v>1</v>
      </c>
      <c r="Q47" s="14" t="n">
        <f aca="false">1-INDEX(GuardBlock,43,ROUND(G47/Step_h,0)+1)</f>
        <v>1</v>
      </c>
      <c r="R47" s="14" t="n">
        <f aca="false">1-INDEX(GuardBlock,43,ROUND(H47/Step_h,0)+1)</f>
        <v>1</v>
      </c>
      <c r="S47" s="14" t="n">
        <f aca="false">1-INDEX(GuardBlock,43,ROUND(I47/Step_h,0)+1)</f>
        <v>1</v>
      </c>
      <c r="T47" s="14" t="n">
        <f aca="false">1-INDEX(GuardBlock,43,ROUND(J47/Step_h,0)+1)</f>
        <v>1</v>
      </c>
      <c r="U47" s="14" t="n">
        <f aca="false">1-INDEX(GuardBlock,43,ROUND(K47/Step_h,0)+1)</f>
        <v>1</v>
      </c>
      <c r="V47" s="28" t="n">
        <f aca="false">BestRule!W47</f>
        <v>0</v>
      </c>
    </row>
    <row r="48" customFormat="false" ht="15" hidden="false" customHeight="false" outlineLevel="0" collapsed="false">
      <c r="A48" s="18" t="n">
        <f aca="false">Grid!A48</f>
        <v>40.75</v>
      </c>
      <c r="B48" s="20" t="n">
        <v>2.25</v>
      </c>
      <c r="C48" s="20" t="n">
        <v>0.25</v>
      </c>
      <c r="D48" s="20" t="n">
        <v>2</v>
      </c>
      <c r="E48" s="20" t="n">
        <v>2.5</v>
      </c>
      <c r="F48" s="20" t="n">
        <v>0.25</v>
      </c>
      <c r="G48" s="20" t="n">
        <v>1.25</v>
      </c>
      <c r="H48" s="20" t="n">
        <v>0.25</v>
      </c>
      <c r="I48" s="20" t="n">
        <v>0.5</v>
      </c>
      <c r="J48" s="20" t="n">
        <v>2</v>
      </c>
      <c r="K48" s="20" t="n">
        <v>2.25</v>
      </c>
      <c r="L48" s="14" t="n">
        <f aca="false">1-INDEX(GuardBlock,44,ROUND(B48/Step_h,0)+1)</f>
        <v>1</v>
      </c>
      <c r="M48" s="14" t="n">
        <f aca="false">1-INDEX(GuardBlock,44,ROUND(C48/Step_h,0)+1)</f>
        <v>1</v>
      </c>
      <c r="N48" s="14" t="n">
        <f aca="false">1-INDEX(GuardBlock,44,ROUND(D48/Step_h,0)+1)</f>
        <v>1</v>
      </c>
      <c r="O48" s="14" t="n">
        <f aca="false">1-INDEX(GuardBlock,44,ROUND(E48/Step_h,0)+1)</f>
        <v>0</v>
      </c>
      <c r="P48" s="14" t="n">
        <f aca="false">1-INDEX(GuardBlock,44,ROUND(F48/Step_h,0)+1)</f>
        <v>1</v>
      </c>
      <c r="Q48" s="14" t="n">
        <f aca="false">1-INDEX(GuardBlock,44,ROUND(G48/Step_h,0)+1)</f>
        <v>1</v>
      </c>
      <c r="R48" s="14" t="n">
        <f aca="false">1-INDEX(GuardBlock,44,ROUND(H48/Step_h,0)+1)</f>
        <v>1</v>
      </c>
      <c r="S48" s="14" t="n">
        <f aca="false">1-INDEX(GuardBlock,44,ROUND(I48/Step_h,0)+1)</f>
        <v>1</v>
      </c>
      <c r="T48" s="14" t="n">
        <f aca="false">1-INDEX(GuardBlock,44,ROUND(J48/Step_h,0)+1)</f>
        <v>1</v>
      </c>
      <c r="U48" s="14" t="n">
        <f aca="false">1-INDEX(GuardBlock,44,ROUND(K48/Step_h,0)+1)</f>
        <v>1</v>
      </c>
      <c r="V48" s="28" t="n">
        <f aca="false">BestRule!W48</f>
        <v>0</v>
      </c>
    </row>
    <row r="49" customFormat="false" ht="15" hidden="false" customHeight="false" outlineLevel="0" collapsed="false">
      <c r="A49" s="18" t="n">
        <f aca="false">Grid!A49</f>
        <v>41</v>
      </c>
      <c r="B49" s="20" t="n">
        <v>0.75</v>
      </c>
      <c r="C49" s="20" t="n">
        <v>1.75</v>
      </c>
      <c r="D49" s="20" t="n">
        <v>2.25</v>
      </c>
      <c r="E49" s="20" t="n">
        <v>1.5</v>
      </c>
      <c r="F49" s="20" t="n">
        <v>1.75</v>
      </c>
      <c r="G49" s="20" t="n">
        <v>2.25</v>
      </c>
      <c r="H49" s="20" t="n">
        <v>1.5</v>
      </c>
      <c r="I49" s="20" t="n">
        <v>1.75</v>
      </c>
      <c r="J49" s="20" t="n">
        <v>0.5</v>
      </c>
      <c r="K49" s="20" t="n">
        <v>0</v>
      </c>
      <c r="L49" s="14" t="n">
        <f aca="false">1-INDEX(GuardBlock,45,ROUND(B49/Step_h,0)+1)</f>
        <v>1</v>
      </c>
      <c r="M49" s="14" t="n">
        <f aca="false">1-INDEX(GuardBlock,45,ROUND(C49/Step_h,0)+1)</f>
        <v>1</v>
      </c>
      <c r="N49" s="14" t="n">
        <f aca="false">1-INDEX(GuardBlock,45,ROUND(D49/Step_h,0)+1)</f>
        <v>1</v>
      </c>
      <c r="O49" s="14" t="n">
        <f aca="false">1-INDEX(GuardBlock,45,ROUND(E49/Step_h,0)+1)</f>
        <v>1</v>
      </c>
      <c r="P49" s="14" t="n">
        <f aca="false">1-INDEX(GuardBlock,45,ROUND(F49/Step_h,0)+1)</f>
        <v>1</v>
      </c>
      <c r="Q49" s="14" t="n">
        <f aca="false">1-INDEX(GuardBlock,45,ROUND(G49/Step_h,0)+1)</f>
        <v>1</v>
      </c>
      <c r="R49" s="14" t="n">
        <f aca="false">1-INDEX(GuardBlock,45,ROUND(H49/Step_h,0)+1)</f>
        <v>1</v>
      </c>
      <c r="S49" s="14" t="n">
        <f aca="false">1-INDEX(GuardBlock,45,ROUND(I49/Step_h,0)+1)</f>
        <v>1</v>
      </c>
      <c r="T49" s="14" t="n">
        <f aca="false">1-INDEX(GuardBlock,45,ROUND(J49/Step_h,0)+1)</f>
        <v>1</v>
      </c>
      <c r="U49" s="14" t="n">
        <f aca="false">1-INDEX(GuardBlock,45,ROUND(K49/Step_h,0)+1)</f>
        <v>1</v>
      </c>
      <c r="V49" s="28" t="n">
        <f aca="false">BestRule!W49</f>
        <v>0</v>
      </c>
    </row>
    <row r="50" customFormat="false" ht="15" hidden="false" customHeight="false" outlineLevel="0" collapsed="false">
      <c r="A50" s="18" t="n">
        <f aca="false">Grid!A50</f>
        <v>41.25</v>
      </c>
      <c r="B50" s="20" t="n">
        <v>0.25</v>
      </c>
      <c r="C50" s="20" t="n">
        <v>2.5</v>
      </c>
      <c r="D50" s="20" t="n">
        <v>0.5</v>
      </c>
      <c r="E50" s="20" t="n">
        <v>2.25</v>
      </c>
      <c r="F50" s="20" t="n">
        <v>0</v>
      </c>
      <c r="G50" s="20" t="n">
        <v>0.25</v>
      </c>
      <c r="H50" s="20" t="n">
        <v>1.25</v>
      </c>
      <c r="I50" s="20" t="n">
        <v>1.5</v>
      </c>
      <c r="J50" s="20" t="n">
        <v>2.25</v>
      </c>
      <c r="K50" s="20" t="n">
        <v>1</v>
      </c>
      <c r="L50" s="14" t="n">
        <f aca="false">1-INDEX(GuardBlock,46,ROUND(B50/Step_h,0)+1)</f>
        <v>1</v>
      </c>
      <c r="M50" s="14" t="n">
        <f aca="false">1-INDEX(GuardBlock,46,ROUND(C50/Step_h,0)+1)</f>
        <v>0</v>
      </c>
      <c r="N50" s="14" t="n">
        <f aca="false">1-INDEX(GuardBlock,46,ROUND(D50/Step_h,0)+1)</f>
        <v>1</v>
      </c>
      <c r="O50" s="14" t="n">
        <f aca="false">1-INDEX(GuardBlock,46,ROUND(E50/Step_h,0)+1)</f>
        <v>1</v>
      </c>
      <c r="P50" s="14" t="n">
        <f aca="false">1-INDEX(GuardBlock,46,ROUND(F50/Step_h,0)+1)</f>
        <v>1</v>
      </c>
      <c r="Q50" s="14" t="n">
        <f aca="false">1-INDEX(GuardBlock,46,ROUND(G50/Step_h,0)+1)</f>
        <v>1</v>
      </c>
      <c r="R50" s="14" t="n">
        <f aca="false">1-INDEX(GuardBlock,46,ROUND(H50/Step_h,0)+1)</f>
        <v>1</v>
      </c>
      <c r="S50" s="14" t="n">
        <f aca="false">1-INDEX(GuardBlock,46,ROUND(I50/Step_h,0)+1)</f>
        <v>1</v>
      </c>
      <c r="T50" s="14" t="n">
        <f aca="false">1-INDEX(GuardBlock,46,ROUND(J50/Step_h,0)+1)</f>
        <v>1</v>
      </c>
      <c r="U50" s="14" t="n">
        <f aca="false">1-INDEX(GuardBlock,46,ROUND(K50/Step_h,0)+1)</f>
        <v>1</v>
      </c>
      <c r="V50" s="28" t="n">
        <f aca="false">BestRule!W50</f>
        <v>0</v>
      </c>
    </row>
    <row r="51" customFormat="false" ht="15" hidden="false" customHeight="false" outlineLevel="0" collapsed="false">
      <c r="A51" s="18" t="n">
        <f aca="false">Grid!A51</f>
        <v>41.5</v>
      </c>
      <c r="B51" s="20" t="n">
        <v>0</v>
      </c>
      <c r="C51" s="20" t="n">
        <v>0.25</v>
      </c>
      <c r="D51" s="20" t="n">
        <v>0.25</v>
      </c>
      <c r="E51" s="20" t="n">
        <v>0.25</v>
      </c>
      <c r="F51" s="20" t="n">
        <v>1.25</v>
      </c>
      <c r="G51" s="20" t="n">
        <v>1.75</v>
      </c>
      <c r="H51" s="20" t="n">
        <v>2.25</v>
      </c>
      <c r="I51" s="20" t="n">
        <v>0.25</v>
      </c>
      <c r="J51" s="20" t="n">
        <v>2.25</v>
      </c>
      <c r="K51" s="20" t="n">
        <v>2.25</v>
      </c>
      <c r="L51" s="14" t="n">
        <f aca="false">1-INDEX(GuardBlock,47,ROUND(B51/Step_h,0)+1)</f>
        <v>1</v>
      </c>
      <c r="M51" s="14" t="n">
        <f aca="false">1-INDEX(GuardBlock,47,ROUND(C51/Step_h,0)+1)</f>
        <v>1</v>
      </c>
      <c r="N51" s="14" t="n">
        <f aca="false">1-INDEX(GuardBlock,47,ROUND(D51/Step_h,0)+1)</f>
        <v>1</v>
      </c>
      <c r="O51" s="14" t="n">
        <f aca="false">1-INDEX(GuardBlock,47,ROUND(E51/Step_h,0)+1)</f>
        <v>1</v>
      </c>
      <c r="P51" s="14" t="n">
        <f aca="false">1-INDEX(GuardBlock,47,ROUND(F51/Step_h,0)+1)</f>
        <v>1</v>
      </c>
      <c r="Q51" s="14" t="n">
        <f aca="false">1-INDEX(GuardBlock,47,ROUND(G51/Step_h,0)+1)</f>
        <v>1</v>
      </c>
      <c r="R51" s="14" t="n">
        <f aca="false">1-INDEX(GuardBlock,47,ROUND(H51/Step_h,0)+1)</f>
        <v>1</v>
      </c>
      <c r="S51" s="14" t="n">
        <f aca="false">1-INDEX(GuardBlock,47,ROUND(I51/Step_h,0)+1)</f>
        <v>1</v>
      </c>
      <c r="T51" s="14" t="n">
        <f aca="false">1-INDEX(GuardBlock,47,ROUND(J51/Step_h,0)+1)</f>
        <v>1</v>
      </c>
      <c r="U51" s="14" t="n">
        <f aca="false">1-INDEX(GuardBlock,47,ROUND(K51/Step_h,0)+1)</f>
        <v>1</v>
      </c>
      <c r="V51" s="28" t="n">
        <f aca="false">BestRule!W51</f>
        <v>0</v>
      </c>
    </row>
    <row r="52" customFormat="false" ht="15" hidden="false" customHeight="false" outlineLevel="0" collapsed="false">
      <c r="A52" s="18" t="n">
        <f aca="false">Grid!A52</f>
        <v>41.75</v>
      </c>
      <c r="B52" s="20" t="n">
        <v>1.25</v>
      </c>
      <c r="C52" s="20" t="n">
        <v>1.25</v>
      </c>
      <c r="D52" s="20" t="n">
        <v>0</v>
      </c>
      <c r="E52" s="20" t="n">
        <v>2</v>
      </c>
      <c r="F52" s="20" t="n">
        <v>1.25</v>
      </c>
      <c r="G52" s="20" t="n">
        <v>0.25</v>
      </c>
      <c r="H52" s="20" t="n">
        <v>2.5</v>
      </c>
      <c r="I52" s="20" t="n">
        <v>0</v>
      </c>
      <c r="J52" s="20" t="n">
        <v>1</v>
      </c>
      <c r="K52" s="20" t="n">
        <v>1</v>
      </c>
      <c r="L52" s="14" t="n">
        <f aca="false">1-INDEX(GuardBlock,48,ROUND(B52/Step_h,0)+1)</f>
        <v>1</v>
      </c>
      <c r="M52" s="14" t="n">
        <f aca="false">1-INDEX(GuardBlock,48,ROUND(C52/Step_h,0)+1)</f>
        <v>1</v>
      </c>
      <c r="N52" s="14" t="n">
        <f aca="false">1-INDEX(GuardBlock,48,ROUND(D52/Step_h,0)+1)</f>
        <v>1</v>
      </c>
      <c r="O52" s="14" t="n">
        <f aca="false">1-INDEX(GuardBlock,48,ROUND(E52/Step_h,0)+1)</f>
        <v>1</v>
      </c>
      <c r="P52" s="14" t="n">
        <f aca="false">1-INDEX(GuardBlock,48,ROUND(F52/Step_h,0)+1)</f>
        <v>1</v>
      </c>
      <c r="Q52" s="14" t="n">
        <f aca="false">1-INDEX(GuardBlock,48,ROUND(G52/Step_h,0)+1)</f>
        <v>1</v>
      </c>
      <c r="R52" s="14" t="n">
        <f aca="false">1-INDEX(GuardBlock,48,ROUND(H52/Step_h,0)+1)</f>
        <v>0</v>
      </c>
      <c r="S52" s="14" t="n">
        <f aca="false">1-INDEX(GuardBlock,48,ROUND(I52/Step_h,0)+1)</f>
        <v>1</v>
      </c>
      <c r="T52" s="14" t="n">
        <f aca="false">1-INDEX(GuardBlock,48,ROUND(J52/Step_h,0)+1)</f>
        <v>1</v>
      </c>
      <c r="U52" s="14" t="n">
        <f aca="false">1-INDEX(GuardBlock,48,ROUND(K52/Step_h,0)+1)</f>
        <v>1</v>
      </c>
      <c r="V52" s="28" t="n">
        <f aca="false">BestRule!W52</f>
        <v>0</v>
      </c>
    </row>
    <row r="53" customFormat="false" ht="15" hidden="false" customHeight="false" outlineLevel="0" collapsed="false">
      <c r="A53" s="18" t="n">
        <f aca="false">Grid!A53</f>
        <v>42</v>
      </c>
      <c r="B53" s="20" t="n">
        <v>1.25</v>
      </c>
      <c r="C53" s="20" t="n">
        <v>2</v>
      </c>
      <c r="D53" s="20" t="n">
        <v>0.75</v>
      </c>
      <c r="E53" s="20" t="n">
        <v>0.25</v>
      </c>
      <c r="F53" s="20" t="n">
        <v>2.25</v>
      </c>
      <c r="G53" s="20" t="n">
        <v>0.75</v>
      </c>
      <c r="H53" s="20" t="n">
        <v>0.25</v>
      </c>
      <c r="I53" s="20" t="n">
        <v>0</v>
      </c>
      <c r="J53" s="20" t="n">
        <v>0</v>
      </c>
      <c r="K53" s="20" t="n">
        <v>1.75</v>
      </c>
      <c r="L53" s="14" t="n">
        <f aca="false">1-INDEX(GuardBlock,49,ROUND(B53/Step_h,0)+1)</f>
        <v>1</v>
      </c>
      <c r="M53" s="14" t="n">
        <f aca="false">1-INDEX(GuardBlock,49,ROUND(C53/Step_h,0)+1)</f>
        <v>1</v>
      </c>
      <c r="N53" s="14" t="n">
        <f aca="false">1-INDEX(GuardBlock,49,ROUND(D53/Step_h,0)+1)</f>
        <v>1</v>
      </c>
      <c r="O53" s="14" t="n">
        <f aca="false">1-INDEX(GuardBlock,49,ROUND(E53/Step_h,0)+1)</f>
        <v>1</v>
      </c>
      <c r="P53" s="14" t="n">
        <f aca="false">1-INDEX(GuardBlock,49,ROUND(F53/Step_h,0)+1)</f>
        <v>1</v>
      </c>
      <c r="Q53" s="14" t="n">
        <f aca="false">1-INDEX(GuardBlock,49,ROUND(G53/Step_h,0)+1)</f>
        <v>1</v>
      </c>
      <c r="R53" s="14" t="n">
        <f aca="false">1-INDEX(GuardBlock,49,ROUND(H53/Step_h,0)+1)</f>
        <v>1</v>
      </c>
      <c r="S53" s="14" t="n">
        <f aca="false">1-INDEX(GuardBlock,49,ROUND(I53/Step_h,0)+1)</f>
        <v>1</v>
      </c>
      <c r="T53" s="14" t="n">
        <f aca="false">1-INDEX(GuardBlock,49,ROUND(J53/Step_h,0)+1)</f>
        <v>1</v>
      </c>
      <c r="U53" s="14" t="n">
        <f aca="false">1-INDEX(GuardBlock,49,ROUND(K53/Step_h,0)+1)</f>
        <v>1</v>
      </c>
      <c r="V53" s="28" t="n">
        <f aca="false">BestRule!W53</f>
        <v>0</v>
      </c>
    </row>
    <row r="54" customFormat="false" ht="15" hidden="false" customHeight="false" outlineLevel="0" collapsed="false">
      <c r="A54" s="18" t="n">
        <f aca="false">Grid!A54</f>
        <v>42.25</v>
      </c>
      <c r="B54" s="20" t="n">
        <v>0.5</v>
      </c>
      <c r="C54" s="20" t="n">
        <v>0.25</v>
      </c>
      <c r="D54" s="20" t="n">
        <v>2.25</v>
      </c>
      <c r="E54" s="20" t="n">
        <v>0.75</v>
      </c>
      <c r="F54" s="20" t="n">
        <v>2.25</v>
      </c>
      <c r="G54" s="20" t="n">
        <v>0</v>
      </c>
      <c r="H54" s="20" t="n">
        <v>1.25</v>
      </c>
      <c r="I54" s="20" t="n">
        <v>0.75</v>
      </c>
      <c r="J54" s="20" t="n">
        <v>0.5</v>
      </c>
      <c r="K54" s="20" t="n">
        <v>2.5</v>
      </c>
      <c r="L54" s="14" t="n">
        <f aca="false">1-INDEX(GuardBlock,50,ROUND(B54/Step_h,0)+1)</f>
        <v>1</v>
      </c>
      <c r="M54" s="14" t="n">
        <f aca="false">1-INDEX(GuardBlock,50,ROUND(C54/Step_h,0)+1)</f>
        <v>1</v>
      </c>
      <c r="N54" s="14" t="n">
        <f aca="false">1-INDEX(GuardBlock,50,ROUND(D54/Step_h,0)+1)</f>
        <v>1</v>
      </c>
      <c r="O54" s="14" t="n">
        <f aca="false">1-INDEX(GuardBlock,50,ROUND(E54/Step_h,0)+1)</f>
        <v>1</v>
      </c>
      <c r="P54" s="14" t="n">
        <f aca="false">1-INDEX(GuardBlock,50,ROUND(F54/Step_h,0)+1)</f>
        <v>1</v>
      </c>
      <c r="Q54" s="14" t="n">
        <f aca="false">1-INDEX(GuardBlock,50,ROUND(G54/Step_h,0)+1)</f>
        <v>1</v>
      </c>
      <c r="R54" s="14" t="n">
        <f aca="false">1-INDEX(GuardBlock,50,ROUND(H54/Step_h,0)+1)</f>
        <v>1</v>
      </c>
      <c r="S54" s="14" t="n">
        <f aca="false">1-INDEX(GuardBlock,50,ROUND(I54/Step_h,0)+1)</f>
        <v>1</v>
      </c>
      <c r="T54" s="14" t="n">
        <f aca="false">1-INDEX(GuardBlock,50,ROUND(J54/Step_h,0)+1)</f>
        <v>1</v>
      </c>
      <c r="U54" s="14" t="n">
        <f aca="false">1-INDEX(GuardBlock,50,ROUND(K54/Step_h,0)+1)</f>
        <v>0</v>
      </c>
      <c r="V54" s="28" t="n">
        <f aca="false">BestRule!W54</f>
        <v>0</v>
      </c>
    </row>
    <row r="55" customFormat="false" ht="15" hidden="false" customHeight="false" outlineLevel="0" collapsed="false">
      <c r="A55" s="18" t="n">
        <f aca="false">Grid!A55</f>
        <v>42.5</v>
      </c>
      <c r="B55" s="20" t="n">
        <v>1.25</v>
      </c>
      <c r="C55" s="20" t="n">
        <v>0.5</v>
      </c>
      <c r="D55" s="20" t="n">
        <v>0</v>
      </c>
      <c r="E55" s="20" t="n">
        <v>0.75</v>
      </c>
      <c r="F55" s="20" t="n">
        <v>0.25</v>
      </c>
      <c r="G55" s="20" t="n">
        <v>1</v>
      </c>
      <c r="H55" s="20" t="n">
        <v>1.25</v>
      </c>
      <c r="I55" s="20" t="n">
        <v>2.5</v>
      </c>
      <c r="J55" s="20" t="n">
        <v>2</v>
      </c>
      <c r="K55" s="20" t="n">
        <v>2.25</v>
      </c>
      <c r="L55" s="14" t="n">
        <f aca="false">1-INDEX(GuardBlock,51,ROUND(B55/Step_h,0)+1)</f>
        <v>1</v>
      </c>
      <c r="M55" s="14" t="n">
        <f aca="false">1-INDEX(GuardBlock,51,ROUND(C55/Step_h,0)+1)</f>
        <v>1</v>
      </c>
      <c r="N55" s="14" t="n">
        <f aca="false">1-INDEX(GuardBlock,51,ROUND(D55/Step_h,0)+1)</f>
        <v>1</v>
      </c>
      <c r="O55" s="14" t="n">
        <f aca="false">1-INDEX(GuardBlock,51,ROUND(E55/Step_h,0)+1)</f>
        <v>1</v>
      </c>
      <c r="P55" s="14" t="n">
        <f aca="false">1-INDEX(GuardBlock,51,ROUND(F55/Step_h,0)+1)</f>
        <v>1</v>
      </c>
      <c r="Q55" s="14" t="n">
        <f aca="false">1-INDEX(GuardBlock,51,ROUND(G55/Step_h,0)+1)</f>
        <v>1</v>
      </c>
      <c r="R55" s="14" t="n">
        <f aca="false">1-INDEX(GuardBlock,51,ROUND(H55/Step_h,0)+1)</f>
        <v>1</v>
      </c>
      <c r="S55" s="14" t="n">
        <f aca="false">1-INDEX(GuardBlock,51,ROUND(I55/Step_h,0)+1)</f>
        <v>0</v>
      </c>
      <c r="T55" s="14" t="n">
        <f aca="false">1-INDEX(GuardBlock,51,ROUND(J55/Step_h,0)+1)</f>
        <v>1</v>
      </c>
      <c r="U55" s="14" t="n">
        <f aca="false">1-INDEX(GuardBlock,51,ROUND(K55/Step_h,0)+1)</f>
        <v>1</v>
      </c>
      <c r="V55" s="28" t="n">
        <f aca="false">BestRule!W55</f>
        <v>0</v>
      </c>
    </row>
    <row r="56" customFormat="false" ht="15" hidden="false" customHeight="false" outlineLevel="0" collapsed="false">
      <c r="A56" s="18" t="n">
        <f aca="false">Grid!A56</f>
        <v>42.75</v>
      </c>
      <c r="B56" s="20" t="n">
        <v>2</v>
      </c>
      <c r="C56" s="20" t="n">
        <v>2.25</v>
      </c>
      <c r="D56" s="20" t="n">
        <v>2.5</v>
      </c>
      <c r="E56" s="20" t="n">
        <v>1.25</v>
      </c>
      <c r="F56" s="20" t="n">
        <v>2</v>
      </c>
      <c r="G56" s="20" t="n">
        <v>0</v>
      </c>
      <c r="H56" s="20" t="n">
        <v>1</v>
      </c>
      <c r="I56" s="20" t="n">
        <v>1.25</v>
      </c>
      <c r="J56" s="20" t="n">
        <v>0.5</v>
      </c>
      <c r="K56" s="20" t="n">
        <v>2.25</v>
      </c>
      <c r="L56" s="14" t="n">
        <f aca="false">1-INDEX(GuardBlock,52,ROUND(B56/Step_h,0)+1)</f>
        <v>1</v>
      </c>
      <c r="M56" s="14" t="n">
        <f aca="false">1-INDEX(GuardBlock,52,ROUND(C56/Step_h,0)+1)</f>
        <v>1</v>
      </c>
      <c r="N56" s="14" t="n">
        <f aca="false">1-INDEX(GuardBlock,52,ROUND(D56/Step_h,0)+1)</f>
        <v>0</v>
      </c>
      <c r="O56" s="14" t="n">
        <f aca="false">1-INDEX(GuardBlock,52,ROUND(E56/Step_h,0)+1)</f>
        <v>1</v>
      </c>
      <c r="P56" s="14" t="n">
        <f aca="false">1-INDEX(GuardBlock,52,ROUND(F56/Step_h,0)+1)</f>
        <v>1</v>
      </c>
      <c r="Q56" s="14" t="n">
        <f aca="false">1-INDEX(GuardBlock,52,ROUND(G56/Step_h,0)+1)</f>
        <v>1</v>
      </c>
      <c r="R56" s="14" t="n">
        <f aca="false">1-INDEX(GuardBlock,52,ROUND(H56/Step_h,0)+1)</f>
        <v>1</v>
      </c>
      <c r="S56" s="14" t="n">
        <f aca="false">1-INDEX(GuardBlock,52,ROUND(I56/Step_h,0)+1)</f>
        <v>1</v>
      </c>
      <c r="T56" s="14" t="n">
        <f aca="false">1-INDEX(GuardBlock,52,ROUND(J56/Step_h,0)+1)</f>
        <v>1</v>
      </c>
      <c r="U56" s="14" t="n">
        <f aca="false">1-INDEX(GuardBlock,52,ROUND(K56/Step_h,0)+1)</f>
        <v>1</v>
      </c>
      <c r="V56" s="28" t="n">
        <f aca="false">BestRule!W56</f>
        <v>0</v>
      </c>
    </row>
    <row r="57" customFormat="false" ht="15" hidden="false" customHeight="false" outlineLevel="0" collapsed="false">
      <c r="A57" s="18" t="n">
        <f aca="false">Grid!A57</f>
        <v>43</v>
      </c>
      <c r="B57" s="20" t="n">
        <v>2</v>
      </c>
      <c r="C57" s="20" t="n">
        <v>1.5</v>
      </c>
      <c r="D57" s="20" t="n">
        <v>0</v>
      </c>
      <c r="E57" s="20" t="n">
        <v>1</v>
      </c>
      <c r="F57" s="20" t="n">
        <v>0</v>
      </c>
      <c r="G57" s="20" t="n">
        <v>1</v>
      </c>
      <c r="H57" s="20" t="n">
        <v>0</v>
      </c>
      <c r="I57" s="20" t="n">
        <v>0.25</v>
      </c>
      <c r="J57" s="20" t="n">
        <v>0.75</v>
      </c>
      <c r="K57" s="20" t="n">
        <v>1.75</v>
      </c>
      <c r="L57" s="14" t="n">
        <f aca="false">1-INDEX(GuardBlock,53,ROUND(B57/Step_h,0)+1)</f>
        <v>1</v>
      </c>
      <c r="M57" s="14" t="n">
        <f aca="false">1-INDEX(GuardBlock,53,ROUND(C57/Step_h,0)+1)</f>
        <v>1</v>
      </c>
      <c r="N57" s="14" t="n">
        <f aca="false">1-INDEX(GuardBlock,53,ROUND(D57/Step_h,0)+1)</f>
        <v>1</v>
      </c>
      <c r="O57" s="14" t="n">
        <f aca="false">1-INDEX(GuardBlock,53,ROUND(E57/Step_h,0)+1)</f>
        <v>1</v>
      </c>
      <c r="P57" s="14" t="n">
        <f aca="false">1-INDEX(GuardBlock,53,ROUND(F57/Step_h,0)+1)</f>
        <v>1</v>
      </c>
      <c r="Q57" s="14" t="n">
        <f aca="false">1-INDEX(GuardBlock,53,ROUND(G57/Step_h,0)+1)</f>
        <v>1</v>
      </c>
      <c r="R57" s="14" t="n">
        <f aca="false">1-INDEX(GuardBlock,53,ROUND(H57/Step_h,0)+1)</f>
        <v>1</v>
      </c>
      <c r="S57" s="14" t="n">
        <f aca="false">1-INDEX(GuardBlock,53,ROUND(I57/Step_h,0)+1)</f>
        <v>1</v>
      </c>
      <c r="T57" s="14" t="n">
        <f aca="false">1-INDEX(GuardBlock,53,ROUND(J57/Step_h,0)+1)</f>
        <v>1</v>
      </c>
      <c r="U57" s="14" t="n">
        <f aca="false">1-INDEX(GuardBlock,53,ROUND(K57/Step_h,0)+1)</f>
        <v>1</v>
      </c>
      <c r="V57" s="28" t="n">
        <f aca="false">BestRule!W57</f>
        <v>0</v>
      </c>
    </row>
    <row r="58" customFormat="false" ht="15" hidden="false" customHeight="false" outlineLevel="0" collapsed="false">
      <c r="A58" s="18" t="n">
        <f aca="false">Grid!A58</f>
        <v>43.25</v>
      </c>
      <c r="B58" s="20" t="n">
        <v>1.75</v>
      </c>
      <c r="C58" s="20" t="n">
        <v>2.5</v>
      </c>
      <c r="D58" s="20" t="n">
        <v>1.25</v>
      </c>
      <c r="E58" s="20" t="n">
        <v>2.5</v>
      </c>
      <c r="F58" s="20" t="n">
        <v>0.25</v>
      </c>
      <c r="G58" s="20" t="n">
        <v>0.5</v>
      </c>
      <c r="H58" s="20" t="n">
        <v>0.75</v>
      </c>
      <c r="I58" s="20" t="n">
        <v>0.25</v>
      </c>
      <c r="J58" s="20" t="n">
        <v>0.5</v>
      </c>
      <c r="K58" s="20" t="n">
        <v>2.5</v>
      </c>
      <c r="L58" s="14" t="n">
        <f aca="false">1-INDEX(GuardBlock,54,ROUND(B58/Step_h,0)+1)</f>
        <v>1</v>
      </c>
      <c r="M58" s="14" t="n">
        <f aca="false">1-INDEX(GuardBlock,54,ROUND(C58/Step_h,0)+1)</f>
        <v>0</v>
      </c>
      <c r="N58" s="14" t="n">
        <f aca="false">1-INDEX(GuardBlock,54,ROUND(D58/Step_h,0)+1)</f>
        <v>1</v>
      </c>
      <c r="O58" s="14" t="n">
        <f aca="false">1-INDEX(GuardBlock,54,ROUND(E58/Step_h,0)+1)</f>
        <v>0</v>
      </c>
      <c r="P58" s="14" t="n">
        <f aca="false">1-INDEX(GuardBlock,54,ROUND(F58/Step_h,0)+1)</f>
        <v>1</v>
      </c>
      <c r="Q58" s="14" t="n">
        <f aca="false">1-INDEX(GuardBlock,54,ROUND(G58/Step_h,0)+1)</f>
        <v>1</v>
      </c>
      <c r="R58" s="14" t="n">
        <f aca="false">1-INDEX(GuardBlock,54,ROUND(H58/Step_h,0)+1)</f>
        <v>1</v>
      </c>
      <c r="S58" s="14" t="n">
        <f aca="false">1-INDEX(GuardBlock,54,ROUND(I58/Step_h,0)+1)</f>
        <v>1</v>
      </c>
      <c r="T58" s="14" t="n">
        <f aca="false">1-INDEX(GuardBlock,54,ROUND(J58/Step_h,0)+1)</f>
        <v>1</v>
      </c>
      <c r="U58" s="14" t="n">
        <f aca="false">1-INDEX(GuardBlock,54,ROUND(K58/Step_h,0)+1)</f>
        <v>0</v>
      </c>
      <c r="V58" s="28" t="n">
        <f aca="false">BestRule!W58</f>
        <v>0</v>
      </c>
    </row>
    <row r="59" customFormat="false" ht="15" hidden="false" customHeight="false" outlineLevel="0" collapsed="false">
      <c r="A59" s="18" t="n">
        <f aca="false">Grid!A59</f>
        <v>43.5</v>
      </c>
      <c r="B59" s="20" t="n">
        <v>1.75</v>
      </c>
      <c r="C59" s="20" t="n">
        <v>0</v>
      </c>
      <c r="D59" s="20" t="n">
        <v>2.25</v>
      </c>
      <c r="E59" s="20" t="n">
        <v>1</v>
      </c>
      <c r="F59" s="20" t="n">
        <v>1.5</v>
      </c>
      <c r="G59" s="20" t="n">
        <v>0.25</v>
      </c>
      <c r="H59" s="20" t="n">
        <v>2.25</v>
      </c>
      <c r="I59" s="20" t="n">
        <v>2.25</v>
      </c>
      <c r="J59" s="20" t="n">
        <v>2.5</v>
      </c>
      <c r="K59" s="20" t="n">
        <v>1.5</v>
      </c>
      <c r="L59" s="14" t="n">
        <f aca="false">1-INDEX(GuardBlock,55,ROUND(B59/Step_h,0)+1)</f>
        <v>1</v>
      </c>
      <c r="M59" s="14" t="n">
        <f aca="false">1-INDEX(GuardBlock,55,ROUND(C59/Step_h,0)+1)</f>
        <v>1</v>
      </c>
      <c r="N59" s="14" t="n">
        <f aca="false">1-INDEX(GuardBlock,55,ROUND(D59/Step_h,0)+1)</f>
        <v>1</v>
      </c>
      <c r="O59" s="14" t="n">
        <f aca="false">1-INDEX(GuardBlock,55,ROUND(E59/Step_h,0)+1)</f>
        <v>1</v>
      </c>
      <c r="P59" s="14" t="n">
        <f aca="false">1-INDEX(GuardBlock,55,ROUND(F59/Step_h,0)+1)</f>
        <v>1</v>
      </c>
      <c r="Q59" s="14" t="n">
        <f aca="false">1-INDEX(GuardBlock,55,ROUND(G59/Step_h,0)+1)</f>
        <v>1</v>
      </c>
      <c r="R59" s="14" t="n">
        <f aca="false">1-INDEX(GuardBlock,55,ROUND(H59/Step_h,0)+1)</f>
        <v>1</v>
      </c>
      <c r="S59" s="14" t="n">
        <f aca="false">1-INDEX(GuardBlock,55,ROUND(I59/Step_h,0)+1)</f>
        <v>1</v>
      </c>
      <c r="T59" s="14" t="n">
        <f aca="false">1-INDEX(GuardBlock,55,ROUND(J59/Step_h,0)+1)</f>
        <v>0</v>
      </c>
      <c r="U59" s="14" t="n">
        <f aca="false">1-INDEX(GuardBlock,55,ROUND(K59/Step_h,0)+1)</f>
        <v>1</v>
      </c>
      <c r="V59" s="28" t="n">
        <f aca="false">BestRule!W59</f>
        <v>0</v>
      </c>
    </row>
    <row r="60" customFormat="false" ht="15" hidden="false" customHeight="false" outlineLevel="0" collapsed="false">
      <c r="A60" s="18" t="n">
        <f aca="false">Grid!A60</f>
        <v>43.75</v>
      </c>
      <c r="B60" s="20" t="n">
        <v>1.75</v>
      </c>
      <c r="C60" s="20" t="n">
        <v>0.75</v>
      </c>
      <c r="D60" s="20" t="n">
        <v>1.5</v>
      </c>
      <c r="E60" s="20" t="n">
        <v>0.5</v>
      </c>
      <c r="F60" s="20" t="n">
        <v>0.75</v>
      </c>
      <c r="G60" s="20" t="n">
        <v>0.75</v>
      </c>
      <c r="H60" s="20" t="n">
        <v>1.5</v>
      </c>
      <c r="I60" s="20" t="n">
        <v>0</v>
      </c>
      <c r="J60" s="20" t="n">
        <v>2</v>
      </c>
      <c r="K60" s="20" t="n">
        <v>2.25</v>
      </c>
      <c r="L60" s="14" t="n">
        <f aca="false">1-INDEX(GuardBlock,56,ROUND(B60/Step_h,0)+1)</f>
        <v>1</v>
      </c>
      <c r="M60" s="14" t="n">
        <f aca="false">1-INDEX(GuardBlock,56,ROUND(C60/Step_h,0)+1)</f>
        <v>1</v>
      </c>
      <c r="N60" s="14" t="n">
        <f aca="false">1-INDEX(GuardBlock,56,ROUND(D60/Step_h,0)+1)</f>
        <v>1</v>
      </c>
      <c r="O60" s="14" t="n">
        <f aca="false">1-INDEX(GuardBlock,56,ROUND(E60/Step_h,0)+1)</f>
        <v>1</v>
      </c>
      <c r="P60" s="14" t="n">
        <f aca="false">1-INDEX(GuardBlock,56,ROUND(F60/Step_h,0)+1)</f>
        <v>1</v>
      </c>
      <c r="Q60" s="14" t="n">
        <f aca="false">1-INDEX(GuardBlock,56,ROUND(G60/Step_h,0)+1)</f>
        <v>1</v>
      </c>
      <c r="R60" s="14" t="n">
        <f aca="false">1-INDEX(GuardBlock,56,ROUND(H60/Step_h,0)+1)</f>
        <v>1</v>
      </c>
      <c r="S60" s="14" t="n">
        <f aca="false">1-INDEX(GuardBlock,56,ROUND(I60/Step_h,0)+1)</f>
        <v>1</v>
      </c>
      <c r="T60" s="14" t="n">
        <f aca="false">1-INDEX(GuardBlock,56,ROUND(J60/Step_h,0)+1)</f>
        <v>1</v>
      </c>
      <c r="U60" s="14" t="n">
        <f aca="false">1-INDEX(GuardBlock,56,ROUND(K60/Step_h,0)+1)</f>
        <v>1</v>
      </c>
      <c r="V60" s="28" t="n">
        <f aca="false">BestRule!W60</f>
        <v>0</v>
      </c>
    </row>
    <row r="61" customFormat="false" ht="15" hidden="false" customHeight="false" outlineLevel="0" collapsed="false">
      <c r="A61" s="18" t="n">
        <f aca="false">Grid!A61</f>
        <v>44</v>
      </c>
      <c r="B61" s="20" t="n">
        <v>1</v>
      </c>
      <c r="C61" s="20" t="n">
        <v>0.75</v>
      </c>
      <c r="D61" s="20" t="n">
        <v>1.75</v>
      </c>
      <c r="E61" s="20" t="n">
        <v>0</v>
      </c>
      <c r="F61" s="20" t="n">
        <v>0</v>
      </c>
      <c r="G61" s="20" t="n">
        <v>1.5</v>
      </c>
      <c r="H61" s="20" t="n">
        <v>0.25</v>
      </c>
      <c r="I61" s="20" t="n">
        <v>1</v>
      </c>
      <c r="J61" s="20" t="n">
        <v>0.5</v>
      </c>
      <c r="K61" s="20" t="n">
        <v>2.25</v>
      </c>
      <c r="L61" s="14" t="n">
        <f aca="false">1-INDEX(GuardBlock,57,ROUND(B61/Step_h,0)+1)</f>
        <v>1</v>
      </c>
      <c r="M61" s="14" t="n">
        <f aca="false">1-INDEX(GuardBlock,57,ROUND(C61/Step_h,0)+1)</f>
        <v>1</v>
      </c>
      <c r="N61" s="14" t="n">
        <f aca="false">1-INDEX(GuardBlock,57,ROUND(D61/Step_h,0)+1)</f>
        <v>1</v>
      </c>
      <c r="O61" s="14" t="n">
        <f aca="false">1-INDEX(GuardBlock,57,ROUND(E61/Step_h,0)+1)</f>
        <v>1</v>
      </c>
      <c r="P61" s="14" t="n">
        <f aca="false">1-INDEX(GuardBlock,57,ROUND(F61/Step_h,0)+1)</f>
        <v>1</v>
      </c>
      <c r="Q61" s="14" t="n">
        <f aca="false">1-INDEX(GuardBlock,57,ROUND(G61/Step_h,0)+1)</f>
        <v>1</v>
      </c>
      <c r="R61" s="14" t="n">
        <f aca="false">1-INDEX(GuardBlock,57,ROUND(H61/Step_h,0)+1)</f>
        <v>1</v>
      </c>
      <c r="S61" s="14" t="n">
        <f aca="false">1-INDEX(GuardBlock,57,ROUND(I61/Step_h,0)+1)</f>
        <v>1</v>
      </c>
      <c r="T61" s="14" t="n">
        <f aca="false">1-INDEX(GuardBlock,57,ROUND(J61/Step_h,0)+1)</f>
        <v>1</v>
      </c>
      <c r="U61" s="14" t="n">
        <f aca="false">1-INDEX(GuardBlock,57,ROUND(K61/Step_h,0)+1)</f>
        <v>1</v>
      </c>
      <c r="V61" s="28" t="n">
        <f aca="false">BestRule!W61</f>
        <v>0</v>
      </c>
    </row>
    <row r="62" customFormat="false" ht="15" hidden="false" customHeight="false" outlineLevel="0" collapsed="false">
      <c r="A62" s="18" t="n">
        <f aca="false">Grid!A62</f>
        <v>44.25</v>
      </c>
      <c r="B62" s="20" t="n">
        <v>2.25</v>
      </c>
      <c r="C62" s="20" t="n">
        <v>2.25</v>
      </c>
      <c r="D62" s="20" t="n">
        <v>2.5</v>
      </c>
      <c r="E62" s="20" t="n">
        <v>1</v>
      </c>
      <c r="F62" s="20" t="n">
        <v>2.5</v>
      </c>
      <c r="G62" s="20" t="n">
        <v>0.5</v>
      </c>
      <c r="H62" s="20" t="n">
        <v>0.5</v>
      </c>
      <c r="I62" s="20" t="n">
        <v>1.5</v>
      </c>
      <c r="J62" s="20" t="n">
        <v>0.25</v>
      </c>
      <c r="K62" s="20" t="n">
        <v>1</v>
      </c>
      <c r="L62" s="14" t="n">
        <f aca="false">1-INDEX(GuardBlock,58,ROUND(B62/Step_h,0)+1)</f>
        <v>1</v>
      </c>
      <c r="M62" s="14" t="n">
        <f aca="false">1-INDEX(GuardBlock,58,ROUND(C62/Step_h,0)+1)</f>
        <v>1</v>
      </c>
      <c r="N62" s="14" t="n">
        <f aca="false">1-INDEX(GuardBlock,58,ROUND(D62/Step_h,0)+1)</f>
        <v>0</v>
      </c>
      <c r="O62" s="14" t="n">
        <f aca="false">1-INDEX(GuardBlock,58,ROUND(E62/Step_h,0)+1)</f>
        <v>1</v>
      </c>
      <c r="P62" s="14" t="n">
        <f aca="false">1-INDEX(GuardBlock,58,ROUND(F62/Step_h,0)+1)</f>
        <v>0</v>
      </c>
      <c r="Q62" s="14" t="n">
        <f aca="false">1-INDEX(GuardBlock,58,ROUND(G62/Step_h,0)+1)</f>
        <v>1</v>
      </c>
      <c r="R62" s="14" t="n">
        <f aca="false">1-INDEX(GuardBlock,58,ROUND(H62/Step_h,0)+1)</f>
        <v>1</v>
      </c>
      <c r="S62" s="14" t="n">
        <f aca="false">1-INDEX(GuardBlock,58,ROUND(I62/Step_h,0)+1)</f>
        <v>1</v>
      </c>
      <c r="T62" s="14" t="n">
        <f aca="false">1-INDEX(GuardBlock,58,ROUND(J62/Step_h,0)+1)</f>
        <v>1</v>
      </c>
      <c r="U62" s="14" t="n">
        <f aca="false">1-INDEX(GuardBlock,58,ROUND(K62/Step_h,0)+1)</f>
        <v>1</v>
      </c>
      <c r="V62" s="28" t="n">
        <f aca="false">BestRule!W62</f>
        <v>0</v>
      </c>
    </row>
    <row r="63" customFormat="false" ht="15" hidden="false" customHeight="false" outlineLevel="0" collapsed="false">
      <c r="A63" s="18" t="n">
        <f aca="false">Grid!A63</f>
        <v>44.5</v>
      </c>
      <c r="B63" s="20" t="n">
        <v>0.75</v>
      </c>
      <c r="C63" s="20" t="n">
        <v>0.25</v>
      </c>
      <c r="D63" s="20" t="n">
        <v>0.5</v>
      </c>
      <c r="E63" s="20" t="n">
        <v>1.75</v>
      </c>
      <c r="F63" s="20" t="n">
        <v>0.75</v>
      </c>
      <c r="G63" s="20" t="n">
        <v>1</v>
      </c>
      <c r="H63" s="20" t="n">
        <v>1.25</v>
      </c>
      <c r="I63" s="20" t="n">
        <v>0.5</v>
      </c>
      <c r="J63" s="20" t="n">
        <v>1.75</v>
      </c>
      <c r="K63" s="20" t="n">
        <v>0.75</v>
      </c>
      <c r="L63" s="14" t="n">
        <f aca="false">1-INDEX(GuardBlock,59,ROUND(B63/Step_h,0)+1)</f>
        <v>1</v>
      </c>
      <c r="M63" s="14" t="n">
        <f aca="false">1-INDEX(GuardBlock,59,ROUND(C63/Step_h,0)+1)</f>
        <v>1</v>
      </c>
      <c r="N63" s="14" t="n">
        <f aca="false">1-INDEX(GuardBlock,59,ROUND(D63/Step_h,0)+1)</f>
        <v>1</v>
      </c>
      <c r="O63" s="14" t="n">
        <f aca="false">1-INDEX(GuardBlock,59,ROUND(E63/Step_h,0)+1)</f>
        <v>1</v>
      </c>
      <c r="P63" s="14" t="n">
        <f aca="false">1-INDEX(GuardBlock,59,ROUND(F63/Step_h,0)+1)</f>
        <v>1</v>
      </c>
      <c r="Q63" s="14" t="n">
        <f aca="false">1-INDEX(GuardBlock,59,ROUND(G63/Step_h,0)+1)</f>
        <v>1</v>
      </c>
      <c r="R63" s="14" t="n">
        <f aca="false">1-INDEX(GuardBlock,59,ROUND(H63/Step_h,0)+1)</f>
        <v>1</v>
      </c>
      <c r="S63" s="14" t="n">
        <f aca="false">1-INDEX(GuardBlock,59,ROUND(I63/Step_h,0)+1)</f>
        <v>1</v>
      </c>
      <c r="T63" s="14" t="n">
        <f aca="false">1-INDEX(GuardBlock,59,ROUND(J63/Step_h,0)+1)</f>
        <v>1</v>
      </c>
      <c r="U63" s="14" t="n">
        <f aca="false">1-INDEX(GuardBlock,59,ROUND(K63/Step_h,0)+1)</f>
        <v>1</v>
      </c>
      <c r="V63" s="28" t="n">
        <f aca="false">BestRule!W63</f>
        <v>0</v>
      </c>
    </row>
    <row r="64" customFormat="false" ht="15" hidden="false" customHeight="false" outlineLevel="0" collapsed="false">
      <c r="A64" s="18" t="n">
        <f aca="false">Grid!A64</f>
        <v>44.75</v>
      </c>
      <c r="B64" s="20" t="n">
        <v>1.25</v>
      </c>
      <c r="C64" s="20" t="n">
        <v>1.75</v>
      </c>
      <c r="D64" s="20" t="n">
        <v>2.5</v>
      </c>
      <c r="E64" s="20" t="n">
        <v>1</v>
      </c>
      <c r="F64" s="20" t="n">
        <v>0.25</v>
      </c>
      <c r="G64" s="20" t="n">
        <v>2.5</v>
      </c>
      <c r="H64" s="20" t="n">
        <v>2</v>
      </c>
      <c r="I64" s="20" t="n">
        <v>2</v>
      </c>
      <c r="J64" s="20" t="n">
        <v>1.75</v>
      </c>
      <c r="K64" s="20" t="n">
        <v>2.25</v>
      </c>
      <c r="L64" s="14" t="n">
        <f aca="false">1-INDEX(GuardBlock,60,ROUND(B64/Step_h,0)+1)</f>
        <v>1</v>
      </c>
      <c r="M64" s="14" t="n">
        <f aca="false">1-INDEX(GuardBlock,60,ROUND(C64/Step_h,0)+1)</f>
        <v>1</v>
      </c>
      <c r="N64" s="14" t="n">
        <f aca="false">1-INDEX(GuardBlock,60,ROUND(D64/Step_h,0)+1)</f>
        <v>0</v>
      </c>
      <c r="O64" s="14" t="n">
        <f aca="false">1-INDEX(GuardBlock,60,ROUND(E64/Step_h,0)+1)</f>
        <v>1</v>
      </c>
      <c r="P64" s="14" t="n">
        <f aca="false">1-INDEX(GuardBlock,60,ROUND(F64/Step_h,0)+1)</f>
        <v>1</v>
      </c>
      <c r="Q64" s="14" t="n">
        <f aca="false">1-INDEX(GuardBlock,60,ROUND(G64/Step_h,0)+1)</f>
        <v>0</v>
      </c>
      <c r="R64" s="14" t="n">
        <f aca="false">1-INDEX(GuardBlock,60,ROUND(H64/Step_h,0)+1)</f>
        <v>1</v>
      </c>
      <c r="S64" s="14" t="n">
        <f aca="false">1-INDEX(GuardBlock,60,ROUND(I64/Step_h,0)+1)</f>
        <v>1</v>
      </c>
      <c r="T64" s="14" t="n">
        <f aca="false">1-INDEX(GuardBlock,60,ROUND(J64/Step_h,0)+1)</f>
        <v>1</v>
      </c>
      <c r="U64" s="14" t="n">
        <f aca="false">1-INDEX(GuardBlock,60,ROUND(K64/Step_h,0)+1)</f>
        <v>1</v>
      </c>
      <c r="V64" s="28" t="n">
        <f aca="false">BestRule!W64</f>
        <v>0</v>
      </c>
    </row>
    <row r="65" customFormat="false" ht="15" hidden="false" customHeight="false" outlineLevel="0" collapsed="false">
      <c r="A65" s="18" t="n">
        <f aca="false">Grid!A65</f>
        <v>45</v>
      </c>
      <c r="B65" s="20" t="n">
        <v>0</v>
      </c>
      <c r="C65" s="20" t="n">
        <v>1.25</v>
      </c>
      <c r="D65" s="20" t="n">
        <v>2.25</v>
      </c>
      <c r="E65" s="20" t="n">
        <v>1</v>
      </c>
      <c r="F65" s="20" t="n">
        <v>0</v>
      </c>
      <c r="G65" s="20" t="n">
        <v>1.5</v>
      </c>
      <c r="H65" s="20" t="n">
        <v>0</v>
      </c>
      <c r="I65" s="20" t="n">
        <v>2.5</v>
      </c>
      <c r="J65" s="20" t="n">
        <v>0.75</v>
      </c>
      <c r="K65" s="20" t="n">
        <v>0.5</v>
      </c>
      <c r="L65" s="14" t="n">
        <f aca="false">1-INDEX(GuardBlock,61,ROUND(B65/Step_h,0)+1)</f>
        <v>1</v>
      </c>
      <c r="M65" s="14" t="n">
        <f aca="false">1-INDEX(GuardBlock,61,ROUND(C65/Step_h,0)+1)</f>
        <v>1</v>
      </c>
      <c r="N65" s="14" t="n">
        <f aca="false">1-INDEX(GuardBlock,61,ROUND(D65/Step_h,0)+1)</f>
        <v>1</v>
      </c>
      <c r="O65" s="14" t="n">
        <f aca="false">1-INDEX(GuardBlock,61,ROUND(E65/Step_h,0)+1)</f>
        <v>1</v>
      </c>
      <c r="P65" s="14" t="n">
        <f aca="false">1-INDEX(GuardBlock,61,ROUND(F65/Step_h,0)+1)</f>
        <v>1</v>
      </c>
      <c r="Q65" s="14" t="n">
        <f aca="false">1-INDEX(GuardBlock,61,ROUND(G65/Step_h,0)+1)</f>
        <v>1</v>
      </c>
      <c r="R65" s="14" t="n">
        <f aca="false">1-INDEX(GuardBlock,61,ROUND(H65/Step_h,0)+1)</f>
        <v>1</v>
      </c>
      <c r="S65" s="14" t="n">
        <f aca="false">1-INDEX(GuardBlock,61,ROUND(I65/Step_h,0)+1)</f>
        <v>0</v>
      </c>
      <c r="T65" s="14" t="n">
        <f aca="false">1-INDEX(GuardBlock,61,ROUND(J65/Step_h,0)+1)</f>
        <v>1</v>
      </c>
      <c r="U65" s="14" t="n">
        <f aca="false">1-INDEX(GuardBlock,61,ROUND(K65/Step_h,0)+1)</f>
        <v>1</v>
      </c>
      <c r="V65" s="28" t="n">
        <f aca="false">BestRule!W65</f>
        <v>0</v>
      </c>
    </row>
    <row r="66" customFormat="false" ht="15" hidden="false" customHeight="false" outlineLevel="0" collapsed="false">
      <c r="A66" s="18" t="n">
        <f aca="false">Grid!A66</f>
        <v>45.25</v>
      </c>
      <c r="B66" s="20" t="n">
        <v>1.75</v>
      </c>
      <c r="C66" s="20" t="n">
        <v>2</v>
      </c>
      <c r="D66" s="20" t="n">
        <v>0.75</v>
      </c>
      <c r="E66" s="20" t="n">
        <v>2.5</v>
      </c>
      <c r="F66" s="20" t="n">
        <v>0.25</v>
      </c>
      <c r="G66" s="20" t="n">
        <v>2.25</v>
      </c>
      <c r="H66" s="20" t="n">
        <v>2</v>
      </c>
      <c r="I66" s="20" t="n">
        <v>0.5</v>
      </c>
      <c r="J66" s="20" t="n">
        <v>2.5</v>
      </c>
      <c r="K66" s="20" t="n">
        <v>1.5</v>
      </c>
      <c r="L66" s="14" t="n">
        <f aca="false">1-INDEX(GuardBlock,62,ROUND(B66/Step_h,0)+1)</f>
        <v>1</v>
      </c>
      <c r="M66" s="14" t="n">
        <f aca="false">1-INDEX(GuardBlock,62,ROUND(C66/Step_h,0)+1)</f>
        <v>1</v>
      </c>
      <c r="N66" s="14" t="n">
        <f aca="false">1-INDEX(GuardBlock,62,ROUND(D66/Step_h,0)+1)</f>
        <v>1</v>
      </c>
      <c r="O66" s="14" t="n">
        <f aca="false">1-INDEX(GuardBlock,62,ROUND(E66/Step_h,0)+1)</f>
        <v>0</v>
      </c>
      <c r="P66" s="14" t="n">
        <f aca="false">1-INDEX(GuardBlock,62,ROUND(F66/Step_h,0)+1)</f>
        <v>1</v>
      </c>
      <c r="Q66" s="14" t="n">
        <f aca="false">1-INDEX(GuardBlock,62,ROUND(G66/Step_h,0)+1)</f>
        <v>1</v>
      </c>
      <c r="R66" s="14" t="n">
        <f aca="false">1-INDEX(GuardBlock,62,ROUND(H66/Step_h,0)+1)</f>
        <v>1</v>
      </c>
      <c r="S66" s="14" t="n">
        <f aca="false">1-INDEX(GuardBlock,62,ROUND(I66/Step_h,0)+1)</f>
        <v>1</v>
      </c>
      <c r="T66" s="14" t="n">
        <f aca="false">1-INDEX(GuardBlock,62,ROUND(J66/Step_h,0)+1)</f>
        <v>0</v>
      </c>
      <c r="U66" s="14" t="n">
        <f aca="false">1-INDEX(GuardBlock,62,ROUND(K66/Step_h,0)+1)</f>
        <v>1</v>
      </c>
      <c r="V66" s="28" t="n">
        <f aca="false">BestRule!W66</f>
        <v>0</v>
      </c>
    </row>
    <row r="67" customFormat="false" ht="15" hidden="false" customHeight="false" outlineLevel="0" collapsed="false">
      <c r="A67" s="18" t="n">
        <f aca="false">Grid!A67</f>
        <v>45.5</v>
      </c>
      <c r="B67" s="20" t="n">
        <v>1.25</v>
      </c>
      <c r="C67" s="20" t="n">
        <v>1.75</v>
      </c>
      <c r="D67" s="20" t="n">
        <v>2.25</v>
      </c>
      <c r="E67" s="20" t="n">
        <v>0</v>
      </c>
      <c r="F67" s="20" t="n">
        <v>2</v>
      </c>
      <c r="G67" s="20" t="n">
        <v>2.25</v>
      </c>
      <c r="H67" s="20" t="n">
        <v>0.25</v>
      </c>
      <c r="I67" s="20" t="n">
        <v>0</v>
      </c>
      <c r="J67" s="20" t="n">
        <v>0.5</v>
      </c>
      <c r="K67" s="20" t="n">
        <v>0</v>
      </c>
      <c r="L67" s="14" t="n">
        <f aca="false">1-INDEX(GuardBlock,63,ROUND(B67/Step_h,0)+1)</f>
        <v>1</v>
      </c>
      <c r="M67" s="14" t="n">
        <f aca="false">1-INDEX(GuardBlock,63,ROUND(C67/Step_h,0)+1)</f>
        <v>1</v>
      </c>
      <c r="N67" s="14" t="n">
        <f aca="false">1-INDEX(GuardBlock,63,ROUND(D67/Step_h,0)+1)</f>
        <v>1</v>
      </c>
      <c r="O67" s="14" t="n">
        <f aca="false">1-INDEX(GuardBlock,63,ROUND(E67/Step_h,0)+1)</f>
        <v>1</v>
      </c>
      <c r="P67" s="14" t="n">
        <f aca="false">1-INDEX(GuardBlock,63,ROUND(F67/Step_h,0)+1)</f>
        <v>1</v>
      </c>
      <c r="Q67" s="14" t="n">
        <f aca="false">1-INDEX(GuardBlock,63,ROUND(G67/Step_h,0)+1)</f>
        <v>1</v>
      </c>
      <c r="R67" s="14" t="n">
        <f aca="false">1-INDEX(GuardBlock,63,ROUND(H67/Step_h,0)+1)</f>
        <v>1</v>
      </c>
      <c r="S67" s="14" t="n">
        <f aca="false">1-INDEX(GuardBlock,63,ROUND(I67/Step_h,0)+1)</f>
        <v>1</v>
      </c>
      <c r="T67" s="14" t="n">
        <f aca="false">1-INDEX(GuardBlock,63,ROUND(J67/Step_h,0)+1)</f>
        <v>1</v>
      </c>
      <c r="U67" s="14" t="n">
        <f aca="false">1-INDEX(GuardBlock,63,ROUND(K67/Step_h,0)+1)</f>
        <v>1</v>
      </c>
      <c r="V67" s="28" t="n">
        <f aca="false">BestRule!W67</f>
        <v>0</v>
      </c>
    </row>
    <row r="68" customFormat="false" ht="15" hidden="false" customHeight="false" outlineLevel="0" collapsed="false">
      <c r="A68" s="18" t="n">
        <f aca="false">Grid!A68</f>
        <v>45.75</v>
      </c>
      <c r="B68" s="20" t="n">
        <v>0.75</v>
      </c>
      <c r="C68" s="20" t="n">
        <v>0</v>
      </c>
      <c r="D68" s="20" t="n">
        <v>0.25</v>
      </c>
      <c r="E68" s="20" t="n">
        <v>0.5</v>
      </c>
      <c r="F68" s="20" t="n">
        <v>2.5</v>
      </c>
      <c r="G68" s="20" t="n">
        <v>1</v>
      </c>
      <c r="H68" s="20" t="n">
        <v>1.5</v>
      </c>
      <c r="I68" s="20" t="n">
        <v>0</v>
      </c>
      <c r="J68" s="20" t="n">
        <v>0.25</v>
      </c>
      <c r="K68" s="20" t="n">
        <v>2.25</v>
      </c>
      <c r="L68" s="14" t="n">
        <f aca="false">1-INDEX(GuardBlock,64,ROUND(B68/Step_h,0)+1)</f>
        <v>1</v>
      </c>
      <c r="M68" s="14" t="n">
        <f aca="false">1-INDEX(GuardBlock,64,ROUND(C68/Step_h,0)+1)</f>
        <v>1</v>
      </c>
      <c r="N68" s="14" t="n">
        <f aca="false">1-INDEX(GuardBlock,64,ROUND(D68/Step_h,0)+1)</f>
        <v>1</v>
      </c>
      <c r="O68" s="14" t="n">
        <f aca="false">1-INDEX(GuardBlock,64,ROUND(E68/Step_h,0)+1)</f>
        <v>1</v>
      </c>
      <c r="P68" s="14" t="n">
        <f aca="false">1-INDEX(GuardBlock,64,ROUND(F68/Step_h,0)+1)</f>
        <v>0</v>
      </c>
      <c r="Q68" s="14" t="n">
        <f aca="false">1-INDEX(GuardBlock,64,ROUND(G68/Step_h,0)+1)</f>
        <v>1</v>
      </c>
      <c r="R68" s="14" t="n">
        <f aca="false">1-INDEX(GuardBlock,64,ROUND(H68/Step_h,0)+1)</f>
        <v>1</v>
      </c>
      <c r="S68" s="14" t="n">
        <f aca="false">1-INDEX(GuardBlock,64,ROUND(I68/Step_h,0)+1)</f>
        <v>1</v>
      </c>
      <c r="T68" s="14" t="n">
        <f aca="false">1-INDEX(GuardBlock,64,ROUND(J68/Step_h,0)+1)</f>
        <v>1</v>
      </c>
      <c r="U68" s="14" t="n">
        <f aca="false">1-INDEX(GuardBlock,64,ROUND(K68/Step_h,0)+1)</f>
        <v>1</v>
      </c>
      <c r="V68" s="28" t="n">
        <f aca="false">BestRule!W68</f>
        <v>0</v>
      </c>
    </row>
    <row r="69" customFormat="false" ht="15" hidden="false" customHeight="false" outlineLevel="0" collapsed="false">
      <c r="A69" s="18" t="n">
        <f aca="false">Grid!A69</f>
        <v>46</v>
      </c>
      <c r="B69" s="20" t="n">
        <v>1.25</v>
      </c>
      <c r="C69" s="20" t="n">
        <v>0.5</v>
      </c>
      <c r="D69" s="20" t="n">
        <v>0.5</v>
      </c>
      <c r="E69" s="20" t="n">
        <v>0.75</v>
      </c>
      <c r="F69" s="20" t="n">
        <v>1.25</v>
      </c>
      <c r="G69" s="20" t="n">
        <v>0</v>
      </c>
      <c r="H69" s="20" t="n">
        <v>1</v>
      </c>
      <c r="I69" s="20" t="n">
        <v>2.5</v>
      </c>
      <c r="J69" s="20" t="n">
        <v>0.25</v>
      </c>
      <c r="K69" s="20" t="n">
        <v>1.75</v>
      </c>
      <c r="L69" s="14" t="n">
        <f aca="false">1-INDEX(GuardBlock,65,ROUND(B69/Step_h,0)+1)</f>
        <v>1</v>
      </c>
      <c r="M69" s="14" t="n">
        <f aca="false">1-INDEX(GuardBlock,65,ROUND(C69/Step_h,0)+1)</f>
        <v>1</v>
      </c>
      <c r="N69" s="14" t="n">
        <f aca="false">1-INDEX(GuardBlock,65,ROUND(D69/Step_h,0)+1)</f>
        <v>1</v>
      </c>
      <c r="O69" s="14" t="n">
        <f aca="false">1-INDEX(GuardBlock,65,ROUND(E69/Step_h,0)+1)</f>
        <v>1</v>
      </c>
      <c r="P69" s="14" t="n">
        <f aca="false">1-INDEX(GuardBlock,65,ROUND(F69/Step_h,0)+1)</f>
        <v>1</v>
      </c>
      <c r="Q69" s="14" t="n">
        <f aca="false">1-INDEX(GuardBlock,65,ROUND(G69/Step_h,0)+1)</f>
        <v>1</v>
      </c>
      <c r="R69" s="14" t="n">
        <f aca="false">1-INDEX(GuardBlock,65,ROUND(H69/Step_h,0)+1)</f>
        <v>1</v>
      </c>
      <c r="S69" s="14" t="n">
        <f aca="false">1-INDEX(GuardBlock,65,ROUND(I69/Step_h,0)+1)</f>
        <v>0</v>
      </c>
      <c r="T69" s="14" t="n">
        <f aca="false">1-INDEX(GuardBlock,65,ROUND(J69/Step_h,0)+1)</f>
        <v>1</v>
      </c>
      <c r="U69" s="14" t="n">
        <f aca="false">1-INDEX(GuardBlock,65,ROUND(K69/Step_h,0)+1)</f>
        <v>1</v>
      </c>
      <c r="V69" s="28" t="n">
        <f aca="false">BestRule!W69</f>
        <v>0</v>
      </c>
    </row>
    <row r="70" customFormat="false" ht="15" hidden="false" customHeight="false" outlineLevel="0" collapsed="false">
      <c r="A70" s="18" t="n">
        <f aca="false">Grid!A70</f>
        <v>46.25</v>
      </c>
      <c r="B70" s="20" t="n">
        <v>0</v>
      </c>
      <c r="C70" s="20" t="n">
        <v>0</v>
      </c>
      <c r="D70" s="20" t="n">
        <v>2</v>
      </c>
      <c r="E70" s="20" t="n">
        <v>2</v>
      </c>
      <c r="F70" s="20" t="n">
        <v>0.5</v>
      </c>
      <c r="G70" s="20" t="n">
        <v>1.25</v>
      </c>
      <c r="H70" s="20" t="n">
        <v>2.5</v>
      </c>
      <c r="I70" s="20" t="n">
        <v>1</v>
      </c>
      <c r="J70" s="20" t="n">
        <v>1</v>
      </c>
      <c r="K70" s="20" t="n">
        <v>2.25</v>
      </c>
      <c r="L70" s="14" t="n">
        <f aca="false">1-INDEX(GuardBlock,66,ROUND(B70/Step_h,0)+1)</f>
        <v>1</v>
      </c>
      <c r="M70" s="14" t="n">
        <f aca="false">1-INDEX(GuardBlock,66,ROUND(C70/Step_h,0)+1)</f>
        <v>1</v>
      </c>
      <c r="N70" s="14" t="n">
        <f aca="false">1-INDEX(GuardBlock,66,ROUND(D70/Step_h,0)+1)</f>
        <v>1</v>
      </c>
      <c r="O70" s="14" t="n">
        <f aca="false">1-INDEX(GuardBlock,66,ROUND(E70/Step_h,0)+1)</f>
        <v>1</v>
      </c>
      <c r="P70" s="14" t="n">
        <f aca="false">1-INDEX(GuardBlock,66,ROUND(F70/Step_h,0)+1)</f>
        <v>1</v>
      </c>
      <c r="Q70" s="14" t="n">
        <f aca="false">1-INDEX(GuardBlock,66,ROUND(G70/Step_h,0)+1)</f>
        <v>1</v>
      </c>
      <c r="R70" s="14" t="n">
        <f aca="false">1-INDEX(GuardBlock,66,ROUND(H70/Step_h,0)+1)</f>
        <v>0</v>
      </c>
      <c r="S70" s="14" t="n">
        <f aca="false">1-INDEX(GuardBlock,66,ROUND(I70/Step_h,0)+1)</f>
        <v>1</v>
      </c>
      <c r="T70" s="14" t="n">
        <f aca="false">1-INDEX(GuardBlock,66,ROUND(J70/Step_h,0)+1)</f>
        <v>1</v>
      </c>
      <c r="U70" s="14" t="n">
        <f aca="false">1-INDEX(GuardBlock,66,ROUND(K70/Step_h,0)+1)</f>
        <v>1</v>
      </c>
      <c r="V70" s="28" t="n">
        <f aca="false">BestRule!W70</f>
        <v>0</v>
      </c>
    </row>
    <row r="71" customFormat="false" ht="15" hidden="false" customHeight="false" outlineLevel="0" collapsed="false">
      <c r="A71" s="18" t="n">
        <f aca="false">Grid!A71</f>
        <v>46.5</v>
      </c>
      <c r="B71" s="20" t="n">
        <v>2.25</v>
      </c>
      <c r="C71" s="20" t="n">
        <v>2</v>
      </c>
      <c r="D71" s="20" t="n">
        <v>0.5</v>
      </c>
      <c r="E71" s="20" t="n">
        <v>0.25</v>
      </c>
      <c r="F71" s="20" t="n">
        <v>1.75</v>
      </c>
      <c r="G71" s="20" t="n">
        <v>2.5</v>
      </c>
      <c r="H71" s="20" t="n">
        <v>0</v>
      </c>
      <c r="I71" s="20" t="n">
        <v>2</v>
      </c>
      <c r="J71" s="20" t="n">
        <v>2.25</v>
      </c>
      <c r="K71" s="20" t="n">
        <v>2</v>
      </c>
      <c r="L71" s="14" t="n">
        <f aca="false">1-INDEX(GuardBlock,67,ROUND(B71/Step_h,0)+1)</f>
        <v>1</v>
      </c>
      <c r="M71" s="14" t="n">
        <f aca="false">1-INDEX(GuardBlock,67,ROUND(C71/Step_h,0)+1)</f>
        <v>1</v>
      </c>
      <c r="N71" s="14" t="n">
        <f aca="false">1-INDEX(GuardBlock,67,ROUND(D71/Step_h,0)+1)</f>
        <v>1</v>
      </c>
      <c r="O71" s="14" t="n">
        <f aca="false">1-INDEX(GuardBlock,67,ROUND(E71/Step_h,0)+1)</f>
        <v>1</v>
      </c>
      <c r="P71" s="14" t="n">
        <f aca="false">1-INDEX(GuardBlock,67,ROUND(F71/Step_h,0)+1)</f>
        <v>1</v>
      </c>
      <c r="Q71" s="14" t="n">
        <f aca="false">1-INDEX(GuardBlock,67,ROUND(G71/Step_h,0)+1)</f>
        <v>0</v>
      </c>
      <c r="R71" s="14" t="n">
        <f aca="false">1-INDEX(GuardBlock,67,ROUND(H71/Step_h,0)+1)</f>
        <v>1</v>
      </c>
      <c r="S71" s="14" t="n">
        <f aca="false">1-INDEX(GuardBlock,67,ROUND(I71/Step_h,0)+1)</f>
        <v>1</v>
      </c>
      <c r="T71" s="14" t="n">
        <f aca="false">1-INDEX(GuardBlock,67,ROUND(J71/Step_h,0)+1)</f>
        <v>1</v>
      </c>
      <c r="U71" s="14" t="n">
        <f aca="false">1-INDEX(GuardBlock,67,ROUND(K71/Step_h,0)+1)</f>
        <v>1</v>
      </c>
      <c r="V71" s="28" t="n">
        <f aca="false">BestRule!W71</f>
        <v>0</v>
      </c>
    </row>
    <row r="72" customFormat="false" ht="15" hidden="false" customHeight="false" outlineLevel="0" collapsed="false">
      <c r="A72" s="18" t="n">
        <f aca="false">Grid!A72</f>
        <v>46.75</v>
      </c>
      <c r="B72" s="20" t="n">
        <v>0.25</v>
      </c>
      <c r="C72" s="20" t="n">
        <v>0.5</v>
      </c>
      <c r="D72" s="20" t="n">
        <v>2.5</v>
      </c>
      <c r="E72" s="20" t="n">
        <v>0.25</v>
      </c>
      <c r="F72" s="20" t="n">
        <v>0.75</v>
      </c>
      <c r="G72" s="20" t="n">
        <v>0</v>
      </c>
      <c r="H72" s="20" t="n">
        <v>2.5</v>
      </c>
      <c r="I72" s="20" t="n">
        <v>0.75</v>
      </c>
      <c r="J72" s="20" t="n">
        <v>0</v>
      </c>
      <c r="K72" s="20" t="n">
        <v>1.75</v>
      </c>
      <c r="L72" s="14" t="n">
        <f aca="false">1-INDEX(GuardBlock,68,ROUND(B72/Step_h,0)+1)</f>
        <v>1</v>
      </c>
      <c r="M72" s="14" t="n">
        <f aca="false">1-INDEX(GuardBlock,68,ROUND(C72/Step_h,0)+1)</f>
        <v>1</v>
      </c>
      <c r="N72" s="14" t="n">
        <f aca="false">1-INDEX(GuardBlock,68,ROUND(D72/Step_h,0)+1)</f>
        <v>0</v>
      </c>
      <c r="O72" s="14" t="n">
        <f aca="false">1-INDEX(GuardBlock,68,ROUND(E72/Step_h,0)+1)</f>
        <v>1</v>
      </c>
      <c r="P72" s="14" t="n">
        <f aca="false">1-INDEX(GuardBlock,68,ROUND(F72/Step_h,0)+1)</f>
        <v>1</v>
      </c>
      <c r="Q72" s="14" t="n">
        <f aca="false">1-INDEX(GuardBlock,68,ROUND(G72/Step_h,0)+1)</f>
        <v>1</v>
      </c>
      <c r="R72" s="14" t="n">
        <f aca="false">1-INDEX(GuardBlock,68,ROUND(H72/Step_h,0)+1)</f>
        <v>0</v>
      </c>
      <c r="S72" s="14" t="n">
        <f aca="false">1-INDEX(GuardBlock,68,ROUND(I72/Step_h,0)+1)</f>
        <v>1</v>
      </c>
      <c r="T72" s="14" t="n">
        <f aca="false">1-INDEX(GuardBlock,68,ROUND(J72/Step_h,0)+1)</f>
        <v>1</v>
      </c>
      <c r="U72" s="14" t="n">
        <f aca="false">1-INDEX(GuardBlock,68,ROUND(K72/Step_h,0)+1)</f>
        <v>1</v>
      </c>
      <c r="V72" s="28" t="n">
        <f aca="false">BestRule!W72</f>
        <v>0</v>
      </c>
    </row>
    <row r="73" customFormat="false" ht="15" hidden="false" customHeight="false" outlineLevel="0" collapsed="false">
      <c r="A73" s="18" t="n">
        <f aca="false">Grid!A73</f>
        <v>47</v>
      </c>
      <c r="B73" s="20" t="n">
        <v>0.75</v>
      </c>
      <c r="C73" s="20" t="n">
        <v>0.25</v>
      </c>
      <c r="D73" s="20" t="n">
        <v>1.75</v>
      </c>
      <c r="E73" s="20" t="n">
        <v>2.5</v>
      </c>
      <c r="F73" s="20" t="n">
        <v>2.5</v>
      </c>
      <c r="G73" s="20" t="n">
        <v>2.5</v>
      </c>
      <c r="H73" s="20" t="n">
        <v>2.25</v>
      </c>
      <c r="I73" s="20" t="n">
        <v>0.75</v>
      </c>
      <c r="J73" s="20" t="n">
        <v>2</v>
      </c>
      <c r="K73" s="20" t="n">
        <v>1.5</v>
      </c>
      <c r="L73" s="14" t="n">
        <f aca="false">1-INDEX(GuardBlock,69,ROUND(B73/Step_h,0)+1)</f>
        <v>1</v>
      </c>
      <c r="M73" s="14" t="n">
        <f aca="false">1-INDEX(GuardBlock,69,ROUND(C73/Step_h,0)+1)</f>
        <v>1</v>
      </c>
      <c r="N73" s="14" t="n">
        <f aca="false">1-INDEX(GuardBlock,69,ROUND(D73/Step_h,0)+1)</f>
        <v>1</v>
      </c>
      <c r="O73" s="14" t="n">
        <f aca="false">1-INDEX(GuardBlock,69,ROUND(E73/Step_h,0)+1)</f>
        <v>0</v>
      </c>
      <c r="P73" s="14" t="n">
        <f aca="false">1-INDEX(GuardBlock,69,ROUND(F73/Step_h,0)+1)</f>
        <v>0</v>
      </c>
      <c r="Q73" s="14" t="n">
        <f aca="false">1-INDEX(GuardBlock,69,ROUND(G73/Step_h,0)+1)</f>
        <v>0</v>
      </c>
      <c r="R73" s="14" t="n">
        <f aca="false">1-INDEX(GuardBlock,69,ROUND(H73/Step_h,0)+1)</f>
        <v>1</v>
      </c>
      <c r="S73" s="14" t="n">
        <f aca="false">1-INDEX(GuardBlock,69,ROUND(I73/Step_h,0)+1)</f>
        <v>1</v>
      </c>
      <c r="T73" s="14" t="n">
        <f aca="false">1-INDEX(GuardBlock,69,ROUND(J73/Step_h,0)+1)</f>
        <v>1</v>
      </c>
      <c r="U73" s="14" t="n">
        <f aca="false">1-INDEX(GuardBlock,69,ROUND(K73/Step_h,0)+1)</f>
        <v>1</v>
      </c>
      <c r="V73" s="28" t="n">
        <f aca="false">BestRule!W73</f>
        <v>0</v>
      </c>
    </row>
    <row r="74" customFormat="false" ht="15" hidden="false" customHeight="false" outlineLevel="0" collapsed="false">
      <c r="A74" s="18" t="n">
        <f aca="false">Grid!A74</f>
        <v>47.25</v>
      </c>
      <c r="B74" s="20" t="n">
        <v>2</v>
      </c>
      <c r="C74" s="20" t="n">
        <v>1.25</v>
      </c>
      <c r="D74" s="20" t="n">
        <v>0.25</v>
      </c>
      <c r="E74" s="20" t="n">
        <v>0.25</v>
      </c>
      <c r="F74" s="20" t="n">
        <v>2.5</v>
      </c>
      <c r="G74" s="20" t="n">
        <v>2.25</v>
      </c>
      <c r="H74" s="20" t="n">
        <v>0</v>
      </c>
      <c r="I74" s="20" t="n">
        <v>2.25</v>
      </c>
      <c r="J74" s="20" t="n">
        <v>2.25</v>
      </c>
      <c r="K74" s="20" t="n">
        <v>0.5</v>
      </c>
      <c r="L74" s="14" t="n">
        <f aca="false">1-INDEX(GuardBlock,70,ROUND(B74/Step_h,0)+1)</f>
        <v>1</v>
      </c>
      <c r="M74" s="14" t="n">
        <f aca="false">1-INDEX(GuardBlock,70,ROUND(C74/Step_h,0)+1)</f>
        <v>1</v>
      </c>
      <c r="N74" s="14" t="n">
        <f aca="false">1-INDEX(GuardBlock,70,ROUND(D74/Step_h,0)+1)</f>
        <v>1</v>
      </c>
      <c r="O74" s="14" t="n">
        <f aca="false">1-INDEX(GuardBlock,70,ROUND(E74/Step_h,0)+1)</f>
        <v>1</v>
      </c>
      <c r="P74" s="14" t="n">
        <f aca="false">1-INDEX(GuardBlock,70,ROUND(F74/Step_h,0)+1)</f>
        <v>0</v>
      </c>
      <c r="Q74" s="14" t="n">
        <f aca="false">1-INDEX(GuardBlock,70,ROUND(G74/Step_h,0)+1)</f>
        <v>1</v>
      </c>
      <c r="R74" s="14" t="n">
        <f aca="false">1-INDEX(GuardBlock,70,ROUND(H74/Step_h,0)+1)</f>
        <v>1</v>
      </c>
      <c r="S74" s="14" t="n">
        <f aca="false">1-INDEX(GuardBlock,70,ROUND(I74/Step_h,0)+1)</f>
        <v>1</v>
      </c>
      <c r="T74" s="14" t="n">
        <f aca="false">1-INDEX(GuardBlock,70,ROUND(J74/Step_h,0)+1)</f>
        <v>1</v>
      </c>
      <c r="U74" s="14" t="n">
        <f aca="false">1-INDEX(GuardBlock,70,ROUND(K74/Step_h,0)+1)</f>
        <v>1</v>
      </c>
      <c r="V74" s="28" t="n">
        <f aca="false">BestRule!W74</f>
        <v>0</v>
      </c>
    </row>
    <row r="75" customFormat="false" ht="15" hidden="false" customHeight="false" outlineLevel="0" collapsed="false">
      <c r="A75" s="18" t="n">
        <f aca="false">Grid!A75</f>
        <v>47.5</v>
      </c>
      <c r="B75" s="20" t="n">
        <v>0.75</v>
      </c>
      <c r="C75" s="20" t="n">
        <v>0.75</v>
      </c>
      <c r="D75" s="20" t="n">
        <v>0.75</v>
      </c>
      <c r="E75" s="20" t="n">
        <v>1.75</v>
      </c>
      <c r="F75" s="20" t="n">
        <v>2.25</v>
      </c>
      <c r="G75" s="20" t="n">
        <v>1.5</v>
      </c>
      <c r="H75" s="20" t="n">
        <v>1.5</v>
      </c>
      <c r="I75" s="20" t="n">
        <v>2.5</v>
      </c>
      <c r="J75" s="20" t="n">
        <v>1</v>
      </c>
      <c r="K75" s="20" t="n">
        <v>1.75</v>
      </c>
      <c r="L75" s="14" t="n">
        <f aca="false">1-INDEX(GuardBlock,71,ROUND(B75/Step_h,0)+1)</f>
        <v>1</v>
      </c>
      <c r="M75" s="14" t="n">
        <f aca="false">1-INDEX(GuardBlock,71,ROUND(C75/Step_h,0)+1)</f>
        <v>1</v>
      </c>
      <c r="N75" s="14" t="n">
        <f aca="false">1-INDEX(GuardBlock,71,ROUND(D75/Step_h,0)+1)</f>
        <v>1</v>
      </c>
      <c r="O75" s="14" t="n">
        <f aca="false">1-INDEX(GuardBlock,71,ROUND(E75/Step_h,0)+1)</f>
        <v>1</v>
      </c>
      <c r="P75" s="14" t="n">
        <f aca="false">1-INDEX(GuardBlock,71,ROUND(F75/Step_h,0)+1)</f>
        <v>1</v>
      </c>
      <c r="Q75" s="14" t="n">
        <f aca="false">1-INDEX(GuardBlock,71,ROUND(G75/Step_h,0)+1)</f>
        <v>1</v>
      </c>
      <c r="R75" s="14" t="n">
        <f aca="false">1-INDEX(GuardBlock,71,ROUND(H75/Step_h,0)+1)</f>
        <v>1</v>
      </c>
      <c r="S75" s="14" t="n">
        <f aca="false">1-INDEX(GuardBlock,71,ROUND(I75/Step_h,0)+1)</f>
        <v>0</v>
      </c>
      <c r="T75" s="14" t="n">
        <f aca="false">1-INDEX(GuardBlock,71,ROUND(J75/Step_h,0)+1)</f>
        <v>1</v>
      </c>
      <c r="U75" s="14" t="n">
        <f aca="false">1-INDEX(GuardBlock,71,ROUND(K75/Step_h,0)+1)</f>
        <v>1</v>
      </c>
      <c r="V75" s="28" t="n">
        <f aca="false">BestRule!W75</f>
        <v>0</v>
      </c>
    </row>
    <row r="76" customFormat="false" ht="15" hidden="false" customHeight="false" outlineLevel="0" collapsed="false">
      <c r="A76" s="18" t="n">
        <f aca="false">Grid!A76</f>
        <v>47.75</v>
      </c>
      <c r="B76" s="20" t="n">
        <v>2.5</v>
      </c>
      <c r="C76" s="20" t="n">
        <v>1.5</v>
      </c>
      <c r="D76" s="20" t="n">
        <v>1</v>
      </c>
      <c r="E76" s="20" t="n">
        <v>2.25</v>
      </c>
      <c r="F76" s="20" t="n">
        <v>2</v>
      </c>
      <c r="G76" s="20" t="n">
        <v>2.5</v>
      </c>
      <c r="H76" s="20" t="n">
        <v>0.25</v>
      </c>
      <c r="I76" s="20" t="n">
        <v>1.75</v>
      </c>
      <c r="J76" s="20" t="n">
        <v>2.25</v>
      </c>
      <c r="K76" s="20" t="n">
        <v>0.5</v>
      </c>
      <c r="L76" s="14" t="n">
        <f aca="false">1-INDEX(GuardBlock,72,ROUND(B76/Step_h,0)+1)</f>
        <v>0</v>
      </c>
      <c r="M76" s="14" t="n">
        <f aca="false">1-INDEX(GuardBlock,72,ROUND(C76/Step_h,0)+1)</f>
        <v>1</v>
      </c>
      <c r="N76" s="14" t="n">
        <f aca="false">1-INDEX(GuardBlock,72,ROUND(D76/Step_h,0)+1)</f>
        <v>1</v>
      </c>
      <c r="O76" s="14" t="n">
        <f aca="false">1-INDEX(GuardBlock,72,ROUND(E76/Step_h,0)+1)</f>
        <v>1</v>
      </c>
      <c r="P76" s="14" t="n">
        <f aca="false">1-INDEX(GuardBlock,72,ROUND(F76/Step_h,0)+1)</f>
        <v>1</v>
      </c>
      <c r="Q76" s="14" t="n">
        <f aca="false">1-INDEX(GuardBlock,72,ROUND(G76/Step_h,0)+1)</f>
        <v>0</v>
      </c>
      <c r="R76" s="14" t="n">
        <f aca="false">1-INDEX(GuardBlock,72,ROUND(H76/Step_h,0)+1)</f>
        <v>1</v>
      </c>
      <c r="S76" s="14" t="n">
        <f aca="false">1-INDEX(GuardBlock,72,ROUND(I76/Step_h,0)+1)</f>
        <v>1</v>
      </c>
      <c r="T76" s="14" t="n">
        <f aca="false">1-INDEX(GuardBlock,72,ROUND(J76/Step_h,0)+1)</f>
        <v>1</v>
      </c>
      <c r="U76" s="14" t="n">
        <f aca="false">1-INDEX(GuardBlock,72,ROUND(K76/Step_h,0)+1)</f>
        <v>1</v>
      </c>
      <c r="V76" s="28" t="n">
        <f aca="false">BestRule!W76</f>
        <v>0</v>
      </c>
    </row>
    <row r="77" customFormat="false" ht="15" hidden="false" customHeight="false" outlineLevel="0" collapsed="false">
      <c r="A77" s="18" t="n">
        <f aca="false">Grid!A77</f>
        <v>48</v>
      </c>
      <c r="B77" s="20" t="n">
        <v>1</v>
      </c>
      <c r="C77" s="20" t="n">
        <v>0.75</v>
      </c>
      <c r="D77" s="20" t="n">
        <v>0</v>
      </c>
      <c r="E77" s="20" t="n">
        <v>0.5</v>
      </c>
      <c r="F77" s="20" t="n">
        <v>2</v>
      </c>
      <c r="G77" s="20" t="n">
        <v>2.25</v>
      </c>
      <c r="H77" s="20" t="n">
        <v>1.75</v>
      </c>
      <c r="I77" s="20" t="n">
        <v>2.5</v>
      </c>
      <c r="J77" s="20" t="n">
        <v>2.5</v>
      </c>
      <c r="K77" s="20" t="n">
        <v>1.75</v>
      </c>
      <c r="L77" s="14" t="n">
        <f aca="false">1-INDEX(GuardBlock,73,ROUND(B77/Step_h,0)+1)</f>
        <v>1</v>
      </c>
      <c r="M77" s="14" t="n">
        <f aca="false">1-INDEX(GuardBlock,73,ROUND(C77/Step_h,0)+1)</f>
        <v>1</v>
      </c>
      <c r="N77" s="14" t="n">
        <f aca="false">1-INDEX(GuardBlock,73,ROUND(D77/Step_h,0)+1)</f>
        <v>1</v>
      </c>
      <c r="O77" s="14" t="n">
        <f aca="false">1-INDEX(GuardBlock,73,ROUND(E77/Step_h,0)+1)</f>
        <v>1</v>
      </c>
      <c r="P77" s="14" t="n">
        <f aca="false">1-INDEX(GuardBlock,73,ROUND(F77/Step_h,0)+1)</f>
        <v>1</v>
      </c>
      <c r="Q77" s="14" t="n">
        <f aca="false">1-INDEX(GuardBlock,73,ROUND(G77/Step_h,0)+1)</f>
        <v>1</v>
      </c>
      <c r="R77" s="14" t="n">
        <f aca="false">1-INDEX(GuardBlock,73,ROUND(H77/Step_h,0)+1)</f>
        <v>1</v>
      </c>
      <c r="S77" s="14" t="n">
        <f aca="false">1-INDEX(GuardBlock,73,ROUND(I77/Step_h,0)+1)</f>
        <v>0</v>
      </c>
      <c r="T77" s="14" t="n">
        <f aca="false">1-INDEX(GuardBlock,73,ROUND(J77/Step_h,0)+1)</f>
        <v>0</v>
      </c>
      <c r="U77" s="14" t="n">
        <f aca="false">1-INDEX(GuardBlock,73,ROUND(K77/Step_h,0)+1)</f>
        <v>1</v>
      </c>
      <c r="V77" s="28" t="n">
        <f aca="false">BestRule!W77</f>
        <v>0</v>
      </c>
    </row>
    <row r="78" customFormat="false" ht="15" hidden="false" customHeight="false" outlineLevel="0" collapsed="false">
      <c r="A78" s="18" t="n">
        <f aca="false">Grid!A78</f>
        <v>48.25</v>
      </c>
      <c r="B78" s="20" t="n">
        <v>0</v>
      </c>
      <c r="C78" s="20" t="n">
        <v>2.25</v>
      </c>
      <c r="D78" s="20" t="n">
        <v>1.5</v>
      </c>
      <c r="E78" s="20" t="n">
        <v>2.5</v>
      </c>
      <c r="F78" s="20" t="n">
        <v>1.25</v>
      </c>
      <c r="G78" s="20" t="n">
        <v>2</v>
      </c>
      <c r="H78" s="20" t="n">
        <v>2.25</v>
      </c>
      <c r="I78" s="20" t="n">
        <v>1.5</v>
      </c>
      <c r="J78" s="20" t="n">
        <v>1.75</v>
      </c>
      <c r="K78" s="20" t="n">
        <v>0.5</v>
      </c>
      <c r="L78" s="14" t="n">
        <f aca="false">1-INDEX(GuardBlock,74,ROUND(B78/Step_h,0)+1)</f>
        <v>1</v>
      </c>
      <c r="M78" s="14" t="n">
        <f aca="false">1-INDEX(GuardBlock,74,ROUND(C78/Step_h,0)+1)</f>
        <v>1</v>
      </c>
      <c r="N78" s="14" t="n">
        <f aca="false">1-INDEX(GuardBlock,74,ROUND(D78/Step_h,0)+1)</f>
        <v>1</v>
      </c>
      <c r="O78" s="14" t="n">
        <f aca="false">1-INDEX(GuardBlock,74,ROUND(E78/Step_h,0)+1)</f>
        <v>0</v>
      </c>
      <c r="P78" s="14" t="n">
        <f aca="false">1-INDEX(GuardBlock,74,ROUND(F78/Step_h,0)+1)</f>
        <v>1</v>
      </c>
      <c r="Q78" s="14" t="n">
        <f aca="false">1-INDEX(GuardBlock,74,ROUND(G78/Step_h,0)+1)</f>
        <v>1</v>
      </c>
      <c r="R78" s="14" t="n">
        <f aca="false">1-INDEX(GuardBlock,74,ROUND(H78/Step_h,0)+1)</f>
        <v>1</v>
      </c>
      <c r="S78" s="14" t="n">
        <f aca="false">1-INDEX(GuardBlock,74,ROUND(I78/Step_h,0)+1)</f>
        <v>1</v>
      </c>
      <c r="T78" s="14" t="n">
        <f aca="false">1-INDEX(GuardBlock,74,ROUND(J78/Step_h,0)+1)</f>
        <v>1</v>
      </c>
      <c r="U78" s="14" t="n">
        <f aca="false">1-INDEX(GuardBlock,74,ROUND(K78/Step_h,0)+1)</f>
        <v>1</v>
      </c>
      <c r="V78" s="28" t="n">
        <f aca="false">BestRule!W78</f>
        <v>6.72663474503545E-029</v>
      </c>
    </row>
    <row r="79" customFormat="false" ht="15" hidden="false" customHeight="false" outlineLevel="0" collapsed="false">
      <c r="A79" s="18" t="n">
        <f aca="false">Grid!A79</f>
        <v>48.5</v>
      </c>
      <c r="B79" s="20" t="n">
        <v>0.5</v>
      </c>
      <c r="C79" s="20" t="n">
        <v>1.25</v>
      </c>
      <c r="D79" s="20" t="n">
        <v>1.25</v>
      </c>
      <c r="E79" s="20" t="n">
        <v>1.75</v>
      </c>
      <c r="F79" s="20" t="n">
        <v>2</v>
      </c>
      <c r="G79" s="20" t="n">
        <v>1.25</v>
      </c>
      <c r="H79" s="20" t="n">
        <v>1.75</v>
      </c>
      <c r="I79" s="20" t="n">
        <v>2</v>
      </c>
      <c r="J79" s="20" t="n">
        <v>1.5</v>
      </c>
      <c r="K79" s="20" t="n">
        <v>0.5</v>
      </c>
      <c r="L79" s="14" t="n">
        <f aca="false">1-INDEX(GuardBlock,75,ROUND(B79/Step_h,0)+1)</f>
        <v>1</v>
      </c>
      <c r="M79" s="14" t="n">
        <f aca="false">1-INDEX(GuardBlock,75,ROUND(C79/Step_h,0)+1)</f>
        <v>1</v>
      </c>
      <c r="N79" s="14" t="n">
        <f aca="false">1-INDEX(GuardBlock,75,ROUND(D79/Step_h,0)+1)</f>
        <v>1</v>
      </c>
      <c r="O79" s="14" t="n">
        <f aca="false">1-INDEX(GuardBlock,75,ROUND(E79/Step_h,0)+1)</f>
        <v>1</v>
      </c>
      <c r="P79" s="14" t="n">
        <f aca="false">1-INDEX(GuardBlock,75,ROUND(F79/Step_h,0)+1)</f>
        <v>1</v>
      </c>
      <c r="Q79" s="14" t="n">
        <f aca="false">1-INDEX(GuardBlock,75,ROUND(G79/Step_h,0)+1)</f>
        <v>1</v>
      </c>
      <c r="R79" s="14" t="n">
        <f aca="false">1-INDEX(GuardBlock,75,ROUND(H79/Step_h,0)+1)</f>
        <v>1</v>
      </c>
      <c r="S79" s="14" t="n">
        <f aca="false">1-INDEX(GuardBlock,75,ROUND(I79/Step_h,0)+1)</f>
        <v>1</v>
      </c>
      <c r="T79" s="14" t="n">
        <f aca="false">1-INDEX(GuardBlock,75,ROUND(J79/Step_h,0)+1)</f>
        <v>1</v>
      </c>
      <c r="U79" s="14" t="n">
        <f aca="false">1-INDEX(GuardBlock,75,ROUND(K79/Step_h,0)+1)</f>
        <v>1</v>
      </c>
      <c r="V79" s="28" t="n">
        <f aca="false">BestRule!W79</f>
        <v>2.30715561640872E-026</v>
      </c>
    </row>
    <row r="80" customFormat="false" ht="15" hidden="false" customHeight="false" outlineLevel="0" collapsed="false">
      <c r="A80" s="18" t="n">
        <f aca="false">Grid!A80</f>
        <v>48.75</v>
      </c>
      <c r="B80" s="20" t="n">
        <v>2.5</v>
      </c>
      <c r="C80" s="20" t="n">
        <v>0.75</v>
      </c>
      <c r="D80" s="20" t="n">
        <v>1</v>
      </c>
      <c r="E80" s="20" t="n">
        <v>1.5</v>
      </c>
      <c r="F80" s="20" t="n">
        <v>0.75</v>
      </c>
      <c r="G80" s="20" t="n">
        <v>0.25</v>
      </c>
      <c r="H80" s="20" t="n">
        <v>0.75</v>
      </c>
      <c r="I80" s="20" t="n">
        <v>2.5</v>
      </c>
      <c r="J80" s="20" t="n">
        <v>1.25</v>
      </c>
      <c r="K80" s="20" t="n">
        <v>2.25</v>
      </c>
      <c r="L80" s="14" t="n">
        <f aca="false">1-INDEX(GuardBlock,76,ROUND(B80/Step_h,0)+1)</f>
        <v>0</v>
      </c>
      <c r="M80" s="14" t="n">
        <f aca="false">1-INDEX(GuardBlock,76,ROUND(C80/Step_h,0)+1)</f>
        <v>1</v>
      </c>
      <c r="N80" s="14" t="n">
        <f aca="false">1-INDEX(GuardBlock,76,ROUND(D80/Step_h,0)+1)</f>
        <v>1</v>
      </c>
      <c r="O80" s="14" t="n">
        <f aca="false">1-INDEX(GuardBlock,76,ROUND(E80/Step_h,0)+1)</f>
        <v>1</v>
      </c>
      <c r="P80" s="14" t="n">
        <f aca="false">1-INDEX(GuardBlock,76,ROUND(F80/Step_h,0)+1)</f>
        <v>1</v>
      </c>
      <c r="Q80" s="14" t="n">
        <f aca="false">1-INDEX(GuardBlock,76,ROUND(G80/Step_h,0)+1)</f>
        <v>1</v>
      </c>
      <c r="R80" s="14" t="n">
        <f aca="false">1-INDEX(GuardBlock,76,ROUND(H80/Step_h,0)+1)</f>
        <v>1</v>
      </c>
      <c r="S80" s="14" t="n">
        <f aca="false">1-INDEX(GuardBlock,76,ROUND(I80/Step_h,0)+1)</f>
        <v>0</v>
      </c>
      <c r="T80" s="14" t="n">
        <f aca="false">1-INDEX(GuardBlock,76,ROUND(J80/Step_h,0)+1)</f>
        <v>1</v>
      </c>
      <c r="U80" s="14" t="n">
        <f aca="false">1-INDEX(GuardBlock,76,ROUND(K80/Step_h,0)+1)</f>
        <v>1</v>
      </c>
      <c r="V80" s="28" t="n">
        <f aca="false">BestRule!W80</f>
        <v>1.47829411938241E-024</v>
      </c>
    </row>
    <row r="81" customFormat="false" ht="15" hidden="false" customHeight="false" outlineLevel="0" collapsed="false">
      <c r="A81" s="18" t="n">
        <f aca="false">Grid!A81</f>
        <v>49</v>
      </c>
      <c r="B81" s="20" t="n">
        <v>2.25</v>
      </c>
      <c r="C81" s="20" t="n">
        <v>1.75</v>
      </c>
      <c r="D81" s="20" t="n">
        <v>1</v>
      </c>
      <c r="E81" s="20" t="n">
        <v>0</v>
      </c>
      <c r="F81" s="20" t="n">
        <v>2.5</v>
      </c>
      <c r="G81" s="20" t="n">
        <v>2</v>
      </c>
      <c r="H81" s="20" t="n">
        <v>0</v>
      </c>
      <c r="I81" s="20" t="n">
        <v>2</v>
      </c>
      <c r="J81" s="20" t="n">
        <v>0.75</v>
      </c>
      <c r="K81" s="20" t="n">
        <v>1.25</v>
      </c>
      <c r="L81" s="14" t="n">
        <f aca="false">1-INDEX(GuardBlock,77,ROUND(B81/Step_h,0)+1)</f>
        <v>1</v>
      </c>
      <c r="M81" s="14" t="n">
        <f aca="false">1-INDEX(GuardBlock,77,ROUND(C81/Step_h,0)+1)</f>
        <v>1</v>
      </c>
      <c r="N81" s="14" t="n">
        <f aca="false">1-INDEX(GuardBlock,77,ROUND(D81/Step_h,0)+1)</f>
        <v>1</v>
      </c>
      <c r="O81" s="14" t="n">
        <f aca="false">1-INDEX(GuardBlock,77,ROUND(E81/Step_h,0)+1)</f>
        <v>1</v>
      </c>
      <c r="P81" s="14" t="n">
        <f aca="false">1-INDEX(GuardBlock,77,ROUND(F81/Step_h,0)+1)</f>
        <v>0</v>
      </c>
      <c r="Q81" s="14" t="n">
        <f aca="false">1-INDEX(GuardBlock,77,ROUND(G81/Step_h,0)+1)</f>
        <v>1</v>
      </c>
      <c r="R81" s="14" t="n">
        <f aca="false">1-INDEX(GuardBlock,77,ROUND(H81/Step_h,0)+1)</f>
        <v>1</v>
      </c>
      <c r="S81" s="14" t="n">
        <f aca="false">1-INDEX(GuardBlock,77,ROUND(I81/Step_h,0)+1)</f>
        <v>1</v>
      </c>
      <c r="T81" s="14" t="n">
        <f aca="false">1-INDEX(GuardBlock,77,ROUND(J81/Step_h,0)+1)</f>
        <v>1</v>
      </c>
      <c r="U81" s="14" t="n">
        <f aca="false">1-INDEX(GuardBlock,77,ROUND(K81/Step_h,0)+1)</f>
        <v>1</v>
      </c>
      <c r="V81" s="28" t="n">
        <f aca="false">BestRule!W81</f>
        <v>4.72464740856035E-023</v>
      </c>
    </row>
    <row r="82" customFormat="false" ht="15" hidden="false" customHeight="false" outlineLevel="0" collapsed="false">
      <c r="A82" s="18" t="n">
        <f aca="false">Grid!A82</f>
        <v>49.25</v>
      </c>
      <c r="B82" s="20" t="n">
        <v>1.75</v>
      </c>
      <c r="C82" s="20" t="n">
        <v>1.5</v>
      </c>
      <c r="D82" s="20" t="n">
        <v>2.5</v>
      </c>
      <c r="E82" s="20" t="n">
        <v>1.5</v>
      </c>
      <c r="F82" s="20" t="n">
        <v>0.25</v>
      </c>
      <c r="G82" s="20" t="n">
        <v>2</v>
      </c>
      <c r="H82" s="20" t="n">
        <v>0.25</v>
      </c>
      <c r="I82" s="20" t="n">
        <v>1.75</v>
      </c>
      <c r="J82" s="20" t="n">
        <v>1.25</v>
      </c>
      <c r="K82" s="20" t="n">
        <v>1.75</v>
      </c>
      <c r="L82" s="14" t="n">
        <f aca="false">1-INDEX(GuardBlock,78,ROUND(B82/Step_h,0)+1)</f>
        <v>1</v>
      </c>
      <c r="M82" s="14" t="n">
        <f aca="false">1-INDEX(GuardBlock,78,ROUND(C82/Step_h,0)+1)</f>
        <v>1</v>
      </c>
      <c r="N82" s="14" t="n">
        <f aca="false">1-INDEX(GuardBlock,78,ROUND(D82/Step_h,0)+1)</f>
        <v>0</v>
      </c>
      <c r="O82" s="14" t="n">
        <f aca="false">1-INDEX(GuardBlock,78,ROUND(E82/Step_h,0)+1)</f>
        <v>1</v>
      </c>
      <c r="P82" s="14" t="n">
        <f aca="false">1-INDEX(GuardBlock,78,ROUND(F82/Step_h,0)+1)</f>
        <v>1</v>
      </c>
      <c r="Q82" s="14" t="n">
        <f aca="false">1-INDEX(GuardBlock,78,ROUND(G82/Step_h,0)+1)</f>
        <v>1</v>
      </c>
      <c r="R82" s="14" t="n">
        <f aca="false">1-INDEX(GuardBlock,78,ROUND(H82/Step_h,0)+1)</f>
        <v>1</v>
      </c>
      <c r="S82" s="14" t="n">
        <f aca="false">1-INDEX(GuardBlock,78,ROUND(I82/Step_h,0)+1)</f>
        <v>1</v>
      </c>
      <c r="T82" s="14" t="n">
        <f aca="false">1-INDEX(GuardBlock,78,ROUND(J82/Step_h,0)+1)</f>
        <v>1</v>
      </c>
      <c r="U82" s="14" t="n">
        <f aca="false">1-INDEX(GuardBlock,78,ROUND(K82/Step_h,0)+1)</f>
        <v>1</v>
      </c>
      <c r="V82" s="28" t="n">
        <f aca="false">BestRule!W82</f>
        <v>1.13302749751505E-021</v>
      </c>
    </row>
    <row r="83" customFormat="false" ht="15" hidden="false" customHeight="false" outlineLevel="0" collapsed="false">
      <c r="A83" s="18" t="n">
        <f aca="false">Grid!A83</f>
        <v>49.5</v>
      </c>
      <c r="B83" s="20" t="n">
        <v>1.25</v>
      </c>
      <c r="C83" s="20" t="n">
        <v>2.25</v>
      </c>
      <c r="D83" s="20" t="n">
        <v>0.75</v>
      </c>
      <c r="E83" s="20" t="n">
        <v>2</v>
      </c>
      <c r="F83" s="20" t="n">
        <v>0</v>
      </c>
      <c r="G83" s="20" t="n">
        <v>0.5</v>
      </c>
      <c r="H83" s="20" t="n">
        <v>1.25</v>
      </c>
      <c r="I83" s="20" t="n">
        <v>1.5</v>
      </c>
      <c r="J83" s="20" t="n">
        <v>1.5</v>
      </c>
      <c r="K83" s="20" t="n">
        <v>0.75</v>
      </c>
      <c r="L83" s="14" t="n">
        <f aca="false">1-INDEX(GuardBlock,79,ROUND(B83/Step_h,0)+1)</f>
        <v>1</v>
      </c>
      <c r="M83" s="14" t="n">
        <f aca="false">1-INDEX(GuardBlock,79,ROUND(C83/Step_h,0)+1)</f>
        <v>1</v>
      </c>
      <c r="N83" s="14" t="n">
        <f aca="false">1-INDEX(GuardBlock,79,ROUND(D83/Step_h,0)+1)</f>
        <v>1</v>
      </c>
      <c r="O83" s="14" t="n">
        <f aca="false">1-INDEX(GuardBlock,79,ROUND(E83/Step_h,0)+1)</f>
        <v>1</v>
      </c>
      <c r="P83" s="14" t="n">
        <f aca="false">1-INDEX(GuardBlock,79,ROUND(F83/Step_h,0)+1)</f>
        <v>1</v>
      </c>
      <c r="Q83" s="14" t="n">
        <f aca="false">1-INDEX(GuardBlock,79,ROUND(G83/Step_h,0)+1)</f>
        <v>1</v>
      </c>
      <c r="R83" s="14" t="n">
        <f aca="false">1-INDEX(GuardBlock,79,ROUND(H83/Step_h,0)+1)</f>
        <v>1</v>
      </c>
      <c r="S83" s="14" t="n">
        <f aca="false">1-INDEX(GuardBlock,79,ROUND(I83/Step_h,0)+1)</f>
        <v>1</v>
      </c>
      <c r="T83" s="14" t="n">
        <f aca="false">1-INDEX(GuardBlock,79,ROUND(J83/Step_h,0)+1)</f>
        <v>1</v>
      </c>
      <c r="U83" s="14" t="n">
        <f aca="false">1-INDEX(GuardBlock,79,ROUND(K83/Step_h,0)+1)</f>
        <v>1</v>
      </c>
      <c r="V83" s="28" t="n">
        <f aca="false">BestRule!W83</f>
        <v>2.44640461080582E-020</v>
      </c>
    </row>
    <row r="84" customFormat="false" ht="15" hidden="false" customHeight="false" outlineLevel="0" collapsed="false">
      <c r="A84" s="18" t="n">
        <f aca="false">Grid!A84</f>
        <v>49.75</v>
      </c>
      <c r="B84" s="20" t="n">
        <v>1.5</v>
      </c>
      <c r="C84" s="20" t="n">
        <v>2.5</v>
      </c>
      <c r="D84" s="20" t="n">
        <v>0.75</v>
      </c>
      <c r="E84" s="20" t="n">
        <v>2</v>
      </c>
      <c r="F84" s="20" t="n">
        <v>1.25</v>
      </c>
      <c r="G84" s="20" t="n">
        <v>0.75</v>
      </c>
      <c r="H84" s="20" t="n">
        <v>2.5</v>
      </c>
      <c r="I84" s="20" t="n">
        <v>1.5</v>
      </c>
      <c r="J84" s="20" t="n">
        <v>1.75</v>
      </c>
      <c r="K84" s="20" t="n">
        <v>2.5</v>
      </c>
      <c r="L84" s="14" t="n">
        <f aca="false">1-INDEX(GuardBlock,80,ROUND(B84/Step_h,0)+1)</f>
        <v>1</v>
      </c>
      <c r="M84" s="14" t="n">
        <f aca="false">1-INDEX(GuardBlock,80,ROUND(C84/Step_h,0)+1)</f>
        <v>0</v>
      </c>
      <c r="N84" s="14" t="n">
        <f aca="false">1-INDEX(GuardBlock,80,ROUND(D84/Step_h,0)+1)</f>
        <v>1</v>
      </c>
      <c r="O84" s="14" t="n">
        <f aca="false">1-INDEX(GuardBlock,80,ROUND(E84/Step_h,0)+1)</f>
        <v>1</v>
      </c>
      <c r="P84" s="14" t="n">
        <f aca="false">1-INDEX(GuardBlock,80,ROUND(F84/Step_h,0)+1)</f>
        <v>1</v>
      </c>
      <c r="Q84" s="14" t="n">
        <f aca="false">1-INDEX(GuardBlock,80,ROUND(G84/Step_h,0)+1)</f>
        <v>1</v>
      </c>
      <c r="R84" s="14" t="n">
        <f aca="false">1-INDEX(GuardBlock,80,ROUND(H84/Step_h,0)+1)</f>
        <v>0</v>
      </c>
      <c r="S84" s="14" t="n">
        <f aca="false">1-INDEX(GuardBlock,80,ROUND(I84/Step_h,0)+1)</f>
        <v>1</v>
      </c>
      <c r="T84" s="14" t="n">
        <f aca="false">1-INDEX(GuardBlock,80,ROUND(J84/Step_h,0)+1)</f>
        <v>1</v>
      </c>
      <c r="U84" s="14" t="n">
        <f aca="false">1-INDEX(GuardBlock,80,ROUND(K84/Step_h,0)+1)</f>
        <v>0</v>
      </c>
      <c r="V84" s="28" t="n">
        <f aca="false">BestRule!W84</f>
        <v>5.04229961994974E-019</v>
      </c>
    </row>
    <row r="85" customFormat="false" ht="15" hidden="false" customHeight="false" outlineLevel="0" collapsed="false">
      <c r="A85" s="18" t="n">
        <f aca="false">Grid!A85</f>
        <v>50</v>
      </c>
      <c r="B85" s="20" t="n">
        <v>2.25</v>
      </c>
      <c r="C85" s="20" t="n">
        <v>2.5</v>
      </c>
      <c r="D85" s="20" t="n">
        <v>1.5</v>
      </c>
      <c r="E85" s="20" t="n">
        <v>1.25</v>
      </c>
      <c r="F85" s="20" t="n">
        <v>2.5</v>
      </c>
      <c r="G85" s="20" t="n">
        <v>0.5</v>
      </c>
      <c r="H85" s="20" t="n">
        <v>2.5</v>
      </c>
      <c r="I85" s="20" t="n">
        <v>2.5</v>
      </c>
      <c r="J85" s="20" t="n">
        <v>1.25</v>
      </c>
      <c r="K85" s="20" t="n">
        <v>1.75</v>
      </c>
      <c r="L85" s="14" t="n">
        <f aca="false">1-INDEX(GuardBlock,81,ROUND(B85/Step_h,0)+1)</f>
        <v>1</v>
      </c>
      <c r="M85" s="14" t="n">
        <f aca="false">1-INDEX(GuardBlock,81,ROUND(C85/Step_h,0)+1)</f>
        <v>0</v>
      </c>
      <c r="N85" s="14" t="n">
        <f aca="false">1-INDEX(GuardBlock,81,ROUND(D85/Step_h,0)+1)</f>
        <v>1</v>
      </c>
      <c r="O85" s="14" t="n">
        <f aca="false">1-INDEX(GuardBlock,81,ROUND(E85/Step_h,0)+1)</f>
        <v>1</v>
      </c>
      <c r="P85" s="14" t="n">
        <f aca="false">1-INDEX(GuardBlock,81,ROUND(F85/Step_h,0)+1)</f>
        <v>0</v>
      </c>
      <c r="Q85" s="14" t="n">
        <f aca="false">1-INDEX(GuardBlock,81,ROUND(G85/Step_h,0)+1)</f>
        <v>1</v>
      </c>
      <c r="R85" s="14" t="n">
        <f aca="false">1-INDEX(GuardBlock,81,ROUND(H85/Step_h,0)+1)</f>
        <v>0</v>
      </c>
      <c r="S85" s="14" t="n">
        <f aca="false">1-INDEX(GuardBlock,81,ROUND(I85/Step_h,0)+1)</f>
        <v>0</v>
      </c>
      <c r="T85" s="14" t="n">
        <f aca="false">1-INDEX(GuardBlock,81,ROUND(J85/Step_h,0)+1)</f>
        <v>1</v>
      </c>
      <c r="U85" s="14" t="n">
        <f aca="false">1-INDEX(GuardBlock,81,ROUND(K85/Step_h,0)+1)</f>
        <v>1</v>
      </c>
      <c r="V85" s="28" t="n">
        <f aca="false">BestRule!W85</f>
        <v>7.62441038383325E-018</v>
      </c>
    </row>
    <row r="86" customFormat="false" ht="15" hidden="false" customHeight="false" outlineLevel="0" collapsed="false">
      <c r="A86" s="18" t="n">
        <f aca="false">Grid!A86</f>
        <v>50.25</v>
      </c>
      <c r="B86" s="20" t="n">
        <v>2.25</v>
      </c>
      <c r="C86" s="20" t="n">
        <v>2.25</v>
      </c>
      <c r="D86" s="20" t="n">
        <v>2.5</v>
      </c>
      <c r="E86" s="20" t="n">
        <v>2.5</v>
      </c>
      <c r="F86" s="20" t="n">
        <v>0.25</v>
      </c>
      <c r="G86" s="20" t="n">
        <v>2.5</v>
      </c>
      <c r="H86" s="20" t="n">
        <v>1.5</v>
      </c>
      <c r="I86" s="20" t="n">
        <v>1</v>
      </c>
      <c r="J86" s="20" t="n">
        <v>2.5</v>
      </c>
      <c r="K86" s="20" t="n">
        <v>2.25</v>
      </c>
      <c r="L86" s="14" t="n">
        <f aca="false">1-INDEX(GuardBlock,82,ROUND(B86/Step_h,0)+1)</f>
        <v>1</v>
      </c>
      <c r="M86" s="14" t="n">
        <f aca="false">1-INDEX(GuardBlock,82,ROUND(C86/Step_h,0)+1)</f>
        <v>1</v>
      </c>
      <c r="N86" s="14" t="n">
        <f aca="false">1-INDEX(GuardBlock,82,ROUND(D86/Step_h,0)+1)</f>
        <v>0</v>
      </c>
      <c r="O86" s="14" t="n">
        <f aca="false">1-INDEX(GuardBlock,82,ROUND(E86/Step_h,0)+1)</f>
        <v>0</v>
      </c>
      <c r="P86" s="14" t="n">
        <f aca="false">1-INDEX(GuardBlock,82,ROUND(F86/Step_h,0)+1)</f>
        <v>1</v>
      </c>
      <c r="Q86" s="14" t="n">
        <f aca="false">1-INDEX(GuardBlock,82,ROUND(G86/Step_h,0)+1)</f>
        <v>0</v>
      </c>
      <c r="R86" s="14" t="n">
        <f aca="false">1-INDEX(GuardBlock,82,ROUND(H86/Step_h,0)+1)</f>
        <v>1</v>
      </c>
      <c r="S86" s="14" t="n">
        <f aca="false">1-INDEX(GuardBlock,82,ROUND(I86/Step_h,0)+1)</f>
        <v>1</v>
      </c>
      <c r="T86" s="14" t="n">
        <f aca="false">1-INDEX(GuardBlock,82,ROUND(J86/Step_h,0)+1)</f>
        <v>0</v>
      </c>
      <c r="U86" s="14" t="n">
        <f aca="false">1-INDEX(GuardBlock,82,ROUND(K86/Step_h,0)+1)</f>
        <v>1</v>
      </c>
      <c r="V86" s="28" t="n">
        <f aca="false">BestRule!W86</f>
        <v>9.84708687983899E-017</v>
      </c>
    </row>
    <row r="87" customFormat="false" ht="15" hidden="false" customHeight="false" outlineLevel="0" collapsed="false">
      <c r="A87" s="18" t="n">
        <f aca="false">Grid!A87</f>
        <v>50.5</v>
      </c>
      <c r="B87" s="20" t="n">
        <v>2.5</v>
      </c>
      <c r="C87" s="20" t="n">
        <v>2.25</v>
      </c>
      <c r="D87" s="20" t="n">
        <v>2.5</v>
      </c>
      <c r="E87" s="20" t="n">
        <v>1</v>
      </c>
      <c r="F87" s="20" t="n">
        <v>1.25</v>
      </c>
      <c r="G87" s="20" t="n">
        <v>1.5</v>
      </c>
      <c r="H87" s="20" t="n">
        <v>2</v>
      </c>
      <c r="I87" s="20" t="n">
        <v>1.75</v>
      </c>
      <c r="J87" s="20" t="n">
        <v>2.25</v>
      </c>
      <c r="K87" s="20" t="n">
        <v>1.5</v>
      </c>
      <c r="L87" s="14" t="n">
        <f aca="false">1-INDEX(GuardBlock,83,ROUND(B87/Step_h,0)+1)</f>
        <v>0</v>
      </c>
      <c r="M87" s="14" t="n">
        <f aca="false">1-INDEX(GuardBlock,83,ROUND(C87/Step_h,0)+1)</f>
        <v>1</v>
      </c>
      <c r="N87" s="14" t="n">
        <f aca="false">1-INDEX(GuardBlock,83,ROUND(D87/Step_h,0)+1)</f>
        <v>0</v>
      </c>
      <c r="O87" s="14" t="n">
        <f aca="false">1-INDEX(GuardBlock,83,ROUND(E87/Step_h,0)+1)</f>
        <v>1</v>
      </c>
      <c r="P87" s="14" t="n">
        <f aca="false">1-INDEX(GuardBlock,83,ROUND(F87/Step_h,0)+1)</f>
        <v>1</v>
      </c>
      <c r="Q87" s="14" t="n">
        <f aca="false">1-INDEX(GuardBlock,83,ROUND(G87/Step_h,0)+1)</f>
        <v>1</v>
      </c>
      <c r="R87" s="14" t="n">
        <f aca="false">1-INDEX(GuardBlock,83,ROUND(H87/Step_h,0)+1)</f>
        <v>1</v>
      </c>
      <c r="S87" s="14" t="n">
        <f aca="false">1-INDEX(GuardBlock,83,ROUND(I87/Step_h,0)+1)</f>
        <v>1</v>
      </c>
      <c r="T87" s="14" t="n">
        <f aca="false">1-INDEX(GuardBlock,83,ROUND(J87/Step_h,0)+1)</f>
        <v>1</v>
      </c>
      <c r="U87" s="14" t="n">
        <f aca="false">1-INDEX(GuardBlock,83,ROUND(K87/Step_h,0)+1)</f>
        <v>1</v>
      </c>
      <c r="V87" s="28" t="n">
        <f aca="false">BestRule!W87</f>
        <v>1.12922684425712E-015</v>
      </c>
    </row>
    <row r="88" customFormat="false" ht="15" hidden="false" customHeight="false" outlineLevel="0" collapsed="false">
      <c r="A88" s="18" t="n">
        <f aca="false">Grid!A88</f>
        <v>50.75</v>
      </c>
      <c r="B88" s="20" t="n">
        <v>0</v>
      </c>
      <c r="C88" s="20" t="n">
        <v>2.5</v>
      </c>
      <c r="D88" s="20" t="n">
        <v>2.5</v>
      </c>
      <c r="E88" s="20" t="n">
        <v>2.25</v>
      </c>
      <c r="F88" s="20" t="n">
        <v>2.5</v>
      </c>
      <c r="G88" s="20" t="n">
        <v>1.75</v>
      </c>
      <c r="H88" s="20" t="n">
        <v>2</v>
      </c>
      <c r="I88" s="20" t="n">
        <v>2.25</v>
      </c>
      <c r="J88" s="20" t="n">
        <v>2.25</v>
      </c>
      <c r="K88" s="20" t="n">
        <v>1</v>
      </c>
      <c r="L88" s="14" t="n">
        <f aca="false">1-INDEX(GuardBlock,84,ROUND(B88/Step_h,0)+1)</f>
        <v>1</v>
      </c>
      <c r="M88" s="14" t="n">
        <f aca="false">1-INDEX(GuardBlock,84,ROUND(C88/Step_h,0)+1)</f>
        <v>0</v>
      </c>
      <c r="N88" s="14" t="n">
        <f aca="false">1-INDEX(GuardBlock,84,ROUND(D88/Step_h,0)+1)</f>
        <v>0</v>
      </c>
      <c r="O88" s="14" t="n">
        <f aca="false">1-INDEX(GuardBlock,84,ROUND(E88/Step_h,0)+1)</f>
        <v>1</v>
      </c>
      <c r="P88" s="14" t="n">
        <f aca="false">1-INDEX(GuardBlock,84,ROUND(F88/Step_h,0)+1)</f>
        <v>0</v>
      </c>
      <c r="Q88" s="14" t="n">
        <f aca="false">1-INDEX(GuardBlock,84,ROUND(G88/Step_h,0)+1)</f>
        <v>1</v>
      </c>
      <c r="R88" s="14" t="n">
        <f aca="false">1-INDEX(GuardBlock,84,ROUND(H88/Step_h,0)+1)</f>
        <v>1</v>
      </c>
      <c r="S88" s="14" t="n">
        <f aca="false">1-INDEX(GuardBlock,84,ROUND(I88/Step_h,0)+1)</f>
        <v>1</v>
      </c>
      <c r="T88" s="14" t="n">
        <f aca="false">1-INDEX(GuardBlock,84,ROUND(J88/Step_h,0)+1)</f>
        <v>1</v>
      </c>
      <c r="U88" s="14" t="n">
        <f aca="false">1-INDEX(GuardBlock,84,ROUND(K88/Step_h,0)+1)</f>
        <v>1</v>
      </c>
      <c r="V88" s="28" t="n">
        <f aca="false">BestRule!W88</f>
        <v>1.19328504806538E-014</v>
      </c>
    </row>
    <row r="89" customFormat="false" ht="15" hidden="false" customHeight="false" outlineLevel="0" collapsed="false">
      <c r="A89" s="18" t="n">
        <f aca="false">Grid!A89</f>
        <v>51</v>
      </c>
      <c r="B89" s="20" t="n">
        <v>2.25</v>
      </c>
      <c r="C89" s="20" t="n">
        <v>1.75</v>
      </c>
      <c r="D89" s="20" t="n">
        <v>2</v>
      </c>
      <c r="E89" s="20" t="n">
        <v>2.5</v>
      </c>
      <c r="F89" s="20" t="n">
        <v>2.25</v>
      </c>
      <c r="G89" s="20" t="n">
        <v>2</v>
      </c>
      <c r="H89" s="20" t="n">
        <v>2.5</v>
      </c>
      <c r="I89" s="20" t="n">
        <v>2</v>
      </c>
      <c r="J89" s="20" t="n">
        <v>2.25</v>
      </c>
      <c r="K89" s="20" t="n">
        <v>2.5</v>
      </c>
      <c r="L89" s="14" t="n">
        <f aca="false">1-INDEX(GuardBlock,85,ROUND(B89/Step_h,0)+1)</f>
        <v>1</v>
      </c>
      <c r="M89" s="14" t="n">
        <f aca="false">1-INDEX(GuardBlock,85,ROUND(C89/Step_h,0)+1)</f>
        <v>1</v>
      </c>
      <c r="N89" s="14" t="n">
        <f aca="false">1-INDEX(GuardBlock,85,ROUND(D89/Step_h,0)+1)</f>
        <v>1</v>
      </c>
      <c r="O89" s="14" t="n">
        <f aca="false">1-INDEX(GuardBlock,85,ROUND(E89/Step_h,0)+1)</f>
        <v>0</v>
      </c>
      <c r="P89" s="14" t="n">
        <f aca="false">1-INDEX(GuardBlock,85,ROUND(F89/Step_h,0)+1)</f>
        <v>1</v>
      </c>
      <c r="Q89" s="14" t="n">
        <f aca="false">1-INDEX(GuardBlock,85,ROUND(G89/Step_h,0)+1)</f>
        <v>1</v>
      </c>
      <c r="R89" s="14" t="n">
        <f aca="false">1-INDEX(GuardBlock,85,ROUND(H89/Step_h,0)+1)</f>
        <v>0</v>
      </c>
      <c r="S89" s="14" t="n">
        <f aca="false">1-INDEX(GuardBlock,85,ROUND(I89/Step_h,0)+1)</f>
        <v>1</v>
      </c>
      <c r="T89" s="14" t="n">
        <f aca="false">1-INDEX(GuardBlock,85,ROUND(J89/Step_h,0)+1)</f>
        <v>1</v>
      </c>
      <c r="U89" s="14" t="n">
        <f aca="false">1-INDEX(GuardBlock,85,ROUND(K89/Step_h,0)+1)</f>
        <v>0</v>
      </c>
      <c r="V89" s="28" t="n">
        <f aca="false">BestRule!W89</f>
        <v>1.15072224253957E-013</v>
      </c>
    </row>
    <row r="90" customFormat="false" ht="15" hidden="false" customHeight="false" outlineLevel="0" collapsed="false">
      <c r="A90" s="18" t="n">
        <f aca="false">Grid!A90</f>
        <v>51.25</v>
      </c>
      <c r="B90" s="20" t="n">
        <v>2.5</v>
      </c>
      <c r="C90" s="20" t="n">
        <v>2.5</v>
      </c>
      <c r="D90" s="20" t="n">
        <v>1.75</v>
      </c>
      <c r="E90" s="20" t="n">
        <v>2.5</v>
      </c>
      <c r="F90" s="20" t="n">
        <v>2.5</v>
      </c>
      <c r="G90" s="20" t="n">
        <v>2.25</v>
      </c>
      <c r="H90" s="20" t="n">
        <v>2.5</v>
      </c>
      <c r="I90" s="20" t="n">
        <v>2.25</v>
      </c>
      <c r="J90" s="20" t="n">
        <v>2.25</v>
      </c>
      <c r="K90" s="20" t="n">
        <v>2.5</v>
      </c>
      <c r="L90" s="14" t="n">
        <f aca="false">1-INDEX(GuardBlock,86,ROUND(B90/Step_h,0)+1)</f>
        <v>0</v>
      </c>
      <c r="M90" s="14" t="n">
        <f aca="false">1-INDEX(GuardBlock,86,ROUND(C90/Step_h,0)+1)</f>
        <v>0</v>
      </c>
      <c r="N90" s="14" t="n">
        <f aca="false">1-INDEX(GuardBlock,86,ROUND(D90/Step_h,0)+1)</f>
        <v>1</v>
      </c>
      <c r="O90" s="14" t="n">
        <f aca="false">1-INDEX(GuardBlock,86,ROUND(E90/Step_h,0)+1)</f>
        <v>0</v>
      </c>
      <c r="P90" s="14" t="n">
        <f aca="false">1-INDEX(GuardBlock,86,ROUND(F90/Step_h,0)+1)</f>
        <v>0</v>
      </c>
      <c r="Q90" s="14" t="n">
        <f aca="false">1-INDEX(GuardBlock,86,ROUND(G90/Step_h,0)+1)</f>
        <v>1</v>
      </c>
      <c r="R90" s="14" t="n">
        <f aca="false">1-INDEX(GuardBlock,86,ROUND(H90/Step_h,0)+1)</f>
        <v>0</v>
      </c>
      <c r="S90" s="14" t="n">
        <f aca="false">1-INDEX(GuardBlock,86,ROUND(I90/Step_h,0)+1)</f>
        <v>1</v>
      </c>
      <c r="T90" s="14" t="n">
        <f aca="false">1-INDEX(GuardBlock,86,ROUND(J90/Step_h,0)+1)</f>
        <v>1</v>
      </c>
      <c r="U90" s="14" t="n">
        <f aca="false">1-INDEX(GuardBlock,86,ROUND(K90/Step_h,0)+1)</f>
        <v>0</v>
      </c>
      <c r="V90" s="28" t="n">
        <f aca="false">BestRule!W90</f>
        <v>1.07588014811397E-012</v>
      </c>
    </row>
    <row r="91" customFormat="false" ht="15" hidden="false" customHeight="false" outlineLevel="0" collapsed="false">
      <c r="A91" s="18" t="n">
        <f aca="false">Grid!A91</f>
        <v>51.5</v>
      </c>
      <c r="B91" s="20" t="n">
        <v>2.5</v>
      </c>
      <c r="C91" s="20" t="n">
        <v>2.5</v>
      </c>
      <c r="D91" s="20" t="n">
        <v>2.5</v>
      </c>
      <c r="E91" s="20" t="n">
        <v>2</v>
      </c>
      <c r="F91" s="20" t="n">
        <v>1.25</v>
      </c>
      <c r="G91" s="20" t="n">
        <v>2.5</v>
      </c>
      <c r="H91" s="20" t="n">
        <v>2.5</v>
      </c>
      <c r="I91" s="20" t="n">
        <v>2.5</v>
      </c>
      <c r="J91" s="20" t="n">
        <v>1.5</v>
      </c>
      <c r="K91" s="20" t="n">
        <v>2.5</v>
      </c>
      <c r="L91" s="14" t="n">
        <f aca="false">1-INDEX(GuardBlock,87,ROUND(B91/Step_h,0)+1)</f>
        <v>0</v>
      </c>
      <c r="M91" s="14" t="n">
        <f aca="false">1-INDEX(GuardBlock,87,ROUND(C91/Step_h,0)+1)</f>
        <v>0</v>
      </c>
      <c r="N91" s="14" t="n">
        <f aca="false">1-INDEX(GuardBlock,87,ROUND(D91/Step_h,0)+1)</f>
        <v>0</v>
      </c>
      <c r="O91" s="14" t="n">
        <f aca="false">1-INDEX(GuardBlock,87,ROUND(E91/Step_h,0)+1)</f>
        <v>1</v>
      </c>
      <c r="P91" s="14" t="n">
        <f aca="false">1-INDEX(GuardBlock,87,ROUND(F91/Step_h,0)+1)</f>
        <v>1</v>
      </c>
      <c r="Q91" s="14" t="n">
        <f aca="false">1-INDEX(GuardBlock,87,ROUND(G91/Step_h,0)+1)</f>
        <v>0</v>
      </c>
      <c r="R91" s="14" t="n">
        <f aca="false">1-INDEX(GuardBlock,87,ROUND(H91/Step_h,0)+1)</f>
        <v>0</v>
      </c>
      <c r="S91" s="14" t="n">
        <f aca="false">1-INDEX(GuardBlock,87,ROUND(I91/Step_h,0)+1)</f>
        <v>0</v>
      </c>
      <c r="T91" s="14" t="n">
        <f aca="false">1-INDEX(GuardBlock,87,ROUND(J91/Step_h,0)+1)</f>
        <v>1</v>
      </c>
      <c r="U91" s="14" t="n">
        <f aca="false">1-INDEX(GuardBlock,87,ROUND(K91/Step_h,0)+1)</f>
        <v>0</v>
      </c>
      <c r="V91" s="28" t="n">
        <f aca="false">BestRule!W91</f>
        <v>9.01455262259781E-012</v>
      </c>
    </row>
    <row r="92" customFormat="false" ht="15" hidden="false" customHeight="false" outlineLevel="0" collapsed="false">
      <c r="A92" s="18" t="n">
        <f aca="false">Grid!A92</f>
        <v>51.75</v>
      </c>
      <c r="B92" s="20" t="n">
        <v>2.25</v>
      </c>
      <c r="C92" s="20" t="n">
        <v>2.5</v>
      </c>
      <c r="D92" s="20" t="n">
        <v>2.5</v>
      </c>
      <c r="E92" s="20" t="n">
        <v>2.25</v>
      </c>
      <c r="F92" s="20" t="n">
        <v>2.5</v>
      </c>
      <c r="G92" s="20" t="n">
        <v>2.25</v>
      </c>
      <c r="H92" s="20" t="n">
        <v>2.5</v>
      </c>
      <c r="I92" s="20" t="n">
        <v>2.5</v>
      </c>
      <c r="J92" s="20" t="n">
        <v>2.25</v>
      </c>
      <c r="K92" s="20" t="n">
        <v>2.5</v>
      </c>
      <c r="L92" s="14" t="n">
        <f aca="false">1-INDEX(GuardBlock,88,ROUND(B92/Step_h,0)+1)</f>
        <v>1</v>
      </c>
      <c r="M92" s="14" t="n">
        <f aca="false">1-INDEX(GuardBlock,88,ROUND(C92/Step_h,0)+1)</f>
        <v>0</v>
      </c>
      <c r="N92" s="14" t="n">
        <f aca="false">1-INDEX(GuardBlock,88,ROUND(D92/Step_h,0)+1)</f>
        <v>0</v>
      </c>
      <c r="O92" s="14" t="n">
        <f aca="false">1-INDEX(GuardBlock,88,ROUND(E92/Step_h,0)+1)</f>
        <v>1</v>
      </c>
      <c r="P92" s="14" t="n">
        <f aca="false">1-INDEX(GuardBlock,88,ROUND(F92/Step_h,0)+1)</f>
        <v>0</v>
      </c>
      <c r="Q92" s="14" t="n">
        <f aca="false">1-INDEX(GuardBlock,88,ROUND(G92/Step_h,0)+1)</f>
        <v>1</v>
      </c>
      <c r="R92" s="14" t="n">
        <f aca="false">1-INDEX(GuardBlock,88,ROUND(H92/Step_h,0)+1)</f>
        <v>0</v>
      </c>
      <c r="S92" s="14" t="n">
        <f aca="false">1-INDEX(GuardBlock,88,ROUND(I92/Step_h,0)+1)</f>
        <v>0</v>
      </c>
      <c r="T92" s="14" t="n">
        <f aca="false">1-INDEX(GuardBlock,88,ROUND(J92/Step_h,0)+1)</f>
        <v>1</v>
      </c>
      <c r="U92" s="14" t="n">
        <f aca="false">1-INDEX(GuardBlock,88,ROUND(K92/Step_h,0)+1)</f>
        <v>0</v>
      </c>
      <c r="V92" s="28" t="n">
        <f aca="false">BestRule!W92</f>
        <v>7.8657019224448E-011</v>
      </c>
    </row>
    <row r="93" customFormat="false" ht="15" hidden="false" customHeight="false" outlineLevel="0" collapsed="false">
      <c r="A93" s="18" t="n">
        <f aca="false">Grid!A93</f>
        <v>52</v>
      </c>
      <c r="B93" s="20" t="n">
        <v>2.5</v>
      </c>
      <c r="C93" s="20" t="n">
        <v>2.25</v>
      </c>
      <c r="D93" s="20" t="n">
        <v>2.5</v>
      </c>
      <c r="E93" s="20" t="n">
        <v>2.5</v>
      </c>
      <c r="F93" s="20" t="n">
        <v>2.25</v>
      </c>
      <c r="G93" s="20" t="n">
        <v>2.5</v>
      </c>
      <c r="H93" s="20" t="n">
        <v>2.25</v>
      </c>
      <c r="I93" s="20" t="n">
        <v>2.5</v>
      </c>
      <c r="J93" s="20" t="n">
        <v>2.5</v>
      </c>
      <c r="K93" s="20" t="n">
        <v>2.5</v>
      </c>
      <c r="L93" s="14" t="n">
        <f aca="false">1-INDEX(GuardBlock,89,ROUND(B93/Step_h,0)+1)</f>
        <v>0</v>
      </c>
      <c r="M93" s="14" t="n">
        <f aca="false">1-INDEX(GuardBlock,89,ROUND(C93/Step_h,0)+1)</f>
        <v>1</v>
      </c>
      <c r="N93" s="14" t="n">
        <f aca="false">1-INDEX(GuardBlock,89,ROUND(D93/Step_h,0)+1)</f>
        <v>0</v>
      </c>
      <c r="O93" s="14" t="n">
        <f aca="false">1-INDEX(GuardBlock,89,ROUND(E93/Step_h,0)+1)</f>
        <v>0</v>
      </c>
      <c r="P93" s="14" t="n">
        <f aca="false">1-INDEX(GuardBlock,89,ROUND(F93/Step_h,0)+1)</f>
        <v>1</v>
      </c>
      <c r="Q93" s="14" t="n">
        <f aca="false">1-INDEX(GuardBlock,89,ROUND(G93/Step_h,0)+1)</f>
        <v>0</v>
      </c>
      <c r="R93" s="14" t="n">
        <f aca="false">1-INDEX(GuardBlock,89,ROUND(H93/Step_h,0)+1)</f>
        <v>1</v>
      </c>
      <c r="S93" s="14" t="n">
        <f aca="false">1-INDEX(GuardBlock,89,ROUND(I93/Step_h,0)+1)</f>
        <v>0</v>
      </c>
      <c r="T93" s="14" t="n">
        <f aca="false">1-INDEX(GuardBlock,89,ROUND(J93/Step_h,0)+1)</f>
        <v>0</v>
      </c>
      <c r="U93" s="14" t="n">
        <f aca="false">1-INDEX(GuardBlock,89,ROUND(K93/Step_h,0)+1)</f>
        <v>0</v>
      </c>
      <c r="V93" s="28" t="n">
        <f aca="false">BestRule!W93</f>
        <v>5.72226789777479E-010</v>
      </c>
    </row>
    <row r="94" customFormat="false" ht="15" hidden="false" customHeight="false" outlineLevel="0" collapsed="false">
      <c r="A94" s="18" t="n">
        <f aca="false">Grid!A94</f>
        <v>52.25</v>
      </c>
      <c r="B94" s="20" t="n">
        <v>2.25</v>
      </c>
      <c r="C94" s="20" t="n">
        <v>2.5</v>
      </c>
      <c r="D94" s="20" t="n">
        <v>2.5</v>
      </c>
      <c r="E94" s="20" t="n">
        <v>2.5</v>
      </c>
      <c r="F94" s="20" t="n">
        <v>2.5</v>
      </c>
      <c r="G94" s="20" t="n">
        <v>2.25</v>
      </c>
      <c r="H94" s="20" t="n">
        <v>2.5</v>
      </c>
      <c r="I94" s="20" t="n">
        <v>2.5</v>
      </c>
      <c r="J94" s="20" t="n">
        <v>2.5</v>
      </c>
      <c r="K94" s="20" t="n">
        <v>2.25</v>
      </c>
      <c r="L94" s="14" t="n">
        <f aca="false">1-INDEX(GuardBlock,90,ROUND(B94/Step_h,0)+1)</f>
        <v>1</v>
      </c>
      <c r="M94" s="14" t="n">
        <f aca="false">1-INDEX(GuardBlock,90,ROUND(C94/Step_h,0)+1)</f>
        <v>0</v>
      </c>
      <c r="N94" s="14" t="n">
        <f aca="false">1-INDEX(GuardBlock,90,ROUND(D94/Step_h,0)+1)</f>
        <v>0</v>
      </c>
      <c r="O94" s="14" t="n">
        <f aca="false">1-INDEX(GuardBlock,90,ROUND(E94/Step_h,0)+1)</f>
        <v>0</v>
      </c>
      <c r="P94" s="14" t="n">
        <f aca="false">1-INDEX(GuardBlock,90,ROUND(F94/Step_h,0)+1)</f>
        <v>0</v>
      </c>
      <c r="Q94" s="14" t="n">
        <f aca="false">1-INDEX(GuardBlock,90,ROUND(G94/Step_h,0)+1)</f>
        <v>1</v>
      </c>
      <c r="R94" s="14" t="n">
        <f aca="false">1-INDEX(GuardBlock,90,ROUND(H94/Step_h,0)+1)</f>
        <v>0</v>
      </c>
      <c r="S94" s="14" t="n">
        <f aca="false">1-INDEX(GuardBlock,90,ROUND(I94/Step_h,0)+1)</f>
        <v>0</v>
      </c>
      <c r="T94" s="14" t="n">
        <f aca="false">1-INDEX(GuardBlock,90,ROUND(J94/Step_h,0)+1)</f>
        <v>0</v>
      </c>
      <c r="U94" s="14" t="n">
        <f aca="false">1-INDEX(GuardBlock,90,ROUND(K94/Step_h,0)+1)</f>
        <v>1</v>
      </c>
      <c r="V94" s="28" t="n">
        <f aca="false">BestRule!W94</f>
        <v>4.91628952443947E-009</v>
      </c>
    </row>
    <row r="95" customFormat="false" ht="15" hidden="false" customHeight="false" outlineLevel="0" collapsed="false">
      <c r="A95" s="18" t="n">
        <f aca="false">Grid!A95</f>
        <v>52.5</v>
      </c>
      <c r="B95" s="20" t="n">
        <v>2.5</v>
      </c>
      <c r="C95" s="20" t="n">
        <v>2.5</v>
      </c>
      <c r="D95" s="20" t="n">
        <v>2.5</v>
      </c>
      <c r="E95" s="20" t="n">
        <v>2.5</v>
      </c>
      <c r="F95" s="20" t="n">
        <v>2.5</v>
      </c>
      <c r="G95" s="20" t="n">
        <v>2.5</v>
      </c>
      <c r="H95" s="20" t="n">
        <v>2.5</v>
      </c>
      <c r="I95" s="20" t="n">
        <v>2.5</v>
      </c>
      <c r="J95" s="20" t="n">
        <v>2.5</v>
      </c>
      <c r="K95" s="20" t="n">
        <v>2.5</v>
      </c>
      <c r="L95" s="14" t="n">
        <f aca="false">1-INDEX(GuardBlock,91,ROUND(B95/Step_h,0)+1)</f>
        <v>0</v>
      </c>
      <c r="M95" s="14" t="n">
        <f aca="false">1-INDEX(GuardBlock,91,ROUND(C95/Step_h,0)+1)</f>
        <v>0</v>
      </c>
      <c r="N95" s="14" t="n">
        <f aca="false">1-INDEX(GuardBlock,91,ROUND(D95/Step_h,0)+1)</f>
        <v>0</v>
      </c>
      <c r="O95" s="14" t="n">
        <f aca="false">1-INDEX(GuardBlock,91,ROUND(E95/Step_h,0)+1)</f>
        <v>0</v>
      </c>
      <c r="P95" s="14" t="n">
        <f aca="false">1-INDEX(GuardBlock,91,ROUND(F95/Step_h,0)+1)</f>
        <v>0</v>
      </c>
      <c r="Q95" s="14" t="n">
        <f aca="false">1-INDEX(GuardBlock,91,ROUND(G95/Step_h,0)+1)</f>
        <v>0</v>
      </c>
      <c r="R95" s="14" t="n">
        <f aca="false">1-INDEX(GuardBlock,91,ROUND(H95/Step_h,0)+1)</f>
        <v>0</v>
      </c>
      <c r="S95" s="14" t="n">
        <f aca="false">1-INDEX(GuardBlock,91,ROUND(I95/Step_h,0)+1)</f>
        <v>0</v>
      </c>
      <c r="T95" s="14" t="n">
        <f aca="false">1-INDEX(GuardBlock,91,ROUND(J95/Step_h,0)+1)</f>
        <v>0</v>
      </c>
      <c r="U95" s="14" t="n">
        <f aca="false">1-INDEX(GuardBlock,91,ROUND(K95/Step_h,0)+1)</f>
        <v>0</v>
      </c>
      <c r="V95" s="28" t="n">
        <f aca="false">BestRule!W95</f>
        <v>3.01939078858969E-008</v>
      </c>
    </row>
    <row r="96" customFormat="false" ht="15" hidden="false" customHeight="false" outlineLevel="0" collapsed="false">
      <c r="A96" s="18" t="n">
        <f aca="false">Grid!A96</f>
        <v>52.75</v>
      </c>
      <c r="B96" s="20" t="n">
        <v>2.25</v>
      </c>
      <c r="C96" s="20" t="n">
        <v>2.5</v>
      </c>
      <c r="D96" s="20" t="n">
        <v>2.25</v>
      </c>
      <c r="E96" s="20" t="n">
        <v>2.5</v>
      </c>
      <c r="F96" s="20" t="n">
        <v>2.5</v>
      </c>
      <c r="G96" s="20" t="n">
        <v>2.5</v>
      </c>
      <c r="H96" s="20" t="n">
        <v>2.25</v>
      </c>
      <c r="I96" s="20" t="n">
        <v>2.5</v>
      </c>
      <c r="J96" s="20" t="n">
        <v>2.5</v>
      </c>
      <c r="K96" s="20" t="n">
        <v>2.5</v>
      </c>
      <c r="L96" s="14" t="n">
        <f aca="false">1-INDEX(GuardBlock,92,ROUND(B96/Step_h,0)+1)</f>
        <v>1</v>
      </c>
      <c r="M96" s="14" t="n">
        <f aca="false">1-INDEX(GuardBlock,92,ROUND(C96/Step_h,0)+1)</f>
        <v>0</v>
      </c>
      <c r="N96" s="14" t="n">
        <f aca="false">1-INDEX(GuardBlock,92,ROUND(D96/Step_h,0)+1)</f>
        <v>1</v>
      </c>
      <c r="O96" s="14" t="n">
        <f aca="false">1-INDEX(GuardBlock,92,ROUND(E96/Step_h,0)+1)</f>
        <v>0</v>
      </c>
      <c r="P96" s="14" t="n">
        <f aca="false">1-INDEX(GuardBlock,92,ROUND(F96/Step_h,0)+1)</f>
        <v>0</v>
      </c>
      <c r="Q96" s="14" t="n">
        <f aca="false">1-INDEX(GuardBlock,92,ROUND(G96/Step_h,0)+1)</f>
        <v>0</v>
      </c>
      <c r="R96" s="14" t="n">
        <f aca="false">1-INDEX(GuardBlock,92,ROUND(H96/Step_h,0)+1)</f>
        <v>1</v>
      </c>
      <c r="S96" s="14" t="n">
        <f aca="false">1-INDEX(GuardBlock,92,ROUND(I96/Step_h,0)+1)</f>
        <v>0</v>
      </c>
      <c r="T96" s="14" t="n">
        <f aca="false">1-INDEX(GuardBlock,92,ROUND(J96/Step_h,0)+1)</f>
        <v>0</v>
      </c>
      <c r="U96" s="14" t="n">
        <f aca="false">1-INDEX(GuardBlock,92,ROUND(K96/Step_h,0)+1)</f>
        <v>0</v>
      </c>
      <c r="V96" s="28" t="n">
        <f aca="false">BestRule!W96</f>
        <v>2.72584108691625E-007</v>
      </c>
    </row>
    <row r="97" customFormat="false" ht="15" hidden="false" customHeight="false" outlineLevel="0" collapsed="false">
      <c r="A97" s="18" t="n">
        <f aca="false">Grid!A97</f>
        <v>53</v>
      </c>
      <c r="B97" s="20" t="n">
        <v>2.25</v>
      </c>
      <c r="C97" s="20" t="n">
        <v>2.5</v>
      </c>
      <c r="D97" s="20" t="n">
        <v>2.5</v>
      </c>
      <c r="E97" s="20" t="n">
        <v>2.5</v>
      </c>
      <c r="F97" s="20" t="n">
        <v>2.25</v>
      </c>
      <c r="G97" s="20" t="n">
        <v>2.5</v>
      </c>
      <c r="H97" s="20" t="n">
        <v>2.5</v>
      </c>
      <c r="I97" s="20" t="n">
        <v>2.5</v>
      </c>
      <c r="J97" s="20" t="n">
        <v>2.5</v>
      </c>
      <c r="K97" s="20" t="n">
        <v>2.5</v>
      </c>
      <c r="L97" s="14" t="n">
        <f aca="false">1-INDEX(GuardBlock,93,ROUND(B97/Step_h,0)+1)</f>
        <v>1</v>
      </c>
      <c r="M97" s="14" t="n">
        <f aca="false">1-INDEX(GuardBlock,93,ROUND(C97/Step_h,0)+1)</f>
        <v>0</v>
      </c>
      <c r="N97" s="14" t="n">
        <f aca="false">1-INDEX(GuardBlock,93,ROUND(D97/Step_h,0)+1)</f>
        <v>0</v>
      </c>
      <c r="O97" s="14" t="n">
        <f aca="false">1-INDEX(GuardBlock,93,ROUND(E97/Step_h,0)+1)</f>
        <v>0</v>
      </c>
      <c r="P97" s="14" t="n">
        <f aca="false">1-INDEX(GuardBlock,93,ROUND(F97/Step_h,0)+1)</f>
        <v>1</v>
      </c>
      <c r="Q97" s="14" t="n">
        <f aca="false">1-INDEX(GuardBlock,93,ROUND(G97/Step_h,0)+1)</f>
        <v>0</v>
      </c>
      <c r="R97" s="14" t="n">
        <f aca="false">1-INDEX(GuardBlock,93,ROUND(H97/Step_h,0)+1)</f>
        <v>0</v>
      </c>
      <c r="S97" s="14" t="n">
        <f aca="false">1-INDEX(GuardBlock,93,ROUND(I97/Step_h,0)+1)</f>
        <v>0</v>
      </c>
      <c r="T97" s="14" t="n">
        <f aca="false">1-INDEX(GuardBlock,93,ROUND(J97/Step_h,0)+1)</f>
        <v>0</v>
      </c>
      <c r="U97" s="14" t="n">
        <f aca="false">1-INDEX(GuardBlock,93,ROUND(K97/Step_h,0)+1)</f>
        <v>0</v>
      </c>
      <c r="V97" s="28" t="n">
        <f aca="false">BestRule!W97</f>
        <v>1.3332531707315E-006</v>
      </c>
    </row>
    <row r="98" customFormat="false" ht="15" hidden="false" customHeight="false" outlineLevel="0" collapsed="false">
      <c r="A98" s="18" t="n">
        <f aca="false">Grid!A98</f>
        <v>53.25</v>
      </c>
      <c r="B98" s="20" t="n">
        <v>2.5</v>
      </c>
      <c r="C98" s="20" t="n">
        <v>2.5</v>
      </c>
      <c r="D98" s="20" t="n">
        <v>2.5</v>
      </c>
      <c r="E98" s="20" t="n">
        <v>2.5</v>
      </c>
      <c r="F98" s="20" t="n">
        <v>2.5</v>
      </c>
      <c r="G98" s="20" t="n">
        <v>2.5</v>
      </c>
      <c r="H98" s="20" t="n">
        <v>2.5</v>
      </c>
      <c r="I98" s="20" t="n">
        <v>2.5</v>
      </c>
      <c r="J98" s="20" t="n">
        <v>2.5</v>
      </c>
      <c r="K98" s="20" t="n">
        <v>2.5</v>
      </c>
      <c r="L98" s="14" t="n">
        <f aca="false">1-INDEX(GuardBlock,94,ROUND(B98/Step_h,0)+1)</f>
        <v>0</v>
      </c>
      <c r="M98" s="14" t="n">
        <f aca="false">1-INDEX(GuardBlock,94,ROUND(C98/Step_h,0)+1)</f>
        <v>0</v>
      </c>
      <c r="N98" s="14" t="n">
        <f aca="false">1-INDEX(GuardBlock,94,ROUND(D98/Step_h,0)+1)</f>
        <v>0</v>
      </c>
      <c r="O98" s="14" t="n">
        <f aca="false">1-INDEX(GuardBlock,94,ROUND(E98/Step_h,0)+1)</f>
        <v>0</v>
      </c>
      <c r="P98" s="14" t="n">
        <f aca="false">1-INDEX(GuardBlock,94,ROUND(F98/Step_h,0)+1)</f>
        <v>0</v>
      </c>
      <c r="Q98" s="14" t="n">
        <f aca="false">1-INDEX(GuardBlock,94,ROUND(G98/Step_h,0)+1)</f>
        <v>0</v>
      </c>
      <c r="R98" s="14" t="n">
        <f aca="false">1-INDEX(GuardBlock,94,ROUND(H98/Step_h,0)+1)</f>
        <v>0</v>
      </c>
      <c r="S98" s="14" t="n">
        <f aca="false">1-INDEX(GuardBlock,94,ROUND(I98/Step_h,0)+1)</f>
        <v>0</v>
      </c>
      <c r="T98" s="14" t="n">
        <f aca="false">1-INDEX(GuardBlock,94,ROUND(J98/Step_h,0)+1)</f>
        <v>0</v>
      </c>
      <c r="U98" s="14" t="n">
        <f aca="false">1-INDEX(GuardBlock,94,ROUND(K98/Step_h,0)+1)</f>
        <v>0</v>
      </c>
      <c r="V98" s="28" t="n">
        <f aca="false">BestRule!W98</f>
        <v>1.37623267383456E-005</v>
      </c>
    </row>
    <row r="99" customFormat="false" ht="15" hidden="false" customHeight="false" outlineLevel="0" collapsed="false">
      <c r="A99" s="18" t="n">
        <f aca="false">Grid!A99</f>
        <v>53.5</v>
      </c>
      <c r="B99" s="20" t="n">
        <v>2.5</v>
      </c>
      <c r="C99" s="20" t="n">
        <v>2.5</v>
      </c>
      <c r="D99" s="20" t="n">
        <v>2.5</v>
      </c>
      <c r="E99" s="20" t="n">
        <v>2.25</v>
      </c>
      <c r="F99" s="20" t="n">
        <v>2.5</v>
      </c>
      <c r="G99" s="20" t="n">
        <v>2.5</v>
      </c>
      <c r="H99" s="20" t="n">
        <v>2.5</v>
      </c>
      <c r="I99" s="20" t="n">
        <v>2.5</v>
      </c>
      <c r="J99" s="20" t="n">
        <v>2.5</v>
      </c>
      <c r="K99" s="20" t="n">
        <v>2.25</v>
      </c>
      <c r="L99" s="14" t="n">
        <f aca="false">1-INDEX(GuardBlock,95,ROUND(B99/Step_h,0)+1)</f>
        <v>0</v>
      </c>
      <c r="M99" s="14" t="n">
        <f aca="false">1-INDEX(GuardBlock,95,ROUND(C99/Step_h,0)+1)</f>
        <v>0</v>
      </c>
      <c r="N99" s="14" t="n">
        <f aca="false">1-INDEX(GuardBlock,95,ROUND(D99/Step_h,0)+1)</f>
        <v>0</v>
      </c>
      <c r="O99" s="14" t="n">
        <f aca="false">1-INDEX(GuardBlock,95,ROUND(E99/Step_h,0)+1)</f>
        <v>1</v>
      </c>
      <c r="P99" s="14" t="n">
        <f aca="false">1-INDEX(GuardBlock,95,ROUND(F99/Step_h,0)+1)</f>
        <v>0</v>
      </c>
      <c r="Q99" s="14" t="n">
        <f aca="false">1-INDEX(GuardBlock,95,ROUND(G99/Step_h,0)+1)</f>
        <v>0</v>
      </c>
      <c r="R99" s="14" t="n">
        <f aca="false">1-INDEX(GuardBlock,95,ROUND(H99/Step_h,0)+1)</f>
        <v>0</v>
      </c>
      <c r="S99" s="14" t="n">
        <f aca="false">1-INDEX(GuardBlock,95,ROUND(I99/Step_h,0)+1)</f>
        <v>0</v>
      </c>
      <c r="T99" s="14" t="n">
        <f aca="false">1-INDEX(GuardBlock,95,ROUND(J99/Step_h,0)+1)</f>
        <v>0</v>
      </c>
      <c r="U99" s="14" t="n">
        <f aca="false">1-INDEX(GuardBlock,95,ROUND(K99/Step_h,0)+1)</f>
        <v>1</v>
      </c>
      <c r="V99" s="28" t="n">
        <f aca="false">BestRule!W99</f>
        <v>4.85236408746173E-005</v>
      </c>
    </row>
    <row r="100" customFormat="false" ht="15" hidden="false" customHeight="false" outlineLevel="0" collapsed="false">
      <c r="A100" s="18" t="n">
        <f aca="false">Grid!A100</f>
        <v>53.75</v>
      </c>
      <c r="B100" s="20" t="n">
        <v>2.5</v>
      </c>
      <c r="C100" s="20" t="n">
        <v>2.5</v>
      </c>
      <c r="D100" s="20" t="n">
        <v>2.5</v>
      </c>
      <c r="E100" s="20" t="n">
        <v>2.5</v>
      </c>
      <c r="F100" s="20" t="n">
        <v>2.5</v>
      </c>
      <c r="G100" s="20" t="n">
        <v>2.5</v>
      </c>
      <c r="H100" s="20" t="n">
        <v>2.5</v>
      </c>
      <c r="I100" s="20" t="n">
        <v>2.5</v>
      </c>
      <c r="J100" s="20" t="n">
        <v>2</v>
      </c>
      <c r="K100" s="20" t="n">
        <v>2.5</v>
      </c>
      <c r="L100" s="14" t="n">
        <f aca="false">1-INDEX(GuardBlock,96,ROUND(B100/Step_h,0)+1)</f>
        <v>0</v>
      </c>
      <c r="M100" s="14" t="n">
        <f aca="false">1-INDEX(GuardBlock,96,ROUND(C100/Step_h,0)+1)</f>
        <v>0</v>
      </c>
      <c r="N100" s="14" t="n">
        <f aca="false">1-INDEX(GuardBlock,96,ROUND(D100/Step_h,0)+1)</f>
        <v>0</v>
      </c>
      <c r="O100" s="14" t="n">
        <f aca="false">1-INDEX(GuardBlock,96,ROUND(E100/Step_h,0)+1)</f>
        <v>0</v>
      </c>
      <c r="P100" s="14" t="n">
        <f aca="false">1-INDEX(GuardBlock,96,ROUND(F100/Step_h,0)+1)</f>
        <v>0</v>
      </c>
      <c r="Q100" s="14" t="n">
        <f aca="false">1-INDEX(GuardBlock,96,ROUND(G100/Step_h,0)+1)</f>
        <v>0</v>
      </c>
      <c r="R100" s="14" t="n">
        <f aca="false">1-INDEX(GuardBlock,96,ROUND(H100/Step_h,0)+1)</f>
        <v>0</v>
      </c>
      <c r="S100" s="14" t="n">
        <f aca="false">1-INDEX(GuardBlock,96,ROUND(I100/Step_h,0)+1)</f>
        <v>0</v>
      </c>
      <c r="T100" s="14" t="n">
        <f aca="false">1-INDEX(GuardBlock,96,ROUND(J100/Step_h,0)+1)</f>
        <v>1</v>
      </c>
      <c r="U100" s="14" t="n">
        <f aca="false">1-INDEX(GuardBlock,96,ROUND(K100/Step_h,0)+1)</f>
        <v>0</v>
      </c>
      <c r="V100" s="28" t="n">
        <f aca="false">BestRule!W100</f>
        <v>0.000643466991610297</v>
      </c>
    </row>
    <row r="101" customFormat="false" ht="15" hidden="false" customHeight="false" outlineLevel="0" collapsed="false">
      <c r="A101" s="18" t="n">
        <f aca="false">Grid!A101</f>
        <v>54</v>
      </c>
      <c r="B101" s="20" t="n">
        <v>2.5</v>
      </c>
      <c r="C101" s="20" t="n">
        <v>2.5</v>
      </c>
      <c r="D101" s="20" t="n">
        <v>2.5</v>
      </c>
      <c r="E101" s="20" t="n">
        <v>2.5</v>
      </c>
      <c r="F101" s="20" t="n">
        <v>2.5</v>
      </c>
      <c r="G101" s="20" t="n">
        <v>2.5</v>
      </c>
      <c r="H101" s="20" t="n">
        <v>2.5</v>
      </c>
      <c r="I101" s="20" t="n">
        <v>2.5</v>
      </c>
      <c r="J101" s="20" t="n">
        <v>2.5</v>
      </c>
      <c r="K101" s="20" t="n">
        <v>2.5</v>
      </c>
      <c r="L101" s="14" t="n">
        <f aca="false">1-INDEX(GuardBlock,97,ROUND(B101/Step_h,0)+1)</f>
        <v>0</v>
      </c>
      <c r="M101" s="14" t="n">
        <f aca="false">1-INDEX(GuardBlock,97,ROUND(C101/Step_h,0)+1)</f>
        <v>0</v>
      </c>
      <c r="N101" s="14" t="n">
        <f aca="false">1-INDEX(GuardBlock,97,ROUND(D101/Step_h,0)+1)</f>
        <v>0</v>
      </c>
      <c r="O101" s="14" t="n">
        <f aca="false">1-INDEX(GuardBlock,97,ROUND(E101/Step_h,0)+1)</f>
        <v>0</v>
      </c>
      <c r="P101" s="14" t="n">
        <f aca="false">1-INDEX(GuardBlock,97,ROUND(F101/Step_h,0)+1)</f>
        <v>0</v>
      </c>
      <c r="Q101" s="14" t="n">
        <f aca="false">1-INDEX(GuardBlock,97,ROUND(G101/Step_h,0)+1)</f>
        <v>0</v>
      </c>
      <c r="R101" s="14" t="n">
        <f aca="false">1-INDEX(GuardBlock,97,ROUND(H101/Step_h,0)+1)</f>
        <v>0</v>
      </c>
      <c r="S101" s="14" t="n">
        <f aca="false">1-INDEX(GuardBlock,97,ROUND(I101/Step_h,0)+1)</f>
        <v>0</v>
      </c>
      <c r="T101" s="14" t="n">
        <f aca="false">1-INDEX(GuardBlock,97,ROUND(J101/Step_h,0)+1)</f>
        <v>0</v>
      </c>
      <c r="U101" s="14" t="n">
        <f aca="false">1-INDEX(GuardBlock,97,ROUND(K101/Step_h,0)+1)</f>
        <v>0</v>
      </c>
      <c r="V101" s="28" t="n">
        <f aca="false">BestRule!W101</f>
        <v>0.00136642035595933</v>
      </c>
    </row>
    <row r="102" customFormat="false" ht="15" hidden="false" customHeight="false" outlineLevel="0" collapsed="false">
      <c r="A102" s="18" t="n">
        <f aca="false">Grid!A102</f>
        <v>54.25</v>
      </c>
      <c r="B102" s="20" t="n">
        <v>2.5</v>
      </c>
      <c r="C102" s="20" t="n">
        <v>2.5</v>
      </c>
      <c r="D102" s="20" t="n">
        <v>2</v>
      </c>
      <c r="E102" s="20" t="n">
        <v>2.5</v>
      </c>
      <c r="F102" s="20" t="n">
        <v>2.5</v>
      </c>
      <c r="G102" s="20" t="n">
        <v>2.5</v>
      </c>
      <c r="H102" s="20" t="n">
        <v>2.5</v>
      </c>
      <c r="I102" s="20" t="n">
        <v>2.5</v>
      </c>
      <c r="J102" s="20" t="n">
        <v>2.5</v>
      </c>
      <c r="K102" s="20" t="n">
        <v>2.25</v>
      </c>
      <c r="L102" s="14" t="n">
        <f aca="false">1-INDEX(GuardBlock,98,ROUND(B102/Step_h,0)+1)</f>
        <v>0</v>
      </c>
      <c r="M102" s="14" t="n">
        <f aca="false">1-INDEX(GuardBlock,98,ROUND(C102/Step_h,0)+1)</f>
        <v>0</v>
      </c>
      <c r="N102" s="14" t="n">
        <f aca="false">1-INDEX(GuardBlock,98,ROUND(D102/Step_h,0)+1)</f>
        <v>1</v>
      </c>
      <c r="O102" s="14" t="n">
        <f aca="false">1-INDEX(GuardBlock,98,ROUND(E102/Step_h,0)+1)</f>
        <v>0</v>
      </c>
      <c r="P102" s="14" t="n">
        <f aca="false">1-INDEX(GuardBlock,98,ROUND(F102/Step_h,0)+1)</f>
        <v>0</v>
      </c>
      <c r="Q102" s="14" t="n">
        <f aca="false">1-INDEX(GuardBlock,98,ROUND(G102/Step_h,0)+1)</f>
        <v>0</v>
      </c>
      <c r="R102" s="14" t="n">
        <f aca="false">1-INDEX(GuardBlock,98,ROUND(H102/Step_h,0)+1)</f>
        <v>0</v>
      </c>
      <c r="S102" s="14" t="n">
        <f aca="false">1-INDEX(GuardBlock,98,ROUND(I102/Step_h,0)+1)</f>
        <v>0</v>
      </c>
      <c r="T102" s="14" t="n">
        <f aca="false">1-INDEX(GuardBlock,98,ROUND(J102/Step_h,0)+1)</f>
        <v>0</v>
      </c>
      <c r="U102" s="14" t="n">
        <f aca="false">1-INDEX(GuardBlock,98,ROUND(K102/Step_h,0)+1)</f>
        <v>0</v>
      </c>
      <c r="V102" s="28" t="n">
        <f aca="false">BestRule!W102</f>
        <v>0.0281021634377975</v>
      </c>
    </row>
    <row r="103" customFormat="false" ht="15" hidden="false" customHeight="false" outlineLevel="0" collapsed="false">
      <c r="A103" s="18" t="n">
        <f aca="false">Grid!A103</f>
        <v>54.5</v>
      </c>
      <c r="B103" s="20" t="n">
        <v>2.5</v>
      </c>
      <c r="C103" s="20" t="n">
        <v>2.5</v>
      </c>
      <c r="D103" s="20" t="n">
        <v>2.5</v>
      </c>
      <c r="E103" s="20" t="n">
        <v>2.5</v>
      </c>
      <c r="F103" s="20" t="n">
        <v>2.5</v>
      </c>
      <c r="G103" s="20" t="n">
        <v>2.5</v>
      </c>
      <c r="H103" s="20" t="n">
        <v>2.5</v>
      </c>
      <c r="I103" s="20" t="n">
        <v>2.5</v>
      </c>
      <c r="J103" s="20" t="n">
        <v>2.5</v>
      </c>
      <c r="K103" s="20" t="n">
        <v>2.5</v>
      </c>
      <c r="L103" s="14" t="n">
        <f aca="false">1-INDEX(GuardBlock,99,ROUND(B103/Step_h,0)+1)</f>
        <v>0</v>
      </c>
      <c r="M103" s="14" t="n">
        <f aca="false">1-INDEX(GuardBlock,99,ROUND(C103/Step_h,0)+1)</f>
        <v>0</v>
      </c>
      <c r="N103" s="14" t="n">
        <f aca="false">1-INDEX(GuardBlock,99,ROUND(D103/Step_h,0)+1)</f>
        <v>0</v>
      </c>
      <c r="O103" s="14" t="n">
        <f aca="false">1-INDEX(GuardBlock,99,ROUND(E103/Step_h,0)+1)</f>
        <v>0</v>
      </c>
      <c r="P103" s="14" t="n">
        <f aca="false">1-INDEX(GuardBlock,99,ROUND(F103/Step_h,0)+1)</f>
        <v>0</v>
      </c>
      <c r="Q103" s="14" t="n">
        <f aca="false">1-INDEX(GuardBlock,99,ROUND(G103/Step_h,0)+1)</f>
        <v>0</v>
      </c>
      <c r="R103" s="14" t="n">
        <f aca="false">1-INDEX(GuardBlock,99,ROUND(H103/Step_h,0)+1)</f>
        <v>0</v>
      </c>
      <c r="S103" s="14" t="n">
        <f aca="false">1-INDEX(GuardBlock,99,ROUND(I103/Step_h,0)+1)</f>
        <v>0</v>
      </c>
      <c r="T103" s="14" t="n">
        <f aca="false">1-INDEX(GuardBlock,99,ROUND(J103/Step_h,0)+1)</f>
        <v>0</v>
      </c>
      <c r="U103" s="14" t="n">
        <f aca="false">1-INDEX(GuardBlock,99,ROUND(K103/Step_h,0)+1)</f>
        <v>0</v>
      </c>
      <c r="V103" s="28" t="n">
        <f aca="false">BestRule!W103</f>
        <v>0.022382930969906</v>
      </c>
    </row>
    <row r="104" customFormat="false" ht="15" hidden="false" customHeight="false" outlineLevel="0" collapsed="false">
      <c r="A104" s="18" t="n">
        <f aca="false">Grid!A104</f>
        <v>54.75</v>
      </c>
      <c r="B104" s="20" t="n">
        <v>2.5</v>
      </c>
      <c r="C104" s="20" t="n">
        <v>2.5</v>
      </c>
      <c r="D104" s="20" t="n">
        <v>2.25</v>
      </c>
      <c r="E104" s="20" t="n">
        <v>2.5</v>
      </c>
      <c r="F104" s="20" t="n">
        <v>2.25</v>
      </c>
      <c r="G104" s="20" t="n">
        <v>2.5</v>
      </c>
      <c r="H104" s="20" t="n">
        <v>2.25</v>
      </c>
      <c r="I104" s="20" t="n">
        <v>2.5</v>
      </c>
      <c r="J104" s="20" t="n">
        <v>2.5</v>
      </c>
      <c r="K104" s="20" t="n">
        <v>2.5</v>
      </c>
      <c r="L104" s="14" t="n">
        <f aca="false">1-INDEX(GuardBlock,100,ROUND(B104/Step_h,0)+1)</f>
        <v>0</v>
      </c>
      <c r="M104" s="14" t="n">
        <f aca="false">1-INDEX(GuardBlock,100,ROUND(C104/Step_h,0)+1)</f>
        <v>0</v>
      </c>
      <c r="N104" s="14" t="n">
        <f aca="false">1-INDEX(GuardBlock,100,ROUND(D104/Step_h,0)+1)</f>
        <v>0</v>
      </c>
      <c r="O104" s="14" t="n">
        <f aca="false">1-INDEX(GuardBlock,100,ROUND(E104/Step_h,0)+1)</f>
        <v>0</v>
      </c>
      <c r="P104" s="14" t="n">
        <f aca="false">1-INDEX(GuardBlock,100,ROUND(F104/Step_h,0)+1)</f>
        <v>0</v>
      </c>
      <c r="Q104" s="14" t="n">
        <f aca="false">1-INDEX(GuardBlock,100,ROUND(G104/Step_h,0)+1)</f>
        <v>0</v>
      </c>
      <c r="R104" s="14" t="n">
        <f aca="false">1-INDEX(GuardBlock,100,ROUND(H104/Step_h,0)+1)</f>
        <v>0</v>
      </c>
      <c r="S104" s="14" t="n">
        <f aca="false">1-INDEX(GuardBlock,100,ROUND(I104/Step_h,0)+1)</f>
        <v>0</v>
      </c>
      <c r="T104" s="14" t="n">
        <f aca="false">1-INDEX(GuardBlock,100,ROUND(J104/Step_h,0)+1)</f>
        <v>0</v>
      </c>
      <c r="U104" s="14" t="n">
        <f aca="false">1-INDEX(GuardBlock,100,ROUND(K104/Step_h,0)+1)</f>
        <v>0</v>
      </c>
      <c r="V104" s="28" t="n">
        <f aca="false">BestRule!W104</f>
        <v>0.00564045398861356</v>
      </c>
    </row>
    <row r="105" customFormat="false" ht="15" hidden="false" customHeight="false" outlineLevel="0" collapsed="false">
      <c r="A105" s="18" t="n">
        <f aca="false">Grid!A105</f>
        <v>55</v>
      </c>
      <c r="B105" s="20" t="n">
        <v>2.5</v>
      </c>
      <c r="C105" s="20" t="n">
        <v>2.25</v>
      </c>
      <c r="D105" s="20" t="n">
        <v>2.5</v>
      </c>
      <c r="E105" s="20" t="n">
        <v>2.25</v>
      </c>
      <c r="F105" s="20" t="n">
        <v>2</v>
      </c>
      <c r="G105" s="20" t="n">
        <v>2.5</v>
      </c>
      <c r="H105" s="20" t="n">
        <v>2.5</v>
      </c>
      <c r="I105" s="20" t="n">
        <v>2.25</v>
      </c>
      <c r="J105" s="20" t="n">
        <v>2.25</v>
      </c>
      <c r="K105" s="20" t="n">
        <v>2.5</v>
      </c>
      <c r="L105" s="14" t="n">
        <f aca="false">1-INDEX(GuardBlock,101,ROUND(B105/Step_h,0)+1)</f>
        <v>0</v>
      </c>
      <c r="M105" s="14" t="n">
        <f aca="false">1-INDEX(GuardBlock,101,ROUND(C105/Step_h,0)+1)</f>
        <v>0</v>
      </c>
      <c r="N105" s="14" t="n">
        <f aca="false">1-INDEX(GuardBlock,101,ROUND(D105/Step_h,0)+1)</f>
        <v>0</v>
      </c>
      <c r="O105" s="14" t="n">
        <f aca="false">1-INDEX(GuardBlock,101,ROUND(E105/Step_h,0)+1)</f>
        <v>0</v>
      </c>
      <c r="P105" s="14" t="n">
        <f aca="false">1-INDEX(GuardBlock,101,ROUND(F105/Step_h,0)+1)</f>
        <v>0</v>
      </c>
      <c r="Q105" s="14" t="n">
        <f aca="false">1-INDEX(GuardBlock,101,ROUND(G105/Step_h,0)+1)</f>
        <v>0</v>
      </c>
      <c r="R105" s="14" t="n">
        <f aca="false">1-INDEX(GuardBlock,101,ROUND(H105/Step_h,0)+1)</f>
        <v>0</v>
      </c>
      <c r="S105" s="14" t="n">
        <f aca="false">1-INDEX(GuardBlock,101,ROUND(I105/Step_h,0)+1)</f>
        <v>0</v>
      </c>
      <c r="T105" s="14" t="n">
        <f aca="false">1-INDEX(GuardBlock,101,ROUND(J105/Step_h,0)+1)</f>
        <v>0</v>
      </c>
      <c r="U105" s="14" t="n">
        <f aca="false">1-INDEX(GuardBlock,101,ROUND(K105/Step_h,0)+1)</f>
        <v>0</v>
      </c>
      <c r="V105" s="28" t="n">
        <f aca="false">BestRule!W105</f>
        <v>0.112117313818254</v>
      </c>
    </row>
    <row r="106" customFormat="false" ht="15" hidden="false" customHeight="false" outlineLevel="0" collapsed="false">
      <c r="A106" s="18" t="n">
        <f aca="false">Grid!A106</f>
        <v>55.25</v>
      </c>
      <c r="B106" s="20" t="n">
        <v>2</v>
      </c>
      <c r="C106" s="20" t="n">
        <v>2</v>
      </c>
      <c r="D106" s="20" t="n">
        <v>1.75</v>
      </c>
      <c r="E106" s="20" t="n">
        <v>2.5</v>
      </c>
      <c r="F106" s="20" t="n">
        <v>2</v>
      </c>
      <c r="G106" s="20" t="n">
        <v>2</v>
      </c>
      <c r="H106" s="20" t="n">
        <v>2</v>
      </c>
      <c r="I106" s="20" t="n">
        <v>2</v>
      </c>
      <c r="J106" s="20" t="n">
        <v>2</v>
      </c>
      <c r="K106" s="20" t="n">
        <v>2.25</v>
      </c>
      <c r="L106" s="14" t="n">
        <f aca="false">1-INDEX(GuardBlock,102,ROUND(B106/Step_h,0)+1)</f>
        <v>0</v>
      </c>
      <c r="M106" s="14" t="n">
        <f aca="false">1-INDEX(GuardBlock,102,ROUND(C106/Step_h,0)+1)</f>
        <v>0</v>
      </c>
      <c r="N106" s="14" t="n">
        <f aca="false">1-INDEX(GuardBlock,102,ROUND(D106/Step_h,0)+1)</f>
        <v>0</v>
      </c>
      <c r="O106" s="14" t="n">
        <f aca="false">1-INDEX(GuardBlock,102,ROUND(E106/Step_h,0)+1)</f>
        <v>0</v>
      </c>
      <c r="P106" s="14" t="n">
        <f aca="false">1-INDEX(GuardBlock,102,ROUND(F106/Step_h,0)+1)</f>
        <v>0</v>
      </c>
      <c r="Q106" s="14" t="n">
        <f aca="false">1-INDEX(GuardBlock,102,ROUND(G106/Step_h,0)+1)</f>
        <v>0</v>
      </c>
      <c r="R106" s="14" t="n">
        <f aca="false">1-INDEX(GuardBlock,102,ROUND(H106/Step_h,0)+1)</f>
        <v>0</v>
      </c>
      <c r="S106" s="14" t="n">
        <f aca="false">1-INDEX(GuardBlock,102,ROUND(I106/Step_h,0)+1)</f>
        <v>0</v>
      </c>
      <c r="T106" s="14" t="n">
        <f aca="false">1-INDEX(GuardBlock,102,ROUND(J106/Step_h,0)+1)</f>
        <v>0</v>
      </c>
      <c r="U106" s="14" t="n">
        <f aca="false">1-INDEX(GuardBlock,102,ROUND(K106/Step_h,0)+1)</f>
        <v>0</v>
      </c>
      <c r="V106" s="28" t="n">
        <f aca="false">BestRule!W106</f>
        <v>0.0856554095150627</v>
      </c>
    </row>
    <row r="107" customFormat="false" ht="15" hidden="false" customHeight="false" outlineLevel="0" collapsed="false">
      <c r="A107" s="18" t="n">
        <f aca="false">Grid!A107</f>
        <v>55.5</v>
      </c>
      <c r="B107" s="20" t="n">
        <v>1.75</v>
      </c>
      <c r="C107" s="20" t="n">
        <v>1.75</v>
      </c>
      <c r="D107" s="20" t="n">
        <v>1.75</v>
      </c>
      <c r="E107" s="20" t="n">
        <v>1.75</v>
      </c>
      <c r="F107" s="20" t="n">
        <v>2</v>
      </c>
      <c r="G107" s="20" t="n">
        <v>1.75</v>
      </c>
      <c r="H107" s="20" t="n">
        <v>1.75</v>
      </c>
      <c r="I107" s="20" t="n">
        <v>1.75</v>
      </c>
      <c r="J107" s="20" t="n">
        <v>1.75</v>
      </c>
      <c r="K107" s="20" t="n">
        <v>1.75</v>
      </c>
      <c r="L107" s="14" t="n">
        <f aca="false">1-INDEX(GuardBlock,103,ROUND(B107/Step_h,0)+1)</f>
        <v>0</v>
      </c>
      <c r="M107" s="14" t="n">
        <f aca="false">1-INDEX(GuardBlock,103,ROUND(C107/Step_h,0)+1)</f>
        <v>0</v>
      </c>
      <c r="N107" s="14" t="n">
        <f aca="false">1-INDEX(GuardBlock,103,ROUND(D107/Step_h,0)+1)</f>
        <v>0</v>
      </c>
      <c r="O107" s="14" t="n">
        <f aca="false">1-INDEX(GuardBlock,103,ROUND(E107/Step_h,0)+1)</f>
        <v>0</v>
      </c>
      <c r="P107" s="14" t="n">
        <f aca="false">1-INDEX(GuardBlock,103,ROUND(F107/Step_h,0)+1)</f>
        <v>0</v>
      </c>
      <c r="Q107" s="14" t="n">
        <f aca="false">1-INDEX(GuardBlock,103,ROUND(G107/Step_h,0)+1)</f>
        <v>0</v>
      </c>
      <c r="R107" s="14" t="n">
        <f aca="false">1-INDEX(GuardBlock,103,ROUND(H107/Step_h,0)+1)</f>
        <v>0</v>
      </c>
      <c r="S107" s="14" t="n">
        <f aca="false">1-INDEX(GuardBlock,103,ROUND(I107/Step_h,0)+1)</f>
        <v>0</v>
      </c>
      <c r="T107" s="14" t="n">
        <f aca="false">1-INDEX(GuardBlock,103,ROUND(J107/Step_h,0)+1)</f>
        <v>0</v>
      </c>
      <c r="U107" s="14" t="n">
        <f aca="false">1-INDEX(GuardBlock,103,ROUND(K107/Step_h,0)+1)</f>
        <v>0</v>
      </c>
      <c r="V107" s="28" t="n">
        <f aca="false">BestRule!W107</f>
        <v>0.0142009359768492</v>
      </c>
    </row>
    <row r="108" customFormat="false" ht="15" hidden="false" customHeight="false" outlineLevel="0" collapsed="false">
      <c r="A108" s="18" t="n">
        <f aca="false">Grid!A108</f>
        <v>55.75</v>
      </c>
      <c r="B108" s="20" t="n">
        <v>1.5</v>
      </c>
      <c r="C108" s="20" t="n">
        <v>1.5</v>
      </c>
      <c r="D108" s="20" t="n">
        <v>1.5</v>
      </c>
      <c r="E108" s="20" t="n">
        <v>1.25</v>
      </c>
      <c r="F108" s="20" t="n">
        <v>1.5</v>
      </c>
      <c r="G108" s="20" t="n">
        <v>1.75</v>
      </c>
      <c r="H108" s="20" t="n">
        <v>1.5</v>
      </c>
      <c r="I108" s="20" t="n">
        <v>1.5</v>
      </c>
      <c r="J108" s="20" t="n">
        <v>1.5</v>
      </c>
      <c r="K108" s="20" t="n">
        <v>1.5</v>
      </c>
      <c r="L108" s="14" t="n">
        <f aca="false">1-INDEX(GuardBlock,104,ROUND(B108/Step_h,0)+1)</f>
        <v>0</v>
      </c>
      <c r="M108" s="14" t="n">
        <f aca="false">1-INDEX(GuardBlock,104,ROUND(C108/Step_h,0)+1)</f>
        <v>0</v>
      </c>
      <c r="N108" s="14" t="n">
        <f aca="false">1-INDEX(GuardBlock,104,ROUND(D108/Step_h,0)+1)</f>
        <v>0</v>
      </c>
      <c r="O108" s="14" t="n">
        <f aca="false">1-INDEX(GuardBlock,104,ROUND(E108/Step_h,0)+1)</f>
        <v>0</v>
      </c>
      <c r="P108" s="14" t="n">
        <f aca="false">1-INDEX(GuardBlock,104,ROUND(F108/Step_h,0)+1)</f>
        <v>0</v>
      </c>
      <c r="Q108" s="14" t="n">
        <f aca="false">1-INDEX(GuardBlock,104,ROUND(G108/Step_h,0)+1)</f>
        <v>0</v>
      </c>
      <c r="R108" s="14" t="n">
        <f aca="false">1-INDEX(GuardBlock,104,ROUND(H108/Step_h,0)+1)</f>
        <v>0</v>
      </c>
      <c r="S108" s="14" t="n">
        <f aca="false">1-INDEX(GuardBlock,104,ROUND(I108/Step_h,0)+1)</f>
        <v>0</v>
      </c>
      <c r="T108" s="14" t="n">
        <f aca="false">1-INDEX(GuardBlock,104,ROUND(J108/Step_h,0)+1)</f>
        <v>0</v>
      </c>
      <c r="U108" s="14" t="n">
        <f aca="false">1-INDEX(GuardBlock,104,ROUND(K108/Step_h,0)+1)</f>
        <v>0</v>
      </c>
      <c r="V108" s="28" t="n">
        <f aca="false">BestRule!W108</f>
        <v>0.279299208581405</v>
      </c>
    </row>
    <row r="109" customFormat="false" ht="15" hidden="false" customHeight="false" outlineLevel="0" collapsed="false">
      <c r="A109" s="18" t="n">
        <f aca="false">Grid!A109</f>
        <v>56</v>
      </c>
      <c r="B109" s="20" t="n">
        <v>1.25</v>
      </c>
      <c r="C109" s="20" t="n">
        <v>1.25</v>
      </c>
      <c r="D109" s="20" t="n">
        <v>1.25</v>
      </c>
      <c r="E109" s="20" t="n">
        <v>1.25</v>
      </c>
      <c r="F109" s="20" t="n">
        <v>1.25</v>
      </c>
      <c r="G109" s="20" t="n">
        <v>1.25</v>
      </c>
      <c r="H109" s="20" t="n">
        <v>1.25</v>
      </c>
      <c r="I109" s="20" t="n">
        <v>1</v>
      </c>
      <c r="J109" s="20" t="n">
        <v>1</v>
      </c>
      <c r="K109" s="20" t="n">
        <v>1.75</v>
      </c>
      <c r="L109" s="14" t="n">
        <f aca="false">1-INDEX(GuardBlock,105,ROUND(B109/Step_h,0)+1)</f>
        <v>0</v>
      </c>
      <c r="M109" s="14" t="n">
        <f aca="false">1-INDEX(GuardBlock,105,ROUND(C109/Step_h,0)+1)</f>
        <v>0</v>
      </c>
      <c r="N109" s="14" t="n">
        <f aca="false">1-INDEX(GuardBlock,105,ROUND(D109/Step_h,0)+1)</f>
        <v>0</v>
      </c>
      <c r="O109" s="14" t="n">
        <f aca="false">1-INDEX(GuardBlock,105,ROUND(E109/Step_h,0)+1)</f>
        <v>0</v>
      </c>
      <c r="P109" s="14" t="n">
        <f aca="false">1-INDEX(GuardBlock,105,ROUND(F109/Step_h,0)+1)</f>
        <v>0</v>
      </c>
      <c r="Q109" s="14" t="n">
        <f aca="false">1-INDEX(GuardBlock,105,ROUND(G109/Step_h,0)+1)</f>
        <v>0</v>
      </c>
      <c r="R109" s="14" t="n">
        <f aca="false">1-INDEX(GuardBlock,105,ROUND(H109/Step_h,0)+1)</f>
        <v>0</v>
      </c>
      <c r="S109" s="14" t="n">
        <f aca="false">1-INDEX(GuardBlock,105,ROUND(I109/Step_h,0)+1)</f>
        <v>0</v>
      </c>
      <c r="T109" s="14" t="n">
        <f aca="false">1-INDEX(GuardBlock,105,ROUND(J109/Step_h,0)+1)</f>
        <v>0</v>
      </c>
      <c r="U109" s="14" t="n">
        <f aca="false">1-INDEX(GuardBlock,105,ROUND(K109/Step_h,0)+1)</f>
        <v>0</v>
      </c>
      <c r="V109" s="28" t="n">
        <f aca="false">BestRule!W109</f>
        <v>0.200725300796826</v>
      </c>
    </row>
    <row r="110" customFormat="false" ht="15" hidden="false" customHeight="false" outlineLevel="0" collapsed="false">
      <c r="A110" s="18" t="n">
        <f aca="false">Grid!A110</f>
        <v>56.25</v>
      </c>
      <c r="B110" s="20" t="n">
        <v>1.25</v>
      </c>
      <c r="C110" s="20" t="n">
        <v>1</v>
      </c>
      <c r="D110" s="20" t="n">
        <v>1</v>
      </c>
      <c r="E110" s="20" t="n">
        <v>0.75</v>
      </c>
      <c r="F110" s="20" t="n">
        <v>1</v>
      </c>
      <c r="G110" s="20" t="n">
        <v>1</v>
      </c>
      <c r="H110" s="20" t="n">
        <v>1.75</v>
      </c>
      <c r="I110" s="20" t="n">
        <v>1</v>
      </c>
      <c r="J110" s="20" t="n">
        <v>0.75</v>
      </c>
      <c r="K110" s="20" t="n">
        <v>1</v>
      </c>
      <c r="L110" s="14" t="n">
        <f aca="false">1-INDEX(GuardBlock,106,ROUND(B110/Step_h,0)+1)</f>
        <v>0</v>
      </c>
      <c r="M110" s="14" t="n">
        <f aca="false">1-INDEX(GuardBlock,106,ROUND(C110/Step_h,0)+1)</f>
        <v>0</v>
      </c>
      <c r="N110" s="14" t="n">
        <f aca="false">1-INDEX(GuardBlock,106,ROUND(D110/Step_h,0)+1)</f>
        <v>0</v>
      </c>
      <c r="O110" s="14" t="n">
        <f aca="false">1-INDEX(GuardBlock,106,ROUND(E110/Step_h,0)+1)</f>
        <v>0</v>
      </c>
      <c r="P110" s="14" t="n">
        <f aca="false">1-INDEX(GuardBlock,106,ROUND(F110/Step_h,0)+1)</f>
        <v>0</v>
      </c>
      <c r="Q110" s="14" t="n">
        <f aca="false">1-INDEX(GuardBlock,106,ROUND(G110/Step_h,0)+1)</f>
        <v>0</v>
      </c>
      <c r="R110" s="14" t="n">
        <f aca="false">1-INDEX(GuardBlock,106,ROUND(H110/Step_h,0)+1)</f>
        <v>0</v>
      </c>
      <c r="S110" s="14" t="n">
        <f aca="false">1-INDEX(GuardBlock,106,ROUND(I110/Step_h,0)+1)</f>
        <v>0</v>
      </c>
      <c r="T110" s="14" t="n">
        <f aca="false">1-INDEX(GuardBlock,106,ROUND(J110/Step_h,0)+1)</f>
        <v>0</v>
      </c>
      <c r="U110" s="14" t="n">
        <f aca="false">1-INDEX(GuardBlock,106,ROUND(K110/Step_h,0)+1)</f>
        <v>0</v>
      </c>
      <c r="V110" s="28" t="n">
        <f aca="false">BestRule!W110</f>
        <v>0.007836871395353</v>
      </c>
    </row>
    <row r="111" customFormat="false" ht="15" hidden="false" customHeight="false" outlineLevel="0" collapsed="false">
      <c r="A111" s="18" t="n">
        <f aca="false">Grid!A111</f>
        <v>56.5</v>
      </c>
      <c r="B111" s="20" t="n">
        <v>0.75</v>
      </c>
      <c r="C111" s="20" t="n">
        <v>0.75</v>
      </c>
      <c r="D111" s="20" t="n">
        <v>0.75</v>
      </c>
      <c r="E111" s="20" t="n">
        <v>0.5</v>
      </c>
      <c r="F111" s="20" t="n">
        <v>0.5</v>
      </c>
      <c r="G111" s="20" t="n">
        <v>0.5</v>
      </c>
      <c r="H111" s="20" t="n">
        <v>0.75</v>
      </c>
      <c r="I111" s="20" t="n">
        <v>0.75</v>
      </c>
      <c r="J111" s="20" t="n">
        <v>1</v>
      </c>
      <c r="K111" s="20" t="n">
        <v>0.75</v>
      </c>
      <c r="L111" s="14" t="n">
        <f aca="false">1-INDEX(GuardBlock,107,ROUND(B111/Step_h,0)+1)</f>
        <v>0</v>
      </c>
      <c r="M111" s="14" t="n">
        <f aca="false">1-INDEX(GuardBlock,107,ROUND(C111/Step_h,0)+1)</f>
        <v>0</v>
      </c>
      <c r="N111" s="14" t="n">
        <f aca="false">1-INDEX(GuardBlock,107,ROUND(D111/Step_h,0)+1)</f>
        <v>0</v>
      </c>
      <c r="O111" s="14" t="n">
        <f aca="false">1-INDEX(GuardBlock,107,ROUND(E111/Step_h,0)+1)</f>
        <v>0</v>
      </c>
      <c r="P111" s="14" t="n">
        <f aca="false">1-INDEX(GuardBlock,107,ROUND(F111/Step_h,0)+1)</f>
        <v>0</v>
      </c>
      <c r="Q111" s="14" t="n">
        <f aca="false">1-INDEX(GuardBlock,107,ROUND(G111/Step_h,0)+1)</f>
        <v>0</v>
      </c>
      <c r="R111" s="14" t="n">
        <f aca="false">1-INDEX(GuardBlock,107,ROUND(H111/Step_h,0)+1)</f>
        <v>0</v>
      </c>
      <c r="S111" s="14" t="n">
        <f aca="false">1-INDEX(GuardBlock,107,ROUND(I111/Step_h,0)+1)</f>
        <v>0</v>
      </c>
      <c r="T111" s="14" t="n">
        <f aca="false">1-INDEX(GuardBlock,107,ROUND(J111/Step_h,0)+1)</f>
        <v>0</v>
      </c>
      <c r="U111" s="14" t="n">
        <f aca="false">1-INDEX(GuardBlock,107,ROUND(K111/Step_h,0)+1)</f>
        <v>0</v>
      </c>
      <c r="V111" s="28" t="n">
        <f aca="false">BestRule!W111</f>
        <v>0.111716480883835</v>
      </c>
    </row>
    <row r="112" customFormat="false" ht="15" hidden="false" customHeight="false" outlineLevel="0" collapsed="false">
      <c r="A112" s="18" t="n">
        <f aca="false">Grid!A112</f>
        <v>56.75</v>
      </c>
      <c r="B112" s="20" t="n">
        <v>0.5</v>
      </c>
      <c r="C112" s="20" t="n">
        <v>1</v>
      </c>
      <c r="D112" s="20" t="n">
        <v>0.25</v>
      </c>
      <c r="E112" s="20" t="n">
        <v>0.5</v>
      </c>
      <c r="F112" s="20" t="n">
        <v>0.5</v>
      </c>
      <c r="G112" s="20" t="n">
        <v>0.25</v>
      </c>
      <c r="H112" s="20" t="n">
        <v>0.75</v>
      </c>
      <c r="I112" s="20" t="n">
        <v>1</v>
      </c>
      <c r="J112" s="20" t="n">
        <v>0.75</v>
      </c>
      <c r="K112" s="20" t="n">
        <v>0.5</v>
      </c>
      <c r="L112" s="14" t="n">
        <f aca="false">1-INDEX(GuardBlock,108,ROUND(B112/Step_h,0)+1)</f>
        <v>0</v>
      </c>
      <c r="M112" s="14" t="n">
        <f aca="false">1-INDEX(GuardBlock,108,ROUND(C112/Step_h,0)+1)</f>
        <v>0</v>
      </c>
      <c r="N112" s="14" t="n">
        <f aca="false">1-INDEX(GuardBlock,108,ROUND(D112/Step_h,0)+1)</f>
        <v>0</v>
      </c>
      <c r="O112" s="14" t="n">
        <f aca="false">1-INDEX(GuardBlock,108,ROUND(E112/Step_h,0)+1)</f>
        <v>0</v>
      </c>
      <c r="P112" s="14" t="n">
        <f aca="false">1-INDEX(GuardBlock,108,ROUND(F112/Step_h,0)+1)</f>
        <v>0</v>
      </c>
      <c r="Q112" s="14" t="n">
        <f aca="false">1-INDEX(GuardBlock,108,ROUND(G112/Step_h,0)+1)</f>
        <v>0</v>
      </c>
      <c r="R112" s="14" t="n">
        <f aca="false">1-INDEX(GuardBlock,108,ROUND(H112/Step_h,0)+1)</f>
        <v>0</v>
      </c>
      <c r="S112" s="14" t="n">
        <f aca="false">1-INDEX(GuardBlock,108,ROUND(I112/Step_h,0)+1)</f>
        <v>0</v>
      </c>
      <c r="T112" s="14" t="n">
        <f aca="false">1-INDEX(GuardBlock,108,ROUND(J112/Step_h,0)+1)</f>
        <v>0</v>
      </c>
      <c r="U112" s="14" t="n">
        <f aca="false">1-INDEX(GuardBlock,108,ROUND(K112/Step_h,0)+1)</f>
        <v>0</v>
      </c>
      <c r="V112" s="28" t="n">
        <f aca="false">BestRule!W112</f>
        <v>0.0799069613029606</v>
      </c>
    </row>
    <row r="113" customFormat="false" ht="15" hidden="false" customHeight="false" outlineLevel="0" collapsed="false">
      <c r="A113" s="18" t="n">
        <f aca="false">Grid!A113</f>
        <v>57</v>
      </c>
      <c r="B113" s="20" t="n">
        <v>0.5</v>
      </c>
      <c r="C113" s="20" t="n">
        <v>0.25</v>
      </c>
      <c r="D113" s="20" t="n">
        <v>0.75</v>
      </c>
      <c r="E113" s="20" t="n">
        <v>0.25</v>
      </c>
      <c r="F113" s="20" t="n">
        <v>0.5</v>
      </c>
      <c r="G113" s="20" t="n">
        <v>0</v>
      </c>
      <c r="H113" s="20" t="n">
        <v>0</v>
      </c>
      <c r="I113" s="20" t="n">
        <v>0.25</v>
      </c>
      <c r="J113" s="20" t="n">
        <v>0</v>
      </c>
      <c r="K113" s="20" t="n">
        <v>0.25</v>
      </c>
      <c r="L113" s="14" t="n">
        <f aca="false">1-INDEX(GuardBlock,109,ROUND(B113/Step_h,0)+1)</f>
        <v>0</v>
      </c>
      <c r="M113" s="14" t="n">
        <f aca="false">1-INDEX(GuardBlock,109,ROUND(C113/Step_h,0)+1)</f>
        <v>0</v>
      </c>
      <c r="N113" s="14" t="n">
        <f aca="false">1-INDEX(GuardBlock,109,ROUND(D113/Step_h,0)+1)</f>
        <v>0</v>
      </c>
      <c r="O113" s="14" t="n">
        <f aca="false">1-INDEX(GuardBlock,109,ROUND(E113/Step_h,0)+1)</f>
        <v>0</v>
      </c>
      <c r="P113" s="14" t="n">
        <f aca="false">1-INDEX(GuardBlock,109,ROUND(F113/Step_h,0)+1)</f>
        <v>0</v>
      </c>
      <c r="Q113" s="14" t="n">
        <f aca="false">1-INDEX(GuardBlock,109,ROUND(G113/Step_h,0)+1)</f>
        <v>0</v>
      </c>
      <c r="R113" s="14" t="n">
        <f aca="false">1-INDEX(GuardBlock,109,ROUND(H113/Step_h,0)+1)</f>
        <v>0</v>
      </c>
      <c r="S113" s="14" t="n">
        <f aca="false">1-INDEX(GuardBlock,109,ROUND(I113/Step_h,0)+1)</f>
        <v>0</v>
      </c>
      <c r="T113" s="14" t="n">
        <f aca="false">1-INDEX(GuardBlock,109,ROUND(J113/Step_h,0)+1)</f>
        <v>0</v>
      </c>
      <c r="U113" s="14" t="n">
        <f aca="false">1-INDEX(GuardBlock,109,ROUND(K113/Step_h,0)+1)</f>
        <v>0</v>
      </c>
      <c r="V113" s="28" t="n">
        <f aca="false">BestRule!W113</f>
        <v>0.00234236227891898</v>
      </c>
    </row>
    <row r="114" customFormat="false" ht="15" hidden="false" customHeight="false" outlineLevel="0" collapsed="false">
      <c r="A114" s="18" t="n">
        <f aca="false">Grid!A114</f>
        <v>57.25</v>
      </c>
      <c r="B114" s="20" t="n">
        <v>0</v>
      </c>
      <c r="C114" s="20" t="n">
        <v>0.25</v>
      </c>
      <c r="D114" s="20" t="n">
        <v>0.5</v>
      </c>
      <c r="E114" s="20" t="n">
        <v>0</v>
      </c>
      <c r="F114" s="20" t="n">
        <v>0.25</v>
      </c>
      <c r="G114" s="20" t="n">
        <v>0.5</v>
      </c>
      <c r="H114" s="20" t="n">
        <v>0.25</v>
      </c>
      <c r="I114" s="20" t="n">
        <v>0.5</v>
      </c>
      <c r="J114" s="20" t="n">
        <v>0</v>
      </c>
      <c r="K114" s="20" t="n">
        <v>0</v>
      </c>
      <c r="L114" s="14" t="n">
        <f aca="false">1-INDEX(GuardBlock,110,ROUND(B114/Step_h,0)+1)</f>
        <v>0</v>
      </c>
      <c r="M114" s="14" t="n">
        <f aca="false">1-INDEX(GuardBlock,110,ROUND(C114/Step_h,0)+1)</f>
        <v>0</v>
      </c>
      <c r="N114" s="14" t="n">
        <f aca="false">1-INDEX(GuardBlock,110,ROUND(D114/Step_h,0)+1)</f>
        <v>0</v>
      </c>
      <c r="O114" s="14" t="n">
        <f aca="false">1-INDEX(GuardBlock,110,ROUND(E114/Step_h,0)+1)</f>
        <v>0</v>
      </c>
      <c r="P114" s="14" t="n">
        <f aca="false">1-INDEX(GuardBlock,110,ROUND(F114/Step_h,0)+1)</f>
        <v>0</v>
      </c>
      <c r="Q114" s="14" t="n">
        <f aca="false">1-INDEX(GuardBlock,110,ROUND(G114/Step_h,0)+1)</f>
        <v>0</v>
      </c>
      <c r="R114" s="14" t="n">
        <f aca="false">1-INDEX(GuardBlock,110,ROUND(H114/Step_h,0)+1)</f>
        <v>0</v>
      </c>
      <c r="S114" s="14" t="n">
        <f aca="false">1-INDEX(GuardBlock,110,ROUND(I114/Step_h,0)+1)</f>
        <v>0</v>
      </c>
      <c r="T114" s="14" t="n">
        <f aca="false">1-INDEX(GuardBlock,110,ROUND(J114/Step_h,0)+1)</f>
        <v>0</v>
      </c>
      <c r="U114" s="14" t="n">
        <f aca="false">1-INDEX(GuardBlock,110,ROUND(K114/Step_h,0)+1)</f>
        <v>0</v>
      </c>
      <c r="V114" s="28" t="n">
        <f aca="false">BestRule!W114</f>
        <v>0.0279217909847293</v>
      </c>
    </row>
    <row r="115" customFormat="false" ht="15" hidden="false" customHeight="false" outlineLevel="0" collapsed="false">
      <c r="A115" s="18" t="n">
        <f aca="false">Grid!A115</f>
        <v>57.5</v>
      </c>
      <c r="B115" s="20" t="n">
        <v>0</v>
      </c>
      <c r="C115" s="20" t="n">
        <v>0</v>
      </c>
      <c r="D115" s="20" t="n">
        <v>0.5</v>
      </c>
      <c r="E115" s="20" t="n">
        <v>0</v>
      </c>
      <c r="F115" s="20" t="n">
        <v>0.5</v>
      </c>
      <c r="G115" s="20" t="n">
        <v>0.25</v>
      </c>
      <c r="H115" s="20" t="n">
        <v>0.5</v>
      </c>
      <c r="I115" s="20" t="n">
        <v>0</v>
      </c>
      <c r="J115" s="20" t="n">
        <v>0</v>
      </c>
      <c r="K115" s="20" t="n">
        <v>0.5</v>
      </c>
      <c r="L115" s="14" t="n">
        <f aca="false">1-INDEX(GuardBlock,111,ROUND(B115/Step_h,0)+1)</f>
        <v>0</v>
      </c>
      <c r="M115" s="14" t="n">
        <f aca="false">1-INDEX(GuardBlock,111,ROUND(C115/Step_h,0)+1)</f>
        <v>0</v>
      </c>
      <c r="N115" s="14" t="n">
        <f aca="false">1-INDEX(GuardBlock,111,ROUND(D115/Step_h,0)+1)</f>
        <v>0</v>
      </c>
      <c r="O115" s="14" t="n">
        <f aca="false">1-INDEX(GuardBlock,111,ROUND(E115/Step_h,0)+1)</f>
        <v>0</v>
      </c>
      <c r="P115" s="14" t="n">
        <f aca="false">1-INDEX(GuardBlock,111,ROUND(F115/Step_h,0)+1)</f>
        <v>0</v>
      </c>
      <c r="Q115" s="14" t="n">
        <f aca="false">1-INDEX(GuardBlock,111,ROUND(G115/Step_h,0)+1)</f>
        <v>0</v>
      </c>
      <c r="R115" s="14" t="n">
        <f aca="false">1-INDEX(GuardBlock,111,ROUND(H115/Step_h,0)+1)</f>
        <v>0</v>
      </c>
      <c r="S115" s="14" t="n">
        <f aca="false">1-INDEX(GuardBlock,111,ROUND(I115/Step_h,0)+1)</f>
        <v>0</v>
      </c>
      <c r="T115" s="14" t="n">
        <f aca="false">1-INDEX(GuardBlock,111,ROUND(J115/Step_h,0)+1)</f>
        <v>0</v>
      </c>
      <c r="U115" s="14" t="n">
        <f aca="false">1-INDEX(GuardBlock,111,ROUND(K115/Step_h,0)+1)</f>
        <v>0</v>
      </c>
      <c r="V115" s="28" t="n">
        <f aca="false">BestRule!W115</f>
        <v>0.019817246678389</v>
      </c>
    </row>
    <row r="116" customFormat="false" ht="15" hidden="false" customHeight="false" outlineLevel="0" collapsed="false">
      <c r="A116" s="18" t="n">
        <f aca="false">Grid!A116</f>
        <v>57.75</v>
      </c>
      <c r="B116" s="20" t="n">
        <v>0</v>
      </c>
      <c r="C116" s="20" t="n">
        <v>0</v>
      </c>
      <c r="D116" s="20" t="n">
        <v>0.25</v>
      </c>
      <c r="E116" s="20" t="n">
        <v>0.25</v>
      </c>
      <c r="F116" s="20" t="n">
        <v>0.25</v>
      </c>
      <c r="G116" s="20" t="n">
        <v>0.25</v>
      </c>
      <c r="H116" s="20" t="n">
        <v>0.75</v>
      </c>
      <c r="I116" s="20" t="n">
        <v>0</v>
      </c>
      <c r="J116" s="20" t="n">
        <v>0.25</v>
      </c>
      <c r="K116" s="20" t="n">
        <v>0</v>
      </c>
      <c r="L116" s="14" t="n">
        <f aca="false">1-INDEX(GuardBlock,112,ROUND(B116/Step_h,0)+1)</f>
        <v>0</v>
      </c>
      <c r="M116" s="14" t="n">
        <f aca="false">1-INDEX(GuardBlock,112,ROUND(C116/Step_h,0)+1)</f>
        <v>0</v>
      </c>
      <c r="N116" s="14" t="n">
        <f aca="false">1-INDEX(GuardBlock,112,ROUND(D116/Step_h,0)+1)</f>
        <v>0</v>
      </c>
      <c r="O116" s="14" t="n">
        <f aca="false">1-INDEX(GuardBlock,112,ROUND(E116/Step_h,0)+1)</f>
        <v>0</v>
      </c>
      <c r="P116" s="14" t="n">
        <f aca="false">1-INDEX(GuardBlock,112,ROUND(F116/Step_h,0)+1)</f>
        <v>0</v>
      </c>
      <c r="Q116" s="14" t="n">
        <f aca="false">1-INDEX(GuardBlock,112,ROUND(G116/Step_h,0)+1)</f>
        <v>0</v>
      </c>
      <c r="R116" s="14" t="n">
        <f aca="false">1-INDEX(GuardBlock,112,ROUND(H116/Step_h,0)+1)</f>
        <v>0</v>
      </c>
      <c r="S116" s="14" t="n">
        <f aca="false">1-INDEX(GuardBlock,112,ROUND(I116/Step_h,0)+1)</f>
        <v>0</v>
      </c>
      <c r="T116" s="14" t="n">
        <f aca="false">1-INDEX(GuardBlock,112,ROUND(J116/Step_h,0)+1)</f>
        <v>0</v>
      </c>
      <c r="U116" s="14" t="n">
        <f aca="false">1-INDEX(GuardBlock,112,ROUND(K116/Step_h,0)+1)</f>
        <v>0</v>
      </c>
      <c r="V116" s="28" t="n">
        <f aca="false">BestRule!W116</f>
        <v>0.000257702715090953</v>
      </c>
    </row>
    <row r="117" customFormat="false" ht="15" hidden="false" customHeight="false" outlineLevel="0" collapsed="false">
      <c r="A117" s="18" t="n">
        <f aca="false">Grid!A117</f>
        <v>58</v>
      </c>
      <c r="B117" s="20" t="n">
        <v>0</v>
      </c>
      <c r="C117" s="20" t="n">
        <v>0.25</v>
      </c>
      <c r="D117" s="20" t="n">
        <v>0</v>
      </c>
      <c r="E117" s="20" t="n">
        <v>1.75</v>
      </c>
      <c r="F117" s="20" t="n">
        <v>0</v>
      </c>
      <c r="G117" s="20" t="n">
        <v>0.25</v>
      </c>
      <c r="H117" s="20" t="n">
        <v>0</v>
      </c>
      <c r="I117" s="20" t="n">
        <v>0</v>
      </c>
      <c r="J117" s="20" t="n">
        <v>0</v>
      </c>
      <c r="K117" s="20" t="n">
        <v>0</v>
      </c>
      <c r="L117" s="14" t="n">
        <f aca="false">1-INDEX(GuardBlock,113,ROUND(B117/Step_h,0)+1)</f>
        <v>0</v>
      </c>
      <c r="M117" s="14" t="n">
        <f aca="false">1-INDEX(GuardBlock,113,ROUND(C117/Step_h,0)+1)</f>
        <v>0</v>
      </c>
      <c r="N117" s="14" t="n">
        <f aca="false">1-INDEX(GuardBlock,113,ROUND(D117/Step_h,0)+1)</f>
        <v>0</v>
      </c>
      <c r="O117" s="14" t="n">
        <f aca="false">1-INDEX(GuardBlock,113,ROUND(E117/Step_h,0)+1)</f>
        <v>0</v>
      </c>
      <c r="P117" s="14" t="n">
        <f aca="false">1-INDEX(GuardBlock,113,ROUND(F117/Step_h,0)+1)</f>
        <v>0</v>
      </c>
      <c r="Q117" s="14" t="n">
        <f aca="false">1-INDEX(GuardBlock,113,ROUND(G117/Step_h,0)+1)</f>
        <v>0</v>
      </c>
      <c r="R117" s="14" t="n">
        <f aca="false">1-INDEX(GuardBlock,113,ROUND(H117/Step_h,0)+1)</f>
        <v>0</v>
      </c>
      <c r="S117" s="14" t="n">
        <f aca="false">1-INDEX(GuardBlock,113,ROUND(I117/Step_h,0)+1)</f>
        <v>0</v>
      </c>
      <c r="T117" s="14" t="n">
        <f aca="false">1-INDEX(GuardBlock,113,ROUND(J117/Step_h,0)+1)</f>
        <v>0</v>
      </c>
      <c r="U117" s="14" t="n">
        <f aca="false">1-INDEX(GuardBlock,113,ROUND(K117/Step_h,0)+1)</f>
        <v>0</v>
      </c>
      <c r="V117" s="28" t="n">
        <f aca="false">BestRule!W117</f>
        <v>3.01996309935945E-006</v>
      </c>
    </row>
    <row r="118" customFormat="false" ht="15" hidden="false" customHeight="false" outlineLevel="0" collapsed="false">
      <c r="A118" s="18" t="n">
        <f aca="false">Grid!A118</f>
        <v>58.25</v>
      </c>
      <c r="B118" s="20" t="n">
        <v>0</v>
      </c>
      <c r="C118" s="20" t="n">
        <v>0</v>
      </c>
      <c r="D118" s="20" t="n">
        <v>0</v>
      </c>
      <c r="E118" s="20" t="n">
        <v>0.25</v>
      </c>
      <c r="F118" s="20" t="n">
        <v>0.25</v>
      </c>
      <c r="G118" s="20" t="n">
        <v>0.25</v>
      </c>
      <c r="H118" s="20" t="n">
        <v>0</v>
      </c>
      <c r="I118" s="20" t="n">
        <v>0.25</v>
      </c>
      <c r="J118" s="20" t="n">
        <v>0</v>
      </c>
      <c r="K118" s="20" t="n">
        <v>0.5</v>
      </c>
      <c r="L118" s="14" t="n">
        <f aca="false">1-INDEX(GuardBlock,114,ROUND(B118/Step_h,0)+1)</f>
        <v>0</v>
      </c>
      <c r="M118" s="14" t="n">
        <f aca="false">1-INDEX(GuardBlock,114,ROUND(C118/Step_h,0)+1)</f>
        <v>0</v>
      </c>
      <c r="N118" s="14" t="n">
        <f aca="false">1-INDEX(GuardBlock,114,ROUND(D118/Step_h,0)+1)</f>
        <v>0</v>
      </c>
      <c r="O118" s="14" t="n">
        <f aca="false">1-INDEX(GuardBlock,114,ROUND(E118/Step_h,0)+1)</f>
        <v>0</v>
      </c>
      <c r="P118" s="14" t="n">
        <f aca="false">1-INDEX(GuardBlock,114,ROUND(F118/Step_h,0)+1)</f>
        <v>0</v>
      </c>
      <c r="Q118" s="14" t="n">
        <f aca="false">1-INDEX(GuardBlock,114,ROUND(G118/Step_h,0)+1)</f>
        <v>0</v>
      </c>
      <c r="R118" s="14" t="n">
        <f aca="false">1-INDEX(GuardBlock,114,ROUND(H118/Step_h,0)+1)</f>
        <v>0</v>
      </c>
      <c r="S118" s="14" t="n">
        <f aca="false">1-INDEX(GuardBlock,114,ROUND(I118/Step_h,0)+1)</f>
        <v>0</v>
      </c>
      <c r="T118" s="14" t="n">
        <f aca="false">1-INDEX(GuardBlock,114,ROUND(J118/Step_h,0)+1)</f>
        <v>0</v>
      </c>
      <c r="U118" s="14" t="n">
        <f aca="false">1-INDEX(GuardBlock,114,ROUND(K118/Step_h,0)+1)</f>
        <v>0</v>
      </c>
      <c r="V118" s="28" t="n">
        <f aca="false">BestRule!W118</f>
        <v>3.14990248708282E-008</v>
      </c>
    </row>
    <row r="119" customFormat="false" ht="15" hidden="false" customHeight="false" outlineLevel="0" collapsed="false">
      <c r="A119" s="18" t="n">
        <f aca="false">Grid!A119</f>
        <v>58.5</v>
      </c>
      <c r="B119" s="20" t="n">
        <v>0.25</v>
      </c>
      <c r="C119" s="20" t="n">
        <v>0.5</v>
      </c>
      <c r="D119" s="20" t="n">
        <v>0.75</v>
      </c>
      <c r="E119" s="20" t="n">
        <v>0</v>
      </c>
      <c r="F119" s="20" t="n">
        <v>0.75</v>
      </c>
      <c r="G119" s="20" t="n">
        <v>0</v>
      </c>
      <c r="H119" s="20" t="n">
        <v>0.25</v>
      </c>
      <c r="I119" s="20" t="n">
        <v>0.25</v>
      </c>
      <c r="J119" s="20" t="n">
        <v>0.25</v>
      </c>
      <c r="K119" s="20" t="n">
        <v>0</v>
      </c>
      <c r="L119" s="14" t="n">
        <f aca="false">1-INDEX(GuardBlock,115,ROUND(B119/Step_h,0)+1)</f>
        <v>0</v>
      </c>
      <c r="M119" s="14" t="n">
        <f aca="false">1-INDEX(GuardBlock,115,ROUND(C119/Step_h,0)+1)</f>
        <v>0</v>
      </c>
      <c r="N119" s="14" t="n">
        <f aca="false">1-INDEX(GuardBlock,115,ROUND(D119/Step_h,0)+1)</f>
        <v>0</v>
      </c>
      <c r="O119" s="14" t="n">
        <f aca="false">1-INDEX(GuardBlock,115,ROUND(E119/Step_h,0)+1)</f>
        <v>0</v>
      </c>
      <c r="P119" s="14" t="n">
        <f aca="false">1-INDEX(GuardBlock,115,ROUND(F119/Step_h,0)+1)</f>
        <v>0</v>
      </c>
      <c r="Q119" s="14" t="n">
        <f aca="false">1-INDEX(GuardBlock,115,ROUND(G119/Step_h,0)+1)</f>
        <v>0</v>
      </c>
      <c r="R119" s="14" t="n">
        <f aca="false">1-INDEX(GuardBlock,115,ROUND(H119/Step_h,0)+1)</f>
        <v>0</v>
      </c>
      <c r="S119" s="14" t="n">
        <f aca="false">1-INDEX(GuardBlock,115,ROUND(I119/Step_h,0)+1)</f>
        <v>0</v>
      </c>
      <c r="T119" s="14" t="n">
        <f aca="false">1-INDEX(GuardBlock,115,ROUND(J119/Step_h,0)+1)</f>
        <v>0</v>
      </c>
      <c r="U119" s="14" t="n">
        <f aca="false">1-INDEX(GuardBlock,115,ROUND(K119/Step_h,0)+1)</f>
        <v>0</v>
      </c>
      <c r="V119" s="28" t="n">
        <f aca="false">BestRule!W119</f>
        <v>2.87850420347048E-010</v>
      </c>
    </row>
    <row r="120" customFormat="false" ht="15" hidden="false" customHeight="false" outlineLevel="0" collapsed="false">
      <c r="A120" s="18" t="n">
        <f aca="false">Grid!A120</f>
        <v>58.75</v>
      </c>
      <c r="B120" s="20" t="n">
        <v>0</v>
      </c>
      <c r="C120" s="20" t="n">
        <v>0</v>
      </c>
      <c r="D120" s="20" t="n">
        <v>0.25</v>
      </c>
      <c r="E120" s="20" t="n">
        <v>0</v>
      </c>
      <c r="F120" s="20" t="n">
        <v>1.25</v>
      </c>
      <c r="G120" s="20" t="n">
        <v>0.5</v>
      </c>
      <c r="H120" s="20" t="n">
        <v>0</v>
      </c>
      <c r="I120" s="20" t="n">
        <v>0</v>
      </c>
      <c r="J120" s="20" t="n">
        <v>0.5</v>
      </c>
      <c r="K120" s="20" t="n">
        <v>0</v>
      </c>
      <c r="L120" s="14" t="n">
        <f aca="false">1-INDEX(GuardBlock,116,ROUND(B120/Step_h,0)+1)</f>
        <v>0</v>
      </c>
      <c r="M120" s="14" t="n">
        <f aca="false">1-INDEX(GuardBlock,116,ROUND(C120/Step_h,0)+1)</f>
        <v>0</v>
      </c>
      <c r="N120" s="14" t="n">
        <f aca="false">1-INDEX(GuardBlock,116,ROUND(D120/Step_h,0)+1)</f>
        <v>0</v>
      </c>
      <c r="O120" s="14" t="n">
        <f aca="false">1-INDEX(GuardBlock,116,ROUND(E120/Step_h,0)+1)</f>
        <v>0</v>
      </c>
      <c r="P120" s="14" t="n">
        <f aca="false">1-INDEX(GuardBlock,116,ROUND(F120/Step_h,0)+1)</f>
        <v>0</v>
      </c>
      <c r="Q120" s="14" t="n">
        <f aca="false">1-INDEX(GuardBlock,116,ROUND(G120/Step_h,0)+1)</f>
        <v>0</v>
      </c>
      <c r="R120" s="14" t="n">
        <f aca="false">1-INDEX(GuardBlock,116,ROUND(H120/Step_h,0)+1)</f>
        <v>0</v>
      </c>
      <c r="S120" s="14" t="n">
        <f aca="false">1-INDEX(GuardBlock,116,ROUND(I120/Step_h,0)+1)</f>
        <v>0</v>
      </c>
      <c r="T120" s="14" t="n">
        <f aca="false">1-INDEX(GuardBlock,116,ROUND(J120/Step_h,0)+1)</f>
        <v>0</v>
      </c>
      <c r="U120" s="14" t="n">
        <f aca="false">1-INDEX(GuardBlock,116,ROUND(K120/Step_h,0)+1)</f>
        <v>0</v>
      </c>
      <c r="V120" s="28" t="n">
        <f aca="false">BestRule!W120</f>
        <v>2.2576516330052E-012</v>
      </c>
    </row>
    <row r="121" customFormat="false" ht="15" hidden="false" customHeight="false" outlineLevel="0" collapsed="false">
      <c r="A121" s="18" t="n">
        <f aca="false">Grid!A121</f>
        <v>59</v>
      </c>
      <c r="B121" s="20" t="n">
        <v>0.5</v>
      </c>
      <c r="C121" s="20" t="n">
        <v>1</v>
      </c>
      <c r="D121" s="20" t="n">
        <v>0</v>
      </c>
      <c r="E121" s="20" t="n">
        <v>0.75</v>
      </c>
      <c r="F121" s="20" t="n">
        <v>2</v>
      </c>
      <c r="G121" s="20" t="n">
        <v>1.5</v>
      </c>
      <c r="H121" s="20" t="n">
        <v>0</v>
      </c>
      <c r="I121" s="20" t="n">
        <v>0</v>
      </c>
      <c r="J121" s="20" t="n">
        <v>0</v>
      </c>
      <c r="K121" s="20" t="n">
        <v>0.25</v>
      </c>
      <c r="L121" s="14" t="n">
        <f aca="false">1-INDEX(GuardBlock,117,ROUND(B121/Step_h,0)+1)</f>
        <v>0</v>
      </c>
      <c r="M121" s="14" t="n">
        <f aca="false">1-INDEX(GuardBlock,117,ROUND(C121/Step_h,0)+1)</f>
        <v>0</v>
      </c>
      <c r="N121" s="14" t="n">
        <f aca="false">1-INDEX(GuardBlock,117,ROUND(D121/Step_h,0)+1)</f>
        <v>0</v>
      </c>
      <c r="O121" s="14" t="n">
        <f aca="false">1-INDEX(GuardBlock,117,ROUND(E121/Step_h,0)+1)</f>
        <v>0</v>
      </c>
      <c r="P121" s="14" t="n">
        <f aca="false">1-INDEX(GuardBlock,117,ROUND(F121/Step_h,0)+1)</f>
        <v>0</v>
      </c>
      <c r="Q121" s="14" t="n">
        <f aca="false">1-INDEX(GuardBlock,117,ROUND(G121/Step_h,0)+1)</f>
        <v>0</v>
      </c>
      <c r="R121" s="14" t="n">
        <f aca="false">1-INDEX(GuardBlock,117,ROUND(H121/Step_h,0)+1)</f>
        <v>0</v>
      </c>
      <c r="S121" s="14" t="n">
        <f aca="false">1-INDEX(GuardBlock,117,ROUND(I121/Step_h,0)+1)</f>
        <v>0</v>
      </c>
      <c r="T121" s="14" t="n">
        <f aca="false">1-INDEX(GuardBlock,117,ROUND(J121/Step_h,0)+1)</f>
        <v>0</v>
      </c>
      <c r="U121" s="14" t="n">
        <f aca="false">1-INDEX(GuardBlock,117,ROUND(K121/Step_h,0)+1)</f>
        <v>0</v>
      </c>
      <c r="V121" s="28" t="n">
        <f aca="false">BestRule!W121</f>
        <v>1.47752104989451E-014</v>
      </c>
    </row>
    <row r="122" customFormat="false" ht="15" hidden="false" customHeight="false" outlineLevel="0" collapsed="false">
      <c r="A122" s="18" t="n">
        <f aca="false">Grid!A122</f>
        <v>59.25</v>
      </c>
      <c r="B122" s="20" t="n">
        <v>0.25</v>
      </c>
      <c r="C122" s="20" t="n">
        <v>0.25</v>
      </c>
      <c r="D122" s="20" t="n">
        <v>1</v>
      </c>
      <c r="E122" s="20" t="n">
        <v>0</v>
      </c>
      <c r="F122" s="20" t="n">
        <v>0</v>
      </c>
      <c r="G122" s="20" t="n">
        <v>0</v>
      </c>
      <c r="H122" s="20" t="n">
        <v>0.25</v>
      </c>
      <c r="I122" s="20" t="n">
        <v>0.75</v>
      </c>
      <c r="J122" s="20" t="n">
        <v>0.5</v>
      </c>
      <c r="K122" s="20" t="n">
        <v>0</v>
      </c>
      <c r="L122" s="14" t="n">
        <f aca="false">1-INDEX(GuardBlock,118,ROUND(B122/Step_h,0)+1)</f>
        <v>0</v>
      </c>
      <c r="M122" s="14" t="n">
        <f aca="false">1-INDEX(GuardBlock,118,ROUND(C122/Step_h,0)+1)</f>
        <v>0</v>
      </c>
      <c r="N122" s="14" t="n">
        <f aca="false">1-INDEX(GuardBlock,118,ROUND(D122/Step_h,0)+1)</f>
        <v>0</v>
      </c>
      <c r="O122" s="14" t="n">
        <f aca="false">1-INDEX(GuardBlock,118,ROUND(E122/Step_h,0)+1)</f>
        <v>0</v>
      </c>
      <c r="P122" s="14" t="n">
        <f aca="false">1-INDEX(GuardBlock,118,ROUND(F122/Step_h,0)+1)</f>
        <v>0</v>
      </c>
      <c r="Q122" s="14" t="n">
        <f aca="false">1-INDEX(GuardBlock,118,ROUND(G122/Step_h,0)+1)</f>
        <v>0</v>
      </c>
      <c r="R122" s="14" t="n">
        <f aca="false">1-INDEX(GuardBlock,118,ROUND(H122/Step_h,0)+1)</f>
        <v>0</v>
      </c>
      <c r="S122" s="14" t="n">
        <f aca="false">1-INDEX(GuardBlock,118,ROUND(I122/Step_h,0)+1)</f>
        <v>0</v>
      </c>
      <c r="T122" s="14" t="n">
        <f aca="false">1-INDEX(GuardBlock,118,ROUND(J122/Step_h,0)+1)</f>
        <v>0</v>
      </c>
      <c r="U122" s="14" t="n">
        <f aca="false">1-INDEX(GuardBlock,118,ROUND(K122/Step_h,0)+1)</f>
        <v>0</v>
      </c>
      <c r="V122" s="28" t="n">
        <f aca="false">BestRule!W122</f>
        <v>7.74585259164987E-017</v>
      </c>
    </row>
    <row r="123" customFormat="false" ht="15" hidden="false" customHeight="false" outlineLevel="0" collapsed="false">
      <c r="A123" s="18" t="n">
        <f aca="false">Grid!A123</f>
        <v>59.5</v>
      </c>
      <c r="B123" s="20" t="n">
        <v>0</v>
      </c>
      <c r="C123" s="20" t="n">
        <v>1</v>
      </c>
      <c r="D123" s="20" t="n">
        <v>0.5</v>
      </c>
      <c r="E123" s="20" t="n">
        <v>0.75</v>
      </c>
      <c r="F123" s="20" t="n">
        <v>1</v>
      </c>
      <c r="G123" s="20" t="n">
        <v>0.25</v>
      </c>
      <c r="H123" s="20" t="n">
        <v>0</v>
      </c>
      <c r="I123" s="20" t="n">
        <v>0.5</v>
      </c>
      <c r="J123" s="20" t="n">
        <v>1.5</v>
      </c>
      <c r="K123" s="20" t="n">
        <v>2.5</v>
      </c>
      <c r="L123" s="14" t="n">
        <f aca="false">1-INDEX(GuardBlock,119,ROUND(B123/Step_h,0)+1)</f>
        <v>0</v>
      </c>
      <c r="M123" s="14" t="n">
        <f aca="false">1-INDEX(GuardBlock,119,ROUND(C123/Step_h,0)+1)</f>
        <v>0</v>
      </c>
      <c r="N123" s="14" t="n">
        <f aca="false">1-INDEX(GuardBlock,119,ROUND(D123/Step_h,0)+1)</f>
        <v>0</v>
      </c>
      <c r="O123" s="14" t="n">
        <f aca="false">1-INDEX(GuardBlock,119,ROUND(E123/Step_h,0)+1)</f>
        <v>0</v>
      </c>
      <c r="P123" s="14" t="n">
        <f aca="false">1-INDEX(GuardBlock,119,ROUND(F123/Step_h,0)+1)</f>
        <v>0</v>
      </c>
      <c r="Q123" s="14" t="n">
        <f aca="false">1-INDEX(GuardBlock,119,ROUND(G123/Step_h,0)+1)</f>
        <v>0</v>
      </c>
      <c r="R123" s="14" t="n">
        <f aca="false">1-INDEX(GuardBlock,119,ROUND(H123/Step_h,0)+1)</f>
        <v>0</v>
      </c>
      <c r="S123" s="14" t="n">
        <f aca="false">1-INDEX(GuardBlock,119,ROUND(I123/Step_h,0)+1)</f>
        <v>0</v>
      </c>
      <c r="T123" s="14" t="n">
        <f aca="false">1-INDEX(GuardBlock,119,ROUND(J123/Step_h,0)+1)</f>
        <v>0</v>
      </c>
      <c r="U123" s="14" t="n">
        <f aca="false">1-INDEX(GuardBlock,119,ROUND(K123/Step_h,0)+1)</f>
        <v>0</v>
      </c>
      <c r="V123" s="28" t="n">
        <f aca="false">BestRule!W123</f>
        <v>3.04956405752577E-019</v>
      </c>
    </row>
    <row r="124" customFormat="false" ht="15" hidden="false" customHeight="false" outlineLevel="0" collapsed="false">
      <c r="A124" s="18" t="n">
        <f aca="false">Grid!A124</f>
        <v>59.75</v>
      </c>
      <c r="B124" s="20" t="n">
        <v>1.75</v>
      </c>
      <c r="C124" s="20" t="n">
        <v>0.25</v>
      </c>
      <c r="D124" s="20" t="n">
        <v>2</v>
      </c>
      <c r="E124" s="20" t="n">
        <v>2.5</v>
      </c>
      <c r="F124" s="20" t="n">
        <v>0.25</v>
      </c>
      <c r="G124" s="20" t="n">
        <v>0</v>
      </c>
      <c r="H124" s="20" t="n">
        <v>0.75</v>
      </c>
      <c r="I124" s="20" t="n">
        <v>0.5</v>
      </c>
      <c r="J124" s="20" t="n">
        <v>0.5</v>
      </c>
      <c r="K124" s="20" t="n">
        <v>1.5</v>
      </c>
      <c r="L124" s="14" t="n">
        <f aca="false">1-INDEX(GuardBlock,120,ROUND(B124/Step_h,0)+1)</f>
        <v>0</v>
      </c>
      <c r="M124" s="14" t="n">
        <f aca="false">1-INDEX(GuardBlock,120,ROUND(C124/Step_h,0)+1)</f>
        <v>0</v>
      </c>
      <c r="N124" s="14" t="n">
        <f aca="false">1-INDEX(GuardBlock,120,ROUND(D124/Step_h,0)+1)</f>
        <v>0</v>
      </c>
      <c r="O124" s="14" t="n">
        <f aca="false">1-INDEX(GuardBlock,120,ROUND(E124/Step_h,0)+1)</f>
        <v>0</v>
      </c>
      <c r="P124" s="14" t="n">
        <f aca="false">1-INDEX(GuardBlock,120,ROUND(F124/Step_h,0)+1)</f>
        <v>0</v>
      </c>
      <c r="Q124" s="14" t="n">
        <f aca="false">1-INDEX(GuardBlock,120,ROUND(G124/Step_h,0)+1)</f>
        <v>0</v>
      </c>
      <c r="R124" s="14" t="n">
        <f aca="false">1-INDEX(GuardBlock,120,ROUND(H124/Step_h,0)+1)</f>
        <v>0</v>
      </c>
      <c r="S124" s="14" t="n">
        <f aca="false">1-INDEX(GuardBlock,120,ROUND(I124/Step_h,0)+1)</f>
        <v>0</v>
      </c>
      <c r="T124" s="14" t="n">
        <f aca="false">1-INDEX(GuardBlock,120,ROUND(J124/Step_h,0)+1)</f>
        <v>0</v>
      </c>
      <c r="U124" s="14" t="n">
        <f aca="false">1-INDEX(GuardBlock,120,ROUND(K124/Step_h,0)+1)</f>
        <v>0</v>
      </c>
      <c r="V124" s="28" t="n">
        <f aca="false">BestRule!W124</f>
        <v>8.01593352836718E-022</v>
      </c>
    </row>
    <row r="125" customFormat="false" ht="15" hidden="false" customHeight="false" outlineLevel="0" collapsed="false">
      <c r="A125" s="18" t="n">
        <f aca="false">Grid!A125</f>
        <v>60</v>
      </c>
      <c r="B125" s="20" t="n">
        <v>1</v>
      </c>
      <c r="C125" s="20" t="n">
        <v>0.25</v>
      </c>
      <c r="D125" s="20" t="n">
        <v>1.25</v>
      </c>
      <c r="E125" s="20" t="n">
        <v>1.5</v>
      </c>
      <c r="F125" s="20" t="n">
        <v>0</v>
      </c>
      <c r="G125" s="20" t="n">
        <v>2</v>
      </c>
      <c r="H125" s="20" t="n">
        <v>0.5</v>
      </c>
      <c r="I125" s="20" t="n">
        <v>2.5</v>
      </c>
      <c r="J125" s="20" t="n">
        <v>0.25</v>
      </c>
      <c r="K125" s="20" t="n">
        <v>1.75</v>
      </c>
      <c r="L125" s="14" t="n">
        <f aca="false">1-INDEX(GuardBlock,121,ROUND(B125/Step_h,0)+1)</f>
        <v>0</v>
      </c>
      <c r="M125" s="14" t="n">
        <f aca="false">1-INDEX(GuardBlock,121,ROUND(C125/Step_h,0)+1)</f>
        <v>0</v>
      </c>
      <c r="N125" s="14" t="n">
        <f aca="false">1-INDEX(GuardBlock,121,ROUND(D125/Step_h,0)+1)</f>
        <v>0</v>
      </c>
      <c r="O125" s="14" t="n">
        <f aca="false">1-INDEX(GuardBlock,121,ROUND(E125/Step_h,0)+1)</f>
        <v>0</v>
      </c>
      <c r="P125" s="14" t="n">
        <f aca="false">1-INDEX(GuardBlock,121,ROUND(F125/Step_h,0)+1)</f>
        <v>0</v>
      </c>
      <c r="Q125" s="14" t="n">
        <f aca="false">1-INDEX(GuardBlock,121,ROUND(G125/Step_h,0)+1)</f>
        <v>0</v>
      </c>
      <c r="R125" s="14" t="n">
        <f aca="false">1-INDEX(GuardBlock,121,ROUND(H125/Step_h,0)+1)</f>
        <v>0</v>
      </c>
      <c r="S125" s="14" t="n">
        <f aca="false">1-INDEX(GuardBlock,121,ROUND(I125/Step_h,0)+1)</f>
        <v>0</v>
      </c>
      <c r="T125" s="14" t="n">
        <f aca="false">1-INDEX(GuardBlock,121,ROUND(J125/Step_h,0)+1)</f>
        <v>0</v>
      </c>
      <c r="U125" s="14" t="n">
        <f aca="false">1-INDEX(GuardBlock,121,ROUND(K125/Step_h,0)+1)</f>
        <v>0</v>
      </c>
      <c r="V125" s="28" t="n">
        <f aca="false">BestRule!W125</f>
        <v>1.05944073880166E-024</v>
      </c>
    </row>
    <row r="126" customFormat="false" ht="15" hidden="false" customHeight="false" outlineLevel="0" collapsed="false">
      <c r="A126" s="18" t="n">
        <f aca="false">Grid!A126</f>
        <v>60.25</v>
      </c>
      <c r="B126" s="20" t="n">
        <v>0</v>
      </c>
      <c r="C126" s="20" t="n">
        <v>0.5</v>
      </c>
      <c r="D126" s="20" t="n">
        <v>1.5</v>
      </c>
      <c r="E126" s="20" t="n">
        <v>1.75</v>
      </c>
      <c r="F126" s="20" t="n">
        <v>2</v>
      </c>
      <c r="G126" s="20" t="n">
        <v>0.75</v>
      </c>
      <c r="H126" s="20" t="n">
        <v>1.75</v>
      </c>
      <c r="I126" s="20" t="n">
        <v>2.5</v>
      </c>
      <c r="J126" s="20" t="n">
        <v>1</v>
      </c>
      <c r="K126" s="20" t="n">
        <v>2</v>
      </c>
      <c r="L126" s="14" t="n">
        <f aca="false">1-INDEX(GuardBlock,122,ROUND(B126/Step_h,0)+1)</f>
        <v>0</v>
      </c>
      <c r="M126" s="14" t="n">
        <f aca="false">1-INDEX(GuardBlock,122,ROUND(C126/Step_h,0)+1)</f>
        <v>0</v>
      </c>
      <c r="N126" s="14" t="n">
        <f aca="false">1-INDEX(GuardBlock,122,ROUND(D126/Step_h,0)+1)</f>
        <v>0</v>
      </c>
      <c r="O126" s="14" t="n">
        <f aca="false">1-INDEX(GuardBlock,122,ROUND(E126/Step_h,0)+1)</f>
        <v>0</v>
      </c>
      <c r="P126" s="14" t="n">
        <f aca="false">1-INDEX(GuardBlock,122,ROUND(F126/Step_h,0)+1)</f>
        <v>0</v>
      </c>
      <c r="Q126" s="14" t="n">
        <f aca="false">1-INDEX(GuardBlock,122,ROUND(G126/Step_h,0)+1)</f>
        <v>0</v>
      </c>
      <c r="R126" s="14" t="n">
        <f aca="false">1-INDEX(GuardBlock,122,ROUND(H126/Step_h,0)+1)</f>
        <v>0</v>
      </c>
      <c r="S126" s="14" t="n">
        <f aca="false">1-INDEX(GuardBlock,122,ROUND(I126/Step_h,0)+1)</f>
        <v>0</v>
      </c>
      <c r="T126" s="14" t="n">
        <f aca="false">1-INDEX(GuardBlock,122,ROUND(J126/Step_h,0)+1)</f>
        <v>0</v>
      </c>
      <c r="U126" s="14" t="n">
        <f aca="false">1-INDEX(GuardBlock,122,ROUND(K126/Step_h,0)+1)</f>
        <v>0</v>
      </c>
      <c r="V126" s="28" t="n">
        <f aca="false">BestRule!W126</f>
        <v>0</v>
      </c>
    </row>
    <row r="127" customFormat="false" ht="15" hidden="false" customHeight="false" outlineLevel="0" collapsed="false">
      <c r="A127" s="18" t="n">
        <f aca="false">Grid!A127</f>
        <v>60.5</v>
      </c>
      <c r="B127" s="20" t="n">
        <v>0.25</v>
      </c>
      <c r="C127" s="20" t="n">
        <v>0</v>
      </c>
      <c r="D127" s="20" t="n">
        <v>0.75</v>
      </c>
      <c r="E127" s="20" t="n">
        <v>0</v>
      </c>
      <c r="F127" s="20" t="n">
        <v>0.25</v>
      </c>
      <c r="G127" s="20" t="n">
        <v>2.25</v>
      </c>
      <c r="H127" s="20" t="n">
        <v>0.5</v>
      </c>
      <c r="I127" s="20" t="n">
        <v>0.5</v>
      </c>
      <c r="J127" s="20" t="n">
        <v>0.25</v>
      </c>
      <c r="K127" s="20" t="n">
        <v>0</v>
      </c>
      <c r="L127" s="14" t="n">
        <f aca="false">1-INDEX(GuardBlock,123,ROUND(B127/Step_h,0)+1)</f>
        <v>0</v>
      </c>
      <c r="M127" s="14" t="n">
        <f aca="false">1-INDEX(GuardBlock,123,ROUND(C127/Step_h,0)+1)</f>
        <v>0</v>
      </c>
      <c r="N127" s="14" t="n">
        <f aca="false">1-INDEX(GuardBlock,123,ROUND(D127/Step_h,0)+1)</f>
        <v>0</v>
      </c>
      <c r="O127" s="14" t="n">
        <f aca="false">1-INDEX(GuardBlock,123,ROUND(E127/Step_h,0)+1)</f>
        <v>0</v>
      </c>
      <c r="P127" s="14" t="n">
        <f aca="false">1-INDEX(GuardBlock,123,ROUND(F127/Step_h,0)+1)</f>
        <v>0</v>
      </c>
      <c r="Q127" s="14" t="n">
        <f aca="false">1-INDEX(GuardBlock,123,ROUND(G127/Step_h,0)+1)</f>
        <v>0</v>
      </c>
      <c r="R127" s="14" t="n">
        <f aca="false">1-INDEX(GuardBlock,123,ROUND(H127/Step_h,0)+1)</f>
        <v>0</v>
      </c>
      <c r="S127" s="14" t="n">
        <f aca="false">1-INDEX(GuardBlock,123,ROUND(I127/Step_h,0)+1)</f>
        <v>0</v>
      </c>
      <c r="T127" s="14" t="n">
        <f aca="false">1-INDEX(GuardBlock,123,ROUND(J127/Step_h,0)+1)</f>
        <v>0</v>
      </c>
      <c r="U127" s="14" t="n">
        <f aca="false">1-INDEX(GuardBlock,123,ROUND(K127/Step_h,0)+1)</f>
        <v>0</v>
      </c>
      <c r="V127" s="28" t="n">
        <f aca="false">BestRule!W127</f>
        <v>0</v>
      </c>
    </row>
    <row r="128" customFormat="false" ht="15" hidden="false" customHeight="false" outlineLevel="0" collapsed="false">
      <c r="A128" s="18" t="n">
        <f aca="false">Grid!A128</f>
        <v>60.75</v>
      </c>
      <c r="B128" s="20" t="n">
        <v>2.5</v>
      </c>
      <c r="C128" s="20" t="n">
        <v>1</v>
      </c>
      <c r="D128" s="20" t="n">
        <v>2.5</v>
      </c>
      <c r="E128" s="20" t="n">
        <v>0.5</v>
      </c>
      <c r="F128" s="20" t="n">
        <v>2</v>
      </c>
      <c r="G128" s="20" t="n">
        <v>1.5</v>
      </c>
      <c r="H128" s="20" t="n">
        <v>0.75</v>
      </c>
      <c r="I128" s="20" t="n">
        <v>0.5</v>
      </c>
      <c r="J128" s="20" t="n">
        <v>1.75</v>
      </c>
      <c r="K128" s="20" t="n">
        <v>0.75</v>
      </c>
      <c r="L128" s="14" t="n">
        <f aca="false">1-INDEX(GuardBlock,124,ROUND(B128/Step_h,0)+1)</f>
        <v>0</v>
      </c>
      <c r="M128" s="14" t="n">
        <f aca="false">1-INDEX(GuardBlock,124,ROUND(C128/Step_h,0)+1)</f>
        <v>0</v>
      </c>
      <c r="N128" s="14" t="n">
        <f aca="false">1-INDEX(GuardBlock,124,ROUND(D128/Step_h,0)+1)</f>
        <v>0</v>
      </c>
      <c r="O128" s="14" t="n">
        <f aca="false">1-INDEX(GuardBlock,124,ROUND(E128/Step_h,0)+1)</f>
        <v>0</v>
      </c>
      <c r="P128" s="14" t="n">
        <f aca="false">1-INDEX(GuardBlock,124,ROUND(F128/Step_h,0)+1)</f>
        <v>0</v>
      </c>
      <c r="Q128" s="14" t="n">
        <f aca="false">1-INDEX(GuardBlock,124,ROUND(G128/Step_h,0)+1)</f>
        <v>0</v>
      </c>
      <c r="R128" s="14" t="n">
        <f aca="false">1-INDEX(GuardBlock,124,ROUND(H128/Step_h,0)+1)</f>
        <v>0</v>
      </c>
      <c r="S128" s="14" t="n">
        <f aca="false">1-INDEX(GuardBlock,124,ROUND(I128/Step_h,0)+1)</f>
        <v>0</v>
      </c>
      <c r="T128" s="14" t="n">
        <f aca="false">1-INDEX(GuardBlock,124,ROUND(J128/Step_h,0)+1)</f>
        <v>0</v>
      </c>
      <c r="U128" s="14" t="n">
        <f aca="false">1-INDEX(GuardBlock,124,ROUND(K128/Step_h,0)+1)</f>
        <v>0</v>
      </c>
      <c r="V128" s="28" t="n">
        <f aca="false">BestRule!W128</f>
        <v>0</v>
      </c>
    </row>
    <row r="129" customFormat="false" ht="15" hidden="false" customHeight="false" outlineLevel="0" collapsed="false">
      <c r="A129" s="18" t="n">
        <f aca="false">Grid!A129</f>
        <v>61</v>
      </c>
      <c r="B129" s="20" t="n">
        <v>2.25</v>
      </c>
      <c r="C129" s="20" t="n">
        <v>2.5</v>
      </c>
      <c r="D129" s="20" t="n">
        <v>0.25</v>
      </c>
      <c r="E129" s="20" t="n">
        <v>1.5</v>
      </c>
      <c r="F129" s="20" t="n">
        <v>0</v>
      </c>
      <c r="G129" s="20" t="n">
        <v>0</v>
      </c>
      <c r="H129" s="20" t="n">
        <v>1</v>
      </c>
      <c r="I129" s="20" t="n">
        <v>2.25</v>
      </c>
      <c r="J129" s="20" t="n">
        <v>2</v>
      </c>
      <c r="K129" s="20" t="n">
        <v>0</v>
      </c>
      <c r="L129" s="14" t="n">
        <f aca="false">1-INDEX(GuardBlock,125,ROUND(B129/Step_h,0)+1)</f>
        <v>0</v>
      </c>
      <c r="M129" s="14" t="n">
        <f aca="false">1-INDEX(GuardBlock,125,ROUND(C129/Step_h,0)+1)</f>
        <v>0</v>
      </c>
      <c r="N129" s="14" t="n">
        <f aca="false">1-INDEX(GuardBlock,125,ROUND(D129/Step_h,0)+1)</f>
        <v>0</v>
      </c>
      <c r="O129" s="14" t="n">
        <f aca="false">1-INDEX(GuardBlock,125,ROUND(E129/Step_h,0)+1)</f>
        <v>0</v>
      </c>
      <c r="P129" s="14" t="n">
        <f aca="false">1-INDEX(GuardBlock,125,ROUND(F129/Step_h,0)+1)</f>
        <v>0</v>
      </c>
      <c r="Q129" s="14" t="n">
        <f aca="false">1-INDEX(GuardBlock,125,ROUND(G129/Step_h,0)+1)</f>
        <v>0</v>
      </c>
      <c r="R129" s="14" t="n">
        <f aca="false">1-INDEX(GuardBlock,125,ROUND(H129/Step_h,0)+1)</f>
        <v>0</v>
      </c>
      <c r="S129" s="14" t="n">
        <f aca="false">1-INDEX(GuardBlock,125,ROUND(I129/Step_h,0)+1)</f>
        <v>0</v>
      </c>
      <c r="T129" s="14" t="n">
        <f aca="false">1-INDEX(GuardBlock,125,ROUND(J129/Step_h,0)+1)</f>
        <v>0</v>
      </c>
      <c r="U129" s="14" t="n">
        <f aca="false">1-INDEX(GuardBlock,125,ROUND(K129/Step_h,0)+1)</f>
        <v>0</v>
      </c>
      <c r="V129" s="28" t="n">
        <f aca="false">BestRule!W129</f>
        <v>0</v>
      </c>
    </row>
    <row r="130" customFormat="false" ht="15" hidden="false" customHeight="false" outlineLevel="0" collapsed="false">
      <c r="A130" s="18" t="n">
        <f aca="false">Grid!A130</f>
        <v>61.25</v>
      </c>
      <c r="B130" s="20" t="n">
        <v>2</v>
      </c>
      <c r="C130" s="20" t="n">
        <v>2.25</v>
      </c>
      <c r="D130" s="20" t="n">
        <v>2.25</v>
      </c>
      <c r="E130" s="20" t="n">
        <v>1</v>
      </c>
      <c r="F130" s="20" t="n">
        <v>1.75</v>
      </c>
      <c r="G130" s="20" t="n">
        <v>2</v>
      </c>
      <c r="H130" s="20" t="n">
        <v>2.5</v>
      </c>
      <c r="I130" s="20" t="n">
        <v>1.5</v>
      </c>
      <c r="J130" s="20" t="n">
        <v>1.5</v>
      </c>
      <c r="K130" s="20" t="n">
        <v>1.75</v>
      </c>
      <c r="L130" s="14" t="n">
        <f aca="false">1-INDEX(GuardBlock,126,ROUND(B130/Step_h,0)+1)</f>
        <v>0</v>
      </c>
      <c r="M130" s="14" t="n">
        <f aca="false">1-INDEX(GuardBlock,126,ROUND(C130/Step_h,0)+1)</f>
        <v>0</v>
      </c>
      <c r="N130" s="14" t="n">
        <f aca="false">1-INDEX(GuardBlock,126,ROUND(D130/Step_h,0)+1)</f>
        <v>0</v>
      </c>
      <c r="O130" s="14" t="n">
        <f aca="false">1-INDEX(GuardBlock,126,ROUND(E130/Step_h,0)+1)</f>
        <v>0</v>
      </c>
      <c r="P130" s="14" t="n">
        <f aca="false">1-INDEX(GuardBlock,126,ROUND(F130/Step_h,0)+1)</f>
        <v>0</v>
      </c>
      <c r="Q130" s="14" t="n">
        <f aca="false">1-INDEX(GuardBlock,126,ROUND(G130/Step_h,0)+1)</f>
        <v>0</v>
      </c>
      <c r="R130" s="14" t="n">
        <f aca="false">1-INDEX(GuardBlock,126,ROUND(H130/Step_h,0)+1)</f>
        <v>0</v>
      </c>
      <c r="S130" s="14" t="n">
        <f aca="false">1-INDEX(GuardBlock,126,ROUND(I130/Step_h,0)+1)</f>
        <v>0</v>
      </c>
      <c r="T130" s="14" t="n">
        <f aca="false">1-INDEX(GuardBlock,126,ROUND(J130/Step_h,0)+1)</f>
        <v>0</v>
      </c>
      <c r="U130" s="14" t="n">
        <f aca="false">1-INDEX(GuardBlock,126,ROUND(K130/Step_h,0)+1)</f>
        <v>0</v>
      </c>
      <c r="V130" s="28" t="n">
        <f aca="false">BestRule!W130</f>
        <v>0</v>
      </c>
    </row>
    <row r="131" customFormat="false" ht="15" hidden="false" customHeight="false" outlineLevel="0" collapsed="false">
      <c r="A131" s="18" t="n">
        <f aca="false">Grid!A131</f>
        <v>61.5</v>
      </c>
      <c r="B131" s="20" t="n">
        <v>1.5</v>
      </c>
      <c r="C131" s="20" t="n">
        <v>1.5</v>
      </c>
      <c r="D131" s="20" t="n">
        <v>2</v>
      </c>
      <c r="E131" s="20" t="n">
        <v>0.25</v>
      </c>
      <c r="F131" s="20" t="n">
        <v>0.25</v>
      </c>
      <c r="G131" s="20" t="n">
        <v>0.25</v>
      </c>
      <c r="H131" s="20" t="n">
        <v>1.25</v>
      </c>
      <c r="I131" s="20" t="n">
        <v>0.25</v>
      </c>
      <c r="J131" s="20" t="n">
        <v>0</v>
      </c>
      <c r="K131" s="20" t="n">
        <v>1.5</v>
      </c>
      <c r="L131" s="14" t="n">
        <f aca="false">1-INDEX(GuardBlock,127,ROUND(B131/Step_h,0)+1)</f>
        <v>0</v>
      </c>
      <c r="M131" s="14" t="n">
        <f aca="false">1-INDEX(GuardBlock,127,ROUND(C131/Step_h,0)+1)</f>
        <v>0</v>
      </c>
      <c r="N131" s="14" t="n">
        <f aca="false">1-INDEX(GuardBlock,127,ROUND(D131/Step_h,0)+1)</f>
        <v>0</v>
      </c>
      <c r="O131" s="14" t="n">
        <f aca="false">1-INDEX(GuardBlock,127,ROUND(E131/Step_h,0)+1)</f>
        <v>0</v>
      </c>
      <c r="P131" s="14" t="n">
        <f aca="false">1-INDEX(GuardBlock,127,ROUND(F131/Step_h,0)+1)</f>
        <v>0</v>
      </c>
      <c r="Q131" s="14" t="n">
        <f aca="false">1-INDEX(GuardBlock,127,ROUND(G131/Step_h,0)+1)</f>
        <v>0</v>
      </c>
      <c r="R131" s="14" t="n">
        <f aca="false">1-INDEX(GuardBlock,127,ROUND(H131/Step_h,0)+1)</f>
        <v>0</v>
      </c>
      <c r="S131" s="14" t="n">
        <f aca="false">1-INDEX(GuardBlock,127,ROUND(I131/Step_h,0)+1)</f>
        <v>0</v>
      </c>
      <c r="T131" s="14" t="n">
        <f aca="false">1-INDEX(GuardBlock,127,ROUND(J131/Step_h,0)+1)</f>
        <v>0</v>
      </c>
      <c r="U131" s="14" t="n">
        <f aca="false">1-INDEX(GuardBlock,127,ROUND(K131/Step_h,0)+1)</f>
        <v>0</v>
      </c>
      <c r="V131" s="28" t="n">
        <f aca="false">BestRule!W131</f>
        <v>0</v>
      </c>
    </row>
    <row r="132" customFormat="false" ht="15" hidden="false" customHeight="false" outlineLevel="0" collapsed="false">
      <c r="A132" s="18" t="n">
        <f aca="false">Grid!A132</f>
        <v>61.75</v>
      </c>
      <c r="B132" s="20" t="n">
        <v>2</v>
      </c>
      <c r="C132" s="20" t="n">
        <v>1.25</v>
      </c>
      <c r="D132" s="20" t="n">
        <v>1.25</v>
      </c>
      <c r="E132" s="20" t="n">
        <v>0.25</v>
      </c>
      <c r="F132" s="20" t="n">
        <v>1</v>
      </c>
      <c r="G132" s="20" t="n">
        <v>0</v>
      </c>
      <c r="H132" s="20" t="n">
        <v>1</v>
      </c>
      <c r="I132" s="20" t="n">
        <v>0</v>
      </c>
      <c r="J132" s="20" t="n">
        <v>0</v>
      </c>
      <c r="K132" s="20" t="n">
        <v>2.5</v>
      </c>
      <c r="L132" s="14" t="n">
        <f aca="false">1-INDEX(GuardBlock,128,ROUND(B132/Step_h,0)+1)</f>
        <v>0</v>
      </c>
      <c r="M132" s="14" t="n">
        <f aca="false">1-INDEX(GuardBlock,128,ROUND(C132/Step_h,0)+1)</f>
        <v>0</v>
      </c>
      <c r="N132" s="14" t="n">
        <f aca="false">1-INDEX(GuardBlock,128,ROUND(D132/Step_h,0)+1)</f>
        <v>0</v>
      </c>
      <c r="O132" s="14" t="n">
        <f aca="false">1-INDEX(GuardBlock,128,ROUND(E132/Step_h,0)+1)</f>
        <v>0</v>
      </c>
      <c r="P132" s="14" t="n">
        <f aca="false">1-INDEX(GuardBlock,128,ROUND(F132/Step_h,0)+1)</f>
        <v>0</v>
      </c>
      <c r="Q132" s="14" t="n">
        <f aca="false">1-INDEX(GuardBlock,128,ROUND(G132/Step_h,0)+1)</f>
        <v>0</v>
      </c>
      <c r="R132" s="14" t="n">
        <f aca="false">1-INDEX(GuardBlock,128,ROUND(H132/Step_h,0)+1)</f>
        <v>0</v>
      </c>
      <c r="S132" s="14" t="n">
        <f aca="false">1-INDEX(GuardBlock,128,ROUND(I132/Step_h,0)+1)</f>
        <v>0</v>
      </c>
      <c r="T132" s="14" t="n">
        <f aca="false">1-INDEX(GuardBlock,128,ROUND(J132/Step_h,0)+1)</f>
        <v>0</v>
      </c>
      <c r="U132" s="14" t="n">
        <f aca="false">1-INDEX(GuardBlock,128,ROUND(K132/Step_h,0)+1)</f>
        <v>0</v>
      </c>
      <c r="V132" s="28" t="n">
        <f aca="false">BestRule!W132</f>
        <v>0</v>
      </c>
    </row>
    <row r="133" customFormat="false" ht="15" hidden="false" customHeight="false" outlineLevel="0" collapsed="false">
      <c r="A133" s="18" t="n">
        <f aca="false">Grid!A133</f>
        <v>62</v>
      </c>
      <c r="B133" s="20" t="n">
        <v>2.25</v>
      </c>
      <c r="C133" s="20" t="n">
        <v>0</v>
      </c>
      <c r="D133" s="20" t="n">
        <v>1.25</v>
      </c>
      <c r="E133" s="20" t="n">
        <v>2</v>
      </c>
      <c r="F133" s="20" t="n">
        <v>0.5</v>
      </c>
      <c r="G133" s="20" t="n">
        <v>2</v>
      </c>
      <c r="H133" s="20" t="n">
        <v>1.75</v>
      </c>
      <c r="I133" s="20" t="n">
        <v>2.25</v>
      </c>
      <c r="J133" s="20" t="n">
        <v>0</v>
      </c>
      <c r="K133" s="20" t="n">
        <v>2.5</v>
      </c>
      <c r="L133" s="14" t="n">
        <f aca="false">1-INDEX(GuardBlock,129,ROUND(B133/Step_h,0)+1)</f>
        <v>0</v>
      </c>
      <c r="M133" s="14" t="n">
        <f aca="false">1-INDEX(GuardBlock,129,ROUND(C133/Step_h,0)+1)</f>
        <v>0</v>
      </c>
      <c r="N133" s="14" t="n">
        <f aca="false">1-INDEX(GuardBlock,129,ROUND(D133/Step_h,0)+1)</f>
        <v>0</v>
      </c>
      <c r="O133" s="14" t="n">
        <f aca="false">1-INDEX(GuardBlock,129,ROUND(E133/Step_h,0)+1)</f>
        <v>0</v>
      </c>
      <c r="P133" s="14" t="n">
        <f aca="false">1-INDEX(GuardBlock,129,ROUND(F133/Step_h,0)+1)</f>
        <v>0</v>
      </c>
      <c r="Q133" s="14" t="n">
        <f aca="false">1-INDEX(GuardBlock,129,ROUND(G133/Step_h,0)+1)</f>
        <v>0</v>
      </c>
      <c r="R133" s="14" t="n">
        <f aca="false">1-INDEX(GuardBlock,129,ROUND(H133/Step_h,0)+1)</f>
        <v>0</v>
      </c>
      <c r="S133" s="14" t="n">
        <f aca="false">1-INDEX(GuardBlock,129,ROUND(I133/Step_h,0)+1)</f>
        <v>0</v>
      </c>
      <c r="T133" s="14" t="n">
        <f aca="false">1-INDEX(GuardBlock,129,ROUND(J133/Step_h,0)+1)</f>
        <v>0</v>
      </c>
      <c r="U133" s="14" t="n">
        <f aca="false">1-INDEX(GuardBlock,129,ROUND(K133/Step_h,0)+1)</f>
        <v>0</v>
      </c>
      <c r="V133" s="28" t="n">
        <f aca="false">BestRule!W133</f>
        <v>0</v>
      </c>
    </row>
    <row r="134" customFormat="false" ht="15" hidden="false" customHeight="false" outlineLevel="0" collapsed="false">
      <c r="A134" s="18" t="n">
        <f aca="false">Grid!A134</f>
        <v>62.25</v>
      </c>
      <c r="B134" s="20" t="n">
        <v>0.25</v>
      </c>
      <c r="C134" s="20" t="n">
        <v>2</v>
      </c>
      <c r="D134" s="20" t="n">
        <v>0.5</v>
      </c>
      <c r="E134" s="20" t="n">
        <v>0.5</v>
      </c>
      <c r="F134" s="20" t="n">
        <v>2.5</v>
      </c>
      <c r="G134" s="20" t="n">
        <v>2.5</v>
      </c>
      <c r="H134" s="20" t="n">
        <v>1.25</v>
      </c>
      <c r="I134" s="20" t="n">
        <v>2.5</v>
      </c>
      <c r="J134" s="20" t="n">
        <v>0.5</v>
      </c>
      <c r="K134" s="20" t="n">
        <v>0.25</v>
      </c>
      <c r="L134" s="14" t="n">
        <f aca="false">1-INDEX(GuardBlock,130,ROUND(B134/Step_h,0)+1)</f>
        <v>0</v>
      </c>
      <c r="M134" s="14" t="n">
        <f aca="false">1-INDEX(GuardBlock,130,ROUND(C134/Step_h,0)+1)</f>
        <v>0</v>
      </c>
      <c r="N134" s="14" t="n">
        <f aca="false">1-INDEX(GuardBlock,130,ROUND(D134/Step_h,0)+1)</f>
        <v>0</v>
      </c>
      <c r="O134" s="14" t="n">
        <f aca="false">1-INDEX(GuardBlock,130,ROUND(E134/Step_h,0)+1)</f>
        <v>0</v>
      </c>
      <c r="P134" s="14" t="n">
        <f aca="false">1-INDEX(GuardBlock,130,ROUND(F134/Step_h,0)+1)</f>
        <v>0</v>
      </c>
      <c r="Q134" s="14" t="n">
        <f aca="false">1-INDEX(GuardBlock,130,ROUND(G134/Step_h,0)+1)</f>
        <v>0</v>
      </c>
      <c r="R134" s="14" t="n">
        <f aca="false">1-INDEX(GuardBlock,130,ROUND(H134/Step_h,0)+1)</f>
        <v>0</v>
      </c>
      <c r="S134" s="14" t="n">
        <f aca="false">1-INDEX(GuardBlock,130,ROUND(I134/Step_h,0)+1)</f>
        <v>0</v>
      </c>
      <c r="T134" s="14" t="n">
        <f aca="false">1-INDEX(GuardBlock,130,ROUND(J134/Step_h,0)+1)</f>
        <v>0</v>
      </c>
      <c r="U134" s="14" t="n">
        <f aca="false">1-INDEX(GuardBlock,130,ROUND(K134/Step_h,0)+1)</f>
        <v>0</v>
      </c>
      <c r="V134" s="28" t="n">
        <f aca="false">BestRule!W134</f>
        <v>0</v>
      </c>
    </row>
    <row r="135" customFormat="false" ht="15" hidden="false" customHeight="false" outlineLevel="0" collapsed="false">
      <c r="A135" s="18" t="n">
        <f aca="false">Grid!A135</f>
        <v>62.5</v>
      </c>
      <c r="B135" s="20" t="n">
        <v>0.25</v>
      </c>
      <c r="C135" s="20" t="n">
        <v>1.75</v>
      </c>
      <c r="D135" s="20" t="n">
        <v>0</v>
      </c>
      <c r="E135" s="20" t="n">
        <v>2.5</v>
      </c>
      <c r="F135" s="20" t="n">
        <v>2</v>
      </c>
      <c r="G135" s="20" t="n">
        <v>0.5</v>
      </c>
      <c r="H135" s="20" t="n">
        <v>2.5</v>
      </c>
      <c r="I135" s="20" t="n">
        <v>0</v>
      </c>
      <c r="J135" s="20" t="n">
        <v>0.5</v>
      </c>
      <c r="K135" s="20" t="n">
        <v>0.25</v>
      </c>
      <c r="L135" s="14" t="n">
        <f aca="false">1-INDEX(GuardBlock,131,ROUND(B135/Step_h,0)+1)</f>
        <v>0</v>
      </c>
      <c r="M135" s="14" t="n">
        <f aca="false">1-INDEX(GuardBlock,131,ROUND(C135/Step_h,0)+1)</f>
        <v>0</v>
      </c>
      <c r="N135" s="14" t="n">
        <f aca="false">1-INDEX(GuardBlock,131,ROUND(D135/Step_h,0)+1)</f>
        <v>0</v>
      </c>
      <c r="O135" s="14" t="n">
        <f aca="false">1-INDEX(GuardBlock,131,ROUND(E135/Step_h,0)+1)</f>
        <v>0</v>
      </c>
      <c r="P135" s="14" t="n">
        <f aca="false">1-INDEX(GuardBlock,131,ROUND(F135/Step_h,0)+1)</f>
        <v>0</v>
      </c>
      <c r="Q135" s="14" t="n">
        <f aca="false">1-INDEX(GuardBlock,131,ROUND(G135/Step_h,0)+1)</f>
        <v>0</v>
      </c>
      <c r="R135" s="14" t="n">
        <f aca="false">1-INDEX(GuardBlock,131,ROUND(H135/Step_h,0)+1)</f>
        <v>0</v>
      </c>
      <c r="S135" s="14" t="n">
        <f aca="false">1-INDEX(GuardBlock,131,ROUND(I135/Step_h,0)+1)</f>
        <v>0</v>
      </c>
      <c r="T135" s="14" t="n">
        <f aca="false">1-INDEX(GuardBlock,131,ROUND(J135/Step_h,0)+1)</f>
        <v>0</v>
      </c>
      <c r="U135" s="14" t="n">
        <f aca="false">1-INDEX(GuardBlock,131,ROUND(K135/Step_h,0)+1)</f>
        <v>0</v>
      </c>
      <c r="V135" s="28" t="n">
        <f aca="false">BestRule!W135</f>
        <v>0</v>
      </c>
    </row>
    <row r="136" customFormat="false" ht="15" hidden="false" customHeight="false" outlineLevel="0" collapsed="false">
      <c r="A136" s="18" t="n">
        <f aca="false">Grid!A136</f>
        <v>62.75</v>
      </c>
      <c r="B136" s="20" t="n">
        <v>2.25</v>
      </c>
      <c r="C136" s="20" t="n">
        <v>0</v>
      </c>
      <c r="D136" s="20" t="n">
        <v>1.25</v>
      </c>
      <c r="E136" s="20" t="n">
        <v>0.25</v>
      </c>
      <c r="F136" s="20" t="n">
        <v>2.25</v>
      </c>
      <c r="G136" s="20" t="n">
        <v>2.5</v>
      </c>
      <c r="H136" s="20" t="n">
        <v>2.5</v>
      </c>
      <c r="I136" s="20" t="n">
        <v>1.25</v>
      </c>
      <c r="J136" s="20" t="n">
        <v>2.5</v>
      </c>
      <c r="K136" s="20" t="n">
        <v>1.25</v>
      </c>
      <c r="L136" s="14" t="n">
        <f aca="false">1-INDEX(GuardBlock,132,ROUND(B136/Step_h,0)+1)</f>
        <v>0</v>
      </c>
      <c r="M136" s="14" t="n">
        <f aca="false">1-INDEX(GuardBlock,132,ROUND(C136/Step_h,0)+1)</f>
        <v>0</v>
      </c>
      <c r="N136" s="14" t="n">
        <f aca="false">1-INDEX(GuardBlock,132,ROUND(D136/Step_h,0)+1)</f>
        <v>0</v>
      </c>
      <c r="O136" s="14" t="n">
        <f aca="false">1-INDEX(GuardBlock,132,ROUND(E136/Step_h,0)+1)</f>
        <v>0</v>
      </c>
      <c r="P136" s="14" t="n">
        <f aca="false">1-INDEX(GuardBlock,132,ROUND(F136/Step_h,0)+1)</f>
        <v>0</v>
      </c>
      <c r="Q136" s="14" t="n">
        <f aca="false">1-INDEX(GuardBlock,132,ROUND(G136/Step_h,0)+1)</f>
        <v>0</v>
      </c>
      <c r="R136" s="14" t="n">
        <f aca="false">1-INDEX(GuardBlock,132,ROUND(H136/Step_h,0)+1)</f>
        <v>0</v>
      </c>
      <c r="S136" s="14" t="n">
        <f aca="false">1-INDEX(GuardBlock,132,ROUND(I136/Step_h,0)+1)</f>
        <v>0</v>
      </c>
      <c r="T136" s="14" t="n">
        <f aca="false">1-INDEX(GuardBlock,132,ROUND(J136/Step_h,0)+1)</f>
        <v>0</v>
      </c>
      <c r="U136" s="14" t="n">
        <f aca="false">1-INDEX(GuardBlock,132,ROUND(K136/Step_h,0)+1)</f>
        <v>0</v>
      </c>
      <c r="V136" s="28" t="n">
        <f aca="false">BestRule!W136</f>
        <v>0</v>
      </c>
    </row>
    <row r="137" customFormat="false" ht="15" hidden="false" customHeight="false" outlineLevel="0" collapsed="false">
      <c r="A137" s="18" t="n">
        <f aca="false">Grid!A137</f>
        <v>63</v>
      </c>
      <c r="B137" s="20" t="n">
        <v>1.75</v>
      </c>
      <c r="C137" s="20" t="n">
        <v>0.25</v>
      </c>
      <c r="D137" s="20" t="n">
        <v>2.25</v>
      </c>
      <c r="E137" s="20" t="n">
        <v>2.5</v>
      </c>
      <c r="F137" s="20" t="n">
        <v>0.25</v>
      </c>
      <c r="G137" s="20" t="n">
        <v>1.75</v>
      </c>
      <c r="H137" s="20" t="n">
        <v>0.75</v>
      </c>
      <c r="I137" s="20" t="n">
        <v>2</v>
      </c>
      <c r="J137" s="20" t="n">
        <v>2.25</v>
      </c>
      <c r="K137" s="20" t="n">
        <v>2.25</v>
      </c>
      <c r="L137" s="14" t="n">
        <f aca="false">1-INDEX(GuardBlock,133,ROUND(B137/Step_h,0)+1)</f>
        <v>0</v>
      </c>
      <c r="M137" s="14" t="n">
        <f aca="false">1-INDEX(GuardBlock,133,ROUND(C137/Step_h,0)+1)</f>
        <v>0</v>
      </c>
      <c r="N137" s="14" t="n">
        <f aca="false">1-INDEX(GuardBlock,133,ROUND(D137/Step_h,0)+1)</f>
        <v>0</v>
      </c>
      <c r="O137" s="14" t="n">
        <f aca="false">1-INDEX(GuardBlock,133,ROUND(E137/Step_h,0)+1)</f>
        <v>0</v>
      </c>
      <c r="P137" s="14" t="n">
        <f aca="false">1-INDEX(GuardBlock,133,ROUND(F137/Step_h,0)+1)</f>
        <v>0</v>
      </c>
      <c r="Q137" s="14" t="n">
        <f aca="false">1-INDEX(GuardBlock,133,ROUND(G137/Step_h,0)+1)</f>
        <v>0</v>
      </c>
      <c r="R137" s="14" t="n">
        <f aca="false">1-INDEX(GuardBlock,133,ROUND(H137/Step_h,0)+1)</f>
        <v>0</v>
      </c>
      <c r="S137" s="14" t="n">
        <f aca="false">1-INDEX(GuardBlock,133,ROUND(I137/Step_h,0)+1)</f>
        <v>0</v>
      </c>
      <c r="T137" s="14" t="n">
        <f aca="false">1-INDEX(GuardBlock,133,ROUND(J137/Step_h,0)+1)</f>
        <v>0</v>
      </c>
      <c r="U137" s="14" t="n">
        <f aca="false">1-INDEX(GuardBlock,133,ROUND(K137/Step_h,0)+1)</f>
        <v>0</v>
      </c>
      <c r="V137" s="28" t="n">
        <f aca="false">BestRule!W137</f>
        <v>0</v>
      </c>
    </row>
    <row r="138" customFormat="false" ht="15" hidden="false" customHeight="false" outlineLevel="0" collapsed="false">
      <c r="A138" s="18" t="n">
        <f aca="false">Grid!A138</f>
        <v>63.25</v>
      </c>
      <c r="B138" s="20" t="n">
        <v>0</v>
      </c>
      <c r="C138" s="20" t="n">
        <v>2.5</v>
      </c>
      <c r="D138" s="20" t="n">
        <v>2.5</v>
      </c>
      <c r="E138" s="20" t="n">
        <v>2.5</v>
      </c>
      <c r="F138" s="20" t="n">
        <v>1</v>
      </c>
      <c r="G138" s="20" t="n">
        <v>2.5</v>
      </c>
      <c r="H138" s="20" t="n">
        <v>1.75</v>
      </c>
      <c r="I138" s="20" t="n">
        <v>2</v>
      </c>
      <c r="J138" s="20" t="n">
        <v>2.25</v>
      </c>
      <c r="K138" s="20" t="n">
        <v>1.75</v>
      </c>
      <c r="L138" s="14" t="n">
        <f aca="false">1-INDEX(GuardBlock,134,ROUND(B138/Step_h,0)+1)</f>
        <v>0</v>
      </c>
      <c r="M138" s="14" t="n">
        <f aca="false">1-INDEX(GuardBlock,134,ROUND(C138/Step_h,0)+1)</f>
        <v>0</v>
      </c>
      <c r="N138" s="14" t="n">
        <f aca="false">1-INDEX(GuardBlock,134,ROUND(D138/Step_h,0)+1)</f>
        <v>0</v>
      </c>
      <c r="O138" s="14" t="n">
        <f aca="false">1-INDEX(GuardBlock,134,ROUND(E138/Step_h,0)+1)</f>
        <v>0</v>
      </c>
      <c r="P138" s="14" t="n">
        <f aca="false">1-INDEX(GuardBlock,134,ROUND(F138/Step_h,0)+1)</f>
        <v>0</v>
      </c>
      <c r="Q138" s="14" t="n">
        <f aca="false">1-INDEX(GuardBlock,134,ROUND(G138/Step_h,0)+1)</f>
        <v>0</v>
      </c>
      <c r="R138" s="14" t="n">
        <f aca="false">1-INDEX(GuardBlock,134,ROUND(H138/Step_h,0)+1)</f>
        <v>0</v>
      </c>
      <c r="S138" s="14" t="n">
        <f aca="false">1-INDEX(GuardBlock,134,ROUND(I138/Step_h,0)+1)</f>
        <v>0</v>
      </c>
      <c r="T138" s="14" t="n">
        <f aca="false">1-INDEX(GuardBlock,134,ROUND(J138/Step_h,0)+1)</f>
        <v>0</v>
      </c>
      <c r="U138" s="14" t="n">
        <f aca="false">1-INDEX(GuardBlock,134,ROUND(K138/Step_h,0)+1)</f>
        <v>0</v>
      </c>
      <c r="V138" s="28" t="n">
        <f aca="false">BestRule!W138</f>
        <v>0</v>
      </c>
    </row>
    <row r="139" customFormat="false" ht="15" hidden="false" customHeight="false" outlineLevel="0" collapsed="false">
      <c r="A139" s="18" t="n">
        <f aca="false">Grid!A139</f>
        <v>63.5</v>
      </c>
      <c r="B139" s="20" t="n">
        <v>1.25</v>
      </c>
      <c r="C139" s="20" t="n">
        <v>2.5</v>
      </c>
      <c r="D139" s="20" t="n">
        <v>0</v>
      </c>
      <c r="E139" s="20" t="n">
        <v>2.25</v>
      </c>
      <c r="F139" s="20" t="n">
        <v>0.75</v>
      </c>
      <c r="G139" s="20" t="n">
        <v>0</v>
      </c>
      <c r="H139" s="20" t="n">
        <v>2.5</v>
      </c>
      <c r="I139" s="20" t="n">
        <v>0.5</v>
      </c>
      <c r="J139" s="20" t="n">
        <v>0.75</v>
      </c>
      <c r="K139" s="20" t="n">
        <v>0.25</v>
      </c>
      <c r="L139" s="14" t="n">
        <f aca="false">1-INDEX(GuardBlock,135,ROUND(B139/Step_h,0)+1)</f>
        <v>0</v>
      </c>
      <c r="M139" s="14" t="n">
        <f aca="false">1-INDEX(GuardBlock,135,ROUND(C139/Step_h,0)+1)</f>
        <v>0</v>
      </c>
      <c r="N139" s="14" t="n">
        <f aca="false">1-INDEX(GuardBlock,135,ROUND(D139/Step_h,0)+1)</f>
        <v>0</v>
      </c>
      <c r="O139" s="14" t="n">
        <f aca="false">1-INDEX(GuardBlock,135,ROUND(E139/Step_h,0)+1)</f>
        <v>0</v>
      </c>
      <c r="P139" s="14" t="n">
        <f aca="false">1-INDEX(GuardBlock,135,ROUND(F139/Step_h,0)+1)</f>
        <v>0</v>
      </c>
      <c r="Q139" s="14" t="n">
        <f aca="false">1-INDEX(GuardBlock,135,ROUND(G139/Step_h,0)+1)</f>
        <v>0</v>
      </c>
      <c r="R139" s="14" t="n">
        <f aca="false">1-INDEX(GuardBlock,135,ROUND(H139/Step_h,0)+1)</f>
        <v>0</v>
      </c>
      <c r="S139" s="14" t="n">
        <f aca="false">1-INDEX(GuardBlock,135,ROUND(I139/Step_h,0)+1)</f>
        <v>0</v>
      </c>
      <c r="T139" s="14" t="n">
        <f aca="false">1-INDEX(GuardBlock,135,ROUND(J139/Step_h,0)+1)</f>
        <v>0</v>
      </c>
      <c r="U139" s="14" t="n">
        <f aca="false">1-INDEX(GuardBlock,135,ROUND(K139/Step_h,0)+1)</f>
        <v>0</v>
      </c>
      <c r="V139" s="28" t="n">
        <f aca="false">BestRule!W139</f>
        <v>0</v>
      </c>
    </row>
    <row r="140" customFormat="false" ht="15" hidden="false" customHeight="false" outlineLevel="0" collapsed="false">
      <c r="A140" s="18" t="n">
        <f aca="false">Grid!A140</f>
        <v>63.75</v>
      </c>
      <c r="B140" s="20" t="n">
        <v>1.75</v>
      </c>
      <c r="C140" s="20" t="n">
        <v>0</v>
      </c>
      <c r="D140" s="20" t="n">
        <v>1.75</v>
      </c>
      <c r="E140" s="20" t="n">
        <v>0</v>
      </c>
      <c r="F140" s="20" t="n">
        <v>0</v>
      </c>
      <c r="G140" s="20" t="n">
        <v>2.5</v>
      </c>
      <c r="H140" s="20" t="n">
        <v>1.5</v>
      </c>
      <c r="I140" s="20" t="n">
        <v>1</v>
      </c>
      <c r="J140" s="20" t="n">
        <v>0.5</v>
      </c>
      <c r="K140" s="20" t="n">
        <v>0.5</v>
      </c>
      <c r="L140" s="14" t="n">
        <f aca="false">1-INDEX(GuardBlock,136,ROUND(B140/Step_h,0)+1)</f>
        <v>0</v>
      </c>
      <c r="M140" s="14" t="n">
        <f aca="false">1-INDEX(GuardBlock,136,ROUND(C140/Step_h,0)+1)</f>
        <v>0</v>
      </c>
      <c r="N140" s="14" t="n">
        <f aca="false">1-INDEX(GuardBlock,136,ROUND(D140/Step_h,0)+1)</f>
        <v>0</v>
      </c>
      <c r="O140" s="14" t="n">
        <f aca="false">1-INDEX(GuardBlock,136,ROUND(E140/Step_h,0)+1)</f>
        <v>0</v>
      </c>
      <c r="P140" s="14" t="n">
        <f aca="false">1-INDEX(GuardBlock,136,ROUND(F140/Step_h,0)+1)</f>
        <v>0</v>
      </c>
      <c r="Q140" s="14" t="n">
        <f aca="false">1-INDEX(GuardBlock,136,ROUND(G140/Step_h,0)+1)</f>
        <v>0</v>
      </c>
      <c r="R140" s="14" t="n">
        <f aca="false">1-INDEX(GuardBlock,136,ROUND(H140/Step_h,0)+1)</f>
        <v>0</v>
      </c>
      <c r="S140" s="14" t="n">
        <f aca="false">1-INDEX(GuardBlock,136,ROUND(I140/Step_h,0)+1)</f>
        <v>0</v>
      </c>
      <c r="T140" s="14" t="n">
        <f aca="false">1-INDEX(GuardBlock,136,ROUND(J140/Step_h,0)+1)</f>
        <v>0</v>
      </c>
      <c r="U140" s="14" t="n">
        <f aca="false">1-INDEX(GuardBlock,136,ROUND(K140/Step_h,0)+1)</f>
        <v>0</v>
      </c>
      <c r="V140" s="28" t="n">
        <f aca="false">BestRule!W140</f>
        <v>0</v>
      </c>
    </row>
    <row r="141" customFormat="false" ht="15" hidden="false" customHeight="false" outlineLevel="0" collapsed="false">
      <c r="A141" s="18" t="n">
        <f aca="false">Grid!A141</f>
        <v>64</v>
      </c>
      <c r="B141" s="20" t="n">
        <v>1</v>
      </c>
      <c r="C141" s="20" t="n">
        <v>2.5</v>
      </c>
      <c r="D141" s="20" t="n">
        <v>0.25</v>
      </c>
      <c r="E141" s="20" t="n">
        <v>0</v>
      </c>
      <c r="F141" s="20" t="n">
        <v>2.5</v>
      </c>
      <c r="G141" s="20" t="n">
        <v>2</v>
      </c>
      <c r="H141" s="20" t="n">
        <v>0.25</v>
      </c>
      <c r="I141" s="20" t="n">
        <v>2.5</v>
      </c>
      <c r="J141" s="20" t="n">
        <v>2.25</v>
      </c>
      <c r="K141" s="20" t="n">
        <v>2</v>
      </c>
      <c r="L141" s="14" t="n">
        <f aca="false">1-INDEX(GuardBlock,137,ROUND(B141/Step_h,0)+1)</f>
        <v>0</v>
      </c>
      <c r="M141" s="14" t="n">
        <f aca="false">1-INDEX(GuardBlock,137,ROUND(C141/Step_h,0)+1)</f>
        <v>0</v>
      </c>
      <c r="N141" s="14" t="n">
        <f aca="false">1-INDEX(GuardBlock,137,ROUND(D141/Step_h,0)+1)</f>
        <v>0</v>
      </c>
      <c r="O141" s="14" t="n">
        <f aca="false">1-INDEX(GuardBlock,137,ROUND(E141/Step_h,0)+1)</f>
        <v>0</v>
      </c>
      <c r="P141" s="14" t="n">
        <f aca="false">1-INDEX(GuardBlock,137,ROUND(F141/Step_h,0)+1)</f>
        <v>0</v>
      </c>
      <c r="Q141" s="14" t="n">
        <f aca="false">1-INDEX(GuardBlock,137,ROUND(G141/Step_h,0)+1)</f>
        <v>0</v>
      </c>
      <c r="R141" s="14" t="n">
        <f aca="false">1-INDEX(GuardBlock,137,ROUND(H141/Step_h,0)+1)</f>
        <v>0</v>
      </c>
      <c r="S141" s="14" t="n">
        <f aca="false">1-INDEX(GuardBlock,137,ROUND(I141/Step_h,0)+1)</f>
        <v>0</v>
      </c>
      <c r="T141" s="14" t="n">
        <f aca="false">1-INDEX(GuardBlock,137,ROUND(J141/Step_h,0)+1)</f>
        <v>0</v>
      </c>
      <c r="U141" s="14" t="n">
        <f aca="false">1-INDEX(GuardBlock,137,ROUND(K141/Step_h,0)+1)</f>
        <v>0</v>
      </c>
      <c r="V141" s="28" t="n">
        <f aca="false">BestRule!W141</f>
        <v>0</v>
      </c>
    </row>
    <row r="142" customFormat="false" ht="15" hidden="false" customHeight="false" outlineLevel="0" collapsed="false">
      <c r="A142" s="18" t="n">
        <f aca="false">Grid!A142</f>
        <v>64.25</v>
      </c>
      <c r="B142" s="20" t="n">
        <v>2.25</v>
      </c>
      <c r="C142" s="20" t="n">
        <v>2.25</v>
      </c>
      <c r="D142" s="20" t="n">
        <v>0.5</v>
      </c>
      <c r="E142" s="20" t="n">
        <v>2.25</v>
      </c>
      <c r="F142" s="20" t="n">
        <v>2</v>
      </c>
      <c r="G142" s="20" t="n">
        <v>0</v>
      </c>
      <c r="H142" s="20" t="n">
        <v>2.5</v>
      </c>
      <c r="I142" s="20" t="n">
        <v>2.25</v>
      </c>
      <c r="J142" s="20" t="n">
        <v>2.5</v>
      </c>
      <c r="K142" s="20" t="n">
        <v>1.25</v>
      </c>
      <c r="L142" s="14" t="n">
        <f aca="false">1-INDEX(GuardBlock,138,ROUND(B142/Step_h,0)+1)</f>
        <v>0</v>
      </c>
      <c r="M142" s="14" t="n">
        <f aca="false">1-INDEX(GuardBlock,138,ROUND(C142/Step_h,0)+1)</f>
        <v>0</v>
      </c>
      <c r="N142" s="14" t="n">
        <f aca="false">1-INDEX(GuardBlock,138,ROUND(D142/Step_h,0)+1)</f>
        <v>0</v>
      </c>
      <c r="O142" s="14" t="n">
        <f aca="false">1-INDEX(GuardBlock,138,ROUND(E142/Step_h,0)+1)</f>
        <v>0</v>
      </c>
      <c r="P142" s="14" t="n">
        <f aca="false">1-INDEX(GuardBlock,138,ROUND(F142/Step_h,0)+1)</f>
        <v>0</v>
      </c>
      <c r="Q142" s="14" t="n">
        <f aca="false">1-INDEX(GuardBlock,138,ROUND(G142/Step_h,0)+1)</f>
        <v>0</v>
      </c>
      <c r="R142" s="14" t="n">
        <f aca="false">1-INDEX(GuardBlock,138,ROUND(H142/Step_h,0)+1)</f>
        <v>0</v>
      </c>
      <c r="S142" s="14" t="n">
        <f aca="false">1-INDEX(GuardBlock,138,ROUND(I142/Step_h,0)+1)</f>
        <v>0</v>
      </c>
      <c r="T142" s="14" t="n">
        <f aca="false">1-INDEX(GuardBlock,138,ROUND(J142/Step_h,0)+1)</f>
        <v>0</v>
      </c>
      <c r="U142" s="14" t="n">
        <f aca="false">1-INDEX(GuardBlock,138,ROUND(K142/Step_h,0)+1)</f>
        <v>0</v>
      </c>
      <c r="V142" s="28" t="n">
        <f aca="false">BestRule!W142</f>
        <v>0</v>
      </c>
    </row>
    <row r="143" customFormat="false" ht="15" hidden="false" customHeight="false" outlineLevel="0" collapsed="false">
      <c r="A143" s="18" t="n">
        <f aca="false">Grid!A143</f>
        <v>64.5</v>
      </c>
      <c r="B143" s="20" t="n">
        <v>2</v>
      </c>
      <c r="C143" s="20" t="n">
        <v>2</v>
      </c>
      <c r="D143" s="20" t="n">
        <v>1.25</v>
      </c>
      <c r="E143" s="20" t="n">
        <v>1</v>
      </c>
      <c r="F143" s="20" t="n">
        <v>1.75</v>
      </c>
      <c r="G143" s="20" t="n">
        <v>1.25</v>
      </c>
      <c r="H143" s="20" t="n">
        <v>1</v>
      </c>
      <c r="I143" s="20" t="n">
        <v>2</v>
      </c>
      <c r="J143" s="20" t="n">
        <v>2.5</v>
      </c>
      <c r="K143" s="20" t="n">
        <v>1.25</v>
      </c>
      <c r="L143" s="14" t="n">
        <f aca="false">1-INDEX(GuardBlock,139,ROUND(B143/Step_h,0)+1)</f>
        <v>0</v>
      </c>
      <c r="M143" s="14" t="n">
        <f aca="false">1-INDEX(GuardBlock,139,ROUND(C143/Step_h,0)+1)</f>
        <v>0</v>
      </c>
      <c r="N143" s="14" t="n">
        <f aca="false">1-INDEX(GuardBlock,139,ROUND(D143/Step_h,0)+1)</f>
        <v>0</v>
      </c>
      <c r="O143" s="14" t="n">
        <f aca="false">1-INDEX(GuardBlock,139,ROUND(E143/Step_h,0)+1)</f>
        <v>0</v>
      </c>
      <c r="P143" s="14" t="n">
        <f aca="false">1-INDEX(GuardBlock,139,ROUND(F143/Step_h,0)+1)</f>
        <v>0</v>
      </c>
      <c r="Q143" s="14" t="n">
        <f aca="false">1-INDEX(GuardBlock,139,ROUND(G143/Step_h,0)+1)</f>
        <v>0</v>
      </c>
      <c r="R143" s="14" t="n">
        <f aca="false">1-INDEX(GuardBlock,139,ROUND(H143/Step_h,0)+1)</f>
        <v>0</v>
      </c>
      <c r="S143" s="14" t="n">
        <f aca="false">1-INDEX(GuardBlock,139,ROUND(I143/Step_h,0)+1)</f>
        <v>0</v>
      </c>
      <c r="T143" s="14" t="n">
        <f aca="false">1-INDEX(GuardBlock,139,ROUND(J143/Step_h,0)+1)</f>
        <v>0</v>
      </c>
      <c r="U143" s="14" t="n">
        <f aca="false">1-INDEX(GuardBlock,139,ROUND(K143/Step_h,0)+1)</f>
        <v>0</v>
      </c>
      <c r="V143" s="28" t="n">
        <f aca="false">BestRule!W143</f>
        <v>0</v>
      </c>
    </row>
    <row r="144" customFormat="false" ht="15" hidden="false" customHeight="false" outlineLevel="0" collapsed="false">
      <c r="A144" s="18" t="n">
        <f aca="false">Grid!A144</f>
        <v>64.75</v>
      </c>
      <c r="B144" s="20" t="n">
        <v>2.25</v>
      </c>
      <c r="C144" s="20" t="n">
        <v>0.25</v>
      </c>
      <c r="D144" s="20" t="n">
        <v>2.5</v>
      </c>
      <c r="E144" s="20" t="n">
        <v>0.5</v>
      </c>
      <c r="F144" s="20" t="n">
        <v>1.25</v>
      </c>
      <c r="G144" s="20" t="n">
        <v>2.25</v>
      </c>
      <c r="H144" s="20" t="n">
        <v>0</v>
      </c>
      <c r="I144" s="20" t="n">
        <v>1.5</v>
      </c>
      <c r="J144" s="20" t="n">
        <v>2</v>
      </c>
      <c r="K144" s="20" t="n">
        <v>2</v>
      </c>
      <c r="L144" s="14" t="n">
        <f aca="false">1-INDEX(GuardBlock,140,ROUND(B144/Step_h,0)+1)</f>
        <v>0</v>
      </c>
      <c r="M144" s="14" t="n">
        <f aca="false">1-INDEX(GuardBlock,140,ROUND(C144/Step_h,0)+1)</f>
        <v>0</v>
      </c>
      <c r="N144" s="14" t="n">
        <f aca="false">1-INDEX(GuardBlock,140,ROUND(D144/Step_h,0)+1)</f>
        <v>0</v>
      </c>
      <c r="O144" s="14" t="n">
        <f aca="false">1-INDEX(GuardBlock,140,ROUND(E144/Step_h,0)+1)</f>
        <v>0</v>
      </c>
      <c r="P144" s="14" t="n">
        <f aca="false">1-INDEX(GuardBlock,140,ROUND(F144/Step_h,0)+1)</f>
        <v>0</v>
      </c>
      <c r="Q144" s="14" t="n">
        <f aca="false">1-INDEX(GuardBlock,140,ROUND(G144/Step_h,0)+1)</f>
        <v>0</v>
      </c>
      <c r="R144" s="14" t="n">
        <f aca="false">1-INDEX(GuardBlock,140,ROUND(H144/Step_h,0)+1)</f>
        <v>0</v>
      </c>
      <c r="S144" s="14" t="n">
        <f aca="false">1-INDEX(GuardBlock,140,ROUND(I144/Step_h,0)+1)</f>
        <v>0</v>
      </c>
      <c r="T144" s="14" t="n">
        <f aca="false">1-INDEX(GuardBlock,140,ROUND(J144/Step_h,0)+1)</f>
        <v>0</v>
      </c>
      <c r="U144" s="14" t="n">
        <f aca="false">1-INDEX(GuardBlock,140,ROUND(K144/Step_h,0)+1)</f>
        <v>0</v>
      </c>
      <c r="V144" s="28" t="n">
        <f aca="false">BestRule!W144</f>
        <v>0</v>
      </c>
    </row>
    <row r="145" customFormat="false" ht="15" hidden="false" customHeight="false" outlineLevel="0" collapsed="false">
      <c r="A145" s="18" t="n">
        <f aca="false">Grid!A145</f>
        <v>65</v>
      </c>
      <c r="B145" s="20" t="n">
        <v>2.25</v>
      </c>
      <c r="C145" s="20" t="n">
        <v>2</v>
      </c>
      <c r="D145" s="20" t="n">
        <v>2.5</v>
      </c>
      <c r="E145" s="20" t="n">
        <v>2</v>
      </c>
      <c r="F145" s="20" t="n">
        <v>0.75</v>
      </c>
      <c r="G145" s="20" t="n">
        <v>0.25</v>
      </c>
      <c r="H145" s="20" t="n">
        <v>1.75</v>
      </c>
      <c r="I145" s="20" t="n">
        <v>1.5</v>
      </c>
      <c r="J145" s="20" t="n">
        <v>0.5</v>
      </c>
      <c r="K145" s="20" t="n">
        <v>1.5</v>
      </c>
      <c r="L145" s="14" t="n">
        <f aca="false">1-INDEX(GuardBlock,141,ROUND(B145/Step_h,0)+1)</f>
        <v>0</v>
      </c>
      <c r="M145" s="14" t="n">
        <f aca="false">1-INDEX(GuardBlock,141,ROUND(C145/Step_h,0)+1)</f>
        <v>0</v>
      </c>
      <c r="N145" s="14" t="n">
        <f aca="false">1-INDEX(GuardBlock,141,ROUND(D145/Step_h,0)+1)</f>
        <v>0</v>
      </c>
      <c r="O145" s="14" t="n">
        <f aca="false">1-INDEX(GuardBlock,141,ROUND(E145/Step_h,0)+1)</f>
        <v>0</v>
      </c>
      <c r="P145" s="14" t="n">
        <f aca="false">1-INDEX(GuardBlock,141,ROUND(F145/Step_h,0)+1)</f>
        <v>0</v>
      </c>
      <c r="Q145" s="14" t="n">
        <f aca="false">1-INDEX(GuardBlock,141,ROUND(G145/Step_h,0)+1)</f>
        <v>0</v>
      </c>
      <c r="R145" s="14" t="n">
        <f aca="false">1-INDEX(GuardBlock,141,ROUND(H145/Step_h,0)+1)</f>
        <v>0</v>
      </c>
      <c r="S145" s="14" t="n">
        <f aca="false">1-INDEX(GuardBlock,141,ROUND(I145/Step_h,0)+1)</f>
        <v>0</v>
      </c>
      <c r="T145" s="14" t="n">
        <f aca="false">1-INDEX(GuardBlock,141,ROUND(J145/Step_h,0)+1)</f>
        <v>0</v>
      </c>
      <c r="U145" s="14" t="n">
        <f aca="false">1-INDEX(GuardBlock,141,ROUND(K145/Step_h,0)+1)</f>
        <v>0</v>
      </c>
      <c r="V145" s="28" t="n">
        <f aca="false">BestRule!W145</f>
        <v>0</v>
      </c>
    </row>
    <row r="146" customFormat="false" ht="15" hidden="false" customHeight="false" outlineLevel="0" collapsed="false">
      <c r="A146" s="18" t="n">
        <f aca="false">Grid!A146</f>
        <v>65.25</v>
      </c>
      <c r="B146" s="20" t="n">
        <v>2.5</v>
      </c>
      <c r="C146" s="20" t="n">
        <v>2.5</v>
      </c>
      <c r="D146" s="20" t="n">
        <v>2.5</v>
      </c>
      <c r="E146" s="20" t="n">
        <v>2.5</v>
      </c>
      <c r="F146" s="20" t="n">
        <v>1.25</v>
      </c>
      <c r="G146" s="20" t="n">
        <v>1.75</v>
      </c>
      <c r="H146" s="20" t="n">
        <v>0.75</v>
      </c>
      <c r="I146" s="20" t="n">
        <v>2.5</v>
      </c>
      <c r="J146" s="20" t="n">
        <v>1.25</v>
      </c>
      <c r="K146" s="20" t="n">
        <v>2.5</v>
      </c>
      <c r="L146" s="14" t="n">
        <f aca="false">1-INDEX(GuardBlock,142,ROUND(B146/Step_h,0)+1)</f>
        <v>0</v>
      </c>
      <c r="M146" s="14" t="n">
        <f aca="false">1-INDEX(GuardBlock,142,ROUND(C146/Step_h,0)+1)</f>
        <v>0</v>
      </c>
      <c r="N146" s="14" t="n">
        <f aca="false">1-INDEX(GuardBlock,142,ROUND(D146/Step_h,0)+1)</f>
        <v>0</v>
      </c>
      <c r="O146" s="14" t="n">
        <f aca="false">1-INDEX(GuardBlock,142,ROUND(E146/Step_h,0)+1)</f>
        <v>0</v>
      </c>
      <c r="P146" s="14" t="n">
        <f aca="false">1-INDEX(GuardBlock,142,ROUND(F146/Step_h,0)+1)</f>
        <v>0</v>
      </c>
      <c r="Q146" s="14" t="n">
        <f aca="false">1-INDEX(GuardBlock,142,ROUND(G146/Step_h,0)+1)</f>
        <v>0</v>
      </c>
      <c r="R146" s="14" t="n">
        <f aca="false">1-INDEX(GuardBlock,142,ROUND(H146/Step_h,0)+1)</f>
        <v>0</v>
      </c>
      <c r="S146" s="14" t="n">
        <f aca="false">1-INDEX(GuardBlock,142,ROUND(I146/Step_h,0)+1)</f>
        <v>0</v>
      </c>
      <c r="T146" s="14" t="n">
        <f aca="false">1-INDEX(GuardBlock,142,ROUND(J146/Step_h,0)+1)</f>
        <v>0</v>
      </c>
      <c r="U146" s="14" t="n">
        <f aca="false">1-INDEX(GuardBlock,142,ROUND(K146/Step_h,0)+1)</f>
        <v>0</v>
      </c>
      <c r="V146" s="28" t="n">
        <f aca="false">BestRule!W146</f>
        <v>0</v>
      </c>
    </row>
    <row r="147" customFormat="false" ht="15" hidden="false" customHeight="false" outlineLevel="0" collapsed="false">
      <c r="A147" s="18" t="n">
        <f aca="false">Grid!A147</f>
        <v>65.5</v>
      </c>
      <c r="B147" s="20" t="n">
        <v>2.25</v>
      </c>
      <c r="C147" s="20" t="n">
        <v>1.5</v>
      </c>
      <c r="D147" s="20" t="n">
        <v>2</v>
      </c>
      <c r="E147" s="20" t="n">
        <v>1</v>
      </c>
      <c r="F147" s="20" t="n">
        <v>0.5</v>
      </c>
      <c r="G147" s="20" t="n">
        <v>2</v>
      </c>
      <c r="H147" s="20" t="n">
        <v>0</v>
      </c>
      <c r="I147" s="20" t="n">
        <v>2.5</v>
      </c>
      <c r="J147" s="20" t="n">
        <v>2</v>
      </c>
      <c r="K147" s="20" t="n">
        <v>0.5</v>
      </c>
      <c r="L147" s="14" t="n">
        <f aca="false">1-INDEX(GuardBlock,143,ROUND(B147/Step_h,0)+1)</f>
        <v>0</v>
      </c>
      <c r="M147" s="14" t="n">
        <f aca="false">1-INDEX(GuardBlock,143,ROUND(C147/Step_h,0)+1)</f>
        <v>0</v>
      </c>
      <c r="N147" s="14" t="n">
        <f aca="false">1-INDEX(GuardBlock,143,ROUND(D147/Step_h,0)+1)</f>
        <v>0</v>
      </c>
      <c r="O147" s="14" t="n">
        <f aca="false">1-INDEX(GuardBlock,143,ROUND(E147/Step_h,0)+1)</f>
        <v>0</v>
      </c>
      <c r="P147" s="14" t="n">
        <f aca="false">1-INDEX(GuardBlock,143,ROUND(F147/Step_h,0)+1)</f>
        <v>0</v>
      </c>
      <c r="Q147" s="14" t="n">
        <f aca="false">1-INDEX(GuardBlock,143,ROUND(G147/Step_h,0)+1)</f>
        <v>0</v>
      </c>
      <c r="R147" s="14" t="n">
        <f aca="false">1-INDEX(GuardBlock,143,ROUND(H147/Step_h,0)+1)</f>
        <v>0</v>
      </c>
      <c r="S147" s="14" t="n">
        <f aca="false">1-INDEX(GuardBlock,143,ROUND(I147/Step_h,0)+1)</f>
        <v>0</v>
      </c>
      <c r="T147" s="14" t="n">
        <f aca="false">1-INDEX(GuardBlock,143,ROUND(J147/Step_h,0)+1)</f>
        <v>0</v>
      </c>
      <c r="U147" s="14" t="n">
        <f aca="false">1-INDEX(GuardBlock,143,ROUND(K147/Step_h,0)+1)</f>
        <v>0</v>
      </c>
      <c r="V147" s="28" t="n">
        <f aca="false">BestRule!W147</f>
        <v>0</v>
      </c>
    </row>
    <row r="148" customFormat="false" ht="15" hidden="false" customHeight="false" outlineLevel="0" collapsed="false">
      <c r="A148" s="18" t="n">
        <f aca="false">Grid!A148</f>
        <v>65.75</v>
      </c>
      <c r="B148" s="20" t="n">
        <v>2.5</v>
      </c>
      <c r="C148" s="20" t="n">
        <v>1.5</v>
      </c>
      <c r="D148" s="20" t="n">
        <v>2.5</v>
      </c>
      <c r="E148" s="20" t="n">
        <v>2.5</v>
      </c>
      <c r="F148" s="20" t="n">
        <v>0.5</v>
      </c>
      <c r="G148" s="20" t="n">
        <v>2.5</v>
      </c>
      <c r="H148" s="20" t="n">
        <v>0.25</v>
      </c>
      <c r="I148" s="20" t="n">
        <v>2</v>
      </c>
      <c r="J148" s="20" t="n">
        <v>2.5</v>
      </c>
      <c r="K148" s="20" t="n">
        <v>0</v>
      </c>
      <c r="L148" s="14" t="n">
        <f aca="false">1-INDEX(GuardBlock,144,ROUND(B148/Step_h,0)+1)</f>
        <v>0</v>
      </c>
      <c r="M148" s="14" t="n">
        <f aca="false">1-INDEX(GuardBlock,144,ROUND(C148/Step_h,0)+1)</f>
        <v>0</v>
      </c>
      <c r="N148" s="14" t="n">
        <f aca="false">1-INDEX(GuardBlock,144,ROUND(D148/Step_h,0)+1)</f>
        <v>0</v>
      </c>
      <c r="O148" s="14" t="n">
        <f aca="false">1-INDEX(GuardBlock,144,ROUND(E148/Step_h,0)+1)</f>
        <v>0</v>
      </c>
      <c r="P148" s="14" t="n">
        <f aca="false">1-INDEX(GuardBlock,144,ROUND(F148/Step_h,0)+1)</f>
        <v>0</v>
      </c>
      <c r="Q148" s="14" t="n">
        <f aca="false">1-INDEX(GuardBlock,144,ROUND(G148/Step_h,0)+1)</f>
        <v>0</v>
      </c>
      <c r="R148" s="14" t="n">
        <f aca="false">1-INDEX(GuardBlock,144,ROUND(H148/Step_h,0)+1)</f>
        <v>0</v>
      </c>
      <c r="S148" s="14" t="n">
        <f aca="false">1-INDEX(GuardBlock,144,ROUND(I148/Step_h,0)+1)</f>
        <v>0</v>
      </c>
      <c r="T148" s="14" t="n">
        <f aca="false">1-INDEX(GuardBlock,144,ROUND(J148/Step_h,0)+1)</f>
        <v>0</v>
      </c>
      <c r="U148" s="14" t="n">
        <f aca="false">1-INDEX(GuardBlock,144,ROUND(K148/Step_h,0)+1)</f>
        <v>0</v>
      </c>
      <c r="V148" s="28" t="n">
        <f aca="false">BestRule!W148</f>
        <v>0</v>
      </c>
    </row>
    <row r="149" customFormat="false" ht="15" hidden="false" customHeight="false" outlineLevel="0" collapsed="false">
      <c r="A149" s="18" t="n">
        <f aca="false">Grid!A149</f>
        <v>66</v>
      </c>
      <c r="B149" s="20" t="n">
        <v>2.5</v>
      </c>
      <c r="C149" s="20" t="n">
        <v>2.25</v>
      </c>
      <c r="D149" s="20" t="n">
        <v>2</v>
      </c>
      <c r="E149" s="20" t="n">
        <v>2</v>
      </c>
      <c r="F149" s="20" t="n">
        <v>2.5</v>
      </c>
      <c r="G149" s="20" t="n">
        <v>2</v>
      </c>
      <c r="H149" s="20" t="n">
        <v>0.75</v>
      </c>
      <c r="I149" s="20" t="n">
        <v>2</v>
      </c>
      <c r="J149" s="20" t="n">
        <v>0.75</v>
      </c>
      <c r="K149" s="20" t="n">
        <v>0</v>
      </c>
      <c r="L149" s="14" t="n">
        <f aca="false">1-INDEX(GuardBlock,145,ROUND(B149/Step_h,0)+1)</f>
        <v>0</v>
      </c>
      <c r="M149" s="14" t="n">
        <f aca="false">1-INDEX(GuardBlock,145,ROUND(C149/Step_h,0)+1)</f>
        <v>0</v>
      </c>
      <c r="N149" s="14" t="n">
        <f aca="false">1-INDEX(GuardBlock,145,ROUND(D149/Step_h,0)+1)</f>
        <v>0</v>
      </c>
      <c r="O149" s="14" t="n">
        <f aca="false">1-INDEX(GuardBlock,145,ROUND(E149/Step_h,0)+1)</f>
        <v>0</v>
      </c>
      <c r="P149" s="14" t="n">
        <f aca="false">1-INDEX(GuardBlock,145,ROUND(F149/Step_h,0)+1)</f>
        <v>0</v>
      </c>
      <c r="Q149" s="14" t="n">
        <f aca="false">1-INDEX(GuardBlock,145,ROUND(G149/Step_h,0)+1)</f>
        <v>0</v>
      </c>
      <c r="R149" s="14" t="n">
        <f aca="false">1-INDEX(GuardBlock,145,ROUND(H149/Step_h,0)+1)</f>
        <v>0</v>
      </c>
      <c r="S149" s="14" t="n">
        <f aca="false">1-INDEX(GuardBlock,145,ROUND(I149/Step_h,0)+1)</f>
        <v>0</v>
      </c>
      <c r="T149" s="14" t="n">
        <f aca="false">1-INDEX(GuardBlock,145,ROUND(J149/Step_h,0)+1)</f>
        <v>0</v>
      </c>
      <c r="U149" s="14" t="n">
        <f aca="false">1-INDEX(GuardBlock,145,ROUND(K149/Step_h,0)+1)</f>
        <v>0</v>
      </c>
      <c r="V149" s="28" t="n">
        <f aca="false">BestRule!W149</f>
        <v>0</v>
      </c>
    </row>
    <row r="150" customFormat="false" ht="15" hidden="false" customHeight="false" outlineLevel="0" collapsed="false">
      <c r="A150" s="18" t="n">
        <f aca="false">Grid!A150</f>
        <v>66.25</v>
      </c>
      <c r="B150" s="20" t="n">
        <v>2.25</v>
      </c>
      <c r="C150" s="20" t="n">
        <v>2</v>
      </c>
      <c r="D150" s="20" t="n">
        <v>2.25</v>
      </c>
      <c r="E150" s="20" t="n">
        <v>2</v>
      </c>
      <c r="F150" s="20" t="n">
        <v>0.75</v>
      </c>
      <c r="G150" s="20" t="n">
        <v>2.25</v>
      </c>
      <c r="H150" s="20" t="n">
        <v>2.5</v>
      </c>
      <c r="I150" s="20" t="n">
        <v>2.5</v>
      </c>
      <c r="J150" s="20" t="n">
        <v>2</v>
      </c>
      <c r="K150" s="20" t="n">
        <v>2</v>
      </c>
      <c r="L150" s="14" t="n">
        <f aca="false">1-INDEX(GuardBlock,146,ROUND(B150/Step_h,0)+1)</f>
        <v>0</v>
      </c>
      <c r="M150" s="14" t="n">
        <f aca="false">1-INDEX(GuardBlock,146,ROUND(C150/Step_h,0)+1)</f>
        <v>0</v>
      </c>
      <c r="N150" s="14" t="n">
        <f aca="false">1-INDEX(GuardBlock,146,ROUND(D150/Step_h,0)+1)</f>
        <v>0</v>
      </c>
      <c r="O150" s="14" t="n">
        <f aca="false">1-INDEX(GuardBlock,146,ROUND(E150/Step_h,0)+1)</f>
        <v>0</v>
      </c>
      <c r="P150" s="14" t="n">
        <f aca="false">1-INDEX(GuardBlock,146,ROUND(F150/Step_h,0)+1)</f>
        <v>0</v>
      </c>
      <c r="Q150" s="14" t="n">
        <f aca="false">1-INDEX(GuardBlock,146,ROUND(G150/Step_h,0)+1)</f>
        <v>0</v>
      </c>
      <c r="R150" s="14" t="n">
        <f aca="false">1-INDEX(GuardBlock,146,ROUND(H150/Step_h,0)+1)</f>
        <v>0</v>
      </c>
      <c r="S150" s="14" t="n">
        <f aca="false">1-INDEX(GuardBlock,146,ROUND(I150/Step_h,0)+1)</f>
        <v>0</v>
      </c>
      <c r="T150" s="14" t="n">
        <f aca="false">1-INDEX(GuardBlock,146,ROUND(J150/Step_h,0)+1)</f>
        <v>0</v>
      </c>
      <c r="U150" s="14" t="n">
        <f aca="false">1-INDEX(GuardBlock,146,ROUND(K150/Step_h,0)+1)</f>
        <v>0</v>
      </c>
      <c r="V150" s="28" t="n">
        <f aca="false">BestRule!W150</f>
        <v>0</v>
      </c>
    </row>
    <row r="151" customFormat="false" ht="15" hidden="false" customHeight="false" outlineLevel="0" collapsed="false">
      <c r="A151" s="18" t="n">
        <f aca="false">Grid!A151</f>
        <v>66.5</v>
      </c>
      <c r="B151" s="20" t="n">
        <v>0</v>
      </c>
      <c r="C151" s="20" t="n">
        <v>2.25</v>
      </c>
      <c r="D151" s="20" t="n">
        <v>0</v>
      </c>
      <c r="E151" s="20" t="n">
        <v>2.5</v>
      </c>
      <c r="F151" s="20" t="n">
        <v>1.5</v>
      </c>
      <c r="G151" s="20" t="n">
        <v>0.25</v>
      </c>
      <c r="H151" s="20" t="n">
        <v>1.75</v>
      </c>
      <c r="I151" s="20" t="n">
        <v>1</v>
      </c>
      <c r="J151" s="20" t="n">
        <v>0.75</v>
      </c>
      <c r="K151" s="20" t="n">
        <v>0</v>
      </c>
      <c r="L151" s="14" t="n">
        <f aca="false">1-INDEX(GuardBlock,147,ROUND(B151/Step_h,0)+1)</f>
        <v>0</v>
      </c>
      <c r="M151" s="14" t="n">
        <f aca="false">1-INDEX(GuardBlock,147,ROUND(C151/Step_h,0)+1)</f>
        <v>0</v>
      </c>
      <c r="N151" s="14" t="n">
        <f aca="false">1-INDEX(GuardBlock,147,ROUND(D151/Step_h,0)+1)</f>
        <v>0</v>
      </c>
      <c r="O151" s="14" t="n">
        <f aca="false">1-INDEX(GuardBlock,147,ROUND(E151/Step_h,0)+1)</f>
        <v>0</v>
      </c>
      <c r="P151" s="14" t="n">
        <f aca="false">1-INDEX(GuardBlock,147,ROUND(F151/Step_h,0)+1)</f>
        <v>0</v>
      </c>
      <c r="Q151" s="14" t="n">
        <f aca="false">1-INDEX(GuardBlock,147,ROUND(G151/Step_h,0)+1)</f>
        <v>0</v>
      </c>
      <c r="R151" s="14" t="n">
        <f aca="false">1-INDEX(GuardBlock,147,ROUND(H151/Step_h,0)+1)</f>
        <v>0</v>
      </c>
      <c r="S151" s="14" t="n">
        <f aca="false">1-INDEX(GuardBlock,147,ROUND(I151/Step_h,0)+1)</f>
        <v>0</v>
      </c>
      <c r="T151" s="14" t="n">
        <f aca="false">1-INDEX(GuardBlock,147,ROUND(J151/Step_h,0)+1)</f>
        <v>0</v>
      </c>
      <c r="U151" s="14" t="n">
        <f aca="false">1-INDEX(GuardBlock,147,ROUND(K151/Step_h,0)+1)</f>
        <v>0</v>
      </c>
      <c r="V151" s="28" t="n">
        <f aca="false">BestRule!W151</f>
        <v>0</v>
      </c>
    </row>
    <row r="152" customFormat="false" ht="15" hidden="false" customHeight="false" outlineLevel="0" collapsed="false">
      <c r="A152" s="18" t="n">
        <f aca="false">Grid!A152</f>
        <v>66.75</v>
      </c>
      <c r="B152" s="20" t="n">
        <v>0.75</v>
      </c>
      <c r="C152" s="20" t="n">
        <v>0.25</v>
      </c>
      <c r="D152" s="20" t="n">
        <v>2.25</v>
      </c>
      <c r="E152" s="20" t="n">
        <v>2.5</v>
      </c>
      <c r="F152" s="20" t="n">
        <v>1.25</v>
      </c>
      <c r="G152" s="20" t="n">
        <v>2.5</v>
      </c>
      <c r="H152" s="20" t="n">
        <v>1.75</v>
      </c>
      <c r="I152" s="20" t="n">
        <v>1.5</v>
      </c>
      <c r="J152" s="20" t="n">
        <v>1</v>
      </c>
      <c r="K152" s="20" t="n">
        <v>1.5</v>
      </c>
      <c r="L152" s="14" t="n">
        <f aca="false">1-INDEX(GuardBlock,148,ROUND(B152/Step_h,0)+1)</f>
        <v>0</v>
      </c>
      <c r="M152" s="14" t="n">
        <f aca="false">1-INDEX(GuardBlock,148,ROUND(C152/Step_h,0)+1)</f>
        <v>0</v>
      </c>
      <c r="N152" s="14" t="n">
        <f aca="false">1-INDEX(GuardBlock,148,ROUND(D152/Step_h,0)+1)</f>
        <v>0</v>
      </c>
      <c r="O152" s="14" t="n">
        <f aca="false">1-INDEX(GuardBlock,148,ROUND(E152/Step_h,0)+1)</f>
        <v>0</v>
      </c>
      <c r="P152" s="14" t="n">
        <f aca="false">1-INDEX(GuardBlock,148,ROUND(F152/Step_h,0)+1)</f>
        <v>0</v>
      </c>
      <c r="Q152" s="14" t="n">
        <f aca="false">1-INDEX(GuardBlock,148,ROUND(G152/Step_h,0)+1)</f>
        <v>0</v>
      </c>
      <c r="R152" s="14" t="n">
        <f aca="false">1-INDEX(GuardBlock,148,ROUND(H152/Step_h,0)+1)</f>
        <v>0</v>
      </c>
      <c r="S152" s="14" t="n">
        <f aca="false">1-INDEX(GuardBlock,148,ROUND(I152/Step_h,0)+1)</f>
        <v>0</v>
      </c>
      <c r="T152" s="14" t="n">
        <f aca="false">1-INDEX(GuardBlock,148,ROUND(J152/Step_h,0)+1)</f>
        <v>0</v>
      </c>
      <c r="U152" s="14" t="n">
        <f aca="false">1-INDEX(GuardBlock,148,ROUND(K152/Step_h,0)+1)</f>
        <v>0</v>
      </c>
      <c r="V152" s="28" t="n">
        <f aca="false">BestRule!W152</f>
        <v>0</v>
      </c>
    </row>
    <row r="153" customFormat="false" ht="15" hidden="false" customHeight="false" outlineLevel="0" collapsed="false">
      <c r="A153" s="18" t="n">
        <f aca="false">Grid!A153</f>
        <v>67</v>
      </c>
      <c r="B153" s="20" t="n">
        <v>2.25</v>
      </c>
      <c r="C153" s="20" t="n">
        <v>1.5</v>
      </c>
      <c r="D153" s="20" t="n">
        <v>2.5</v>
      </c>
      <c r="E153" s="20" t="n">
        <v>1.75</v>
      </c>
      <c r="F153" s="20" t="n">
        <v>0.5</v>
      </c>
      <c r="G153" s="20" t="n">
        <v>2.25</v>
      </c>
      <c r="H153" s="20" t="n">
        <v>0.5</v>
      </c>
      <c r="I153" s="20" t="n">
        <v>1.5</v>
      </c>
      <c r="J153" s="20" t="n">
        <v>2</v>
      </c>
      <c r="K153" s="20" t="n">
        <v>0.25</v>
      </c>
      <c r="L153" s="14" t="n">
        <f aca="false">1-INDEX(GuardBlock,149,ROUND(B153/Step_h,0)+1)</f>
        <v>0</v>
      </c>
      <c r="M153" s="14" t="n">
        <f aca="false">1-INDEX(GuardBlock,149,ROUND(C153/Step_h,0)+1)</f>
        <v>0</v>
      </c>
      <c r="N153" s="14" t="n">
        <f aca="false">1-INDEX(GuardBlock,149,ROUND(D153/Step_h,0)+1)</f>
        <v>0</v>
      </c>
      <c r="O153" s="14" t="n">
        <f aca="false">1-INDEX(GuardBlock,149,ROUND(E153/Step_h,0)+1)</f>
        <v>0</v>
      </c>
      <c r="P153" s="14" t="n">
        <f aca="false">1-INDEX(GuardBlock,149,ROUND(F153/Step_h,0)+1)</f>
        <v>0</v>
      </c>
      <c r="Q153" s="14" t="n">
        <f aca="false">1-INDEX(GuardBlock,149,ROUND(G153/Step_h,0)+1)</f>
        <v>0</v>
      </c>
      <c r="R153" s="14" t="n">
        <f aca="false">1-INDEX(GuardBlock,149,ROUND(H153/Step_h,0)+1)</f>
        <v>0</v>
      </c>
      <c r="S153" s="14" t="n">
        <f aca="false">1-INDEX(GuardBlock,149,ROUND(I153/Step_h,0)+1)</f>
        <v>0</v>
      </c>
      <c r="T153" s="14" t="n">
        <f aca="false">1-INDEX(GuardBlock,149,ROUND(J153/Step_h,0)+1)</f>
        <v>0</v>
      </c>
      <c r="U153" s="14" t="n">
        <f aca="false">1-INDEX(GuardBlock,149,ROUND(K153/Step_h,0)+1)</f>
        <v>0</v>
      </c>
      <c r="V153" s="28" t="n">
        <f aca="false">BestRule!W153</f>
        <v>0</v>
      </c>
    </row>
    <row r="154" customFormat="false" ht="15" hidden="false" customHeight="false" outlineLevel="0" collapsed="false">
      <c r="A154" s="18" t="n">
        <f aca="false">Grid!A154</f>
        <v>67.25</v>
      </c>
      <c r="B154" s="20" t="n">
        <v>1.75</v>
      </c>
      <c r="C154" s="20" t="n">
        <v>2.25</v>
      </c>
      <c r="D154" s="20" t="n">
        <v>2</v>
      </c>
      <c r="E154" s="20" t="n">
        <v>2.5</v>
      </c>
      <c r="F154" s="20" t="n">
        <v>2.5</v>
      </c>
      <c r="G154" s="20" t="n">
        <v>2</v>
      </c>
      <c r="H154" s="20" t="n">
        <v>2.25</v>
      </c>
      <c r="I154" s="20" t="n">
        <v>2.25</v>
      </c>
      <c r="J154" s="20" t="n">
        <v>1.5</v>
      </c>
      <c r="K154" s="20" t="n">
        <v>1</v>
      </c>
      <c r="L154" s="14" t="n">
        <f aca="false">1-INDEX(GuardBlock,150,ROUND(B154/Step_h,0)+1)</f>
        <v>0</v>
      </c>
      <c r="M154" s="14" t="n">
        <f aca="false">1-INDEX(GuardBlock,150,ROUND(C154/Step_h,0)+1)</f>
        <v>0</v>
      </c>
      <c r="N154" s="14" t="n">
        <f aca="false">1-INDEX(GuardBlock,150,ROUND(D154/Step_h,0)+1)</f>
        <v>0</v>
      </c>
      <c r="O154" s="14" t="n">
        <f aca="false">1-INDEX(GuardBlock,150,ROUND(E154/Step_h,0)+1)</f>
        <v>0</v>
      </c>
      <c r="P154" s="14" t="n">
        <f aca="false">1-INDEX(GuardBlock,150,ROUND(F154/Step_h,0)+1)</f>
        <v>0</v>
      </c>
      <c r="Q154" s="14" t="n">
        <f aca="false">1-INDEX(GuardBlock,150,ROUND(G154/Step_h,0)+1)</f>
        <v>0</v>
      </c>
      <c r="R154" s="14" t="n">
        <f aca="false">1-INDEX(GuardBlock,150,ROUND(H154/Step_h,0)+1)</f>
        <v>0</v>
      </c>
      <c r="S154" s="14" t="n">
        <f aca="false">1-INDEX(GuardBlock,150,ROUND(I154/Step_h,0)+1)</f>
        <v>0</v>
      </c>
      <c r="T154" s="14" t="n">
        <f aca="false">1-INDEX(GuardBlock,150,ROUND(J154/Step_h,0)+1)</f>
        <v>0</v>
      </c>
      <c r="U154" s="14" t="n">
        <f aca="false">1-INDEX(GuardBlock,150,ROUND(K154/Step_h,0)+1)</f>
        <v>0</v>
      </c>
      <c r="V154" s="28" t="n">
        <f aca="false">BestRule!W154</f>
        <v>0</v>
      </c>
    </row>
    <row r="155" customFormat="false" ht="15" hidden="false" customHeight="false" outlineLevel="0" collapsed="false">
      <c r="A155" s="18" t="n">
        <f aca="false">Grid!A155</f>
        <v>67.5</v>
      </c>
      <c r="B155" s="20" t="n">
        <v>2.25</v>
      </c>
      <c r="C155" s="20" t="n">
        <v>0</v>
      </c>
      <c r="D155" s="20" t="n">
        <v>1.75</v>
      </c>
      <c r="E155" s="20" t="n">
        <v>2.25</v>
      </c>
      <c r="F155" s="20" t="n">
        <v>1.5</v>
      </c>
      <c r="G155" s="20" t="n">
        <v>1</v>
      </c>
      <c r="H155" s="20" t="n">
        <v>0.75</v>
      </c>
      <c r="I155" s="20" t="n">
        <v>1</v>
      </c>
      <c r="J155" s="20" t="n">
        <v>2</v>
      </c>
      <c r="K155" s="20" t="n">
        <v>2.5</v>
      </c>
      <c r="L155" s="14" t="n">
        <f aca="false">1-INDEX(GuardBlock,151,ROUND(B155/Step_h,0)+1)</f>
        <v>0</v>
      </c>
      <c r="M155" s="14" t="n">
        <f aca="false">1-INDEX(GuardBlock,151,ROUND(C155/Step_h,0)+1)</f>
        <v>0</v>
      </c>
      <c r="N155" s="14" t="n">
        <f aca="false">1-INDEX(GuardBlock,151,ROUND(D155/Step_h,0)+1)</f>
        <v>0</v>
      </c>
      <c r="O155" s="14" t="n">
        <f aca="false">1-INDEX(GuardBlock,151,ROUND(E155/Step_h,0)+1)</f>
        <v>0</v>
      </c>
      <c r="P155" s="14" t="n">
        <f aca="false">1-INDEX(GuardBlock,151,ROUND(F155/Step_h,0)+1)</f>
        <v>0</v>
      </c>
      <c r="Q155" s="14" t="n">
        <f aca="false">1-INDEX(GuardBlock,151,ROUND(G155/Step_h,0)+1)</f>
        <v>0</v>
      </c>
      <c r="R155" s="14" t="n">
        <f aca="false">1-INDEX(GuardBlock,151,ROUND(H155/Step_h,0)+1)</f>
        <v>0</v>
      </c>
      <c r="S155" s="14" t="n">
        <f aca="false">1-INDEX(GuardBlock,151,ROUND(I155/Step_h,0)+1)</f>
        <v>0</v>
      </c>
      <c r="T155" s="14" t="n">
        <f aca="false">1-INDEX(GuardBlock,151,ROUND(J155/Step_h,0)+1)</f>
        <v>0</v>
      </c>
      <c r="U155" s="14" t="n">
        <f aca="false">1-INDEX(GuardBlock,151,ROUND(K155/Step_h,0)+1)</f>
        <v>0</v>
      </c>
      <c r="V155" s="28" t="n">
        <f aca="false">BestRule!W155</f>
        <v>0</v>
      </c>
    </row>
    <row r="156" customFormat="false" ht="15" hidden="false" customHeight="false" outlineLevel="0" collapsed="false">
      <c r="A156" s="18" t="n">
        <f aca="false">Grid!A156</f>
        <v>67.75</v>
      </c>
      <c r="B156" s="20" t="n">
        <v>2.5</v>
      </c>
      <c r="C156" s="20" t="n">
        <v>0.75</v>
      </c>
      <c r="D156" s="20" t="n">
        <v>2.25</v>
      </c>
      <c r="E156" s="20" t="n">
        <v>1.5</v>
      </c>
      <c r="F156" s="20" t="n">
        <v>1</v>
      </c>
      <c r="G156" s="20" t="n">
        <v>0.25</v>
      </c>
      <c r="H156" s="20" t="n">
        <v>0.75</v>
      </c>
      <c r="I156" s="20" t="n">
        <v>1.75</v>
      </c>
      <c r="J156" s="20" t="n">
        <v>2</v>
      </c>
      <c r="K156" s="20" t="n">
        <v>0.75</v>
      </c>
      <c r="L156" s="14" t="n">
        <f aca="false">1-INDEX(GuardBlock,152,ROUND(B156/Step_h,0)+1)</f>
        <v>0</v>
      </c>
      <c r="M156" s="14" t="n">
        <f aca="false">1-INDEX(GuardBlock,152,ROUND(C156/Step_h,0)+1)</f>
        <v>0</v>
      </c>
      <c r="N156" s="14" t="n">
        <f aca="false">1-INDEX(GuardBlock,152,ROUND(D156/Step_h,0)+1)</f>
        <v>0</v>
      </c>
      <c r="O156" s="14" t="n">
        <f aca="false">1-INDEX(GuardBlock,152,ROUND(E156/Step_h,0)+1)</f>
        <v>0</v>
      </c>
      <c r="P156" s="14" t="n">
        <f aca="false">1-INDEX(GuardBlock,152,ROUND(F156/Step_h,0)+1)</f>
        <v>0</v>
      </c>
      <c r="Q156" s="14" t="n">
        <f aca="false">1-INDEX(GuardBlock,152,ROUND(G156/Step_h,0)+1)</f>
        <v>0</v>
      </c>
      <c r="R156" s="14" t="n">
        <f aca="false">1-INDEX(GuardBlock,152,ROUND(H156/Step_h,0)+1)</f>
        <v>0</v>
      </c>
      <c r="S156" s="14" t="n">
        <f aca="false">1-INDEX(GuardBlock,152,ROUND(I156/Step_h,0)+1)</f>
        <v>0</v>
      </c>
      <c r="T156" s="14" t="n">
        <f aca="false">1-INDEX(GuardBlock,152,ROUND(J156/Step_h,0)+1)</f>
        <v>0</v>
      </c>
      <c r="U156" s="14" t="n">
        <f aca="false">1-INDEX(GuardBlock,152,ROUND(K156/Step_h,0)+1)</f>
        <v>0</v>
      </c>
      <c r="V156" s="28" t="n">
        <f aca="false">BestRule!W156</f>
        <v>0</v>
      </c>
    </row>
    <row r="157" customFormat="false" ht="15" hidden="false" customHeight="false" outlineLevel="0" collapsed="false">
      <c r="A157" s="18" t="n">
        <f aca="false">Grid!A157</f>
        <v>68</v>
      </c>
      <c r="B157" s="20" t="n">
        <v>2.25</v>
      </c>
      <c r="C157" s="20" t="n">
        <v>1</v>
      </c>
      <c r="D157" s="20" t="n">
        <v>2.5</v>
      </c>
      <c r="E157" s="20" t="n">
        <v>2.25</v>
      </c>
      <c r="F157" s="20" t="n">
        <v>1.75</v>
      </c>
      <c r="G157" s="20" t="n">
        <v>1.75</v>
      </c>
      <c r="H157" s="20" t="n">
        <v>2.5</v>
      </c>
      <c r="I157" s="20" t="n">
        <v>0</v>
      </c>
      <c r="J157" s="20" t="n">
        <v>2.5</v>
      </c>
      <c r="K157" s="20" t="n">
        <v>1.25</v>
      </c>
      <c r="L157" s="14" t="n">
        <f aca="false">1-INDEX(GuardBlock,153,ROUND(B157/Step_h,0)+1)</f>
        <v>0</v>
      </c>
      <c r="M157" s="14" t="n">
        <f aca="false">1-INDEX(GuardBlock,153,ROUND(C157/Step_h,0)+1)</f>
        <v>0</v>
      </c>
      <c r="N157" s="14" t="n">
        <f aca="false">1-INDEX(GuardBlock,153,ROUND(D157/Step_h,0)+1)</f>
        <v>0</v>
      </c>
      <c r="O157" s="14" t="n">
        <f aca="false">1-INDEX(GuardBlock,153,ROUND(E157/Step_h,0)+1)</f>
        <v>0</v>
      </c>
      <c r="P157" s="14" t="n">
        <f aca="false">1-INDEX(GuardBlock,153,ROUND(F157/Step_h,0)+1)</f>
        <v>0</v>
      </c>
      <c r="Q157" s="14" t="n">
        <f aca="false">1-INDEX(GuardBlock,153,ROUND(G157/Step_h,0)+1)</f>
        <v>0</v>
      </c>
      <c r="R157" s="14" t="n">
        <f aca="false">1-INDEX(GuardBlock,153,ROUND(H157/Step_h,0)+1)</f>
        <v>0</v>
      </c>
      <c r="S157" s="14" t="n">
        <f aca="false">1-INDEX(GuardBlock,153,ROUND(I157/Step_h,0)+1)</f>
        <v>0</v>
      </c>
      <c r="T157" s="14" t="n">
        <f aca="false">1-INDEX(GuardBlock,153,ROUND(J157/Step_h,0)+1)</f>
        <v>0</v>
      </c>
      <c r="U157" s="14" t="n">
        <f aca="false">1-INDEX(GuardBlock,153,ROUND(K157/Step_h,0)+1)</f>
        <v>0</v>
      </c>
      <c r="V157" s="28" t="n">
        <f aca="false">BestRule!W157</f>
        <v>0</v>
      </c>
    </row>
    <row r="158" customFormat="false" ht="15" hidden="false" customHeight="false" outlineLevel="0" collapsed="false">
      <c r="A158" s="18" t="n">
        <f aca="false">Grid!A158</f>
        <v>68.25</v>
      </c>
      <c r="B158" s="20" t="n">
        <v>2.5</v>
      </c>
      <c r="C158" s="20" t="n">
        <v>2.5</v>
      </c>
      <c r="D158" s="20" t="n">
        <v>2.5</v>
      </c>
      <c r="E158" s="20" t="n">
        <v>0.75</v>
      </c>
      <c r="F158" s="20" t="n">
        <v>2</v>
      </c>
      <c r="G158" s="20" t="n">
        <v>2.5</v>
      </c>
      <c r="H158" s="20" t="n">
        <v>0.5</v>
      </c>
      <c r="I158" s="20" t="n">
        <v>2.5</v>
      </c>
      <c r="J158" s="20" t="n">
        <v>2.25</v>
      </c>
      <c r="K158" s="20" t="n">
        <v>2.25</v>
      </c>
      <c r="L158" s="14" t="n">
        <f aca="false">1-INDEX(GuardBlock,154,ROUND(B158/Step_h,0)+1)</f>
        <v>0</v>
      </c>
      <c r="M158" s="14" t="n">
        <f aca="false">1-INDEX(GuardBlock,154,ROUND(C158/Step_h,0)+1)</f>
        <v>0</v>
      </c>
      <c r="N158" s="14" t="n">
        <f aca="false">1-INDEX(GuardBlock,154,ROUND(D158/Step_h,0)+1)</f>
        <v>0</v>
      </c>
      <c r="O158" s="14" t="n">
        <f aca="false">1-INDEX(GuardBlock,154,ROUND(E158/Step_h,0)+1)</f>
        <v>0</v>
      </c>
      <c r="P158" s="14" t="n">
        <f aca="false">1-INDEX(GuardBlock,154,ROUND(F158/Step_h,0)+1)</f>
        <v>0</v>
      </c>
      <c r="Q158" s="14" t="n">
        <f aca="false">1-INDEX(GuardBlock,154,ROUND(G158/Step_h,0)+1)</f>
        <v>0</v>
      </c>
      <c r="R158" s="14" t="n">
        <f aca="false">1-INDEX(GuardBlock,154,ROUND(H158/Step_h,0)+1)</f>
        <v>0</v>
      </c>
      <c r="S158" s="14" t="n">
        <f aca="false">1-INDEX(GuardBlock,154,ROUND(I158/Step_h,0)+1)</f>
        <v>0</v>
      </c>
      <c r="T158" s="14" t="n">
        <f aca="false">1-INDEX(GuardBlock,154,ROUND(J158/Step_h,0)+1)</f>
        <v>0</v>
      </c>
      <c r="U158" s="14" t="n">
        <f aca="false">1-INDEX(GuardBlock,154,ROUND(K158/Step_h,0)+1)</f>
        <v>0</v>
      </c>
      <c r="V158" s="28" t="n">
        <f aca="false">BestRule!W158</f>
        <v>0</v>
      </c>
    </row>
    <row r="159" customFormat="false" ht="15" hidden="false" customHeight="false" outlineLevel="0" collapsed="false">
      <c r="A159" s="18" t="n">
        <f aca="false">Grid!A159</f>
        <v>68.5</v>
      </c>
      <c r="B159" s="20" t="n">
        <v>1.25</v>
      </c>
      <c r="C159" s="20" t="n">
        <v>1</v>
      </c>
      <c r="D159" s="20" t="n">
        <v>2.25</v>
      </c>
      <c r="E159" s="20" t="n">
        <v>2.5</v>
      </c>
      <c r="F159" s="20" t="n">
        <v>2.5</v>
      </c>
      <c r="G159" s="20" t="n">
        <v>1.75</v>
      </c>
      <c r="H159" s="20" t="n">
        <v>1.25</v>
      </c>
      <c r="I159" s="20" t="n">
        <v>0</v>
      </c>
      <c r="J159" s="20" t="n">
        <v>1.75</v>
      </c>
      <c r="K159" s="20" t="n">
        <v>2.25</v>
      </c>
      <c r="L159" s="14" t="n">
        <f aca="false">1-INDEX(GuardBlock,155,ROUND(B159/Step_h,0)+1)</f>
        <v>0</v>
      </c>
      <c r="M159" s="14" t="n">
        <f aca="false">1-INDEX(GuardBlock,155,ROUND(C159/Step_h,0)+1)</f>
        <v>0</v>
      </c>
      <c r="N159" s="14" t="n">
        <f aca="false">1-INDEX(GuardBlock,155,ROUND(D159/Step_h,0)+1)</f>
        <v>0</v>
      </c>
      <c r="O159" s="14" t="n">
        <f aca="false">1-INDEX(GuardBlock,155,ROUND(E159/Step_h,0)+1)</f>
        <v>0</v>
      </c>
      <c r="P159" s="14" t="n">
        <f aca="false">1-INDEX(GuardBlock,155,ROUND(F159/Step_h,0)+1)</f>
        <v>0</v>
      </c>
      <c r="Q159" s="14" t="n">
        <f aca="false">1-INDEX(GuardBlock,155,ROUND(G159/Step_h,0)+1)</f>
        <v>0</v>
      </c>
      <c r="R159" s="14" t="n">
        <f aca="false">1-INDEX(GuardBlock,155,ROUND(H159/Step_h,0)+1)</f>
        <v>0</v>
      </c>
      <c r="S159" s="14" t="n">
        <f aca="false">1-INDEX(GuardBlock,155,ROUND(I159/Step_h,0)+1)</f>
        <v>0</v>
      </c>
      <c r="T159" s="14" t="n">
        <f aca="false">1-INDEX(GuardBlock,155,ROUND(J159/Step_h,0)+1)</f>
        <v>0</v>
      </c>
      <c r="U159" s="14" t="n">
        <f aca="false">1-INDEX(GuardBlock,155,ROUND(K159/Step_h,0)+1)</f>
        <v>0</v>
      </c>
      <c r="V159" s="28" t="n">
        <f aca="false">BestRule!W159</f>
        <v>0</v>
      </c>
    </row>
    <row r="160" customFormat="false" ht="15" hidden="false" customHeight="false" outlineLevel="0" collapsed="false">
      <c r="A160" s="18" t="n">
        <f aca="false">Grid!A160</f>
        <v>68.75</v>
      </c>
      <c r="B160" s="20" t="n">
        <v>1.5</v>
      </c>
      <c r="C160" s="20" t="n">
        <v>2.25</v>
      </c>
      <c r="D160" s="20" t="n">
        <v>0.75</v>
      </c>
      <c r="E160" s="20" t="n">
        <v>2.5</v>
      </c>
      <c r="F160" s="20" t="n">
        <v>2.25</v>
      </c>
      <c r="G160" s="20" t="n">
        <v>2.25</v>
      </c>
      <c r="H160" s="20" t="n">
        <v>0.75</v>
      </c>
      <c r="I160" s="20" t="n">
        <v>0.75</v>
      </c>
      <c r="J160" s="20" t="n">
        <v>1.5</v>
      </c>
      <c r="K160" s="20" t="n">
        <v>2.5</v>
      </c>
      <c r="L160" s="14" t="n">
        <f aca="false">1-INDEX(GuardBlock,156,ROUND(B160/Step_h,0)+1)</f>
        <v>0</v>
      </c>
      <c r="M160" s="14" t="n">
        <f aca="false">1-INDEX(GuardBlock,156,ROUND(C160/Step_h,0)+1)</f>
        <v>0</v>
      </c>
      <c r="N160" s="14" t="n">
        <f aca="false">1-INDEX(GuardBlock,156,ROUND(D160/Step_h,0)+1)</f>
        <v>0</v>
      </c>
      <c r="O160" s="14" t="n">
        <f aca="false">1-INDEX(GuardBlock,156,ROUND(E160/Step_h,0)+1)</f>
        <v>0</v>
      </c>
      <c r="P160" s="14" t="n">
        <f aca="false">1-INDEX(GuardBlock,156,ROUND(F160/Step_h,0)+1)</f>
        <v>0</v>
      </c>
      <c r="Q160" s="14" t="n">
        <f aca="false">1-INDEX(GuardBlock,156,ROUND(G160/Step_h,0)+1)</f>
        <v>0</v>
      </c>
      <c r="R160" s="14" t="n">
        <f aca="false">1-INDEX(GuardBlock,156,ROUND(H160/Step_h,0)+1)</f>
        <v>0</v>
      </c>
      <c r="S160" s="14" t="n">
        <f aca="false">1-INDEX(GuardBlock,156,ROUND(I160/Step_h,0)+1)</f>
        <v>0</v>
      </c>
      <c r="T160" s="14" t="n">
        <f aca="false">1-INDEX(GuardBlock,156,ROUND(J160/Step_h,0)+1)</f>
        <v>0</v>
      </c>
      <c r="U160" s="14" t="n">
        <f aca="false">1-INDEX(GuardBlock,156,ROUND(K160/Step_h,0)+1)</f>
        <v>0</v>
      </c>
      <c r="V160" s="28" t="n">
        <f aca="false">BestRule!W160</f>
        <v>0</v>
      </c>
    </row>
    <row r="161" customFormat="false" ht="15" hidden="false" customHeight="false" outlineLevel="0" collapsed="false">
      <c r="A161" s="18" t="n">
        <f aca="false">Grid!A161</f>
        <v>69</v>
      </c>
      <c r="B161" s="20" t="n">
        <v>2.5</v>
      </c>
      <c r="C161" s="20" t="n">
        <v>1.25</v>
      </c>
      <c r="D161" s="20" t="n">
        <v>2.25</v>
      </c>
      <c r="E161" s="20" t="n">
        <v>2.25</v>
      </c>
      <c r="F161" s="20" t="n">
        <v>2</v>
      </c>
      <c r="G161" s="20" t="n">
        <v>2.25</v>
      </c>
      <c r="H161" s="20" t="n">
        <v>2</v>
      </c>
      <c r="I161" s="20" t="n">
        <v>2.25</v>
      </c>
      <c r="J161" s="20" t="n">
        <v>1.5</v>
      </c>
      <c r="K161" s="20" t="n">
        <v>2.25</v>
      </c>
      <c r="L161" s="14" t="n">
        <f aca="false">1-INDEX(GuardBlock,157,ROUND(B161/Step_h,0)+1)</f>
        <v>0</v>
      </c>
      <c r="M161" s="14" t="n">
        <f aca="false">1-INDEX(GuardBlock,157,ROUND(C161/Step_h,0)+1)</f>
        <v>0</v>
      </c>
      <c r="N161" s="14" t="n">
        <f aca="false">1-INDEX(GuardBlock,157,ROUND(D161/Step_h,0)+1)</f>
        <v>0</v>
      </c>
      <c r="O161" s="14" t="n">
        <f aca="false">1-INDEX(GuardBlock,157,ROUND(E161/Step_h,0)+1)</f>
        <v>0</v>
      </c>
      <c r="P161" s="14" t="n">
        <f aca="false">1-INDEX(GuardBlock,157,ROUND(F161/Step_h,0)+1)</f>
        <v>0</v>
      </c>
      <c r="Q161" s="14" t="n">
        <f aca="false">1-INDEX(GuardBlock,157,ROUND(G161/Step_h,0)+1)</f>
        <v>0</v>
      </c>
      <c r="R161" s="14" t="n">
        <f aca="false">1-INDEX(GuardBlock,157,ROUND(H161/Step_h,0)+1)</f>
        <v>0</v>
      </c>
      <c r="S161" s="14" t="n">
        <f aca="false">1-INDEX(GuardBlock,157,ROUND(I161/Step_h,0)+1)</f>
        <v>0</v>
      </c>
      <c r="T161" s="14" t="n">
        <f aca="false">1-INDEX(GuardBlock,157,ROUND(J161/Step_h,0)+1)</f>
        <v>0</v>
      </c>
      <c r="U161" s="14" t="n">
        <f aca="false">1-INDEX(GuardBlock,157,ROUND(K161/Step_h,0)+1)</f>
        <v>0</v>
      </c>
      <c r="V161" s="28" t="n">
        <f aca="false">BestRule!W161</f>
        <v>0</v>
      </c>
    </row>
    <row r="162" customFormat="false" ht="15" hidden="false" customHeight="false" outlineLevel="0" collapsed="false">
      <c r="A162" s="18" t="n">
        <f aca="false">Grid!A162</f>
        <v>69.25</v>
      </c>
      <c r="B162" s="20" t="n">
        <v>2.5</v>
      </c>
      <c r="C162" s="20" t="n">
        <v>0.5</v>
      </c>
      <c r="D162" s="20" t="n">
        <v>2.25</v>
      </c>
      <c r="E162" s="20" t="n">
        <v>1.5</v>
      </c>
      <c r="F162" s="20" t="n">
        <v>0.25</v>
      </c>
      <c r="G162" s="20" t="n">
        <v>1.5</v>
      </c>
      <c r="H162" s="20" t="n">
        <v>2.5</v>
      </c>
      <c r="I162" s="20" t="n">
        <v>2.5</v>
      </c>
      <c r="J162" s="20" t="n">
        <v>0.75</v>
      </c>
      <c r="K162" s="20" t="n">
        <v>1.75</v>
      </c>
      <c r="L162" s="14" t="n">
        <f aca="false">1-INDEX(GuardBlock,158,ROUND(B162/Step_h,0)+1)</f>
        <v>0</v>
      </c>
      <c r="M162" s="14" t="n">
        <f aca="false">1-INDEX(GuardBlock,158,ROUND(C162/Step_h,0)+1)</f>
        <v>0</v>
      </c>
      <c r="N162" s="14" t="n">
        <f aca="false">1-INDEX(GuardBlock,158,ROUND(D162/Step_h,0)+1)</f>
        <v>0</v>
      </c>
      <c r="O162" s="14" t="n">
        <f aca="false">1-INDEX(GuardBlock,158,ROUND(E162/Step_h,0)+1)</f>
        <v>0</v>
      </c>
      <c r="P162" s="14" t="n">
        <f aca="false">1-INDEX(GuardBlock,158,ROUND(F162/Step_h,0)+1)</f>
        <v>0</v>
      </c>
      <c r="Q162" s="14" t="n">
        <f aca="false">1-INDEX(GuardBlock,158,ROUND(G162/Step_h,0)+1)</f>
        <v>0</v>
      </c>
      <c r="R162" s="14" t="n">
        <f aca="false">1-INDEX(GuardBlock,158,ROUND(H162/Step_h,0)+1)</f>
        <v>0</v>
      </c>
      <c r="S162" s="14" t="n">
        <f aca="false">1-INDEX(GuardBlock,158,ROUND(I162/Step_h,0)+1)</f>
        <v>0</v>
      </c>
      <c r="T162" s="14" t="n">
        <f aca="false">1-INDEX(GuardBlock,158,ROUND(J162/Step_h,0)+1)</f>
        <v>0</v>
      </c>
      <c r="U162" s="14" t="n">
        <f aca="false">1-INDEX(GuardBlock,158,ROUND(K162/Step_h,0)+1)</f>
        <v>0</v>
      </c>
      <c r="V162" s="28" t="n">
        <f aca="false">BestRule!W162</f>
        <v>0</v>
      </c>
    </row>
    <row r="163" customFormat="false" ht="15" hidden="false" customHeight="false" outlineLevel="0" collapsed="false">
      <c r="A163" s="18" t="n">
        <f aca="false">Grid!A163</f>
        <v>69.5</v>
      </c>
      <c r="B163" s="20" t="n">
        <v>2.25</v>
      </c>
      <c r="C163" s="20" t="n">
        <v>2.25</v>
      </c>
      <c r="D163" s="20" t="n">
        <v>1.75</v>
      </c>
      <c r="E163" s="20" t="n">
        <v>2.25</v>
      </c>
      <c r="F163" s="20" t="n">
        <v>0.25</v>
      </c>
      <c r="G163" s="20" t="n">
        <v>2.5</v>
      </c>
      <c r="H163" s="20" t="n">
        <v>1.75</v>
      </c>
      <c r="I163" s="20" t="n">
        <v>0.75</v>
      </c>
      <c r="J163" s="20" t="n">
        <v>2.25</v>
      </c>
      <c r="K163" s="20" t="n">
        <v>2.25</v>
      </c>
      <c r="L163" s="14" t="n">
        <f aca="false">1-INDEX(GuardBlock,159,ROUND(B163/Step_h,0)+1)</f>
        <v>0</v>
      </c>
      <c r="M163" s="14" t="n">
        <f aca="false">1-INDEX(GuardBlock,159,ROUND(C163/Step_h,0)+1)</f>
        <v>0</v>
      </c>
      <c r="N163" s="14" t="n">
        <f aca="false">1-INDEX(GuardBlock,159,ROUND(D163/Step_h,0)+1)</f>
        <v>0</v>
      </c>
      <c r="O163" s="14" t="n">
        <f aca="false">1-INDEX(GuardBlock,159,ROUND(E163/Step_h,0)+1)</f>
        <v>0</v>
      </c>
      <c r="P163" s="14" t="n">
        <f aca="false">1-INDEX(GuardBlock,159,ROUND(F163/Step_h,0)+1)</f>
        <v>0</v>
      </c>
      <c r="Q163" s="14" t="n">
        <f aca="false">1-INDEX(GuardBlock,159,ROUND(G163/Step_h,0)+1)</f>
        <v>0</v>
      </c>
      <c r="R163" s="14" t="n">
        <f aca="false">1-INDEX(GuardBlock,159,ROUND(H163/Step_h,0)+1)</f>
        <v>0</v>
      </c>
      <c r="S163" s="14" t="n">
        <f aca="false">1-INDEX(GuardBlock,159,ROUND(I163/Step_h,0)+1)</f>
        <v>0</v>
      </c>
      <c r="T163" s="14" t="n">
        <f aca="false">1-INDEX(GuardBlock,159,ROUND(J163/Step_h,0)+1)</f>
        <v>0</v>
      </c>
      <c r="U163" s="14" t="n">
        <f aca="false">1-INDEX(GuardBlock,159,ROUND(K163/Step_h,0)+1)</f>
        <v>0</v>
      </c>
      <c r="V163" s="28" t="n">
        <f aca="false">BestRule!W163</f>
        <v>0</v>
      </c>
    </row>
    <row r="164" customFormat="false" ht="15" hidden="false" customHeight="false" outlineLevel="0" collapsed="false">
      <c r="A164" s="18" t="n">
        <f aca="false">Grid!A164</f>
        <v>69.75</v>
      </c>
      <c r="B164" s="20" t="n">
        <v>2.5</v>
      </c>
      <c r="C164" s="20" t="n">
        <v>2</v>
      </c>
      <c r="D164" s="20" t="n">
        <v>2</v>
      </c>
      <c r="E164" s="20" t="n">
        <v>2.5</v>
      </c>
      <c r="F164" s="20" t="n">
        <v>2.5</v>
      </c>
      <c r="G164" s="20" t="n">
        <v>0</v>
      </c>
      <c r="H164" s="20" t="n">
        <v>2.5</v>
      </c>
      <c r="I164" s="20" t="n">
        <v>2</v>
      </c>
      <c r="J164" s="20" t="n">
        <v>1.25</v>
      </c>
      <c r="K164" s="20" t="n">
        <v>2.5</v>
      </c>
      <c r="L164" s="14" t="n">
        <f aca="false">1-INDEX(GuardBlock,160,ROUND(B164/Step_h,0)+1)</f>
        <v>0</v>
      </c>
      <c r="M164" s="14" t="n">
        <f aca="false">1-INDEX(GuardBlock,160,ROUND(C164/Step_h,0)+1)</f>
        <v>0</v>
      </c>
      <c r="N164" s="14" t="n">
        <f aca="false">1-INDEX(GuardBlock,160,ROUND(D164/Step_h,0)+1)</f>
        <v>0</v>
      </c>
      <c r="O164" s="14" t="n">
        <f aca="false">1-INDEX(GuardBlock,160,ROUND(E164/Step_h,0)+1)</f>
        <v>0</v>
      </c>
      <c r="P164" s="14" t="n">
        <f aca="false">1-INDEX(GuardBlock,160,ROUND(F164/Step_h,0)+1)</f>
        <v>0</v>
      </c>
      <c r="Q164" s="14" t="n">
        <f aca="false">1-INDEX(GuardBlock,160,ROUND(G164/Step_h,0)+1)</f>
        <v>0</v>
      </c>
      <c r="R164" s="14" t="n">
        <f aca="false">1-INDEX(GuardBlock,160,ROUND(H164/Step_h,0)+1)</f>
        <v>0</v>
      </c>
      <c r="S164" s="14" t="n">
        <f aca="false">1-INDEX(GuardBlock,160,ROUND(I164/Step_h,0)+1)</f>
        <v>0</v>
      </c>
      <c r="T164" s="14" t="n">
        <f aca="false">1-INDEX(GuardBlock,160,ROUND(J164/Step_h,0)+1)</f>
        <v>0</v>
      </c>
      <c r="U164" s="14" t="n">
        <f aca="false">1-INDEX(GuardBlock,160,ROUND(K164/Step_h,0)+1)</f>
        <v>0</v>
      </c>
      <c r="V164" s="28" t="n">
        <f aca="false">BestRule!W164</f>
        <v>0</v>
      </c>
    </row>
    <row r="165" customFormat="false" ht="15" hidden="false" customHeight="false" outlineLevel="0" collapsed="false">
      <c r="A165" s="18" t="n">
        <f aca="false">Grid!A165</f>
        <v>70</v>
      </c>
      <c r="B165" s="20" t="n">
        <v>0.25</v>
      </c>
      <c r="C165" s="20" t="n">
        <v>1.5</v>
      </c>
      <c r="D165" s="20" t="n">
        <v>2.5</v>
      </c>
      <c r="E165" s="20" t="n">
        <v>2</v>
      </c>
      <c r="F165" s="20" t="n">
        <v>0.75</v>
      </c>
      <c r="G165" s="20" t="n">
        <v>1</v>
      </c>
      <c r="H165" s="20" t="n">
        <v>2</v>
      </c>
      <c r="I165" s="20" t="n">
        <v>2</v>
      </c>
      <c r="J165" s="20" t="n">
        <v>1.25</v>
      </c>
      <c r="K165" s="20" t="n">
        <v>1.25</v>
      </c>
      <c r="L165" s="14" t="n">
        <f aca="false">1-INDEX(GuardBlock,161,ROUND(B165/Step_h,0)+1)</f>
        <v>0</v>
      </c>
      <c r="M165" s="14" t="n">
        <f aca="false">1-INDEX(GuardBlock,161,ROUND(C165/Step_h,0)+1)</f>
        <v>0</v>
      </c>
      <c r="N165" s="14" t="n">
        <f aca="false">1-INDEX(GuardBlock,161,ROUND(D165/Step_h,0)+1)</f>
        <v>0</v>
      </c>
      <c r="O165" s="14" t="n">
        <f aca="false">1-INDEX(GuardBlock,161,ROUND(E165/Step_h,0)+1)</f>
        <v>0</v>
      </c>
      <c r="P165" s="14" t="n">
        <f aca="false">1-INDEX(GuardBlock,161,ROUND(F165/Step_h,0)+1)</f>
        <v>0</v>
      </c>
      <c r="Q165" s="14" t="n">
        <f aca="false">1-INDEX(GuardBlock,161,ROUND(G165/Step_h,0)+1)</f>
        <v>0</v>
      </c>
      <c r="R165" s="14" t="n">
        <f aca="false">1-INDEX(GuardBlock,161,ROUND(H165/Step_h,0)+1)</f>
        <v>0</v>
      </c>
      <c r="S165" s="14" t="n">
        <f aca="false">1-INDEX(GuardBlock,161,ROUND(I165/Step_h,0)+1)</f>
        <v>0</v>
      </c>
      <c r="T165" s="14" t="n">
        <f aca="false">1-INDEX(GuardBlock,161,ROUND(J165/Step_h,0)+1)</f>
        <v>0</v>
      </c>
      <c r="U165" s="14" t="n">
        <f aca="false">1-INDEX(GuardBlock,161,ROUND(K165/Step_h,0)+1)</f>
        <v>0</v>
      </c>
      <c r="V165" s="28" t="n">
        <f aca="false">BestRule!W165</f>
        <v>0</v>
      </c>
    </row>
    <row r="166" customFormat="false" ht="15" hidden="false" customHeight="false" outlineLevel="0" collapsed="false">
      <c r="A166" s="18" t="n">
        <f aca="false">Grid!A166</f>
        <v>70.25</v>
      </c>
      <c r="B166" s="20" t="n">
        <v>2.25</v>
      </c>
      <c r="C166" s="20" t="n">
        <v>1</v>
      </c>
      <c r="D166" s="20" t="n">
        <v>2.5</v>
      </c>
      <c r="E166" s="20" t="n">
        <v>2.25</v>
      </c>
      <c r="F166" s="20" t="n">
        <v>2</v>
      </c>
      <c r="G166" s="20" t="n">
        <v>0.75</v>
      </c>
      <c r="H166" s="20" t="n">
        <v>0</v>
      </c>
      <c r="I166" s="20" t="n">
        <v>2</v>
      </c>
      <c r="J166" s="20" t="n">
        <v>2</v>
      </c>
      <c r="K166" s="20" t="n">
        <v>1.25</v>
      </c>
      <c r="L166" s="14" t="n">
        <f aca="false">1-INDEX(GuardBlock,162,ROUND(B166/Step_h,0)+1)</f>
        <v>0</v>
      </c>
      <c r="M166" s="14" t="n">
        <f aca="false">1-INDEX(GuardBlock,162,ROUND(C166/Step_h,0)+1)</f>
        <v>0</v>
      </c>
      <c r="N166" s="14" t="n">
        <f aca="false">1-INDEX(GuardBlock,162,ROUND(D166/Step_h,0)+1)</f>
        <v>0</v>
      </c>
      <c r="O166" s="14" t="n">
        <f aca="false">1-INDEX(GuardBlock,162,ROUND(E166/Step_h,0)+1)</f>
        <v>0</v>
      </c>
      <c r="P166" s="14" t="n">
        <f aca="false">1-INDEX(GuardBlock,162,ROUND(F166/Step_h,0)+1)</f>
        <v>0</v>
      </c>
      <c r="Q166" s="14" t="n">
        <f aca="false">1-INDEX(GuardBlock,162,ROUND(G166/Step_h,0)+1)</f>
        <v>0</v>
      </c>
      <c r="R166" s="14" t="n">
        <f aca="false">1-INDEX(GuardBlock,162,ROUND(H166/Step_h,0)+1)</f>
        <v>0</v>
      </c>
      <c r="S166" s="14" t="n">
        <f aca="false">1-INDEX(GuardBlock,162,ROUND(I166/Step_h,0)+1)</f>
        <v>0</v>
      </c>
      <c r="T166" s="14" t="n">
        <f aca="false">1-INDEX(GuardBlock,162,ROUND(J166/Step_h,0)+1)</f>
        <v>0</v>
      </c>
      <c r="U166" s="14" t="n">
        <f aca="false">1-INDEX(GuardBlock,162,ROUND(K166/Step_h,0)+1)</f>
        <v>0</v>
      </c>
      <c r="V166" s="28" t="n">
        <f aca="false">BestRule!W166</f>
        <v>0</v>
      </c>
    </row>
    <row r="167" customFormat="false" ht="15" hidden="false" customHeight="false" outlineLevel="0" collapsed="false">
      <c r="A167" s="18" t="n">
        <f aca="false">Grid!A167</f>
        <v>70.5</v>
      </c>
      <c r="B167" s="20" t="n">
        <v>2.25</v>
      </c>
      <c r="C167" s="20" t="n">
        <v>0.25</v>
      </c>
      <c r="D167" s="20" t="n">
        <v>2.5</v>
      </c>
      <c r="E167" s="20" t="n">
        <v>2.5</v>
      </c>
      <c r="F167" s="20" t="n">
        <v>0.5</v>
      </c>
      <c r="G167" s="20" t="n">
        <v>2.5</v>
      </c>
      <c r="H167" s="20" t="n">
        <v>2.25</v>
      </c>
      <c r="I167" s="20" t="n">
        <v>2.5</v>
      </c>
      <c r="J167" s="20" t="n">
        <v>2.5</v>
      </c>
      <c r="K167" s="20" t="n">
        <v>1.75</v>
      </c>
      <c r="L167" s="14" t="n">
        <f aca="false">1-INDEX(GuardBlock,163,ROUND(B167/Step_h,0)+1)</f>
        <v>0</v>
      </c>
      <c r="M167" s="14" t="n">
        <f aca="false">1-INDEX(GuardBlock,163,ROUND(C167/Step_h,0)+1)</f>
        <v>0</v>
      </c>
      <c r="N167" s="14" t="n">
        <f aca="false">1-INDEX(GuardBlock,163,ROUND(D167/Step_h,0)+1)</f>
        <v>0</v>
      </c>
      <c r="O167" s="14" t="n">
        <f aca="false">1-INDEX(GuardBlock,163,ROUND(E167/Step_h,0)+1)</f>
        <v>0</v>
      </c>
      <c r="P167" s="14" t="n">
        <f aca="false">1-INDEX(GuardBlock,163,ROUND(F167/Step_h,0)+1)</f>
        <v>0</v>
      </c>
      <c r="Q167" s="14" t="n">
        <f aca="false">1-INDEX(GuardBlock,163,ROUND(G167/Step_h,0)+1)</f>
        <v>0</v>
      </c>
      <c r="R167" s="14" t="n">
        <f aca="false">1-INDEX(GuardBlock,163,ROUND(H167/Step_h,0)+1)</f>
        <v>0</v>
      </c>
      <c r="S167" s="14" t="n">
        <f aca="false">1-INDEX(GuardBlock,163,ROUND(I167/Step_h,0)+1)</f>
        <v>0</v>
      </c>
      <c r="T167" s="14" t="n">
        <f aca="false">1-INDEX(GuardBlock,163,ROUND(J167/Step_h,0)+1)</f>
        <v>0</v>
      </c>
      <c r="U167" s="14" t="n">
        <f aca="false">1-INDEX(GuardBlock,163,ROUND(K167/Step_h,0)+1)</f>
        <v>0</v>
      </c>
      <c r="V167" s="28" t="n">
        <f aca="false">BestRule!W167</f>
        <v>0</v>
      </c>
    </row>
    <row r="168" customFormat="false" ht="15" hidden="false" customHeight="false" outlineLevel="0" collapsed="false">
      <c r="A168" s="18" t="n">
        <f aca="false">Grid!A168</f>
        <v>70.75</v>
      </c>
      <c r="B168" s="20" t="n">
        <v>1.5</v>
      </c>
      <c r="C168" s="20" t="n">
        <v>0.75</v>
      </c>
      <c r="D168" s="20" t="n">
        <v>2.25</v>
      </c>
      <c r="E168" s="20" t="n">
        <v>1.75</v>
      </c>
      <c r="F168" s="20" t="n">
        <v>0.5</v>
      </c>
      <c r="G168" s="20" t="n">
        <v>2.5</v>
      </c>
      <c r="H168" s="20" t="n">
        <v>2.5</v>
      </c>
      <c r="I168" s="20" t="n">
        <v>1.25</v>
      </c>
      <c r="J168" s="20" t="n">
        <v>2.5</v>
      </c>
      <c r="K168" s="20" t="n">
        <v>2.25</v>
      </c>
      <c r="L168" s="14" t="n">
        <f aca="false">1-INDEX(GuardBlock,164,ROUND(B168/Step_h,0)+1)</f>
        <v>0</v>
      </c>
      <c r="M168" s="14" t="n">
        <f aca="false">1-INDEX(GuardBlock,164,ROUND(C168/Step_h,0)+1)</f>
        <v>0</v>
      </c>
      <c r="N168" s="14" t="n">
        <f aca="false">1-INDEX(GuardBlock,164,ROUND(D168/Step_h,0)+1)</f>
        <v>0</v>
      </c>
      <c r="O168" s="14" t="n">
        <f aca="false">1-INDEX(GuardBlock,164,ROUND(E168/Step_h,0)+1)</f>
        <v>0</v>
      </c>
      <c r="P168" s="14" t="n">
        <f aca="false">1-INDEX(GuardBlock,164,ROUND(F168/Step_h,0)+1)</f>
        <v>0</v>
      </c>
      <c r="Q168" s="14" t="n">
        <f aca="false">1-INDEX(GuardBlock,164,ROUND(G168/Step_h,0)+1)</f>
        <v>0</v>
      </c>
      <c r="R168" s="14" t="n">
        <f aca="false">1-INDEX(GuardBlock,164,ROUND(H168/Step_h,0)+1)</f>
        <v>0</v>
      </c>
      <c r="S168" s="14" t="n">
        <f aca="false">1-INDEX(GuardBlock,164,ROUND(I168/Step_h,0)+1)</f>
        <v>0</v>
      </c>
      <c r="T168" s="14" t="n">
        <f aca="false">1-INDEX(GuardBlock,164,ROUND(J168/Step_h,0)+1)</f>
        <v>0</v>
      </c>
      <c r="U168" s="14" t="n">
        <f aca="false">1-INDEX(GuardBlock,164,ROUND(K168/Step_h,0)+1)</f>
        <v>0</v>
      </c>
      <c r="V168" s="28" t="n">
        <f aca="false">BestRule!W168</f>
        <v>0</v>
      </c>
    </row>
    <row r="169" customFormat="false" ht="15" hidden="false" customHeight="false" outlineLevel="0" collapsed="false">
      <c r="A169" s="18" t="n">
        <f aca="false">Grid!A169</f>
        <v>71</v>
      </c>
      <c r="B169" s="20" t="n">
        <v>2.5</v>
      </c>
      <c r="C169" s="20" t="n">
        <v>1.25</v>
      </c>
      <c r="D169" s="20" t="n">
        <v>2.5</v>
      </c>
      <c r="E169" s="20" t="n">
        <v>2.5</v>
      </c>
      <c r="F169" s="20" t="n">
        <v>2.25</v>
      </c>
      <c r="G169" s="20" t="n">
        <v>1.25</v>
      </c>
      <c r="H169" s="20" t="n">
        <v>0.75</v>
      </c>
      <c r="I169" s="20" t="n">
        <v>0.5</v>
      </c>
      <c r="J169" s="20" t="n">
        <v>1.75</v>
      </c>
      <c r="K169" s="20" t="n">
        <v>2.5</v>
      </c>
      <c r="L169" s="14" t="n">
        <f aca="false">1-INDEX(GuardBlock,165,ROUND(B169/Step_h,0)+1)</f>
        <v>0</v>
      </c>
      <c r="M169" s="14" t="n">
        <f aca="false">1-INDEX(GuardBlock,165,ROUND(C169/Step_h,0)+1)</f>
        <v>0</v>
      </c>
      <c r="N169" s="14" t="n">
        <f aca="false">1-INDEX(GuardBlock,165,ROUND(D169/Step_h,0)+1)</f>
        <v>0</v>
      </c>
      <c r="O169" s="14" t="n">
        <f aca="false">1-INDEX(GuardBlock,165,ROUND(E169/Step_h,0)+1)</f>
        <v>0</v>
      </c>
      <c r="P169" s="14" t="n">
        <f aca="false">1-INDEX(GuardBlock,165,ROUND(F169/Step_h,0)+1)</f>
        <v>0</v>
      </c>
      <c r="Q169" s="14" t="n">
        <f aca="false">1-INDEX(GuardBlock,165,ROUND(G169/Step_h,0)+1)</f>
        <v>0</v>
      </c>
      <c r="R169" s="14" t="n">
        <f aca="false">1-INDEX(GuardBlock,165,ROUND(H169/Step_h,0)+1)</f>
        <v>0</v>
      </c>
      <c r="S169" s="14" t="n">
        <f aca="false">1-INDEX(GuardBlock,165,ROUND(I169/Step_h,0)+1)</f>
        <v>0</v>
      </c>
      <c r="T169" s="14" t="n">
        <f aca="false">1-INDEX(GuardBlock,165,ROUND(J169/Step_h,0)+1)</f>
        <v>0</v>
      </c>
      <c r="U169" s="14" t="n">
        <f aca="false">1-INDEX(GuardBlock,165,ROUND(K169/Step_h,0)+1)</f>
        <v>0</v>
      </c>
      <c r="V169" s="28" t="n">
        <f aca="false">BestRule!W169</f>
        <v>0</v>
      </c>
    </row>
    <row r="170" customFormat="false" ht="15" hidden="false" customHeight="false" outlineLevel="0" collapsed="false">
      <c r="A170" s="18" t="n">
        <f aca="false">Grid!A170</f>
        <v>71.25</v>
      </c>
      <c r="B170" s="20" t="n">
        <v>1.5</v>
      </c>
      <c r="C170" s="20" t="n">
        <v>1.25</v>
      </c>
      <c r="D170" s="20" t="n">
        <v>1.75</v>
      </c>
      <c r="E170" s="20" t="n">
        <v>2.5</v>
      </c>
      <c r="F170" s="20" t="n">
        <v>1</v>
      </c>
      <c r="G170" s="20" t="n">
        <v>2</v>
      </c>
      <c r="H170" s="20" t="n">
        <v>1.5</v>
      </c>
      <c r="I170" s="20" t="n">
        <v>2</v>
      </c>
      <c r="J170" s="20" t="n">
        <v>2.5</v>
      </c>
      <c r="K170" s="20" t="n">
        <v>2</v>
      </c>
      <c r="L170" s="14" t="n">
        <f aca="false">1-INDEX(GuardBlock,166,ROUND(B170/Step_h,0)+1)</f>
        <v>0</v>
      </c>
      <c r="M170" s="14" t="n">
        <f aca="false">1-INDEX(GuardBlock,166,ROUND(C170/Step_h,0)+1)</f>
        <v>0</v>
      </c>
      <c r="N170" s="14" t="n">
        <f aca="false">1-INDEX(GuardBlock,166,ROUND(D170/Step_h,0)+1)</f>
        <v>0</v>
      </c>
      <c r="O170" s="14" t="n">
        <f aca="false">1-INDEX(GuardBlock,166,ROUND(E170/Step_h,0)+1)</f>
        <v>0</v>
      </c>
      <c r="P170" s="14" t="n">
        <f aca="false">1-INDEX(GuardBlock,166,ROUND(F170/Step_h,0)+1)</f>
        <v>0</v>
      </c>
      <c r="Q170" s="14" t="n">
        <f aca="false">1-INDEX(GuardBlock,166,ROUND(G170/Step_h,0)+1)</f>
        <v>0</v>
      </c>
      <c r="R170" s="14" t="n">
        <f aca="false">1-INDEX(GuardBlock,166,ROUND(H170/Step_h,0)+1)</f>
        <v>0</v>
      </c>
      <c r="S170" s="14" t="n">
        <f aca="false">1-INDEX(GuardBlock,166,ROUND(I170/Step_h,0)+1)</f>
        <v>0</v>
      </c>
      <c r="T170" s="14" t="n">
        <f aca="false">1-INDEX(GuardBlock,166,ROUND(J170/Step_h,0)+1)</f>
        <v>0</v>
      </c>
      <c r="U170" s="14" t="n">
        <f aca="false">1-INDEX(GuardBlock,166,ROUND(K170/Step_h,0)+1)</f>
        <v>0</v>
      </c>
      <c r="V170" s="28" t="n">
        <f aca="false">BestRule!W170</f>
        <v>0</v>
      </c>
    </row>
    <row r="171" customFormat="false" ht="15" hidden="false" customHeight="false" outlineLevel="0" collapsed="false">
      <c r="A171" s="18" t="n">
        <f aca="false">Grid!A171</f>
        <v>71.5</v>
      </c>
      <c r="B171" s="20" t="n">
        <v>0.25</v>
      </c>
      <c r="C171" s="20" t="n">
        <v>0</v>
      </c>
      <c r="D171" s="20" t="n">
        <v>2</v>
      </c>
      <c r="E171" s="20" t="n">
        <v>2.5</v>
      </c>
      <c r="F171" s="20" t="n">
        <v>2.25</v>
      </c>
      <c r="G171" s="20" t="n">
        <v>1.75</v>
      </c>
      <c r="H171" s="20" t="n">
        <v>2</v>
      </c>
      <c r="I171" s="20" t="n">
        <v>1.5</v>
      </c>
      <c r="J171" s="20" t="n">
        <v>2.25</v>
      </c>
      <c r="K171" s="20" t="n">
        <v>0</v>
      </c>
      <c r="L171" s="14" t="n">
        <f aca="false">1-INDEX(GuardBlock,167,ROUND(B171/Step_h,0)+1)</f>
        <v>0</v>
      </c>
      <c r="M171" s="14" t="n">
        <f aca="false">1-INDEX(GuardBlock,167,ROUND(C171/Step_h,0)+1)</f>
        <v>0</v>
      </c>
      <c r="N171" s="14" t="n">
        <f aca="false">1-INDEX(GuardBlock,167,ROUND(D171/Step_h,0)+1)</f>
        <v>0</v>
      </c>
      <c r="O171" s="14" t="n">
        <f aca="false">1-INDEX(GuardBlock,167,ROUND(E171/Step_h,0)+1)</f>
        <v>0</v>
      </c>
      <c r="P171" s="14" t="n">
        <f aca="false">1-INDEX(GuardBlock,167,ROUND(F171/Step_h,0)+1)</f>
        <v>0</v>
      </c>
      <c r="Q171" s="14" t="n">
        <f aca="false">1-INDEX(GuardBlock,167,ROUND(G171/Step_h,0)+1)</f>
        <v>0</v>
      </c>
      <c r="R171" s="14" t="n">
        <f aca="false">1-INDEX(GuardBlock,167,ROUND(H171/Step_h,0)+1)</f>
        <v>0</v>
      </c>
      <c r="S171" s="14" t="n">
        <f aca="false">1-INDEX(GuardBlock,167,ROUND(I171/Step_h,0)+1)</f>
        <v>0</v>
      </c>
      <c r="T171" s="14" t="n">
        <f aca="false">1-INDEX(GuardBlock,167,ROUND(J171/Step_h,0)+1)</f>
        <v>0</v>
      </c>
      <c r="U171" s="14" t="n">
        <f aca="false">1-INDEX(GuardBlock,167,ROUND(K171/Step_h,0)+1)</f>
        <v>0</v>
      </c>
      <c r="V171" s="28" t="n">
        <f aca="false">BestRule!W171</f>
        <v>0</v>
      </c>
    </row>
    <row r="172" customFormat="false" ht="15" hidden="false" customHeight="false" outlineLevel="0" collapsed="false">
      <c r="A172" s="18" t="n">
        <f aca="false">Grid!A172</f>
        <v>71.75</v>
      </c>
      <c r="B172" s="20" t="n">
        <v>2.5</v>
      </c>
      <c r="C172" s="20" t="n">
        <v>2</v>
      </c>
      <c r="D172" s="20" t="n">
        <v>2</v>
      </c>
      <c r="E172" s="20" t="n">
        <v>2.5</v>
      </c>
      <c r="F172" s="20" t="n">
        <v>2.5</v>
      </c>
      <c r="G172" s="20" t="n">
        <v>0.75</v>
      </c>
      <c r="H172" s="20" t="n">
        <v>2.5</v>
      </c>
      <c r="I172" s="20" t="n">
        <v>2.5</v>
      </c>
      <c r="J172" s="20" t="n">
        <v>2.5</v>
      </c>
      <c r="K172" s="20" t="n">
        <v>2.5</v>
      </c>
      <c r="L172" s="14" t="n">
        <f aca="false">1-INDEX(GuardBlock,168,ROUND(B172/Step_h,0)+1)</f>
        <v>0</v>
      </c>
      <c r="M172" s="14" t="n">
        <f aca="false">1-INDEX(GuardBlock,168,ROUND(C172/Step_h,0)+1)</f>
        <v>0</v>
      </c>
      <c r="N172" s="14" t="n">
        <f aca="false">1-INDEX(GuardBlock,168,ROUND(D172/Step_h,0)+1)</f>
        <v>0</v>
      </c>
      <c r="O172" s="14" t="n">
        <f aca="false">1-INDEX(GuardBlock,168,ROUND(E172/Step_h,0)+1)</f>
        <v>0</v>
      </c>
      <c r="P172" s="14" t="n">
        <f aca="false">1-INDEX(GuardBlock,168,ROUND(F172/Step_h,0)+1)</f>
        <v>0</v>
      </c>
      <c r="Q172" s="14" t="n">
        <f aca="false">1-INDEX(GuardBlock,168,ROUND(G172/Step_h,0)+1)</f>
        <v>0</v>
      </c>
      <c r="R172" s="14" t="n">
        <f aca="false">1-INDEX(GuardBlock,168,ROUND(H172/Step_h,0)+1)</f>
        <v>0</v>
      </c>
      <c r="S172" s="14" t="n">
        <f aca="false">1-INDEX(GuardBlock,168,ROUND(I172/Step_h,0)+1)</f>
        <v>0</v>
      </c>
      <c r="T172" s="14" t="n">
        <f aca="false">1-INDEX(GuardBlock,168,ROUND(J172/Step_h,0)+1)</f>
        <v>0</v>
      </c>
      <c r="U172" s="14" t="n">
        <f aca="false">1-INDEX(GuardBlock,168,ROUND(K172/Step_h,0)+1)</f>
        <v>0</v>
      </c>
      <c r="V172" s="28" t="n">
        <f aca="false">BestRule!W172</f>
        <v>0</v>
      </c>
    </row>
    <row r="173" customFormat="false" ht="15" hidden="false" customHeight="false" outlineLevel="0" collapsed="false">
      <c r="A173" s="18" t="n">
        <f aca="false">Grid!A173</f>
        <v>72</v>
      </c>
      <c r="B173" s="20" t="n">
        <v>1.75</v>
      </c>
      <c r="C173" s="20" t="n">
        <v>2.5</v>
      </c>
      <c r="D173" s="20" t="n">
        <v>1.75</v>
      </c>
      <c r="E173" s="20" t="n">
        <v>2.5</v>
      </c>
      <c r="F173" s="20" t="n">
        <v>1.75</v>
      </c>
      <c r="G173" s="20" t="n">
        <v>1</v>
      </c>
      <c r="H173" s="20" t="n">
        <v>0.25</v>
      </c>
      <c r="I173" s="20" t="n">
        <v>2.5</v>
      </c>
      <c r="J173" s="20" t="n">
        <v>1.25</v>
      </c>
      <c r="K173" s="20" t="n">
        <v>0.25</v>
      </c>
      <c r="L173" s="14" t="n">
        <f aca="false">1-INDEX(GuardBlock,169,ROUND(B173/Step_h,0)+1)</f>
        <v>0</v>
      </c>
      <c r="M173" s="14" t="n">
        <f aca="false">1-INDEX(GuardBlock,169,ROUND(C173/Step_h,0)+1)</f>
        <v>0</v>
      </c>
      <c r="N173" s="14" t="n">
        <f aca="false">1-INDEX(GuardBlock,169,ROUND(D173/Step_h,0)+1)</f>
        <v>0</v>
      </c>
      <c r="O173" s="14" t="n">
        <f aca="false">1-INDEX(GuardBlock,169,ROUND(E173/Step_h,0)+1)</f>
        <v>0</v>
      </c>
      <c r="P173" s="14" t="n">
        <f aca="false">1-INDEX(GuardBlock,169,ROUND(F173/Step_h,0)+1)</f>
        <v>0</v>
      </c>
      <c r="Q173" s="14" t="n">
        <f aca="false">1-INDEX(GuardBlock,169,ROUND(G173/Step_h,0)+1)</f>
        <v>0</v>
      </c>
      <c r="R173" s="14" t="n">
        <f aca="false">1-INDEX(GuardBlock,169,ROUND(H173/Step_h,0)+1)</f>
        <v>0</v>
      </c>
      <c r="S173" s="14" t="n">
        <f aca="false">1-INDEX(GuardBlock,169,ROUND(I173/Step_h,0)+1)</f>
        <v>0</v>
      </c>
      <c r="T173" s="14" t="n">
        <f aca="false">1-INDEX(GuardBlock,169,ROUND(J173/Step_h,0)+1)</f>
        <v>0</v>
      </c>
      <c r="U173" s="14" t="n">
        <f aca="false">1-INDEX(GuardBlock,169,ROUND(K173/Step_h,0)+1)</f>
        <v>0</v>
      </c>
      <c r="V173" s="28" t="n">
        <f aca="false">BestRule!W173</f>
        <v>0</v>
      </c>
    </row>
    <row r="174" customFormat="false" ht="15" hidden="false" customHeight="false" outlineLevel="0" collapsed="false">
      <c r="A174" s="18" t="n">
        <f aca="false">Grid!A174</f>
        <v>72.25</v>
      </c>
      <c r="B174" s="20" t="n">
        <v>2.5</v>
      </c>
      <c r="C174" s="20" t="n">
        <v>1.75</v>
      </c>
      <c r="D174" s="20" t="n">
        <v>2.25</v>
      </c>
      <c r="E174" s="20" t="n">
        <v>2</v>
      </c>
      <c r="F174" s="20" t="n">
        <v>0.5</v>
      </c>
      <c r="G174" s="20" t="n">
        <v>2.5</v>
      </c>
      <c r="H174" s="20" t="n">
        <v>2.25</v>
      </c>
      <c r="I174" s="20" t="n">
        <v>2.5</v>
      </c>
      <c r="J174" s="20" t="n">
        <v>2.5</v>
      </c>
      <c r="K174" s="20" t="n">
        <v>1.75</v>
      </c>
      <c r="L174" s="14" t="n">
        <f aca="false">1-INDEX(GuardBlock,170,ROUND(B174/Step_h,0)+1)</f>
        <v>0</v>
      </c>
      <c r="M174" s="14" t="n">
        <f aca="false">1-INDEX(GuardBlock,170,ROUND(C174/Step_h,0)+1)</f>
        <v>0</v>
      </c>
      <c r="N174" s="14" t="n">
        <f aca="false">1-INDEX(GuardBlock,170,ROUND(D174/Step_h,0)+1)</f>
        <v>0</v>
      </c>
      <c r="O174" s="14" t="n">
        <f aca="false">1-INDEX(GuardBlock,170,ROUND(E174/Step_h,0)+1)</f>
        <v>0</v>
      </c>
      <c r="P174" s="14" t="n">
        <f aca="false">1-INDEX(GuardBlock,170,ROUND(F174/Step_h,0)+1)</f>
        <v>0</v>
      </c>
      <c r="Q174" s="14" t="n">
        <f aca="false">1-INDEX(GuardBlock,170,ROUND(G174/Step_h,0)+1)</f>
        <v>0</v>
      </c>
      <c r="R174" s="14" t="n">
        <f aca="false">1-INDEX(GuardBlock,170,ROUND(H174/Step_h,0)+1)</f>
        <v>0</v>
      </c>
      <c r="S174" s="14" t="n">
        <f aca="false">1-INDEX(GuardBlock,170,ROUND(I174/Step_h,0)+1)</f>
        <v>0</v>
      </c>
      <c r="T174" s="14" t="n">
        <f aca="false">1-INDEX(GuardBlock,170,ROUND(J174/Step_h,0)+1)</f>
        <v>0</v>
      </c>
      <c r="U174" s="14" t="n">
        <f aca="false">1-INDEX(GuardBlock,170,ROUND(K174/Step_h,0)+1)</f>
        <v>0</v>
      </c>
      <c r="V174" s="28" t="n">
        <f aca="false">BestRule!W174</f>
        <v>0</v>
      </c>
    </row>
    <row r="175" customFormat="false" ht="15" hidden="false" customHeight="false" outlineLevel="0" collapsed="false">
      <c r="A175" s="18" t="n">
        <f aca="false">Grid!A175</f>
        <v>72.5</v>
      </c>
      <c r="B175" s="20" t="n">
        <v>2.5</v>
      </c>
      <c r="C175" s="20" t="n">
        <v>1.75</v>
      </c>
      <c r="D175" s="20" t="n">
        <v>2.5</v>
      </c>
      <c r="E175" s="20" t="n">
        <v>2.5</v>
      </c>
      <c r="F175" s="20" t="n">
        <v>0</v>
      </c>
      <c r="G175" s="20" t="n">
        <v>2.5</v>
      </c>
      <c r="H175" s="20" t="n">
        <v>2</v>
      </c>
      <c r="I175" s="20" t="n">
        <v>2.5</v>
      </c>
      <c r="J175" s="20" t="n">
        <v>2.5</v>
      </c>
      <c r="K175" s="20" t="n">
        <v>1</v>
      </c>
      <c r="L175" s="14" t="n">
        <f aca="false">1-INDEX(GuardBlock,171,ROUND(B175/Step_h,0)+1)</f>
        <v>0</v>
      </c>
      <c r="M175" s="14" t="n">
        <f aca="false">1-INDEX(GuardBlock,171,ROUND(C175/Step_h,0)+1)</f>
        <v>0</v>
      </c>
      <c r="N175" s="14" t="n">
        <f aca="false">1-INDEX(GuardBlock,171,ROUND(D175/Step_h,0)+1)</f>
        <v>0</v>
      </c>
      <c r="O175" s="14" t="n">
        <f aca="false">1-INDEX(GuardBlock,171,ROUND(E175/Step_h,0)+1)</f>
        <v>0</v>
      </c>
      <c r="P175" s="14" t="n">
        <f aca="false">1-INDEX(GuardBlock,171,ROUND(F175/Step_h,0)+1)</f>
        <v>0</v>
      </c>
      <c r="Q175" s="14" t="n">
        <f aca="false">1-INDEX(GuardBlock,171,ROUND(G175/Step_h,0)+1)</f>
        <v>0</v>
      </c>
      <c r="R175" s="14" t="n">
        <f aca="false">1-INDEX(GuardBlock,171,ROUND(H175/Step_h,0)+1)</f>
        <v>0</v>
      </c>
      <c r="S175" s="14" t="n">
        <f aca="false">1-INDEX(GuardBlock,171,ROUND(I175/Step_h,0)+1)</f>
        <v>0</v>
      </c>
      <c r="T175" s="14" t="n">
        <f aca="false">1-INDEX(GuardBlock,171,ROUND(J175/Step_h,0)+1)</f>
        <v>0</v>
      </c>
      <c r="U175" s="14" t="n">
        <f aca="false">1-INDEX(GuardBlock,171,ROUND(K175/Step_h,0)+1)</f>
        <v>0</v>
      </c>
      <c r="V175" s="28" t="n">
        <f aca="false">BestRule!W175</f>
        <v>0</v>
      </c>
    </row>
    <row r="176" customFormat="false" ht="15" hidden="false" customHeight="false" outlineLevel="0" collapsed="false">
      <c r="A176" s="18" t="n">
        <f aca="false">Grid!A176</f>
        <v>72.75</v>
      </c>
      <c r="B176" s="20" t="n">
        <v>2</v>
      </c>
      <c r="C176" s="20" t="n">
        <v>1.5</v>
      </c>
      <c r="D176" s="20" t="n">
        <v>0.25</v>
      </c>
      <c r="E176" s="20" t="n">
        <v>0.25</v>
      </c>
      <c r="F176" s="20" t="n">
        <v>1.75</v>
      </c>
      <c r="G176" s="20" t="n">
        <v>2.5</v>
      </c>
      <c r="H176" s="20" t="n">
        <v>1.25</v>
      </c>
      <c r="I176" s="20" t="n">
        <v>1.75</v>
      </c>
      <c r="J176" s="20" t="n">
        <v>2.5</v>
      </c>
      <c r="K176" s="20" t="n">
        <v>1.25</v>
      </c>
      <c r="L176" s="14" t="n">
        <f aca="false">1-INDEX(GuardBlock,172,ROUND(B176/Step_h,0)+1)</f>
        <v>0</v>
      </c>
      <c r="M176" s="14" t="n">
        <f aca="false">1-INDEX(GuardBlock,172,ROUND(C176/Step_h,0)+1)</f>
        <v>0</v>
      </c>
      <c r="N176" s="14" t="n">
        <f aca="false">1-INDEX(GuardBlock,172,ROUND(D176/Step_h,0)+1)</f>
        <v>0</v>
      </c>
      <c r="O176" s="14" t="n">
        <f aca="false">1-INDEX(GuardBlock,172,ROUND(E176/Step_h,0)+1)</f>
        <v>0</v>
      </c>
      <c r="P176" s="14" t="n">
        <f aca="false">1-INDEX(GuardBlock,172,ROUND(F176/Step_h,0)+1)</f>
        <v>0</v>
      </c>
      <c r="Q176" s="14" t="n">
        <f aca="false">1-INDEX(GuardBlock,172,ROUND(G176/Step_h,0)+1)</f>
        <v>0</v>
      </c>
      <c r="R176" s="14" t="n">
        <f aca="false">1-INDEX(GuardBlock,172,ROUND(H176/Step_h,0)+1)</f>
        <v>0</v>
      </c>
      <c r="S176" s="14" t="n">
        <f aca="false">1-INDEX(GuardBlock,172,ROUND(I176/Step_h,0)+1)</f>
        <v>0</v>
      </c>
      <c r="T176" s="14" t="n">
        <f aca="false">1-INDEX(GuardBlock,172,ROUND(J176/Step_h,0)+1)</f>
        <v>0</v>
      </c>
      <c r="U176" s="14" t="n">
        <f aca="false">1-INDEX(GuardBlock,172,ROUND(K176/Step_h,0)+1)</f>
        <v>0</v>
      </c>
      <c r="V176" s="28" t="n">
        <f aca="false">BestRule!W176</f>
        <v>0</v>
      </c>
    </row>
    <row r="177" customFormat="false" ht="15" hidden="false" customHeight="false" outlineLevel="0" collapsed="false">
      <c r="A177" s="18" t="n">
        <f aca="false">Grid!A177</f>
        <v>73</v>
      </c>
      <c r="B177" s="20" t="n">
        <v>0.75</v>
      </c>
      <c r="C177" s="20" t="n">
        <v>2.25</v>
      </c>
      <c r="D177" s="20" t="n">
        <v>2</v>
      </c>
      <c r="E177" s="20" t="n">
        <v>2.5</v>
      </c>
      <c r="F177" s="20" t="n">
        <v>1.25</v>
      </c>
      <c r="G177" s="20" t="n">
        <v>0.75</v>
      </c>
      <c r="H177" s="20" t="n">
        <v>1.75</v>
      </c>
      <c r="I177" s="20" t="n">
        <v>0.75</v>
      </c>
      <c r="J177" s="20" t="n">
        <v>2.25</v>
      </c>
      <c r="K177" s="20" t="n">
        <v>2.5</v>
      </c>
      <c r="L177" s="14" t="n">
        <f aca="false">1-INDEX(GuardBlock,173,ROUND(B177/Step_h,0)+1)</f>
        <v>0</v>
      </c>
      <c r="M177" s="14" t="n">
        <f aca="false">1-INDEX(GuardBlock,173,ROUND(C177/Step_h,0)+1)</f>
        <v>0</v>
      </c>
      <c r="N177" s="14" t="n">
        <f aca="false">1-INDEX(GuardBlock,173,ROUND(D177/Step_h,0)+1)</f>
        <v>0</v>
      </c>
      <c r="O177" s="14" t="n">
        <f aca="false">1-INDEX(GuardBlock,173,ROUND(E177/Step_h,0)+1)</f>
        <v>0</v>
      </c>
      <c r="P177" s="14" t="n">
        <f aca="false">1-INDEX(GuardBlock,173,ROUND(F177/Step_h,0)+1)</f>
        <v>0</v>
      </c>
      <c r="Q177" s="14" t="n">
        <f aca="false">1-INDEX(GuardBlock,173,ROUND(G177/Step_h,0)+1)</f>
        <v>0</v>
      </c>
      <c r="R177" s="14" t="n">
        <f aca="false">1-INDEX(GuardBlock,173,ROUND(H177/Step_h,0)+1)</f>
        <v>0</v>
      </c>
      <c r="S177" s="14" t="n">
        <f aca="false">1-INDEX(GuardBlock,173,ROUND(I177/Step_h,0)+1)</f>
        <v>0</v>
      </c>
      <c r="T177" s="14" t="n">
        <f aca="false">1-INDEX(GuardBlock,173,ROUND(J177/Step_h,0)+1)</f>
        <v>0</v>
      </c>
      <c r="U177" s="14" t="n">
        <f aca="false">1-INDEX(GuardBlock,173,ROUND(K177/Step_h,0)+1)</f>
        <v>0</v>
      </c>
      <c r="V177" s="28" t="n">
        <f aca="false">BestRule!W177</f>
        <v>0</v>
      </c>
    </row>
    <row r="178" customFormat="false" ht="15" hidden="false" customHeight="false" outlineLevel="0" collapsed="false">
      <c r="A178" s="18" t="n">
        <f aca="false">Grid!A178</f>
        <v>73.25</v>
      </c>
      <c r="B178" s="20" t="n">
        <v>1.5</v>
      </c>
      <c r="C178" s="20" t="n">
        <v>1.75</v>
      </c>
      <c r="D178" s="20" t="n">
        <v>2.5</v>
      </c>
      <c r="E178" s="20" t="n">
        <v>2.5</v>
      </c>
      <c r="F178" s="20" t="n">
        <v>1.75</v>
      </c>
      <c r="G178" s="20" t="n">
        <v>1.5</v>
      </c>
      <c r="H178" s="20" t="n">
        <v>0.5</v>
      </c>
      <c r="I178" s="20" t="n">
        <v>1.75</v>
      </c>
      <c r="J178" s="20" t="n">
        <v>2.25</v>
      </c>
      <c r="K178" s="20" t="n">
        <v>1</v>
      </c>
      <c r="L178" s="14" t="n">
        <f aca="false">1-INDEX(GuardBlock,174,ROUND(B178/Step_h,0)+1)</f>
        <v>0</v>
      </c>
      <c r="M178" s="14" t="n">
        <f aca="false">1-INDEX(GuardBlock,174,ROUND(C178/Step_h,0)+1)</f>
        <v>0</v>
      </c>
      <c r="N178" s="14" t="n">
        <f aca="false">1-INDEX(GuardBlock,174,ROUND(D178/Step_h,0)+1)</f>
        <v>0</v>
      </c>
      <c r="O178" s="14" t="n">
        <f aca="false">1-INDEX(GuardBlock,174,ROUND(E178/Step_h,0)+1)</f>
        <v>0</v>
      </c>
      <c r="P178" s="14" t="n">
        <f aca="false">1-INDEX(GuardBlock,174,ROUND(F178/Step_h,0)+1)</f>
        <v>0</v>
      </c>
      <c r="Q178" s="14" t="n">
        <f aca="false">1-INDEX(GuardBlock,174,ROUND(G178/Step_h,0)+1)</f>
        <v>0</v>
      </c>
      <c r="R178" s="14" t="n">
        <f aca="false">1-INDEX(GuardBlock,174,ROUND(H178/Step_h,0)+1)</f>
        <v>0</v>
      </c>
      <c r="S178" s="14" t="n">
        <f aca="false">1-INDEX(GuardBlock,174,ROUND(I178/Step_h,0)+1)</f>
        <v>0</v>
      </c>
      <c r="T178" s="14" t="n">
        <f aca="false">1-INDEX(GuardBlock,174,ROUND(J178/Step_h,0)+1)</f>
        <v>0</v>
      </c>
      <c r="U178" s="14" t="n">
        <f aca="false">1-INDEX(GuardBlock,174,ROUND(K178/Step_h,0)+1)</f>
        <v>0</v>
      </c>
      <c r="V178" s="28" t="n">
        <f aca="false">BestRule!W178</f>
        <v>0</v>
      </c>
    </row>
    <row r="179" customFormat="false" ht="15" hidden="false" customHeight="false" outlineLevel="0" collapsed="false">
      <c r="A179" s="18" t="n">
        <f aca="false">Grid!A179</f>
        <v>73.5</v>
      </c>
      <c r="B179" s="20" t="n">
        <v>1.25</v>
      </c>
      <c r="C179" s="20" t="n">
        <v>2.5</v>
      </c>
      <c r="D179" s="20" t="n">
        <v>1.25</v>
      </c>
      <c r="E179" s="20" t="n">
        <v>1.25</v>
      </c>
      <c r="F179" s="20" t="n">
        <v>0.5</v>
      </c>
      <c r="G179" s="20" t="n">
        <v>2.5</v>
      </c>
      <c r="H179" s="20" t="n">
        <v>2.25</v>
      </c>
      <c r="I179" s="20" t="n">
        <v>2</v>
      </c>
      <c r="J179" s="20" t="n">
        <v>2.25</v>
      </c>
      <c r="K179" s="20" t="n">
        <v>2</v>
      </c>
      <c r="L179" s="14" t="n">
        <f aca="false">1-INDEX(GuardBlock,175,ROUND(B179/Step_h,0)+1)</f>
        <v>0</v>
      </c>
      <c r="M179" s="14" t="n">
        <f aca="false">1-INDEX(GuardBlock,175,ROUND(C179/Step_h,0)+1)</f>
        <v>0</v>
      </c>
      <c r="N179" s="14" t="n">
        <f aca="false">1-INDEX(GuardBlock,175,ROUND(D179/Step_h,0)+1)</f>
        <v>0</v>
      </c>
      <c r="O179" s="14" t="n">
        <f aca="false">1-INDEX(GuardBlock,175,ROUND(E179/Step_h,0)+1)</f>
        <v>0</v>
      </c>
      <c r="P179" s="14" t="n">
        <f aca="false">1-INDEX(GuardBlock,175,ROUND(F179/Step_h,0)+1)</f>
        <v>0</v>
      </c>
      <c r="Q179" s="14" t="n">
        <f aca="false">1-INDEX(GuardBlock,175,ROUND(G179/Step_h,0)+1)</f>
        <v>0</v>
      </c>
      <c r="R179" s="14" t="n">
        <f aca="false">1-INDEX(GuardBlock,175,ROUND(H179/Step_h,0)+1)</f>
        <v>0</v>
      </c>
      <c r="S179" s="14" t="n">
        <f aca="false">1-INDEX(GuardBlock,175,ROUND(I179/Step_h,0)+1)</f>
        <v>0</v>
      </c>
      <c r="T179" s="14" t="n">
        <f aca="false">1-INDEX(GuardBlock,175,ROUND(J179/Step_h,0)+1)</f>
        <v>0</v>
      </c>
      <c r="U179" s="14" t="n">
        <f aca="false">1-INDEX(GuardBlock,175,ROUND(K179/Step_h,0)+1)</f>
        <v>0</v>
      </c>
      <c r="V179" s="28" t="n">
        <f aca="false">BestRule!W179</f>
        <v>0</v>
      </c>
    </row>
    <row r="180" customFormat="false" ht="15" hidden="false" customHeight="false" outlineLevel="0" collapsed="false">
      <c r="A180" s="18" t="n">
        <f aca="false">Grid!A180</f>
        <v>73.75</v>
      </c>
      <c r="B180" s="20" t="n">
        <v>2.25</v>
      </c>
      <c r="C180" s="20" t="n">
        <v>0.75</v>
      </c>
      <c r="D180" s="20" t="n">
        <v>2.5</v>
      </c>
      <c r="E180" s="20" t="n">
        <v>2.5</v>
      </c>
      <c r="F180" s="20" t="n">
        <v>0</v>
      </c>
      <c r="G180" s="20" t="n">
        <v>1.75</v>
      </c>
      <c r="H180" s="20" t="n">
        <v>2.25</v>
      </c>
      <c r="I180" s="20" t="n">
        <v>2.5</v>
      </c>
      <c r="J180" s="20" t="n">
        <v>2.5</v>
      </c>
      <c r="K180" s="20" t="n">
        <v>1.5</v>
      </c>
      <c r="L180" s="14" t="n">
        <f aca="false">1-INDEX(GuardBlock,176,ROUND(B180/Step_h,0)+1)</f>
        <v>0</v>
      </c>
      <c r="M180" s="14" t="n">
        <f aca="false">1-INDEX(GuardBlock,176,ROUND(C180/Step_h,0)+1)</f>
        <v>0</v>
      </c>
      <c r="N180" s="14" t="n">
        <f aca="false">1-INDEX(GuardBlock,176,ROUND(D180/Step_h,0)+1)</f>
        <v>0</v>
      </c>
      <c r="O180" s="14" t="n">
        <f aca="false">1-INDEX(GuardBlock,176,ROUND(E180/Step_h,0)+1)</f>
        <v>0</v>
      </c>
      <c r="P180" s="14" t="n">
        <f aca="false">1-INDEX(GuardBlock,176,ROUND(F180/Step_h,0)+1)</f>
        <v>0</v>
      </c>
      <c r="Q180" s="14" t="n">
        <f aca="false">1-INDEX(GuardBlock,176,ROUND(G180/Step_h,0)+1)</f>
        <v>0</v>
      </c>
      <c r="R180" s="14" t="n">
        <f aca="false">1-INDEX(GuardBlock,176,ROUND(H180/Step_h,0)+1)</f>
        <v>0</v>
      </c>
      <c r="S180" s="14" t="n">
        <f aca="false">1-INDEX(GuardBlock,176,ROUND(I180/Step_h,0)+1)</f>
        <v>0</v>
      </c>
      <c r="T180" s="14" t="n">
        <f aca="false">1-INDEX(GuardBlock,176,ROUND(J180/Step_h,0)+1)</f>
        <v>0</v>
      </c>
      <c r="U180" s="14" t="n">
        <f aca="false">1-INDEX(GuardBlock,176,ROUND(K180/Step_h,0)+1)</f>
        <v>0</v>
      </c>
      <c r="V180" s="28" t="n">
        <f aca="false">BestRule!W180</f>
        <v>0</v>
      </c>
    </row>
    <row r="181" customFormat="false" ht="15" hidden="false" customHeight="false" outlineLevel="0" collapsed="false">
      <c r="A181" s="18" t="n">
        <f aca="false">Grid!A181</f>
        <v>74</v>
      </c>
      <c r="B181" s="20" t="n">
        <v>2.5</v>
      </c>
      <c r="C181" s="20" t="n">
        <v>2.5</v>
      </c>
      <c r="D181" s="20" t="n">
        <v>1.75</v>
      </c>
      <c r="E181" s="20" t="n">
        <v>2.5</v>
      </c>
      <c r="F181" s="20" t="n">
        <v>2.5</v>
      </c>
      <c r="G181" s="20" t="n">
        <v>1.75</v>
      </c>
      <c r="H181" s="20" t="n">
        <v>2.25</v>
      </c>
      <c r="I181" s="20" t="n">
        <v>2.25</v>
      </c>
      <c r="J181" s="20" t="n">
        <v>2.5</v>
      </c>
      <c r="K181" s="20" t="n">
        <v>1.75</v>
      </c>
      <c r="L181" s="14" t="n">
        <f aca="false">1-INDEX(GuardBlock,177,ROUND(B181/Step_h,0)+1)</f>
        <v>0</v>
      </c>
      <c r="M181" s="14" t="n">
        <f aca="false">1-INDEX(GuardBlock,177,ROUND(C181/Step_h,0)+1)</f>
        <v>0</v>
      </c>
      <c r="N181" s="14" t="n">
        <f aca="false">1-INDEX(GuardBlock,177,ROUND(D181/Step_h,0)+1)</f>
        <v>0</v>
      </c>
      <c r="O181" s="14" t="n">
        <f aca="false">1-INDEX(GuardBlock,177,ROUND(E181/Step_h,0)+1)</f>
        <v>0</v>
      </c>
      <c r="P181" s="14" t="n">
        <f aca="false">1-INDEX(GuardBlock,177,ROUND(F181/Step_h,0)+1)</f>
        <v>0</v>
      </c>
      <c r="Q181" s="14" t="n">
        <f aca="false">1-INDEX(GuardBlock,177,ROUND(G181/Step_h,0)+1)</f>
        <v>0</v>
      </c>
      <c r="R181" s="14" t="n">
        <f aca="false">1-INDEX(GuardBlock,177,ROUND(H181/Step_h,0)+1)</f>
        <v>0</v>
      </c>
      <c r="S181" s="14" t="n">
        <f aca="false">1-INDEX(GuardBlock,177,ROUND(I181/Step_h,0)+1)</f>
        <v>0</v>
      </c>
      <c r="T181" s="14" t="n">
        <f aca="false">1-INDEX(GuardBlock,177,ROUND(J181/Step_h,0)+1)</f>
        <v>0</v>
      </c>
      <c r="U181" s="14" t="n">
        <f aca="false">1-INDEX(GuardBlock,177,ROUND(K181/Step_h,0)+1)</f>
        <v>0</v>
      </c>
      <c r="V181" s="28" t="n">
        <f aca="false">BestRule!W181</f>
        <v>0</v>
      </c>
    </row>
    <row r="182" customFormat="false" ht="15" hidden="false" customHeight="false" outlineLevel="0" collapsed="false">
      <c r="A182" s="18" t="n">
        <f aca="false">Grid!A182</f>
        <v>74.25</v>
      </c>
      <c r="B182" s="20" t="n">
        <v>0.25</v>
      </c>
      <c r="C182" s="20" t="n">
        <v>2.5</v>
      </c>
      <c r="D182" s="20" t="n">
        <v>0</v>
      </c>
      <c r="E182" s="20" t="n">
        <v>2.5</v>
      </c>
      <c r="F182" s="20" t="n">
        <v>2.25</v>
      </c>
      <c r="G182" s="20" t="n">
        <v>2.5</v>
      </c>
      <c r="H182" s="20" t="n">
        <v>2.5</v>
      </c>
      <c r="I182" s="20" t="n">
        <v>2.5</v>
      </c>
      <c r="J182" s="20" t="n">
        <v>2.25</v>
      </c>
      <c r="K182" s="20" t="n">
        <v>2</v>
      </c>
      <c r="L182" s="14" t="n">
        <f aca="false">1-INDEX(GuardBlock,178,ROUND(B182/Step_h,0)+1)</f>
        <v>0</v>
      </c>
      <c r="M182" s="14" t="n">
        <f aca="false">1-INDEX(GuardBlock,178,ROUND(C182/Step_h,0)+1)</f>
        <v>0</v>
      </c>
      <c r="N182" s="14" t="n">
        <f aca="false">1-INDEX(GuardBlock,178,ROUND(D182/Step_h,0)+1)</f>
        <v>0</v>
      </c>
      <c r="O182" s="14" t="n">
        <f aca="false">1-INDEX(GuardBlock,178,ROUND(E182/Step_h,0)+1)</f>
        <v>0</v>
      </c>
      <c r="P182" s="14" t="n">
        <f aca="false">1-INDEX(GuardBlock,178,ROUND(F182/Step_h,0)+1)</f>
        <v>0</v>
      </c>
      <c r="Q182" s="14" t="n">
        <f aca="false">1-INDEX(GuardBlock,178,ROUND(G182/Step_h,0)+1)</f>
        <v>0</v>
      </c>
      <c r="R182" s="14" t="n">
        <f aca="false">1-INDEX(GuardBlock,178,ROUND(H182/Step_h,0)+1)</f>
        <v>0</v>
      </c>
      <c r="S182" s="14" t="n">
        <f aca="false">1-INDEX(GuardBlock,178,ROUND(I182/Step_h,0)+1)</f>
        <v>0</v>
      </c>
      <c r="T182" s="14" t="n">
        <f aca="false">1-INDEX(GuardBlock,178,ROUND(J182/Step_h,0)+1)</f>
        <v>0</v>
      </c>
      <c r="U182" s="14" t="n">
        <f aca="false">1-INDEX(GuardBlock,178,ROUND(K182/Step_h,0)+1)</f>
        <v>0</v>
      </c>
      <c r="V182" s="28" t="n">
        <f aca="false">BestRule!W182</f>
        <v>0</v>
      </c>
    </row>
    <row r="183" customFormat="false" ht="15" hidden="false" customHeight="false" outlineLevel="0" collapsed="false">
      <c r="A183" s="18" t="n">
        <f aca="false">Grid!A183</f>
        <v>74.5</v>
      </c>
      <c r="B183" s="20" t="n">
        <v>2.5</v>
      </c>
      <c r="C183" s="20" t="n">
        <v>2.25</v>
      </c>
      <c r="D183" s="20" t="n">
        <v>1.75</v>
      </c>
      <c r="E183" s="20" t="n">
        <v>0.75</v>
      </c>
      <c r="F183" s="20" t="n">
        <v>1.75</v>
      </c>
      <c r="G183" s="20" t="n">
        <v>0</v>
      </c>
      <c r="H183" s="20" t="n">
        <v>2</v>
      </c>
      <c r="I183" s="20" t="n">
        <v>2</v>
      </c>
      <c r="J183" s="20" t="n">
        <v>1.75</v>
      </c>
      <c r="K183" s="20" t="n">
        <v>1.25</v>
      </c>
      <c r="L183" s="14" t="n">
        <f aca="false">1-INDEX(GuardBlock,179,ROUND(B183/Step_h,0)+1)</f>
        <v>0</v>
      </c>
      <c r="M183" s="14" t="n">
        <f aca="false">1-INDEX(GuardBlock,179,ROUND(C183/Step_h,0)+1)</f>
        <v>0</v>
      </c>
      <c r="N183" s="14" t="n">
        <f aca="false">1-INDEX(GuardBlock,179,ROUND(D183/Step_h,0)+1)</f>
        <v>0</v>
      </c>
      <c r="O183" s="14" t="n">
        <f aca="false">1-INDEX(GuardBlock,179,ROUND(E183/Step_h,0)+1)</f>
        <v>0</v>
      </c>
      <c r="P183" s="14" t="n">
        <f aca="false">1-INDEX(GuardBlock,179,ROUND(F183/Step_h,0)+1)</f>
        <v>0</v>
      </c>
      <c r="Q183" s="14" t="n">
        <f aca="false">1-INDEX(GuardBlock,179,ROUND(G183/Step_h,0)+1)</f>
        <v>0</v>
      </c>
      <c r="R183" s="14" t="n">
        <f aca="false">1-INDEX(GuardBlock,179,ROUND(H183/Step_h,0)+1)</f>
        <v>0</v>
      </c>
      <c r="S183" s="14" t="n">
        <f aca="false">1-INDEX(GuardBlock,179,ROUND(I183/Step_h,0)+1)</f>
        <v>0</v>
      </c>
      <c r="T183" s="14" t="n">
        <f aca="false">1-INDEX(GuardBlock,179,ROUND(J183/Step_h,0)+1)</f>
        <v>0</v>
      </c>
      <c r="U183" s="14" t="n">
        <f aca="false">1-INDEX(GuardBlock,179,ROUND(K183/Step_h,0)+1)</f>
        <v>0</v>
      </c>
      <c r="V183" s="28" t="n">
        <f aca="false">BestRule!W183</f>
        <v>0</v>
      </c>
    </row>
    <row r="184" customFormat="false" ht="15" hidden="false" customHeight="false" outlineLevel="0" collapsed="false">
      <c r="A184" s="18" t="n">
        <f aca="false">Grid!A184</f>
        <v>74.75</v>
      </c>
      <c r="B184" s="20" t="n">
        <v>2.5</v>
      </c>
      <c r="C184" s="20" t="n">
        <v>1.5</v>
      </c>
      <c r="D184" s="20" t="n">
        <v>1.5</v>
      </c>
      <c r="E184" s="20" t="n">
        <v>2.5</v>
      </c>
      <c r="F184" s="20" t="n">
        <v>2.5</v>
      </c>
      <c r="G184" s="20" t="n">
        <v>0</v>
      </c>
      <c r="H184" s="20" t="n">
        <v>2</v>
      </c>
      <c r="I184" s="20" t="n">
        <v>0.25</v>
      </c>
      <c r="J184" s="20" t="n">
        <v>2.25</v>
      </c>
      <c r="K184" s="20" t="n">
        <v>1.5</v>
      </c>
      <c r="L184" s="14" t="n">
        <f aca="false">1-INDEX(GuardBlock,180,ROUND(B184/Step_h,0)+1)</f>
        <v>0</v>
      </c>
      <c r="M184" s="14" t="n">
        <f aca="false">1-INDEX(GuardBlock,180,ROUND(C184/Step_h,0)+1)</f>
        <v>0</v>
      </c>
      <c r="N184" s="14" t="n">
        <f aca="false">1-INDEX(GuardBlock,180,ROUND(D184/Step_h,0)+1)</f>
        <v>0</v>
      </c>
      <c r="O184" s="14" t="n">
        <f aca="false">1-INDEX(GuardBlock,180,ROUND(E184/Step_h,0)+1)</f>
        <v>0</v>
      </c>
      <c r="P184" s="14" t="n">
        <f aca="false">1-INDEX(GuardBlock,180,ROUND(F184/Step_h,0)+1)</f>
        <v>0</v>
      </c>
      <c r="Q184" s="14" t="n">
        <f aca="false">1-INDEX(GuardBlock,180,ROUND(G184/Step_h,0)+1)</f>
        <v>0</v>
      </c>
      <c r="R184" s="14" t="n">
        <f aca="false">1-INDEX(GuardBlock,180,ROUND(H184/Step_h,0)+1)</f>
        <v>0</v>
      </c>
      <c r="S184" s="14" t="n">
        <f aca="false">1-INDEX(GuardBlock,180,ROUND(I184/Step_h,0)+1)</f>
        <v>0</v>
      </c>
      <c r="T184" s="14" t="n">
        <f aca="false">1-INDEX(GuardBlock,180,ROUND(J184/Step_h,0)+1)</f>
        <v>0</v>
      </c>
      <c r="U184" s="14" t="n">
        <f aca="false">1-INDEX(GuardBlock,180,ROUND(K184/Step_h,0)+1)</f>
        <v>0</v>
      </c>
      <c r="V184" s="28" t="n">
        <f aca="false">BestRule!W184</f>
        <v>0</v>
      </c>
    </row>
    <row r="185" customFormat="false" ht="15" hidden="false" customHeight="false" outlineLevel="0" collapsed="false">
      <c r="A185" s="18" t="n">
        <f aca="false">Grid!A185</f>
        <v>75</v>
      </c>
      <c r="B185" s="20" t="n">
        <v>0</v>
      </c>
      <c r="C185" s="20" t="n">
        <v>2.5</v>
      </c>
      <c r="D185" s="20" t="n">
        <v>1</v>
      </c>
      <c r="E185" s="20" t="n">
        <v>1.25</v>
      </c>
      <c r="F185" s="20" t="n">
        <v>1.75</v>
      </c>
      <c r="G185" s="20" t="n">
        <v>2.5</v>
      </c>
      <c r="H185" s="20" t="n">
        <v>2.5</v>
      </c>
      <c r="I185" s="20" t="n">
        <v>2.5</v>
      </c>
      <c r="J185" s="20" t="n">
        <v>2.5</v>
      </c>
      <c r="K185" s="20" t="n">
        <v>2.25</v>
      </c>
      <c r="L185" s="14" t="n">
        <f aca="false">1-INDEX(GuardBlock,181,ROUND(B185/Step_h,0)+1)</f>
        <v>0</v>
      </c>
      <c r="M185" s="14" t="n">
        <f aca="false">1-INDEX(GuardBlock,181,ROUND(C185/Step_h,0)+1)</f>
        <v>0</v>
      </c>
      <c r="N185" s="14" t="n">
        <f aca="false">1-INDEX(GuardBlock,181,ROUND(D185/Step_h,0)+1)</f>
        <v>0</v>
      </c>
      <c r="O185" s="14" t="n">
        <f aca="false">1-INDEX(GuardBlock,181,ROUND(E185/Step_h,0)+1)</f>
        <v>0</v>
      </c>
      <c r="P185" s="14" t="n">
        <f aca="false">1-INDEX(GuardBlock,181,ROUND(F185/Step_h,0)+1)</f>
        <v>0</v>
      </c>
      <c r="Q185" s="14" t="n">
        <f aca="false">1-INDEX(GuardBlock,181,ROUND(G185/Step_h,0)+1)</f>
        <v>0</v>
      </c>
      <c r="R185" s="14" t="n">
        <f aca="false">1-INDEX(GuardBlock,181,ROUND(H185/Step_h,0)+1)</f>
        <v>0</v>
      </c>
      <c r="S185" s="14" t="n">
        <f aca="false">1-INDEX(GuardBlock,181,ROUND(I185/Step_h,0)+1)</f>
        <v>0</v>
      </c>
      <c r="T185" s="14" t="n">
        <f aca="false">1-INDEX(GuardBlock,181,ROUND(J185/Step_h,0)+1)</f>
        <v>0</v>
      </c>
      <c r="U185" s="14" t="n">
        <f aca="false">1-INDEX(GuardBlock,181,ROUND(K185/Step_h,0)+1)</f>
        <v>0</v>
      </c>
      <c r="V185" s="28" t="n">
        <f aca="false">BestRule!W185</f>
        <v>0</v>
      </c>
    </row>
    <row r="186" customFormat="false" ht="15" hidden="false" customHeight="false" outlineLevel="0" collapsed="false">
      <c r="A186" s="18" t="n">
        <f aca="false">Grid!A186</f>
        <v>75.25</v>
      </c>
      <c r="B186" s="20" t="n">
        <v>2.25</v>
      </c>
      <c r="C186" s="20" t="n">
        <v>2.25</v>
      </c>
      <c r="D186" s="20" t="n">
        <v>1</v>
      </c>
      <c r="E186" s="20" t="n">
        <v>2.25</v>
      </c>
      <c r="F186" s="20" t="n">
        <v>2.5</v>
      </c>
      <c r="G186" s="20" t="n">
        <v>1.75</v>
      </c>
      <c r="H186" s="20" t="n">
        <v>2</v>
      </c>
      <c r="I186" s="20" t="n">
        <v>2.5</v>
      </c>
      <c r="J186" s="20" t="n">
        <v>1</v>
      </c>
      <c r="K186" s="20" t="n">
        <v>2.5</v>
      </c>
      <c r="L186" s="14" t="n">
        <f aca="false">1-INDEX(GuardBlock,182,ROUND(B186/Step_h,0)+1)</f>
        <v>0</v>
      </c>
      <c r="M186" s="14" t="n">
        <f aca="false">1-INDEX(GuardBlock,182,ROUND(C186/Step_h,0)+1)</f>
        <v>0</v>
      </c>
      <c r="N186" s="14" t="n">
        <f aca="false">1-INDEX(GuardBlock,182,ROUND(D186/Step_h,0)+1)</f>
        <v>0</v>
      </c>
      <c r="O186" s="14" t="n">
        <f aca="false">1-INDEX(GuardBlock,182,ROUND(E186/Step_h,0)+1)</f>
        <v>0</v>
      </c>
      <c r="P186" s="14" t="n">
        <f aca="false">1-INDEX(GuardBlock,182,ROUND(F186/Step_h,0)+1)</f>
        <v>0</v>
      </c>
      <c r="Q186" s="14" t="n">
        <f aca="false">1-INDEX(GuardBlock,182,ROUND(G186/Step_h,0)+1)</f>
        <v>0</v>
      </c>
      <c r="R186" s="14" t="n">
        <f aca="false">1-INDEX(GuardBlock,182,ROUND(H186/Step_h,0)+1)</f>
        <v>0</v>
      </c>
      <c r="S186" s="14" t="n">
        <f aca="false">1-INDEX(GuardBlock,182,ROUND(I186/Step_h,0)+1)</f>
        <v>0</v>
      </c>
      <c r="T186" s="14" t="n">
        <f aca="false">1-INDEX(GuardBlock,182,ROUND(J186/Step_h,0)+1)</f>
        <v>0</v>
      </c>
      <c r="U186" s="14" t="n">
        <f aca="false">1-INDEX(GuardBlock,182,ROUND(K186/Step_h,0)+1)</f>
        <v>0</v>
      </c>
      <c r="V186" s="28" t="n">
        <f aca="false">BestRule!W186</f>
        <v>0</v>
      </c>
    </row>
    <row r="187" customFormat="false" ht="15" hidden="false" customHeight="false" outlineLevel="0" collapsed="false">
      <c r="A187" s="18" t="n">
        <f aca="false">Grid!A187</f>
        <v>75.5</v>
      </c>
      <c r="B187" s="20" t="n">
        <v>0.25</v>
      </c>
      <c r="C187" s="20" t="n">
        <v>1.75</v>
      </c>
      <c r="D187" s="20" t="n">
        <v>2.25</v>
      </c>
      <c r="E187" s="20" t="n">
        <v>0.25</v>
      </c>
      <c r="F187" s="20" t="n">
        <v>1.25</v>
      </c>
      <c r="G187" s="20" t="n">
        <v>2</v>
      </c>
      <c r="H187" s="20" t="n">
        <v>2.25</v>
      </c>
      <c r="I187" s="20" t="n">
        <v>2.5</v>
      </c>
      <c r="J187" s="20" t="n">
        <v>2.25</v>
      </c>
      <c r="K187" s="20" t="n">
        <v>2.5</v>
      </c>
      <c r="L187" s="14" t="n">
        <f aca="false">1-INDEX(GuardBlock,183,ROUND(B187/Step_h,0)+1)</f>
        <v>0</v>
      </c>
      <c r="M187" s="14" t="n">
        <f aca="false">1-INDEX(GuardBlock,183,ROUND(C187/Step_h,0)+1)</f>
        <v>0</v>
      </c>
      <c r="N187" s="14" t="n">
        <f aca="false">1-INDEX(GuardBlock,183,ROUND(D187/Step_h,0)+1)</f>
        <v>0</v>
      </c>
      <c r="O187" s="14" t="n">
        <f aca="false">1-INDEX(GuardBlock,183,ROUND(E187/Step_h,0)+1)</f>
        <v>0</v>
      </c>
      <c r="P187" s="14" t="n">
        <f aca="false">1-INDEX(GuardBlock,183,ROUND(F187/Step_h,0)+1)</f>
        <v>0</v>
      </c>
      <c r="Q187" s="14" t="n">
        <f aca="false">1-INDEX(GuardBlock,183,ROUND(G187/Step_h,0)+1)</f>
        <v>0</v>
      </c>
      <c r="R187" s="14" t="n">
        <f aca="false">1-INDEX(GuardBlock,183,ROUND(H187/Step_h,0)+1)</f>
        <v>0</v>
      </c>
      <c r="S187" s="14" t="n">
        <f aca="false">1-INDEX(GuardBlock,183,ROUND(I187/Step_h,0)+1)</f>
        <v>0</v>
      </c>
      <c r="T187" s="14" t="n">
        <f aca="false">1-INDEX(GuardBlock,183,ROUND(J187/Step_h,0)+1)</f>
        <v>0</v>
      </c>
      <c r="U187" s="14" t="n">
        <f aca="false">1-INDEX(GuardBlock,183,ROUND(K187/Step_h,0)+1)</f>
        <v>0</v>
      </c>
      <c r="V187" s="28" t="n">
        <f aca="false">BestRule!W187</f>
        <v>0</v>
      </c>
    </row>
    <row r="188" customFormat="false" ht="15" hidden="false" customHeight="false" outlineLevel="0" collapsed="false">
      <c r="A188" s="18" t="n">
        <f aca="false">Grid!A188</f>
        <v>75.75</v>
      </c>
      <c r="B188" s="20" t="n">
        <v>2</v>
      </c>
      <c r="C188" s="20" t="n">
        <v>1.25</v>
      </c>
      <c r="D188" s="20" t="n">
        <v>2.25</v>
      </c>
      <c r="E188" s="20" t="n">
        <v>2.25</v>
      </c>
      <c r="F188" s="20" t="n">
        <v>2</v>
      </c>
      <c r="G188" s="20" t="n">
        <v>0.5</v>
      </c>
      <c r="H188" s="20" t="n">
        <v>0</v>
      </c>
      <c r="I188" s="20" t="n">
        <v>2.5</v>
      </c>
      <c r="J188" s="20" t="n">
        <v>2.5</v>
      </c>
      <c r="K188" s="20" t="n">
        <v>1.75</v>
      </c>
      <c r="L188" s="14" t="n">
        <f aca="false">1-INDEX(GuardBlock,184,ROUND(B188/Step_h,0)+1)</f>
        <v>0</v>
      </c>
      <c r="M188" s="14" t="n">
        <f aca="false">1-INDEX(GuardBlock,184,ROUND(C188/Step_h,0)+1)</f>
        <v>0</v>
      </c>
      <c r="N188" s="14" t="n">
        <f aca="false">1-INDEX(GuardBlock,184,ROUND(D188/Step_h,0)+1)</f>
        <v>0</v>
      </c>
      <c r="O188" s="14" t="n">
        <f aca="false">1-INDEX(GuardBlock,184,ROUND(E188/Step_h,0)+1)</f>
        <v>0</v>
      </c>
      <c r="P188" s="14" t="n">
        <f aca="false">1-INDEX(GuardBlock,184,ROUND(F188/Step_h,0)+1)</f>
        <v>0</v>
      </c>
      <c r="Q188" s="14" t="n">
        <f aca="false">1-INDEX(GuardBlock,184,ROUND(G188/Step_h,0)+1)</f>
        <v>0</v>
      </c>
      <c r="R188" s="14" t="n">
        <f aca="false">1-INDEX(GuardBlock,184,ROUND(H188/Step_h,0)+1)</f>
        <v>0</v>
      </c>
      <c r="S188" s="14" t="n">
        <f aca="false">1-INDEX(GuardBlock,184,ROUND(I188/Step_h,0)+1)</f>
        <v>0</v>
      </c>
      <c r="T188" s="14" t="n">
        <f aca="false">1-INDEX(GuardBlock,184,ROUND(J188/Step_h,0)+1)</f>
        <v>0</v>
      </c>
      <c r="U188" s="14" t="n">
        <f aca="false">1-INDEX(GuardBlock,184,ROUND(K188/Step_h,0)+1)</f>
        <v>0</v>
      </c>
      <c r="V188" s="28" t="n">
        <f aca="false">BestRule!W188</f>
        <v>0</v>
      </c>
    </row>
    <row r="189" customFormat="false" ht="15" hidden="false" customHeight="false" outlineLevel="0" collapsed="false">
      <c r="A189" s="18" t="n">
        <f aca="false">Grid!A189</f>
        <v>76</v>
      </c>
      <c r="B189" s="20" t="n">
        <v>2.5</v>
      </c>
      <c r="C189" s="20" t="n">
        <v>2</v>
      </c>
      <c r="D189" s="20" t="n">
        <v>2.5</v>
      </c>
      <c r="E189" s="20" t="n">
        <v>2.25</v>
      </c>
      <c r="F189" s="20" t="n">
        <v>2.5</v>
      </c>
      <c r="G189" s="20" t="n">
        <v>2.25</v>
      </c>
      <c r="H189" s="20" t="n">
        <v>0.75</v>
      </c>
      <c r="I189" s="20" t="n">
        <v>2.25</v>
      </c>
      <c r="J189" s="20" t="n">
        <v>2.25</v>
      </c>
      <c r="K189" s="20" t="n">
        <v>2.5</v>
      </c>
      <c r="L189" s="14" t="n">
        <f aca="false">1-INDEX(GuardBlock,185,ROUND(B189/Step_h,0)+1)</f>
        <v>0</v>
      </c>
      <c r="M189" s="14" t="n">
        <f aca="false">1-INDEX(GuardBlock,185,ROUND(C189/Step_h,0)+1)</f>
        <v>0</v>
      </c>
      <c r="N189" s="14" t="n">
        <f aca="false">1-INDEX(GuardBlock,185,ROUND(D189/Step_h,0)+1)</f>
        <v>0</v>
      </c>
      <c r="O189" s="14" t="n">
        <f aca="false">1-INDEX(GuardBlock,185,ROUND(E189/Step_h,0)+1)</f>
        <v>0</v>
      </c>
      <c r="P189" s="14" t="n">
        <f aca="false">1-INDEX(GuardBlock,185,ROUND(F189/Step_h,0)+1)</f>
        <v>0</v>
      </c>
      <c r="Q189" s="14" t="n">
        <f aca="false">1-INDEX(GuardBlock,185,ROUND(G189/Step_h,0)+1)</f>
        <v>0</v>
      </c>
      <c r="R189" s="14" t="n">
        <f aca="false">1-INDEX(GuardBlock,185,ROUND(H189/Step_h,0)+1)</f>
        <v>0</v>
      </c>
      <c r="S189" s="14" t="n">
        <f aca="false">1-INDEX(GuardBlock,185,ROUND(I189/Step_h,0)+1)</f>
        <v>0</v>
      </c>
      <c r="T189" s="14" t="n">
        <f aca="false">1-INDEX(GuardBlock,185,ROUND(J189/Step_h,0)+1)</f>
        <v>0</v>
      </c>
      <c r="U189" s="14" t="n">
        <f aca="false">1-INDEX(GuardBlock,185,ROUND(K189/Step_h,0)+1)</f>
        <v>0</v>
      </c>
      <c r="V189" s="28" t="n">
        <f aca="false">BestRule!W189</f>
        <v>0</v>
      </c>
    </row>
    <row r="190" customFormat="false" ht="15" hidden="false" customHeight="false" outlineLevel="0" collapsed="false">
      <c r="A190" s="18" t="n">
        <f aca="false">Grid!A190</f>
        <v>76.25</v>
      </c>
      <c r="B190" s="20" t="n">
        <v>2.5</v>
      </c>
      <c r="C190" s="20" t="n">
        <v>2.25</v>
      </c>
      <c r="D190" s="20" t="n">
        <v>2</v>
      </c>
      <c r="E190" s="20" t="n">
        <v>0.75</v>
      </c>
      <c r="F190" s="20" t="n">
        <v>2.25</v>
      </c>
      <c r="G190" s="20" t="n">
        <v>2.25</v>
      </c>
      <c r="H190" s="20" t="n">
        <v>2</v>
      </c>
      <c r="I190" s="20" t="n">
        <v>2.5</v>
      </c>
      <c r="J190" s="20" t="n">
        <v>2.5</v>
      </c>
      <c r="K190" s="20" t="n">
        <v>2</v>
      </c>
      <c r="L190" s="14" t="n">
        <f aca="false">1-INDEX(GuardBlock,186,ROUND(B190/Step_h,0)+1)</f>
        <v>0</v>
      </c>
      <c r="M190" s="14" t="n">
        <f aca="false">1-INDEX(GuardBlock,186,ROUND(C190/Step_h,0)+1)</f>
        <v>0</v>
      </c>
      <c r="N190" s="14" t="n">
        <f aca="false">1-INDEX(GuardBlock,186,ROUND(D190/Step_h,0)+1)</f>
        <v>0</v>
      </c>
      <c r="O190" s="14" t="n">
        <f aca="false">1-INDEX(GuardBlock,186,ROUND(E190/Step_h,0)+1)</f>
        <v>0</v>
      </c>
      <c r="P190" s="14" t="n">
        <f aca="false">1-INDEX(GuardBlock,186,ROUND(F190/Step_h,0)+1)</f>
        <v>0</v>
      </c>
      <c r="Q190" s="14" t="n">
        <f aca="false">1-INDEX(GuardBlock,186,ROUND(G190/Step_h,0)+1)</f>
        <v>0</v>
      </c>
      <c r="R190" s="14" t="n">
        <f aca="false">1-INDEX(GuardBlock,186,ROUND(H190/Step_h,0)+1)</f>
        <v>0</v>
      </c>
      <c r="S190" s="14" t="n">
        <f aca="false">1-INDEX(GuardBlock,186,ROUND(I190/Step_h,0)+1)</f>
        <v>0</v>
      </c>
      <c r="T190" s="14" t="n">
        <f aca="false">1-INDEX(GuardBlock,186,ROUND(J190/Step_h,0)+1)</f>
        <v>0</v>
      </c>
      <c r="U190" s="14" t="n">
        <f aca="false">1-INDEX(GuardBlock,186,ROUND(K190/Step_h,0)+1)</f>
        <v>0</v>
      </c>
      <c r="V190" s="28" t="n">
        <f aca="false">BestRule!W190</f>
        <v>0</v>
      </c>
    </row>
    <row r="191" customFormat="false" ht="15" hidden="false" customHeight="false" outlineLevel="0" collapsed="false">
      <c r="A191" s="18" t="n">
        <f aca="false">Grid!A191</f>
        <v>76.5</v>
      </c>
      <c r="B191" s="20" t="n">
        <v>2.5</v>
      </c>
      <c r="C191" s="20" t="n">
        <v>1.5</v>
      </c>
      <c r="D191" s="20" t="n">
        <v>2.5</v>
      </c>
      <c r="E191" s="20" t="n">
        <v>2.25</v>
      </c>
      <c r="F191" s="20" t="n">
        <v>2.5</v>
      </c>
      <c r="G191" s="20" t="n">
        <v>0.75</v>
      </c>
      <c r="H191" s="20" t="n">
        <v>2.5</v>
      </c>
      <c r="I191" s="20" t="n">
        <v>1.5</v>
      </c>
      <c r="J191" s="20" t="n">
        <v>2</v>
      </c>
      <c r="K191" s="20" t="n">
        <v>2.5</v>
      </c>
      <c r="L191" s="14" t="n">
        <f aca="false">1-INDEX(GuardBlock,187,ROUND(B191/Step_h,0)+1)</f>
        <v>0</v>
      </c>
      <c r="M191" s="14" t="n">
        <f aca="false">1-INDEX(GuardBlock,187,ROUND(C191/Step_h,0)+1)</f>
        <v>0</v>
      </c>
      <c r="N191" s="14" t="n">
        <f aca="false">1-INDEX(GuardBlock,187,ROUND(D191/Step_h,0)+1)</f>
        <v>0</v>
      </c>
      <c r="O191" s="14" t="n">
        <f aca="false">1-INDEX(GuardBlock,187,ROUND(E191/Step_h,0)+1)</f>
        <v>0</v>
      </c>
      <c r="P191" s="14" t="n">
        <f aca="false">1-INDEX(GuardBlock,187,ROUND(F191/Step_h,0)+1)</f>
        <v>0</v>
      </c>
      <c r="Q191" s="14" t="n">
        <f aca="false">1-INDEX(GuardBlock,187,ROUND(G191/Step_h,0)+1)</f>
        <v>0</v>
      </c>
      <c r="R191" s="14" t="n">
        <f aca="false">1-INDEX(GuardBlock,187,ROUND(H191/Step_h,0)+1)</f>
        <v>0</v>
      </c>
      <c r="S191" s="14" t="n">
        <f aca="false">1-INDEX(GuardBlock,187,ROUND(I191/Step_h,0)+1)</f>
        <v>0</v>
      </c>
      <c r="T191" s="14" t="n">
        <f aca="false">1-INDEX(GuardBlock,187,ROUND(J191/Step_h,0)+1)</f>
        <v>0</v>
      </c>
      <c r="U191" s="14" t="n">
        <f aca="false">1-INDEX(GuardBlock,187,ROUND(K191/Step_h,0)+1)</f>
        <v>0</v>
      </c>
      <c r="V191" s="28" t="n">
        <f aca="false">BestRule!W191</f>
        <v>0</v>
      </c>
    </row>
    <row r="192" customFormat="false" ht="15" hidden="false" customHeight="false" outlineLevel="0" collapsed="false">
      <c r="A192" s="18" t="n">
        <f aca="false">Grid!A192</f>
        <v>76.75</v>
      </c>
      <c r="B192" s="20" t="n">
        <v>2</v>
      </c>
      <c r="C192" s="20" t="n">
        <v>0</v>
      </c>
      <c r="D192" s="20" t="n">
        <v>0.5</v>
      </c>
      <c r="E192" s="20" t="n">
        <v>1.75</v>
      </c>
      <c r="F192" s="20" t="n">
        <v>2.5</v>
      </c>
      <c r="G192" s="20" t="n">
        <v>2.5</v>
      </c>
      <c r="H192" s="20" t="n">
        <v>2.5</v>
      </c>
      <c r="I192" s="20" t="n">
        <v>2.5</v>
      </c>
      <c r="J192" s="20" t="n">
        <v>1</v>
      </c>
      <c r="K192" s="20" t="n">
        <v>2.5</v>
      </c>
      <c r="L192" s="14" t="n">
        <f aca="false">1-INDEX(GuardBlock,188,ROUND(B192/Step_h,0)+1)</f>
        <v>0</v>
      </c>
      <c r="M192" s="14" t="n">
        <f aca="false">1-INDEX(GuardBlock,188,ROUND(C192/Step_h,0)+1)</f>
        <v>0</v>
      </c>
      <c r="N192" s="14" t="n">
        <f aca="false">1-INDEX(GuardBlock,188,ROUND(D192/Step_h,0)+1)</f>
        <v>0</v>
      </c>
      <c r="O192" s="14" t="n">
        <f aca="false">1-INDEX(GuardBlock,188,ROUND(E192/Step_h,0)+1)</f>
        <v>0</v>
      </c>
      <c r="P192" s="14" t="n">
        <f aca="false">1-INDEX(GuardBlock,188,ROUND(F192/Step_h,0)+1)</f>
        <v>0</v>
      </c>
      <c r="Q192" s="14" t="n">
        <f aca="false">1-INDEX(GuardBlock,188,ROUND(G192/Step_h,0)+1)</f>
        <v>0</v>
      </c>
      <c r="R192" s="14" t="n">
        <f aca="false">1-INDEX(GuardBlock,188,ROUND(H192/Step_h,0)+1)</f>
        <v>0</v>
      </c>
      <c r="S192" s="14" t="n">
        <f aca="false">1-INDEX(GuardBlock,188,ROUND(I192/Step_h,0)+1)</f>
        <v>0</v>
      </c>
      <c r="T192" s="14" t="n">
        <f aca="false">1-INDEX(GuardBlock,188,ROUND(J192/Step_h,0)+1)</f>
        <v>0</v>
      </c>
      <c r="U192" s="14" t="n">
        <f aca="false">1-INDEX(GuardBlock,188,ROUND(K192/Step_h,0)+1)</f>
        <v>0</v>
      </c>
      <c r="V192" s="28" t="n">
        <f aca="false">BestRule!W192</f>
        <v>0</v>
      </c>
    </row>
    <row r="193" customFormat="false" ht="15" hidden="false" customHeight="false" outlineLevel="0" collapsed="false">
      <c r="A193" s="18" t="n">
        <f aca="false">Grid!A193</f>
        <v>77</v>
      </c>
      <c r="B193" s="20" t="n">
        <v>1.25</v>
      </c>
      <c r="C193" s="20" t="n">
        <v>1.25</v>
      </c>
      <c r="D193" s="20" t="n">
        <v>2.25</v>
      </c>
      <c r="E193" s="20" t="n">
        <v>2.25</v>
      </c>
      <c r="F193" s="20" t="n">
        <v>2.5</v>
      </c>
      <c r="G193" s="20" t="n">
        <v>1.5</v>
      </c>
      <c r="H193" s="20" t="n">
        <v>2.25</v>
      </c>
      <c r="I193" s="20" t="n">
        <v>2</v>
      </c>
      <c r="J193" s="20" t="n">
        <v>2.25</v>
      </c>
      <c r="K193" s="20" t="n">
        <v>2.25</v>
      </c>
      <c r="L193" s="14" t="n">
        <f aca="false">1-INDEX(GuardBlock,189,ROUND(B193/Step_h,0)+1)</f>
        <v>0</v>
      </c>
      <c r="M193" s="14" t="n">
        <f aca="false">1-INDEX(GuardBlock,189,ROUND(C193/Step_h,0)+1)</f>
        <v>0</v>
      </c>
      <c r="N193" s="14" t="n">
        <f aca="false">1-INDEX(GuardBlock,189,ROUND(D193/Step_h,0)+1)</f>
        <v>0</v>
      </c>
      <c r="O193" s="14" t="n">
        <f aca="false">1-INDEX(GuardBlock,189,ROUND(E193/Step_h,0)+1)</f>
        <v>0</v>
      </c>
      <c r="P193" s="14" t="n">
        <f aca="false">1-INDEX(GuardBlock,189,ROUND(F193/Step_h,0)+1)</f>
        <v>0</v>
      </c>
      <c r="Q193" s="14" t="n">
        <f aca="false">1-INDEX(GuardBlock,189,ROUND(G193/Step_h,0)+1)</f>
        <v>0</v>
      </c>
      <c r="R193" s="14" t="n">
        <f aca="false">1-INDEX(GuardBlock,189,ROUND(H193/Step_h,0)+1)</f>
        <v>0</v>
      </c>
      <c r="S193" s="14" t="n">
        <f aca="false">1-INDEX(GuardBlock,189,ROUND(I193/Step_h,0)+1)</f>
        <v>0</v>
      </c>
      <c r="T193" s="14" t="n">
        <f aca="false">1-INDEX(GuardBlock,189,ROUND(J193/Step_h,0)+1)</f>
        <v>0</v>
      </c>
      <c r="U193" s="14" t="n">
        <f aca="false">1-INDEX(GuardBlock,189,ROUND(K193/Step_h,0)+1)</f>
        <v>0</v>
      </c>
      <c r="V193" s="28" t="n">
        <f aca="false">BestRule!W193</f>
        <v>0</v>
      </c>
    </row>
    <row r="194" customFormat="false" ht="15" hidden="false" customHeight="false" outlineLevel="0" collapsed="false">
      <c r="A194" s="18" t="n">
        <f aca="false">Grid!A194</f>
        <v>77.25</v>
      </c>
      <c r="B194" s="20" t="n">
        <v>0</v>
      </c>
      <c r="C194" s="20" t="n">
        <v>1.75</v>
      </c>
      <c r="D194" s="20" t="n">
        <v>2.5</v>
      </c>
      <c r="E194" s="20" t="n">
        <v>2</v>
      </c>
      <c r="F194" s="20" t="n">
        <v>2</v>
      </c>
      <c r="G194" s="20" t="n">
        <v>1.75</v>
      </c>
      <c r="H194" s="20" t="n">
        <v>2.5</v>
      </c>
      <c r="I194" s="20" t="n">
        <v>2.5</v>
      </c>
      <c r="J194" s="20" t="n">
        <v>0.75</v>
      </c>
      <c r="K194" s="20" t="n">
        <v>1.5</v>
      </c>
      <c r="L194" s="14" t="n">
        <f aca="false">1-INDEX(GuardBlock,190,ROUND(B194/Step_h,0)+1)</f>
        <v>0</v>
      </c>
      <c r="M194" s="14" t="n">
        <f aca="false">1-INDEX(GuardBlock,190,ROUND(C194/Step_h,0)+1)</f>
        <v>0</v>
      </c>
      <c r="N194" s="14" t="n">
        <f aca="false">1-INDEX(GuardBlock,190,ROUND(D194/Step_h,0)+1)</f>
        <v>0</v>
      </c>
      <c r="O194" s="14" t="n">
        <f aca="false">1-INDEX(GuardBlock,190,ROUND(E194/Step_h,0)+1)</f>
        <v>0</v>
      </c>
      <c r="P194" s="14" t="n">
        <f aca="false">1-INDEX(GuardBlock,190,ROUND(F194/Step_h,0)+1)</f>
        <v>0</v>
      </c>
      <c r="Q194" s="14" t="n">
        <f aca="false">1-INDEX(GuardBlock,190,ROUND(G194/Step_h,0)+1)</f>
        <v>0</v>
      </c>
      <c r="R194" s="14" t="n">
        <f aca="false">1-INDEX(GuardBlock,190,ROUND(H194/Step_h,0)+1)</f>
        <v>0</v>
      </c>
      <c r="S194" s="14" t="n">
        <f aca="false">1-INDEX(GuardBlock,190,ROUND(I194/Step_h,0)+1)</f>
        <v>0</v>
      </c>
      <c r="T194" s="14" t="n">
        <f aca="false">1-INDEX(GuardBlock,190,ROUND(J194/Step_h,0)+1)</f>
        <v>0</v>
      </c>
      <c r="U194" s="14" t="n">
        <f aca="false">1-INDEX(GuardBlock,190,ROUND(K194/Step_h,0)+1)</f>
        <v>0</v>
      </c>
      <c r="V194" s="28" t="n">
        <f aca="false">BestRule!W194</f>
        <v>0</v>
      </c>
    </row>
    <row r="195" customFormat="false" ht="15" hidden="false" customHeight="false" outlineLevel="0" collapsed="false">
      <c r="A195" s="18" t="n">
        <f aca="false">Grid!A195</f>
        <v>77.5</v>
      </c>
      <c r="B195" s="20" t="n">
        <v>1</v>
      </c>
      <c r="C195" s="20" t="n">
        <v>2.25</v>
      </c>
      <c r="D195" s="20" t="n">
        <v>2</v>
      </c>
      <c r="E195" s="20" t="n">
        <v>1.25</v>
      </c>
      <c r="F195" s="20" t="n">
        <v>1.75</v>
      </c>
      <c r="G195" s="20" t="n">
        <v>0.75</v>
      </c>
      <c r="H195" s="20" t="n">
        <v>2.5</v>
      </c>
      <c r="I195" s="20" t="n">
        <v>2.5</v>
      </c>
      <c r="J195" s="20" t="n">
        <v>2</v>
      </c>
      <c r="K195" s="20" t="n">
        <v>2.25</v>
      </c>
      <c r="L195" s="14" t="n">
        <f aca="false">1-INDEX(GuardBlock,191,ROUND(B195/Step_h,0)+1)</f>
        <v>0</v>
      </c>
      <c r="M195" s="14" t="n">
        <f aca="false">1-INDEX(GuardBlock,191,ROUND(C195/Step_h,0)+1)</f>
        <v>0</v>
      </c>
      <c r="N195" s="14" t="n">
        <f aca="false">1-INDEX(GuardBlock,191,ROUND(D195/Step_h,0)+1)</f>
        <v>0</v>
      </c>
      <c r="O195" s="14" t="n">
        <f aca="false">1-INDEX(GuardBlock,191,ROUND(E195/Step_h,0)+1)</f>
        <v>0</v>
      </c>
      <c r="P195" s="14" t="n">
        <f aca="false">1-INDEX(GuardBlock,191,ROUND(F195/Step_h,0)+1)</f>
        <v>0</v>
      </c>
      <c r="Q195" s="14" t="n">
        <f aca="false">1-INDEX(GuardBlock,191,ROUND(G195/Step_h,0)+1)</f>
        <v>0</v>
      </c>
      <c r="R195" s="14" t="n">
        <f aca="false">1-INDEX(GuardBlock,191,ROUND(H195/Step_h,0)+1)</f>
        <v>0</v>
      </c>
      <c r="S195" s="14" t="n">
        <f aca="false">1-INDEX(GuardBlock,191,ROUND(I195/Step_h,0)+1)</f>
        <v>0</v>
      </c>
      <c r="T195" s="14" t="n">
        <f aca="false">1-INDEX(GuardBlock,191,ROUND(J195/Step_h,0)+1)</f>
        <v>0</v>
      </c>
      <c r="U195" s="14" t="n">
        <f aca="false">1-INDEX(GuardBlock,191,ROUND(K195/Step_h,0)+1)</f>
        <v>0</v>
      </c>
      <c r="V195" s="28" t="n">
        <f aca="false">BestRule!W195</f>
        <v>0</v>
      </c>
    </row>
    <row r="196" customFormat="false" ht="15" hidden="false" customHeight="false" outlineLevel="0" collapsed="false">
      <c r="A196" s="18" t="n">
        <f aca="false">Grid!A196</f>
        <v>77.75</v>
      </c>
      <c r="B196" s="20" t="n">
        <v>2.5</v>
      </c>
      <c r="C196" s="20" t="n">
        <v>2.5</v>
      </c>
      <c r="D196" s="20" t="n">
        <v>2.5</v>
      </c>
      <c r="E196" s="20" t="n">
        <v>1.75</v>
      </c>
      <c r="F196" s="20" t="n">
        <v>2</v>
      </c>
      <c r="G196" s="20" t="n">
        <v>2.25</v>
      </c>
      <c r="H196" s="20" t="n">
        <v>2.25</v>
      </c>
      <c r="I196" s="20" t="n">
        <v>2.5</v>
      </c>
      <c r="J196" s="20" t="n">
        <v>1.25</v>
      </c>
      <c r="K196" s="20" t="n">
        <v>2.5</v>
      </c>
      <c r="L196" s="14" t="n">
        <f aca="false">1-INDEX(GuardBlock,192,ROUND(B196/Step_h,0)+1)</f>
        <v>0</v>
      </c>
      <c r="M196" s="14" t="n">
        <f aca="false">1-INDEX(GuardBlock,192,ROUND(C196/Step_h,0)+1)</f>
        <v>0</v>
      </c>
      <c r="N196" s="14" t="n">
        <f aca="false">1-INDEX(GuardBlock,192,ROUND(D196/Step_h,0)+1)</f>
        <v>0</v>
      </c>
      <c r="O196" s="14" t="n">
        <f aca="false">1-INDEX(GuardBlock,192,ROUND(E196/Step_h,0)+1)</f>
        <v>0</v>
      </c>
      <c r="P196" s="14" t="n">
        <f aca="false">1-INDEX(GuardBlock,192,ROUND(F196/Step_h,0)+1)</f>
        <v>0</v>
      </c>
      <c r="Q196" s="14" t="n">
        <f aca="false">1-INDEX(GuardBlock,192,ROUND(G196/Step_h,0)+1)</f>
        <v>0</v>
      </c>
      <c r="R196" s="14" t="n">
        <f aca="false">1-INDEX(GuardBlock,192,ROUND(H196/Step_h,0)+1)</f>
        <v>0</v>
      </c>
      <c r="S196" s="14" t="n">
        <f aca="false">1-INDEX(GuardBlock,192,ROUND(I196/Step_h,0)+1)</f>
        <v>0</v>
      </c>
      <c r="T196" s="14" t="n">
        <f aca="false">1-INDEX(GuardBlock,192,ROUND(J196/Step_h,0)+1)</f>
        <v>0</v>
      </c>
      <c r="U196" s="14" t="n">
        <f aca="false">1-INDEX(GuardBlock,192,ROUND(K196/Step_h,0)+1)</f>
        <v>0</v>
      </c>
      <c r="V196" s="28" t="n">
        <f aca="false">BestRule!W196</f>
        <v>0</v>
      </c>
    </row>
    <row r="197" customFormat="false" ht="15" hidden="false" customHeight="false" outlineLevel="0" collapsed="false">
      <c r="A197" s="18" t="n">
        <f aca="false">Grid!A197</f>
        <v>78</v>
      </c>
      <c r="B197" s="20" t="n">
        <v>2.25</v>
      </c>
      <c r="C197" s="20" t="n">
        <v>0.75</v>
      </c>
      <c r="D197" s="20" t="n">
        <v>2</v>
      </c>
      <c r="E197" s="20" t="n">
        <v>0</v>
      </c>
      <c r="F197" s="20" t="n">
        <v>2</v>
      </c>
      <c r="G197" s="20" t="n">
        <v>1</v>
      </c>
      <c r="H197" s="20" t="n">
        <v>0.25</v>
      </c>
      <c r="I197" s="20" t="n">
        <v>1.25</v>
      </c>
      <c r="J197" s="20" t="n">
        <v>2.25</v>
      </c>
      <c r="K197" s="20" t="n">
        <v>1</v>
      </c>
      <c r="L197" s="14" t="n">
        <f aca="false">1-INDEX(GuardBlock,193,ROUND(B197/Step_h,0)+1)</f>
        <v>0</v>
      </c>
      <c r="M197" s="14" t="n">
        <f aca="false">1-INDEX(GuardBlock,193,ROUND(C197/Step_h,0)+1)</f>
        <v>0</v>
      </c>
      <c r="N197" s="14" t="n">
        <f aca="false">1-INDEX(GuardBlock,193,ROUND(D197/Step_h,0)+1)</f>
        <v>0</v>
      </c>
      <c r="O197" s="14" t="n">
        <f aca="false">1-INDEX(GuardBlock,193,ROUND(E197/Step_h,0)+1)</f>
        <v>0</v>
      </c>
      <c r="P197" s="14" t="n">
        <f aca="false">1-INDEX(GuardBlock,193,ROUND(F197/Step_h,0)+1)</f>
        <v>0</v>
      </c>
      <c r="Q197" s="14" t="n">
        <f aca="false">1-INDEX(GuardBlock,193,ROUND(G197/Step_h,0)+1)</f>
        <v>0</v>
      </c>
      <c r="R197" s="14" t="n">
        <f aca="false">1-INDEX(GuardBlock,193,ROUND(H197/Step_h,0)+1)</f>
        <v>0</v>
      </c>
      <c r="S197" s="14" t="n">
        <f aca="false">1-INDEX(GuardBlock,193,ROUND(I197/Step_h,0)+1)</f>
        <v>0</v>
      </c>
      <c r="T197" s="14" t="n">
        <f aca="false">1-INDEX(GuardBlock,193,ROUND(J197/Step_h,0)+1)</f>
        <v>0</v>
      </c>
      <c r="U197" s="14" t="n">
        <f aca="false">1-INDEX(GuardBlock,193,ROUND(K197/Step_h,0)+1)</f>
        <v>0</v>
      </c>
      <c r="V197" s="28" t="n">
        <f aca="false">BestRule!W197</f>
        <v>0</v>
      </c>
    </row>
    <row r="198" customFormat="false" ht="15" hidden="false" customHeight="false" outlineLevel="0" collapsed="false">
      <c r="A198" s="18" t="n">
        <f aca="false">Grid!A198</f>
        <v>78.25</v>
      </c>
      <c r="B198" s="20" t="n">
        <v>1.5</v>
      </c>
      <c r="C198" s="20" t="n">
        <v>0.75</v>
      </c>
      <c r="D198" s="20" t="n">
        <v>1.5</v>
      </c>
      <c r="E198" s="20" t="n">
        <v>1.5</v>
      </c>
      <c r="F198" s="20" t="n">
        <v>1.75</v>
      </c>
      <c r="G198" s="20" t="n">
        <v>0</v>
      </c>
      <c r="H198" s="20" t="n">
        <v>2</v>
      </c>
      <c r="I198" s="20" t="n">
        <v>0.25</v>
      </c>
      <c r="J198" s="20" t="n">
        <v>1.75</v>
      </c>
      <c r="K198" s="20" t="n">
        <v>2</v>
      </c>
      <c r="L198" s="14" t="n">
        <f aca="false">1-INDEX(GuardBlock,194,ROUND(B198/Step_h,0)+1)</f>
        <v>0</v>
      </c>
      <c r="M198" s="14" t="n">
        <f aca="false">1-INDEX(GuardBlock,194,ROUND(C198/Step_h,0)+1)</f>
        <v>0</v>
      </c>
      <c r="N198" s="14" t="n">
        <f aca="false">1-INDEX(GuardBlock,194,ROUND(D198/Step_h,0)+1)</f>
        <v>0</v>
      </c>
      <c r="O198" s="14" t="n">
        <f aca="false">1-INDEX(GuardBlock,194,ROUND(E198/Step_h,0)+1)</f>
        <v>0</v>
      </c>
      <c r="P198" s="14" t="n">
        <f aca="false">1-INDEX(GuardBlock,194,ROUND(F198/Step_h,0)+1)</f>
        <v>0</v>
      </c>
      <c r="Q198" s="14" t="n">
        <f aca="false">1-INDEX(GuardBlock,194,ROUND(G198/Step_h,0)+1)</f>
        <v>0</v>
      </c>
      <c r="R198" s="14" t="n">
        <f aca="false">1-INDEX(GuardBlock,194,ROUND(H198/Step_h,0)+1)</f>
        <v>0</v>
      </c>
      <c r="S198" s="14" t="n">
        <f aca="false">1-INDEX(GuardBlock,194,ROUND(I198/Step_h,0)+1)</f>
        <v>0</v>
      </c>
      <c r="T198" s="14" t="n">
        <f aca="false">1-INDEX(GuardBlock,194,ROUND(J198/Step_h,0)+1)</f>
        <v>0</v>
      </c>
      <c r="U198" s="14" t="n">
        <f aca="false">1-INDEX(GuardBlock,194,ROUND(K198/Step_h,0)+1)</f>
        <v>0</v>
      </c>
      <c r="V198" s="28" t="n">
        <f aca="false">BestRule!W198</f>
        <v>0</v>
      </c>
    </row>
    <row r="199" customFormat="false" ht="15" hidden="false" customHeight="false" outlineLevel="0" collapsed="false">
      <c r="A199" s="18" t="n">
        <f aca="false">Grid!A199</f>
        <v>78.5</v>
      </c>
      <c r="B199" s="20" t="n">
        <v>0.25</v>
      </c>
      <c r="C199" s="20" t="n">
        <v>1.75</v>
      </c>
      <c r="D199" s="20" t="n">
        <v>1.5</v>
      </c>
      <c r="E199" s="20" t="n">
        <v>1.25</v>
      </c>
      <c r="F199" s="20" t="n">
        <v>0.75</v>
      </c>
      <c r="G199" s="20" t="n">
        <v>1.25</v>
      </c>
      <c r="H199" s="20" t="n">
        <v>0.75</v>
      </c>
      <c r="I199" s="20" t="n">
        <v>1.75</v>
      </c>
      <c r="J199" s="20" t="n">
        <v>1</v>
      </c>
      <c r="K199" s="20" t="n">
        <v>0.75</v>
      </c>
      <c r="L199" s="14" t="n">
        <f aca="false">1-INDEX(GuardBlock,195,ROUND(B199/Step_h,0)+1)</f>
        <v>0</v>
      </c>
      <c r="M199" s="14" t="n">
        <f aca="false">1-INDEX(GuardBlock,195,ROUND(C199/Step_h,0)+1)</f>
        <v>0</v>
      </c>
      <c r="N199" s="14" t="n">
        <f aca="false">1-INDEX(GuardBlock,195,ROUND(D199/Step_h,0)+1)</f>
        <v>0</v>
      </c>
      <c r="O199" s="14" t="n">
        <f aca="false">1-INDEX(GuardBlock,195,ROUND(E199/Step_h,0)+1)</f>
        <v>0</v>
      </c>
      <c r="P199" s="14" t="n">
        <f aca="false">1-INDEX(GuardBlock,195,ROUND(F199/Step_h,0)+1)</f>
        <v>0</v>
      </c>
      <c r="Q199" s="14" t="n">
        <f aca="false">1-INDEX(GuardBlock,195,ROUND(G199/Step_h,0)+1)</f>
        <v>0</v>
      </c>
      <c r="R199" s="14" t="n">
        <f aca="false">1-INDEX(GuardBlock,195,ROUND(H199/Step_h,0)+1)</f>
        <v>0</v>
      </c>
      <c r="S199" s="14" t="n">
        <f aca="false">1-INDEX(GuardBlock,195,ROUND(I199/Step_h,0)+1)</f>
        <v>0</v>
      </c>
      <c r="T199" s="14" t="n">
        <f aca="false">1-INDEX(GuardBlock,195,ROUND(J199/Step_h,0)+1)</f>
        <v>0</v>
      </c>
      <c r="U199" s="14" t="n">
        <f aca="false">1-INDEX(GuardBlock,195,ROUND(K199/Step_h,0)+1)</f>
        <v>0</v>
      </c>
      <c r="V199" s="28" t="n">
        <f aca="false">BestRule!W199</f>
        <v>0</v>
      </c>
    </row>
    <row r="200" customFormat="false" ht="15" hidden="false" customHeight="false" outlineLevel="0" collapsed="false">
      <c r="A200" s="18" t="n">
        <f aca="false">Grid!A200</f>
        <v>78.75</v>
      </c>
      <c r="B200" s="20" t="n">
        <v>1</v>
      </c>
      <c r="C200" s="20" t="n">
        <v>0.75</v>
      </c>
      <c r="D200" s="20" t="n">
        <v>0.5</v>
      </c>
      <c r="E200" s="20" t="n">
        <v>1.5</v>
      </c>
      <c r="F200" s="20" t="n">
        <v>1.5</v>
      </c>
      <c r="G200" s="20" t="n">
        <v>0.25</v>
      </c>
      <c r="H200" s="20" t="n">
        <v>1.5</v>
      </c>
      <c r="I200" s="20" t="n">
        <v>0</v>
      </c>
      <c r="J200" s="20" t="n">
        <v>1.5</v>
      </c>
      <c r="K200" s="20" t="n">
        <v>1.5</v>
      </c>
      <c r="L200" s="14" t="n">
        <f aca="false">1-INDEX(GuardBlock,196,ROUND(B200/Step_h,0)+1)</f>
        <v>0</v>
      </c>
      <c r="M200" s="14" t="n">
        <f aca="false">1-INDEX(GuardBlock,196,ROUND(C200/Step_h,0)+1)</f>
        <v>0</v>
      </c>
      <c r="N200" s="14" t="n">
        <f aca="false">1-INDEX(GuardBlock,196,ROUND(D200/Step_h,0)+1)</f>
        <v>0</v>
      </c>
      <c r="O200" s="14" t="n">
        <f aca="false">1-INDEX(GuardBlock,196,ROUND(E200/Step_h,0)+1)</f>
        <v>0</v>
      </c>
      <c r="P200" s="14" t="n">
        <f aca="false">1-INDEX(GuardBlock,196,ROUND(F200/Step_h,0)+1)</f>
        <v>0</v>
      </c>
      <c r="Q200" s="14" t="n">
        <f aca="false">1-INDEX(GuardBlock,196,ROUND(G200/Step_h,0)+1)</f>
        <v>0</v>
      </c>
      <c r="R200" s="14" t="n">
        <f aca="false">1-INDEX(GuardBlock,196,ROUND(H200/Step_h,0)+1)</f>
        <v>0</v>
      </c>
      <c r="S200" s="14" t="n">
        <f aca="false">1-INDEX(GuardBlock,196,ROUND(I200/Step_h,0)+1)</f>
        <v>0</v>
      </c>
      <c r="T200" s="14" t="n">
        <f aca="false">1-INDEX(GuardBlock,196,ROUND(J200/Step_h,0)+1)</f>
        <v>0</v>
      </c>
      <c r="U200" s="14" t="n">
        <f aca="false">1-INDEX(GuardBlock,196,ROUND(K200/Step_h,0)+1)</f>
        <v>0</v>
      </c>
      <c r="V200" s="28" t="n">
        <f aca="false">BestRule!W200</f>
        <v>0</v>
      </c>
    </row>
    <row r="201" customFormat="false" ht="15" hidden="false" customHeight="false" outlineLevel="0" collapsed="false">
      <c r="A201" s="18" t="n">
        <f aca="false">Grid!A201</f>
        <v>79</v>
      </c>
      <c r="B201" s="20" t="n">
        <v>0.25</v>
      </c>
      <c r="C201" s="20" t="n">
        <v>0</v>
      </c>
      <c r="D201" s="20" t="n">
        <v>0.5</v>
      </c>
      <c r="E201" s="20" t="n">
        <v>0.75</v>
      </c>
      <c r="F201" s="20" t="n">
        <v>1.25</v>
      </c>
      <c r="G201" s="20" t="n">
        <v>0.25</v>
      </c>
      <c r="H201" s="20" t="n">
        <v>1.25</v>
      </c>
      <c r="I201" s="20" t="n">
        <v>0.25</v>
      </c>
      <c r="J201" s="20" t="n">
        <v>0.5</v>
      </c>
      <c r="K201" s="20" t="n">
        <v>0.75</v>
      </c>
      <c r="L201" s="14" t="n">
        <f aca="false">1-INDEX(GuardBlock,197,ROUND(B201/Step_h,0)+1)</f>
        <v>0</v>
      </c>
      <c r="M201" s="14" t="n">
        <f aca="false">1-INDEX(GuardBlock,197,ROUND(C201/Step_h,0)+1)</f>
        <v>0</v>
      </c>
      <c r="N201" s="14" t="n">
        <f aca="false">1-INDEX(GuardBlock,197,ROUND(D201/Step_h,0)+1)</f>
        <v>0</v>
      </c>
      <c r="O201" s="14" t="n">
        <f aca="false">1-INDEX(GuardBlock,197,ROUND(E201/Step_h,0)+1)</f>
        <v>0</v>
      </c>
      <c r="P201" s="14" t="n">
        <f aca="false">1-INDEX(GuardBlock,197,ROUND(F201/Step_h,0)+1)</f>
        <v>0</v>
      </c>
      <c r="Q201" s="14" t="n">
        <f aca="false">1-INDEX(GuardBlock,197,ROUND(G201/Step_h,0)+1)</f>
        <v>0</v>
      </c>
      <c r="R201" s="14" t="n">
        <f aca="false">1-INDEX(GuardBlock,197,ROUND(H201/Step_h,0)+1)</f>
        <v>0</v>
      </c>
      <c r="S201" s="14" t="n">
        <f aca="false">1-INDEX(GuardBlock,197,ROUND(I201/Step_h,0)+1)</f>
        <v>0</v>
      </c>
      <c r="T201" s="14" t="n">
        <f aca="false">1-INDEX(GuardBlock,197,ROUND(J201/Step_h,0)+1)</f>
        <v>0</v>
      </c>
      <c r="U201" s="14" t="n">
        <f aca="false">1-INDEX(GuardBlock,197,ROUND(K201/Step_h,0)+1)</f>
        <v>0</v>
      </c>
      <c r="V201" s="28" t="n">
        <f aca="false">BestRule!W201</f>
        <v>0</v>
      </c>
    </row>
    <row r="202" customFormat="false" ht="15" hidden="false" customHeight="false" outlineLevel="0" collapsed="false">
      <c r="A202" s="18" t="n">
        <f aca="false">Grid!A202</f>
        <v>79.25</v>
      </c>
      <c r="B202" s="20" t="n">
        <v>0.5</v>
      </c>
      <c r="C202" s="20" t="n">
        <v>0</v>
      </c>
      <c r="D202" s="20" t="n">
        <v>1</v>
      </c>
      <c r="E202" s="20" t="n">
        <v>1</v>
      </c>
      <c r="F202" s="20" t="n">
        <v>1</v>
      </c>
      <c r="G202" s="20" t="n">
        <v>0.75</v>
      </c>
      <c r="H202" s="20" t="n">
        <v>0</v>
      </c>
      <c r="I202" s="20" t="n">
        <v>0.5</v>
      </c>
      <c r="J202" s="20" t="n">
        <v>0.5</v>
      </c>
      <c r="K202" s="20" t="n">
        <v>1</v>
      </c>
      <c r="L202" s="14" t="n">
        <f aca="false">1-INDEX(GuardBlock,198,ROUND(B202/Step_h,0)+1)</f>
        <v>0</v>
      </c>
      <c r="M202" s="14" t="n">
        <f aca="false">1-INDEX(GuardBlock,198,ROUND(C202/Step_h,0)+1)</f>
        <v>0</v>
      </c>
      <c r="N202" s="14" t="n">
        <f aca="false">1-INDEX(GuardBlock,198,ROUND(D202/Step_h,0)+1)</f>
        <v>0</v>
      </c>
      <c r="O202" s="14" t="n">
        <f aca="false">1-INDEX(GuardBlock,198,ROUND(E202/Step_h,0)+1)</f>
        <v>0</v>
      </c>
      <c r="P202" s="14" t="n">
        <f aca="false">1-INDEX(GuardBlock,198,ROUND(F202/Step_h,0)+1)</f>
        <v>0</v>
      </c>
      <c r="Q202" s="14" t="n">
        <f aca="false">1-INDEX(GuardBlock,198,ROUND(G202/Step_h,0)+1)</f>
        <v>0</v>
      </c>
      <c r="R202" s="14" t="n">
        <f aca="false">1-INDEX(GuardBlock,198,ROUND(H202/Step_h,0)+1)</f>
        <v>0</v>
      </c>
      <c r="S202" s="14" t="n">
        <f aca="false">1-INDEX(GuardBlock,198,ROUND(I202/Step_h,0)+1)</f>
        <v>0</v>
      </c>
      <c r="T202" s="14" t="n">
        <f aca="false">1-INDEX(GuardBlock,198,ROUND(J202/Step_h,0)+1)</f>
        <v>0</v>
      </c>
      <c r="U202" s="14" t="n">
        <f aca="false">1-INDEX(GuardBlock,198,ROUND(K202/Step_h,0)+1)</f>
        <v>0</v>
      </c>
      <c r="V202" s="28" t="n">
        <f aca="false">BestRule!W202</f>
        <v>0</v>
      </c>
    </row>
    <row r="203" customFormat="false" ht="15" hidden="false" customHeight="false" outlineLevel="0" collapsed="false">
      <c r="A203" s="18" t="n">
        <f aca="false">Grid!A203</f>
        <v>79.5</v>
      </c>
      <c r="B203" s="20" t="n">
        <v>0.25</v>
      </c>
      <c r="C203" s="20" t="n">
        <v>0</v>
      </c>
      <c r="D203" s="20" t="n">
        <v>0.75</v>
      </c>
      <c r="E203" s="20" t="n">
        <v>0.5</v>
      </c>
      <c r="F203" s="20" t="n">
        <v>0.5</v>
      </c>
      <c r="G203" s="20" t="n">
        <v>0.25</v>
      </c>
      <c r="H203" s="20" t="n">
        <v>0.5</v>
      </c>
      <c r="I203" s="20" t="n">
        <v>0.25</v>
      </c>
      <c r="J203" s="20" t="n">
        <v>0.25</v>
      </c>
      <c r="K203" s="20" t="n">
        <v>0</v>
      </c>
      <c r="L203" s="14" t="n">
        <f aca="false">1-INDEX(GuardBlock,199,ROUND(B203/Step_h,0)+1)</f>
        <v>0</v>
      </c>
      <c r="M203" s="14" t="n">
        <f aca="false">1-INDEX(GuardBlock,199,ROUND(C203/Step_h,0)+1)</f>
        <v>0</v>
      </c>
      <c r="N203" s="14" t="n">
        <f aca="false">1-INDEX(GuardBlock,199,ROUND(D203/Step_h,0)+1)</f>
        <v>0</v>
      </c>
      <c r="O203" s="14" t="n">
        <f aca="false">1-INDEX(GuardBlock,199,ROUND(E203/Step_h,0)+1)</f>
        <v>0</v>
      </c>
      <c r="P203" s="14" t="n">
        <f aca="false">1-INDEX(GuardBlock,199,ROUND(F203/Step_h,0)+1)</f>
        <v>0</v>
      </c>
      <c r="Q203" s="14" t="n">
        <f aca="false">1-INDEX(GuardBlock,199,ROUND(G203/Step_h,0)+1)</f>
        <v>0</v>
      </c>
      <c r="R203" s="14" t="n">
        <f aca="false">1-INDEX(GuardBlock,199,ROUND(H203/Step_h,0)+1)</f>
        <v>0</v>
      </c>
      <c r="S203" s="14" t="n">
        <f aca="false">1-INDEX(GuardBlock,199,ROUND(I203/Step_h,0)+1)</f>
        <v>0</v>
      </c>
      <c r="T203" s="14" t="n">
        <f aca="false">1-INDEX(GuardBlock,199,ROUND(J203/Step_h,0)+1)</f>
        <v>0</v>
      </c>
      <c r="U203" s="14" t="n">
        <f aca="false">1-INDEX(GuardBlock,199,ROUND(K203/Step_h,0)+1)</f>
        <v>0</v>
      </c>
      <c r="V203" s="28" t="n">
        <f aca="false">BestRule!W203</f>
        <v>0</v>
      </c>
    </row>
    <row r="204" customFormat="false" ht="15" hidden="false" customHeight="false" outlineLevel="0" collapsed="false">
      <c r="A204" s="18" t="n">
        <f aca="false">Grid!A204</f>
        <v>79.75</v>
      </c>
      <c r="B204" s="20" t="n">
        <v>0</v>
      </c>
      <c r="C204" s="20" t="n">
        <v>0</v>
      </c>
      <c r="D204" s="20" t="n">
        <v>0</v>
      </c>
      <c r="E204" s="20" t="n">
        <v>0</v>
      </c>
      <c r="F204" s="20" t="n">
        <v>0.5</v>
      </c>
      <c r="G204" s="20" t="n">
        <v>0.5</v>
      </c>
      <c r="H204" s="20" t="n">
        <v>0</v>
      </c>
      <c r="I204" s="20" t="n">
        <v>0</v>
      </c>
      <c r="J204" s="20" t="n">
        <v>0</v>
      </c>
      <c r="K204" s="20" t="n">
        <v>0.25</v>
      </c>
      <c r="L204" s="14" t="n">
        <f aca="false">1-INDEX(GuardBlock,200,ROUND(B204/Step_h,0)+1)</f>
        <v>0</v>
      </c>
      <c r="M204" s="14" t="n">
        <f aca="false">1-INDEX(GuardBlock,200,ROUND(C204/Step_h,0)+1)</f>
        <v>0</v>
      </c>
      <c r="N204" s="14" t="n">
        <f aca="false">1-INDEX(GuardBlock,200,ROUND(D204/Step_h,0)+1)</f>
        <v>0</v>
      </c>
      <c r="O204" s="14" t="n">
        <f aca="false">1-INDEX(GuardBlock,200,ROUND(E204/Step_h,0)+1)</f>
        <v>0</v>
      </c>
      <c r="P204" s="14" t="n">
        <f aca="false">1-INDEX(GuardBlock,200,ROUND(F204/Step_h,0)+1)</f>
        <v>0</v>
      </c>
      <c r="Q204" s="14" t="n">
        <f aca="false">1-INDEX(GuardBlock,200,ROUND(G204/Step_h,0)+1)</f>
        <v>0</v>
      </c>
      <c r="R204" s="14" t="n">
        <f aca="false">1-INDEX(GuardBlock,200,ROUND(H204/Step_h,0)+1)</f>
        <v>0</v>
      </c>
      <c r="S204" s="14" t="n">
        <f aca="false">1-INDEX(GuardBlock,200,ROUND(I204/Step_h,0)+1)</f>
        <v>0</v>
      </c>
      <c r="T204" s="14" t="n">
        <f aca="false">1-INDEX(GuardBlock,200,ROUND(J204/Step_h,0)+1)</f>
        <v>0</v>
      </c>
      <c r="U204" s="14" t="n">
        <f aca="false">1-INDEX(GuardBlock,200,ROUND(K204/Step_h,0)+1)</f>
        <v>0</v>
      </c>
      <c r="V204" s="28" t="n">
        <f aca="false">BestRule!W204</f>
        <v>0</v>
      </c>
    </row>
    <row r="205" customFormat="false" ht="15" hidden="false" customHeight="false" outlineLevel="0" collapsed="false">
      <c r="A205" s="18" t="n">
        <f aca="false">Grid!A205</f>
        <v>80</v>
      </c>
      <c r="B205" s="20" t="n">
        <v>0.5</v>
      </c>
      <c r="C205" s="20" t="n">
        <v>0.5</v>
      </c>
      <c r="D205" s="20" t="n">
        <v>0</v>
      </c>
      <c r="E205" s="20" t="n">
        <v>0.5</v>
      </c>
      <c r="F205" s="20" t="n">
        <v>0.25</v>
      </c>
      <c r="G205" s="20" t="n">
        <v>0.5</v>
      </c>
      <c r="H205" s="20" t="n">
        <v>0.5</v>
      </c>
      <c r="I205" s="20" t="n">
        <v>0.25</v>
      </c>
      <c r="J205" s="20" t="n">
        <v>0</v>
      </c>
      <c r="K205" s="20" t="n">
        <v>0</v>
      </c>
      <c r="L205" s="14" t="n">
        <f aca="false">1-INDEX(GuardBlock,201,ROUND(B205/Step_h,0)+1)</f>
        <v>0</v>
      </c>
      <c r="M205" s="14" t="n">
        <f aca="false">1-INDEX(GuardBlock,201,ROUND(C205/Step_h,0)+1)</f>
        <v>0</v>
      </c>
      <c r="N205" s="14" t="n">
        <f aca="false">1-INDEX(GuardBlock,201,ROUND(D205/Step_h,0)+1)</f>
        <v>0</v>
      </c>
      <c r="O205" s="14" t="n">
        <f aca="false">1-INDEX(GuardBlock,201,ROUND(E205/Step_h,0)+1)</f>
        <v>0</v>
      </c>
      <c r="P205" s="14" t="n">
        <f aca="false">1-INDEX(GuardBlock,201,ROUND(F205/Step_h,0)+1)</f>
        <v>0</v>
      </c>
      <c r="Q205" s="14" t="n">
        <f aca="false">1-INDEX(GuardBlock,201,ROUND(G205/Step_h,0)+1)</f>
        <v>0</v>
      </c>
      <c r="R205" s="14" t="n">
        <f aca="false">1-INDEX(GuardBlock,201,ROUND(H205/Step_h,0)+1)</f>
        <v>0</v>
      </c>
      <c r="S205" s="14" t="n">
        <f aca="false">1-INDEX(GuardBlock,201,ROUND(I205/Step_h,0)+1)</f>
        <v>0</v>
      </c>
      <c r="T205" s="14" t="n">
        <f aca="false">1-INDEX(GuardBlock,201,ROUND(J205/Step_h,0)+1)</f>
        <v>0</v>
      </c>
      <c r="U205" s="14" t="n">
        <f aca="false">1-INDEX(GuardBlock,201,ROUND(K205/Step_h,0)+1)</f>
        <v>0</v>
      </c>
      <c r="V205" s="28" t="n">
        <f aca="false">BestRule!W205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6" min="2" style="0" width="12"/>
    <col collapsed="false" customWidth="true" hidden="false" outlineLevel="0" max="7" min="7" style="0" width="40"/>
    <col collapsed="false" customWidth="true" hidden="false" outlineLevel="0" max="8" min="8" style="0" width="12"/>
    <col collapsed="false" customWidth="true" hidden="false" outlineLevel="0" max="9" min="9" style="0" width="30"/>
    <col collapsed="false" customWidth="true" hidden="false" outlineLevel="0" max="11" min="10" style="0" width="12"/>
  </cols>
  <sheetData>
    <row r="1" customFormat="false" ht="15" hidden="false" customHeight="false" outlineLevel="0" collapsed="false">
      <c r="A1" s="1" t="s">
        <v>251</v>
      </c>
    </row>
    <row r="2" customFormat="false" ht="15" hidden="false" customHeight="false" outlineLevel="0" collapsed="false">
      <c r="A2" s="10" t="s">
        <v>252</v>
      </c>
    </row>
    <row r="4" customFormat="false" ht="23.85" hidden="false" customHeight="false" outlineLevel="0" collapsed="false">
      <c r="A4" s="8" t="s">
        <v>253</v>
      </c>
      <c r="B4" s="8" t="s">
        <v>254</v>
      </c>
      <c r="C4" s="8" t="s">
        <v>255</v>
      </c>
      <c r="D4" s="8" t="s">
        <v>256</v>
      </c>
      <c r="E4" s="8" t="s">
        <v>257</v>
      </c>
      <c r="G4" s="4" t="s">
        <v>258</v>
      </c>
    </row>
    <row r="5" customFormat="false" ht="15" hidden="false" customHeight="false" outlineLevel="0" collapsed="false">
      <c r="A5" s="31" t="n">
        <v>1</v>
      </c>
      <c r="B5" s="11" t="n">
        <f aca="false">1/(1+(1-Beta_q)*A5)</f>
        <v>0.976995745783164</v>
      </c>
      <c r="C5" s="11" t="n">
        <f aca="false">1/A5</f>
        <v>1</v>
      </c>
      <c r="D5" s="32" t="n">
        <v>0.1</v>
      </c>
      <c r="E5" s="11" t="n">
        <f aca="false">A5^(-0.7)</f>
        <v>1</v>
      </c>
      <c r="G5" s="2" t="s">
        <v>259</v>
      </c>
      <c r="H5" s="13" t="n">
        <v>0</v>
      </c>
      <c r="I5" s="10" t="s">
        <v>260</v>
      </c>
    </row>
    <row r="6" customFormat="false" ht="15" hidden="false" customHeight="false" outlineLevel="0" collapsed="false">
      <c r="A6" s="31" t="n">
        <v>2</v>
      </c>
      <c r="B6" s="11" t="n">
        <f aca="false">1/(1+(1-Beta_q)*A6)</f>
        <v>0.955026082986434</v>
      </c>
      <c r="C6" s="11" t="n">
        <f aca="false">1/A6</f>
        <v>0.5</v>
      </c>
      <c r="D6" s="32" t="n">
        <v>0.1</v>
      </c>
      <c r="E6" s="11" t="n">
        <f aca="false">A6^(-0.7)</f>
        <v>0.615572206672458</v>
      </c>
      <c r="G6" s="2" t="s">
        <v>261</v>
      </c>
      <c r="H6" s="15" t="n">
        <v>1</v>
      </c>
    </row>
    <row r="7" customFormat="false" ht="15" hidden="false" customHeight="false" outlineLevel="0" collapsed="false">
      <c r="A7" s="31" t="n">
        <v>5</v>
      </c>
      <c r="B7" s="11" t="n">
        <f aca="false">1/(1+(1-Beta_q)*A7)</f>
        <v>0.894670807040954</v>
      </c>
      <c r="C7" s="11" t="n">
        <f aca="false">1/A7</f>
        <v>0.2</v>
      </c>
      <c r="D7" s="32" t="n">
        <v>0.1</v>
      </c>
      <c r="E7" s="11" t="n">
        <f aca="false">A7^(-0.7)</f>
        <v>0.324131319338553</v>
      </c>
      <c r="G7" s="2" t="s">
        <v>262</v>
      </c>
      <c r="H7" s="13" t="n">
        <v>-1.6</v>
      </c>
      <c r="I7" s="10" t="s">
        <v>263</v>
      </c>
    </row>
    <row r="8" customFormat="false" ht="15" hidden="false" customHeight="false" outlineLevel="0" collapsed="false">
      <c r="A8" s="31" t="n">
        <v>10</v>
      </c>
      <c r="B8" s="11" t="n">
        <f aca="false">1/(1+(1-Beta_q)*A8)</f>
        <v>0.809415704154032</v>
      </c>
      <c r="C8" s="11" t="n">
        <f aca="false">1/A8</f>
        <v>0.1</v>
      </c>
      <c r="D8" s="32" t="n">
        <v>0.1</v>
      </c>
      <c r="E8" s="11" t="n">
        <f aca="false">A8^(-0.7)</f>
        <v>0.199526231496888</v>
      </c>
      <c r="G8" s="2" t="s">
        <v>264</v>
      </c>
      <c r="H8" s="13" t="n">
        <v>-250</v>
      </c>
    </row>
    <row r="9" customFormat="false" ht="15" hidden="false" customHeight="false" outlineLevel="0" collapsed="false">
      <c r="A9" s="31" t="n">
        <v>42</v>
      </c>
      <c r="B9" s="11" t="n">
        <f aca="false">1/(1+(1-Beta_q)*A9)</f>
        <v>0.502783349901226</v>
      </c>
      <c r="C9" s="11" t="n">
        <f aca="false">1/A9</f>
        <v>0.0238095238095238</v>
      </c>
      <c r="D9" s="32" t="n">
        <v>0.1</v>
      </c>
      <c r="E9" s="11" t="n">
        <f aca="false">A9^(-0.7)</f>
        <v>0.0730677100498976</v>
      </c>
      <c r="G9" s="2" t="s">
        <v>265</v>
      </c>
      <c r="H9" s="11" t="n">
        <f aca="false">1/(1+(1-Beta_q)*H6)</f>
        <v>0.976995745783164</v>
      </c>
    </row>
    <row r="10" customFormat="false" ht="15" hidden="false" customHeight="false" outlineLevel="0" collapsed="false">
      <c r="A10" s="31" t="n">
        <v>100</v>
      </c>
      <c r="B10" s="11" t="n">
        <f aca="false">1/(1+(1-Beta_q)*A10)</f>
        <v>0.298098930793904</v>
      </c>
      <c r="C10" s="11" t="n">
        <f aca="false">1/A10</f>
        <v>0.01</v>
      </c>
      <c r="D10" s="32" t="n">
        <v>0.1</v>
      </c>
      <c r="E10" s="11" t="n">
        <f aca="false">A10^(-0.7)</f>
        <v>0.0398107170553497</v>
      </c>
      <c r="G10" s="2" t="s">
        <v>266</v>
      </c>
      <c r="H10" s="16" t="n">
        <f aca="false">H5+H9*(H7+Beta_q*H8-H5)</f>
        <v>-240.061066084835</v>
      </c>
      <c r="I10" s="10" t="s">
        <v>267</v>
      </c>
    </row>
    <row r="11" customFormat="false" ht="15" hidden="false" customHeight="false" outlineLevel="0" collapsed="false">
      <c r="A11" s="31" t="n">
        <v>1000</v>
      </c>
      <c r="B11" s="11" t="n">
        <f aca="false">1/(1+(1-Beta_q)*A11)</f>
        <v>0.0407399842504473</v>
      </c>
      <c r="C11" s="11" t="n">
        <f aca="false">1/A11</f>
        <v>0.001</v>
      </c>
      <c r="D11" s="32" t="n">
        <v>0.1</v>
      </c>
      <c r="E11" s="11" t="n">
        <f aca="false">A11^(-0.7)</f>
        <v>0.00794328234724282</v>
      </c>
      <c r="G11" s="2" t="s">
        <v>268</v>
      </c>
      <c r="H11" s="9" t="n">
        <v>0.1</v>
      </c>
      <c r="I11" s="10" t="s">
        <v>269</v>
      </c>
    </row>
    <row r="12" customFormat="false" ht="15" hidden="false" customHeight="false" outlineLevel="0" collapsed="false">
      <c r="A12" s="31" t="n">
        <v>10000</v>
      </c>
      <c r="B12" s="11" t="n">
        <f aca="false">1/(1+(1-Beta_q)*A12)</f>
        <v>0.00422906112013018</v>
      </c>
      <c r="C12" s="11" t="n">
        <f aca="false">1/A12</f>
        <v>0.0001</v>
      </c>
      <c r="D12" s="32" t="n">
        <v>0.1</v>
      </c>
      <c r="E12" s="11" t="n">
        <f aca="false">A12^(-0.7)</f>
        <v>0.00158489319246111</v>
      </c>
      <c r="G12" s="2" t="s">
        <v>270</v>
      </c>
      <c r="H12" s="16" t="n">
        <f aca="false">SQRT(H11/(1-Beta_q))</f>
        <v>2.06083042385795</v>
      </c>
    </row>
    <row r="13" customFormat="false" ht="15" hidden="false" customHeight="false" outlineLevel="0" collapsed="false">
      <c r="A13" s="31" t="n">
        <v>100000</v>
      </c>
      <c r="B13" s="11" t="n">
        <f aca="false">1/(1+(1-Beta_q)*A13)</f>
        <v>0.000424521908199969</v>
      </c>
      <c r="C13" s="11" t="n">
        <f aca="false">1/A13</f>
        <v>1E-005</v>
      </c>
      <c r="D13" s="32" t="n">
        <v>0.1</v>
      </c>
      <c r="E13" s="11" t="n">
        <f aca="false">A13^(-0.7)</f>
        <v>0.000316227766016838</v>
      </c>
    </row>
    <row r="14" customFormat="false" ht="15" hidden="false" customHeight="false" outlineLevel="0" collapsed="false">
      <c r="A14" s="31" t="n">
        <v>1000000</v>
      </c>
      <c r="B14" s="11" t="n">
        <f aca="false">1/(1+(1-Beta_q)*A14)</f>
        <v>4.24684167159691E-005</v>
      </c>
      <c r="C14" s="11" t="n">
        <f aca="false">1/A14</f>
        <v>1E-006</v>
      </c>
      <c r="D14" s="32" t="n">
        <v>0.1</v>
      </c>
      <c r="E14" s="11" t="n">
        <f aca="false">A14^(-0.7)</f>
        <v>6.30957344480194E-005</v>
      </c>
    </row>
    <row r="15" customFormat="false" ht="15" hidden="false" customHeight="false" outlineLevel="0" collapsed="false">
      <c r="A15" s="10" t="s">
        <v>271</v>
      </c>
    </row>
    <row r="18" customFormat="false" ht="15" hidden="false" customHeight="false" outlineLevel="0" collapsed="false">
      <c r="A18" s="4" t="s">
        <v>272</v>
      </c>
    </row>
    <row r="19" customFormat="false" ht="15" hidden="false" customHeight="false" outlineLevel="0" collapsed="false">
      <c r="A19" s="8" t="s">
        <v>225</v>
      </c>
      <c r="B19" s="8" t="s">
        <v>273</v>
      </c>
      <c r="C19" s="8" t="s">
        <v>274</v>
      </c>
      <c r="D19" s="8" t="s">
        <v>275</v>
      </c>
      <c r="E19" s="8" t="s">
        <v>276</v>
      </c>
      <c r="F19" s="8" t="s">
        <v>277</v>
      </c>
    </row>
    <row r="20" customFormat="false" ht="15" hidden="false" customHeight="false" outlineLevel="0" collapsed="false">
      <c r="A20" s="14" t="n">
        <v>1</v>
      </c>
      <c r="B20" s="20" t="n">
        <v>379.956928506088</v>
      </c>
      <c r="C20" s="20" t="n">
        <v>28.9466539202147</v>
      </c>
      <c r="D20" s="20" t="n">
        <v>31.0141865545103</v>
      </c>
      <c r="E20" s="20" t="n">
        <v>1.36361470607224</v>
      </c>
      <c r="F20" s="20" t="n">
        <v>0.173377456688883</v>
      </c>
    </row>
    <row r="21" customFormat="false" ht="15" hidden="false" customHeight="false" outlineLevel="0" collapsed="false">
      <c r="A21" s="14" t="n">
        <v>2</v>
      </c>
      <c r="B21" s="20" t="n">
        <v>543.322769493341</v>
      </c>
      <c r="C21" s="20" t="n">
        <v>52.9706757780639</v>
      </c>
      <c r="D21" s="20" t="n">
        <v>24.3746274142386</v>
      </c>
      <c r="E21" s="20" t="n">
        <v>0.867427279136877</v>
      </c>
      <c r="F21" s="20" t="n">
        <v>0.290371869682531</v>
      </c>
    </row>
    <row r="22" customFormat="false" ht="15" hidden="false" customHeight="false" outlineLevel="0" collapsed="false">
      <c r="A22" s="14" t="n">
        <v>3</v>
      </c>
      <c r="B22" s="20" t="n">
        <v>477.387601783461</v>
      </c>
      <c r="C22" s="20" t="n">
        <v>38.755164308874</v>
      </c>
      <c r="D22" s="20" t="n">
        <v>14.5952537908346</v>
      </c>
      <c r="E22" s="20" t="n">
        <v>1.69582663448915</v>
      </c>
      <c r="F22" s="20" t="n">
        <v>0.64850251841014</v>
      </c>
    </row>
    <row r="23" customFormat="false" ht="15" hidden="false" customHeight="false" outlineLevel="0" collapsed="false">
      <c r="A23" s="14" t="n">
        <v>4</v>
      </c>
      <c r="B23" s="20" t="n">
        <v>299.796596888353</v>
      </c>
      <c r="C23" s="20" t="n">
        <v>56.2823366448537</v>
      </c>
      <c r="D23" s="20" t="n">
        <v>37.2085978117583</v>
      </c>
      <c r="E23" s="20" t="n">
        <v>1.63131983314935</v>
      </c>
      <c r="F23" s="20" t="n">
        <v>1.40012135331875</v>
      </c>
    </row>
    <row r="24" customFormat="false" ht="15" hidden="false" customHeight="false" outlineLevel="0" collapsed="false">
      <c r="A24" s="14" t="n">
        <v>5</v>
      </c>
      <c r="B24" s="20" t="n">
        <v>489.448302318901</v>
      </c>
      <c r="C24" s="20" t="n">
        <v>24.6562195998628</v>
      </c>
      <c r="D24" s="20" t="n">
        <v>15.1860968493723</v>
      </c>
      <c r="E24" s="20" t="n">
        <v>1.17806164652603</v>
      </c>
      <c r="F24" s="20" t="n">
        <v>0.375040373352817</v>
      </c>
    </row>
    <row r="25" customFormat="false" ht="15" hidden="false" customHeight="false" outlineLevel="0" collapsed="false">
      <c r="A25" s="14" t="n">
        <v>6</v>
      </c>
      <c r="B25" s="20" t="n">
        <v>589.521375499691</v>
      </c>
      <c r="C25" s="20" t="n">
        <v>68.2848282978923</v>
      </c>
      <c r="D25" s="20" t="n">
        <v>26.5723884961387</v>
      </c>
      <c r="E25" s="20" t="n">
        <v>0.81727527170392</v>
      </c>
      <c r="F25" s="20" t="n">
        <v>0.631458403485766</v>
      </c>
    </row>
    <row r="26" customFormat="false" ht="15" hidden="false" customHeight="false" outlineLevel="0" collapsed="false">
      <c r="A26" s="14" t="n">
        <v>7</v>
      </c>
      <c r="B26" s="20" t="n">
        <v>630.084769419286</v>
      </c>
      <c r="C26" s="20" t="n">
        <v>46.5497057730291</v>
      </c>
      <c r="D26" s="20" t="n">
        <v>13.8309699915617</v>
      </c>
      <c r="E26" s="20" t="n">
        <v>2.19470265147356</v>
      </c>
      <c r="F26" s="20" t="n">
        <v>0.548438861252038</v>
      </c>
    </row>
    <row r="27" customFormat="false" ht="15" hidden="false" customHeight="false" outlineLevel="0" collapsed="false">
      <c r="A27" s="14" t="n">
        <v>8</v>
      </c>
      <c r="B27" s="20" t="n">
        <v>588.990013319462</v>
      </c>
      <c r="C27" s="20" t="n">
        <v>83.8635005106453</v>
      </c>
      <c r="D27" s="20" t="n">
        <v>16.3919685900271</v>
      </c>
      <c r="E27" s="20" t="n">
        <v>0.746647541418497</v>
      </c>
      <c r="F27" s="20" t="n">
        <v>0.357036289203307</v>
      </c>
    </row>
    <row r="28" customFormat="false" ht="15" hidden="false" customHeight="false" outlineLevel="0" collapsed="false">
      <c r="A28" s="14" t="n">
        <v>9</v>
      </c>
      <c r="B28" s="20" t="n">
        <v>445.71616698065</v>
      </c>
      <c r="C28" s="20" t="n">
        <v>106.310752037226</v>
      </c>
      <c r="D28" s="20" t="n">
        <v>17.8963593776104</v>
      </c>
      <c r="E28" s="20" t="n">
        <v>0.560559783086575</v>
      </c>
      <c r="F28" s="20" t="n">
        <v>0.444787535010534</v>
      </c>
    </row>
    <row r="29" customFormat="false" ht="15" hidden="false" customHeight="false" outlineLevel="0" collapsed="false">
      <c r="A29" s="14" t="n">
        <v>10</v>
      </c>
      <c r="B29" s="20" t="n">
        <v>489.34859068115</v>
      </c>
      <c r="C29" s="20" t="n">
        <v>60.3161363528377</v>
      </c>
      <c r="D29" s="20" t="n">
        <v>22.6380579669639</v>
      </c>
      <c r="E29" s="20" t="n">
        <v>1.55067585587651</v>
      </c>
      <c r="F29" s="20" t="n">
        <v>0.656165730187723</v>
      </c>
    </row>
    <row r="30" customFormat="false" ht="15" hidden="false" customHeight="false" outlineLevel="0" collapsed="false">
      <c r="A30" s="4" t="s">
        <v>278</v>
      </c>
      <c r="B30" s="12" t="n">
        <f aca="false">AVERAGE(B20:B29)</f>
        <v>493.357311489038</v>
      </c>
      <c r="C30" s="12" t="n">
        <f aca="false">AVERAGE(C20:C29)</f>
        <v>56.69359732235</v>
      </c>
      <c r="D30" s="12" t="n">
        <f aca="false">AVERAGE(D20:D29)</f>
        <v>21.9708506843016</v>
      </c>
      <c r="E30" s="12" t="n">
        <f aca="false">AVERAGE(E20:E29)</f>
        <v>1.26061112029327</v>
      </c>
      <c r="F30" s="12" t="n">
        <f aca="false">AVERAGE(F20:F29)</f>
        <v>0.552530039059249</v>
      </c>
    </row>
    <row r="31" customFormat="false" ht="15" hidden="false" customHeight="false" outlineLevel="0" collapsed="false">
      <c r="A31" s="4" t="s">
        <v>279</v>
      </c>
      <c r="B31" s="12" t="n">
        <f aca="false">PERCENTILE(B20:B29,0.9)</f>
        <v>593.57771489165</v>
      </c>
      <c r="C31" s="12" t="n">
        <f aca="false">PERCENTILE(C20:C29,0.9)</f>
        <v>86.1082256633034</v>
      </c>
      <c r="D31" s="12" t="n">
        <f aca="false">PERCENTILE(D20:D29,0.9)</f>
        <v>31.6336276802351</v>
      </c>
      <c r="E31" s="12" t="n">
        <f aca="false">PERCENTILE(E20:E29,0.9)</f>
        <v>1.74571423618759</v>
      </c>
      <c r="F31" s="12" t="n">
        <f aca="false">PERCENTILE(F20:F29,0.9)</f>
        <v>0.730561292500826</v>
      </c>
    </row>
    <row r="32" customFormat="false" ht="15" hidden="false" customHeight="false" outlineLevel="0" collapsed="false">
      <c r="A32" s="4" t="s">
        <v>280</v>
      </c>
      <c r="B32" s="12" t="n">
        <f aca="false">MIN(B20:B29)</f>
        <v>299.796596888353</v>
      </c>
      <c r="C32" s="12" t="n">
        <f aca="false">MIN(C20:C29)</f>
        <v>24.6562195998628</v>
      </c>
      <c r="D32" s="12" t="n">
        <f aca="false">MIN(D20:D29)</f>
        <v>13.8309699915617</v>
      </c>
      <c r="E32" s="12" t="n">
        <f aca="false">MIN(E20:E29)</f>
        <v>0.560559783086575</v>
      </c>
      <c r="F32" s="12" t="n">
        <f aca="false">MIN(F20:F29)</f>
        <v>0.173377456688883</v>
      </c>
    </row>
    <row r="33" customFormat="false" ht="15" hidden="false" customHeight="false" outlineLevel="0" collapsed="false">
      <c r="A33" s="4" t="s">
        <v>281</v>
      </c>
      <c r="B33" s="12" t="n">
        <f aca="false">MAX(B20:B29)</f>
        <v>630.084769419286</v>
      </c>
      <c r="C33" s="12" t="n">
        <f aca="false">MAX(C20:C29)</f>
        <v>106.310752037226</v>
      </c>
      <c r="D33" s="12" t="n">
        <f aca="false">MAX(D20:D29)</f>
        <v>37.2085978117583</v>
      </c>
      <c r="E33" s="12" t="n">
        <f aca="false">MAX(E20:E29)</f>
        <v>2.19470265147356</v>
      </c>
      <c r="F33" s="12" t="n">
        <f aca="false">MAX(F20:F29)</f>
        <v>1.40012135331875</v>
      </c>
    </row>
    <row r="34" customFormat="false" ht="15" hidden="false" customHeight="false" outlineLevel="0" collapsed="false">
      <c r="A34" s="4" t="s">
        <v>282</v>
      </c>
      <c r="B34" s="14" t="n">
        <f aca="false">COUNTIF(B20:B29,"&lt;=1")</f>
        <v>0</v>
      </c>
      <c r="C34" s="14" t="n">
        <f aca="false">COUNTIF(C20:C29,"&lt;=1")</f>
        <v>0</v>
      </c>
      <c r="D34" s="14" t="n">
        <f aca="false">COUNTIF(D20:D29,"&lt;=1")</f>
        <v>0</v>
      </c>
      <c r="E34" s="14" t="n">
        <f aca="false">COUNTIF(E20:E29,"&lt;=1")</f>
        <v>4</v>
      </c>
      <c r="F34" s="14" t="n">
        <f aca="false">COUNTIF(F20:F29,"&lt;=1")</f>
        <v>9</v>
      </c>
    </row>
    <row r="35" customFormat="false" ht="15" hidden="false" customHeight="false" outlineLevel="0" collapsed="false">
      <c r="A35" s="2" t="s">
        <v>283</v>
      </c>
      <c r="B35" s="33" t="n">
        <v>665.4</v>
      </c>
      <c r="C35" s="33" t="n">
        <v>1447.9</v>
      </c>
      <c r="D35" s="33" t="n">
        <v>2104.2</v>
      </c>
      <c r="E35" s="33" t="n">
        <v>2109.9</v>
      </c>
      <c r="F35" s="33" t="n">
        <v>2109.9</v>
      </c>
    </row>
    <row r="36" customFormat="false" ht="15" hidden="false" customHeight="false" outlineLevel="0" collapsed="false">
      <c r="A36" s="2" t="s">
        <v>284</v>
      </c>
      <c r="B36" s="34" t="n">
        <v>1.00000000000002</v>
      </c>
      <c r="C36" s="34" t="n">
        <v>0.509144516052267</v>
      </c>
      <c r="D36" s="34" t="n">
        <v>0.0787885439758743</v>
      </c>
      <c r="E36" s="34" t="n">
        <v>0.0758571593421306</v>
      </c>
      <c r="F36" s="34" t="n">
        <v>0.0777828301150335</v>
      </c>
    </row>
    <row r="37" customFormat="false" ht="15" hidden="false" customHeight="false" outlineLevel="0" collapsed="false">
      <c r="A37" s="2" t="s">
        <v>285</v>
      </c>
    </row>
    <row r="38" customFormat="false" ht="15" hidden="false" customHeight="false" outlineLevel="0" collapsed="false">
      <c r="B38" s="12" t="n">
        <f aca="false">SMALL($F$20:$F$29,1)</f>
        <v>0.173377456688883</v>
      </c>
      <c r="C38" s="12" t="n">
        <f aca="false">SMALL($F$20:$F$29,2)</f>
        <v>0.290371869682531</v>
      </c>
      <c r="D38" s="12" t="n">
        <f aca="false">SMALL($F$20:$F$29,3)</f>
        <v>0.357036289203307</v>
      </c>
      <c r="E38" s="12" t="n">
        <f aca="false">SMALL($F$20:$F$29,4)</f>
        <v>0.375040373352817</v>
      </c>
      <c r="F38" s="12" t="n">
        <f aca="false">SMALL($F$20:$F$29,5)</f>
        <v>0.444787535010534</v>
      </c>
      <c r="G38" s="12" t="n">
        <f aca="false">SMALL($F$20:$F$29,6)</f>
        <v>0.548438861252038</v>
      </c>
      <c r="H38" s="12" t="n">
        <f aca="false">SMALL($F$20:$F$29,7)</f>
        <v>0.631458403485766</v>
      </c>
      <c r="I38" s="12" t="n">
        <f aca="false">SMALL($F$20:$F$29,8)</f>
        <v>0.64850251841014</v>
      </c>
      <c r="J38" s="12" t="n">
        <f aca="false">SMALL($F$20:$F$29,9)</f>
        <v>0.656165730187723</v>
      </c>
      <c r="K38" s="12" t="n">
        <f aca="false">SMALL($F$20:$F$29,10)</f>
        <v>1.40012135331875</v>
      </c>
    </row>
    <row r="41" customFormat="false" ht="15" hidden="false" customHeight="false" outlineLevel="0" collapsed="false">
      <c r="A41" s="4" t="s">
        <v>286</v>
      </c>
    </row>
    <row r="42" customFormat="false" ht="15" hidden="false" customHeight="false" outlineLevel="0" collapsed="false">
      <c r="A42" s="8" t="s">
        <v>225</v>
      </c>
      <c r="B42" s="8" t="s">
        <v>273</v>
      </c>
      <c r="C42" s="8" t="s">
        <v>274</v>
      </c>
      <c r="D42" s="8" t="s">
        <v>275</v>
      </c>
      <c r="E42" s="8" t="s">
        <v>276</v>
      </c>
    </row>
    <row r="43" customFormat="false" ht="15" hidden="false" customHeight="false" outlineLevel="0" collapsed="false">
      <c r="A43" s="14" t="n">
        <v>1</v>
      </c>
      <c r="B43" s="20" t="n">
        <v>502.053730730715</v>
      </c>
      <c r="C43" s="20" t="n">
        <v>268.148152398667</v>
      </c>
      <c r="D43" s="20" t="n">
        <v>18.9918184526233</v>
      </c>
      <c r="E43" s="20" t="n">
        <v>9.15844202810834</v>
      </c>
    </row>
    <row r="44" customFormat="false" ht="15" hidden="false" customHeight="false" outlineLevel="0" collapsed="false">
      <c r="A44" s="14" t="n">
        <v>2</v>
      </c>
      <c r="B44" s="20" t="n">
        <v>531.860486781383</v>
      </c>
      <c r="C44" s="20" t="n">
        <v>164.514691130129</v>
      </c>
      <c r="D44" s="20" t="n">
        <v>36.7793583386846</v>
      </c>
      <c r="E44" s="20" t="n">
        <v>9.35935805760366</v>
      </c>
    </row>
    <row r="45" customFormat="false" ht="15" hidden="false" customHeight="false" outlineLevel="0" collapsed="false">
      <c r="A45" s="14" t="n">
        <v>3</v>
      </c>
      <c r="B45" s="20" t="n">
        <v>574.035967425509</v>
      </c>
      <c r="C45" s="20" t="n">
        <v>160.469035525057</v>
      </c>
      <c r="D45" s="20" t="n">
        <v>44.1735890244323</v>
      </c>
      <c r="E45" s="20" t="n">
        <v>15.098401776153</v>
      </c>
    </row>
    <row r="46" customFormat="false" ht="15" hidden="false" customHeight="false" outlineLevel="0" collapsed="false">
      <c r="A46" s="14" t="n">
        <v>4</v>
      </c>
      <c r="B46" s="20" t="n">
        <v>580.851346010218</v>
      </c>
      <c r="C46" s="20" t="n">
        <v>281.351026051826</v>
      </c>
      <c r="D46" s="20" t="n">
        <v>20.0826388848479</v>
      </c>
      <c r="E46" s="20" t="n">
        <v>50.3305255525051</v>
      </c>
    </row>
    <row r="47" customFormat="false" ht="15" hidden="false" customHeight="false" outlineLevel="0" collapsed="false">
      <c r="A47" s="14" t="n">
        <v>5</v>
      </c>
      <c r="B47" s="20" t="n">
        <v>647.689313213465</v>
      </c>
      <c r="C47" s="20" t="n">
        <v>121.292376797571</v>
      </c>
      <c r="D47" s="20" t="n">
        <v>39.3362557375614</v>
      </c>
      <c r="E47" s="20" t="n">
        <v>24.6196636030947</v>
      </c>
    </row>
    <row r="48" customFormat="false" ht="15" hidden="false" customHeight="false" outlineLevel="0" collapsed="false">
      <c r="A48" s="4" t="s">
        <v>278</v>
      </c>
      <c r="B48" s="12" t="n">
        <f aca="false">AVERAGE(B43:B47)</f>
        <v>567.298168832258</v>
      </c>
      <c r="C48" s="12" t="n">
        <f aca="false">AVERAGE(C43:C47)</f>
        <v>199.15505638065</v>
      </c>
      <c r="D48" s="12" t="n">
        <f aca="false">AVERAGE(D43:D47)</f>
        <v>31.8727320876299</v>
      </c>
      <c r="E48" s="12" t="n">
        <f aca="false">AVERAGE(E43:E47)</f>
        <v>21.7132782034929</v>
      </c>
    </row>
    <row r="49" customFormat="false" ht="15" hidden="false" customHeight="false" outlineLevel="0" collapsed="false">
      <c r="A49" s="4" t="s">
        <v>279</v>
      </c>
      <c r="B49" s="12" t="n">
        <f aca="false">PERCENTILE(B43:B47,0.9)</f>
        <v>620.954126332166</v>
      </c>
      <c r="C49" s="12" t="n">
        <f aca="false">PERCENTILE(C43:C47,0.9)</f>
        <v>276.069876590562</v>
      </c>
      <c r="D49" s="12" t="n">
        <f aca="false">PERCENTILE(D43:D47,0.9)</f>
        <v>42.238655709684</v>
      </c>
      <c r="E49" s="12" t="n">
        <f aca="false">PERCENTILE(E43:E47,0.9)</f>
        <v>40.0461807727409</v>
      </c>
    </row>
    <row r="50" customFormat="false" ht="15" hidden="false" customHeight="false" outlineLevel="0" collapsed="false">
      <c r="A50" s="4" t="s">
        <v>280</v>
      </c>
      <c r="B50" s="12" t="n">
        <f aca="false">MIN(B43:B47)</f>
        <v>502.053730730715</v>
      </c>
      <c r="C50" s="12" t="n">
        <f aca="false">MIN(C43:C47)</f>
        <v>121.292376797571</v>
      </c>
      <c r="D50" s="12" t="n">
        <f aca="false">MIN(D43:D47)</f>
        <v>18.9918184526233</v>
      </c>
      <c r="E50" s="12" t="n">
        <f aca="false">MIN(E43:E47)</f>
        <v>9.15844202810834</v>
      </c>
    </row>
    <row r="51" customFormat="false" ht="15" hidden="false" customHeight="false" outlineLevel="0" collapsed="false">
      <c r="A51" s="4" t="s">
        <v>281</v>
      </c>
      <c r="B51" s="12" t="n">
        <f aca="false">MAX(B43:B47)</f>
        <v>647.689313213465</v>
      </c>
      <c r="C51" s="12" t="n">
        <f aca="false">MAX(C43:C47)</f>
        <v>281.351026051826</v>
      </c>
      <c r="D51" s="12" t="n">
        <f aca="false">MAX(D43:D47)</f>
        <v>44.1735890244323</v>
      </c>
      <c r="E51" s="12" t="n">
        <f aca="false">MAX(E43:E47)</f>
        <v>50.3305255525051</v>
      </c>
    </row>
    <row r="52" customFormat="false" ht="15" hidden="false" customHeight="false" outlineLevel="0" collapsed="false">
      <c r="A52" s="4" t="s">
        <v>282</v>
      </c>
      <c r="B52" s="14" t="n">
        <f aca="false">COUNTIF(B43:B47,"&lt;=1")</f>
        <v>0</v>
      </c>
      <c r="C52" s="14" t="n">
        <f aca="false">COUNTIF(C43:C47,"&lt;=1")</f>
        <v>0</v>
      </c>
      <c r="D52" s="14" t="n">
        <f aca="false">COUNTIF(D43:D47,"&lt;=1")</f>
        <v>0</v>
      </c>
      <c r="E52" s="14" t="n">
        <f aca="false">COUNTIF(E43:E47,"&lt;=1")</f>
        <v>0</v>
      </c>
    </row>
    <row r="53" customFormat="false" ht="15" hidden="false" customHeight="false" outlineLevel="0" collapsed="false">
      <c r="A53" s="2" t="s">
        <v>283</v>
      </c>
      <c r="B53" s="33" t="n">
        <v>678.6</v>
      </c>
      <c r="C53" s="33" t="n">
        <v>1052.6</v>
      </c>
      <c r="D53" s="33" t="n">
        <v>1390.4</v>
      </c>
      <c r="E53" s="33" t="n">
        <v>1550.2</v>
      </c>
    </row>
    <row r="56" customFormat="false" ht="15" hidden="false" customHeight="false" outlineLevel="0" collapsed="false">
      <c r="A56" s="4" t="s">
        <v>287</v>
      </c>
    </row>
    <row r="57" customFormat="false" ht="15" hidden="false" customHeight="false" outlineLevel="0" collapsed="false">
      <c r="A57" s="8" t="s">
        <v>225</v>
      </c>
      <c r="B57" s="8" t="s">
        <v>273</v>
      </c>
      <c r="C57" s="8" t="s">
        <v>274</v>
      </c>
      <c r="D57" s="8" t="s">
        <v>275</v>
      </c>
      <c r="E57" s="8" t="s">
        <v>276</v>
      </c>
    </row>
    <row r="58" customFormat="false" ht="15" hidden="false" customHeight="false" outlineLevel="0" collapsed="false">
      <c r="A58" s="14" t="n">
        <v>1</v>
      </c>
      <c r="B58" s="20" t="n">
        <v>295.994093494078</v>
      </c>
      <c r="C58" s="20" t="n">
        <v>85.6959996433064</v>
      </c>
      <c r="D58" s="20" t="n">
        <v>61.4315124957282</v>
      </c>
      <c r="E58" s="20" t="n">
        <v>8.66134226625951</v>
      </c>
    </row>
    <row r="59" customFormat="false" ht="15" hidden="false" customHeight="false" outlineLevel="0" collapsed="false">
      <c r="A59" s="14" t="n">
        <v>2</v>
      </c>
      <c r="B59" s="20" t="n">
        <v>258.994419436266</v>
      </c>
      <c r="C59" s="20" t="n">
        <v>55.4665048598302</v>
      </c>
      <c r="D59" s="20" t="n">
        <v>38.168883301484</v>
      </c>
      <c r="E59" s="20" t="n">
        <v>6.42757071488921</v>
      </c>
    </row>
    <row r="60" customFormat="false" ht="15" hidden="false" customHeight="false" outlineLevel="0" collapsed="false">
      <c r="A60" s="14" t="n">
        <v>3</v>
      </c>
      <c r="B60" s="20" t="n">
        <v>395.652974432929</v>
      </c>
      <c r="C60" s="20" t="n">
        <v>165.495294604079</v>
      </c>
      <c r="D60" s="20" t="n">
        <v>83.0598083783379</v>
      </c>
      <c r="E60" s="20" t="n">
        <v>12.2722116422252</v>
      </c>
    </row>
    <row r="61" customFormat="false" ht="15" hidden="false" customHeight="false" outlineLevel="0" collapsed="false">
      <c r="A61" s="14" t="n">
        <v>4</v>
      </c>
      <c r="B61" s="20" t="n">
        <v>378.78308946207</v>
      </c>
      <c r="C61" s="20" t="n">
        <v>98.888692895752</v>
      </c>
      <c r="D61" s="20" t="n">
        <v>12.4267198845991</v>
      </c>
      <c r="E61" s="20" t="n">
        <v>25.6881081688514</v>
      </c>
    </row>
    <row r="62" customFormat="false" ht="15" hidden="false" customHeight="false" outlineLevel="0" collapsed="false">
      <c r="A62" s="14" t="n">
        <v>5</v>
      </c>
      <c r="B62" s="20" t="n">
        <v>414.269665013523</v>
      </c>
      <c r="C62" s="20" t="n">
        <v>72.8185205395602</v>
      </c>
      <c r="D62" s="20" t="n">
        <v>63.1654750162152</v>
      </c>
      <c r="E62" s="20" t="n">
        <v>6.45714170217312</v>
      </c>
    </row>
    <row r="63" customFormat="false" ht="15" hidden="false" customHeight="false" outlineLevel="0" collapsed="false">
      <c r="A63" s="4" t="s">
        <v>278</v>
      </c>
      <c r="B63" s="12" t="n">
        <f aca="false">AVERAGE(B58:B62)</f>
        <v>348.738848367773</v>
      </c>
      <c r="C63" s="12" t="n">
        <f aca="false">AVERAGE(C58:C62)</f>
        <v>95.6730025085055</v>
      </c>
      <c r="D63" s="12" t="n">
        <f aca="false">AVERAGE(D58:D62)</f>
        <v>51.6504798152729</v>
      </c>
      <c r="E63" s="12" t="n">
        <f aca="false">AVERAGE(E58:E62)</f>
        <v>11.9012748988797</v>
      </c>
    </row>
    <row r="64" customFormat="false" ht="15" hidden="false" customHeight="false" outlineLevel="0" collapsed="false">
      <c r="A64" s="4" t="s">
        <v>279</v>
      </c>
      <c r="B64" s="12" t="n">
        <f aca="false">PERCENTILE(B58:B62,0.9)</f>
        <v>406.822988781285</v>
      </c>
      <c r="C64" s="12" t="n">
        <f aca="false">PERCENTILE(C58:C62,0.9)</f>
        <v>138.852653920748</v>
      </c>
      <c r="D64" s="12" t="n">
        <f aca="false">PERCENTILE(D58:D62,0.9)</f>
        <v>75.1020750334888</v>
      </c>
      <c r="E64" s="12" t="n">
        <f aca="false">PERCENTILE(E58:E62,0.9)</f>
        <v>20.3217495582009</v>
      </c>
    </row>
    <row r="65" customFormat="false" ht="15" hidden="false" customHeight="false" outlineLevel="0" collapsed="false">
      <c r="A65" s="4" t="s">
        <v>280</v>
      </c>
      <c r="B65" s="12" t="n">
        <f aca="false">MIN(B58:B62)</f>
        <v>258.994419436266</v>
      </c>
      <c r="C65" s="12" t="n">
        <f aca="false">MIN(C58:C62)</f>
        <v>55.4665048598302</v>
      </c>
      <c r="D65" s="12" t="n">
        <f aca="false">MIN(D58:D62)</f>
        <v>12.4267198845991</v>
      </c>
      <c r="E65" s="12" t="n">
        <f aca="false">MIN(E58:E62)</f>
        <v>6.42757071488921</v>
      </c>
    </row>
    <row r="66" customFormat="false" ht="15" hidden="false" customHeight="false" outlineLevel="0" collapsed="false">
      <c r="A66" s="4" t="s">
        <v>281</v>
      </c>
      <c r="B66" s="12" t="n">
        <f aca="false">MAX(B58:B62)</f>
        <v>414.269665013523</v>
      </c>
      <c r="C66" s="12" t="n">
        <f aca="false">MAX(C58:C62)</f>
        <v>165.495294604079</v>
      </c>
      <c r="D66" s="12" t="n">
        <f aca="false">MAX(D58:D62)</f>
        <v>83.0598083783379</v>
      </c>
      <c r="E66" s="12" t="n">
        <f aca="false">MAX(E58:E62)</f>
        <v>25.6881081688514</v>
      </c>
    </row>
    <row r="67" customFormat="false" ht="15" hidden="false" customHeight="false" outlineLevel="0" collapsed="false">
      <c r="A67" s="4" t="s">
        <v>282</v>
      </c>
      <c r="B67" s="14" t="n">
        <f aca="false">COUNTIF(B58:B62,"&lt;=1")</f>
        <v>0</v>
      </c>
      <c r="C67" s="14" t="n">
        <f aca="false">COUNTIF(C58:C62,"&lt;=1")</f>
        <v>0</v>
      </c>
      <c r="D67" s="14" t="n">
        <f aca="false">COUNTIF(D58:D62,"&lt;=1")</f>
        <v>0</v>
      </c>
      <c r="E67" s="14" t="n">
        <f aca="false">COUNTIF(E58:E62,"&lt;=1")</f>
        <v>0</v>
      </c>
    </row>
    <row r="68" customFormat="false" ht="15" hidden="false" customHeight="false" outlineLevel="0" collapsed="false">
      <c r="A68" s="2" t="s">
        <v>283</v>
      </c>
      <c r="B68" s="33" t="n">
        <v>733</v>
      </c>
      <c r="C68" s="33" t="n">
        <v>1040.4</v>
      </c>
      <c r="D68" s="33" t="n">
        <v>1629</v>
      </c>
      <c r="E68" s="33" t="n">
        <v>2113</v>
      </c>
    </row>
    <row r="71" customFormat="false" ht="15" hidden="false" customHeight="false" outlineLevel="0" collapsed="false">
      <c r="A71" s="4" t="s">
        <v>288</v>
      </c>
    </row>
    <row r="72" customFormat="false" ht="15" hidden="false" customHeight="false" outlineLevel="0" collapsed="false">
      <c r="A72" s="8" t="s">
        <v>225</v>
      </c>
      <c r="B72" s="8" t="s">
        <v>273</v>
      </c>
      <c r="C72" s="8" t="s">
        <v>274</v>
      </c>
      <c r="D72" s="8" t="s">
        <v>275</v>
      </c>
      <c r="E72" s="8" t="s">
        <v>276</v>
      </c>
    </row>
    <row r="73" customFormat="false" ht="15" hidden="false" customHeight="false" outlineLevel="0" collapsed="false">
      <c r="A73" s="14" t="n">
        <v>1</v>
      </c>
      <c r="B73" s="20" t="n">
        <v>503.009458203884</v>
      </c>
      <c r="C73" s="20" t="n">
        <v>14.3884060214911</v>
      </c>
      <c r="D73" s="20" t="n">
        <v>44.4023429219745</v>
      </c>
      <c r="E73" s="20" t="n">
        <v>19.7622347555701</v>
      </c>
    </row>
    <row r="74" customFormat="false" ht="15" hidden="false" customHeight="false" outlineLevel="0" collapsed="false">
      <c r="A74" s="14" t="n">
        <v>2</v>
      </c>
      <c r="B74" s="20" t="n">
        <v>434.187882731074</v>
      </c>
      <c r="C74" s="20" t="n">
        <v>16.0980116903322</v>
      </c>
      <c r="D74" s="20" t="n">
        <v>33.8260492752973</v>
      </c>
      <c r="E74" s="20" t="n">
        <v>40.3289174834686</v>
      </c>
    </row>
    <row r="75" customFormat="false" ht="15" hidden="false" customHeight="false" outlineLevel="0" collapsed="false">
      <c r="A75" s="14" t="n">
        <v>3</v>
      </c>
      <c r="B75" s="20" t="n">
        <v>429.606010275309</v>
      </c>
      <c r="C75" s="20" t="n">
        <v>26.9391502682565</v>
      </c>
      <c r="D75" s="20" t="n">
        <v>38.8249571214012</v>
      </c>
      <c r="E75" s="20" t="n">
        <v>52.2425991190241</v>
      </c>
    </row>
    <row r="76" customFormat="false" ht="15" hidden="false" customHeight="false" outlineLevel="0" collapsed="false">
      <c r="A76" s="14" t="n">
        <v>4</v>
      </c>
      <c r="B76" s="20" t="n">
        <v>559.63058404337</v>
      </c>
      <c r="C76" s="20" t="n">
        <v>121.851592852514</v>
      </c>
      <c r="D76" s="20" t="n">
        <v>48.4378938863389</v>
      </c>
      <c r="E76" s="20" t="n">
        <v>16.4501090524695</v>
      </c>
    </row>
    <row r="77" customFormat="false" ht="15" hidden="false" customHeight="false" outlineLevel="0" collapsed="false">
      <c r="A77" s="14" t="n">
        <v>5</v>
      </c>
      <c r="B77" s="20" t="n">
        <v>397.51467346508</v>
      </c>
      <c r="C77" s="20" t="n">
        <v>38.063510920655</v>
      </c>
      <c r="D77" s="20" t="n">
        <v>40.5015751343146</v>
      </c>
      <c r="E77" s="20" t="n">
        <v>30.9626440595762</v>
      </c>
    </row>
    <row r="78" customFormat="false" ht="15" hidden="false" customHeight="false" outlineLevel="0" collapsed="false">
      <c r="A78" s="4" t="s">
        <v>278</v>
      </c>
      <c r="B78" s="12" t="n">
        <f aca="false">AVERAGE(B73:B77)</f>
        <v>464.789721743743</v>
      </c>
      <c r="C78" s="12" t="n">
        <f aca="false">AVERAGE(C73:C77)</f>
        <v>43.4681343506498</v>
      </c>
      <c r="D78" s="12" t="n">
        <f aca="false">AVERAGE(D73:D77)</f>
        <v>41.1985636678653</v>
      </c>
      <c r="E78" s="12" t="n">
        <f aca="false">AVERAGE(E73:E77)</f>
        <v>31.9493008940217</v>
      </c>
    </row>
    <row r="79" customFormat="false" ht="15" hidden="false" customHeight="false" outlineLevel="0" collapsed="false">
      <c r="A79" s="4" t="s">
        <v>279</v>
      </c>
      <c r="B79" s="12" t="n">
        <f aca="false">PERCENTILE(B73:B77,0.9)</f>
        <v>536.982133707576</v>
      </c>
      <c r="C79" s="12" t="n">
        <f aca="false">PERCENTILE(C73:C77,0.9)</f>
        <v>88.3363600797704</v>
      </c>
      <c r="D79" s="12" t="n">
        <f aca="false">PERCENTILE(D73:D77,0.9)</f>
        <v>46.8236735005931</v>
      </c>
      <c r="E79" s="12" t="n">
        <f aca="false">PERCENTILE(E73:E77,0.9)</f>
        <v>47.4771264648019</v>
      </c>
    </row>
    <row r="80" customFormat="false" ht="15" hidden="false" customHeight="false" outlineLevel="0" collapsed="false">
      <c r="A80" s="4" t="s">
        <v>280</v>
      </c>
      <c r="B80" s="12" t="n">
        <f aca="false">MIN(B73:B77)</f>
        <v>397.51467346508</v>
      </c>
      <c r="C80" s="12" t="n">
        <f aca="false">MIN(C73:C77)</f>
        <v>14.3884060214911</v>
      </c>
      <c r="D80" s="12" t="n">
        <f aca="false">MIN(D73:D77)</f>
        <v>33.8260492752973</v>
      </c>
      <c r="E80" s="12" t="n">
        <f aca="false">MIN(E73:E77)</f>
        <v>16.4501090524695</v>
      </c>
    </row>
    <row r="81" customFormat="false" ht="15" hidden="false" customHeight="false" outlineLevel="0" collapsed="false">
      <c r="A81" s="4" t="s">
        <v>281</v>
      </c>
      <c r="B81" s="12" t="n">
        <f aca="false">MAX(B73:B77)</f>
        <v>559.63058404337</v>
      </c>
      <c r="C81" s="12" t="n">
        <f aca="false">MAX(C73:C77)</f>
        <v>121.851592852514</v>
      </c>
      <c r="D81" s="12" t="n">
        <f aca="false">MAX(D73:D77)</f>
        <v>48.4378938863389</v>
      </c>
      <c r="E81" s="12" t="n">
        <f aca="false">MAX(E73:E77)</f>
        <v>52.2425991190241</v>
      </c>
    </row>
    <row r="82" customFormat="false" ht="15" hidden="false" customHeight="false" outlineLevel="0" collapsed="false">
      <c r="A82" s="4" t="s">
        <v>282</v>
      </c>
      <c r="B82" s="14" t="n">
        <f aca="false">COUNTIF(B73:B77,"&lt;=1")</f>
        <v>0</v>
      </c>
      <c r="C82" s="14" t="n">
        <f aca="false">COUNTIF(C73:C77,"&lt;=1")</f>
        <v>0</v>
      </c>
      <c r="D82" s="14" t="n">
        <f aca="false">COUNTIF(D73:D77,"&lt;=1")</f>
        <v>0</v>
      </c>
      <c r="E82" s="14" t="n">
        <f aca="false">COUNTIF(E73:E77,"&lt;=1")</f>
        <v>0</v>
      </c>
    </row>
    <row r="83" customFormat="false" ht="15" hidden="false" customHeight="false" outlineLevel="0" collapsed="false">
      <c r="A83" s="2" t="s">
        <v>283</v>
      </c>
      <c r="B83" s="33" t="n">
        <v>681.8</v>
      </c>
      <c r="C83" s="33" t="n">
        <v>1249.6</v>
      </c>
      <c r="D83" s="33" t="n">
        <v>1686</v>
      </c>
      <c r="E83" s="33" t="n">
        <v>2101.4</v>
      </c>
    </row>
    <row r="86" customFormat="false" ht="15" hidden="false" customHeight="false" outlineLevel="0" collapsed="false">
      <c r="A86" s="4" t="s">
        <v>289</v>
      </c>
    </row>
    <row r="87" customFormat="false" ht="15" hidden="false" customHeight="false" outlineLevel="0" collapsed="false">
      <c r="A87" s="2" t="s">
        <v>290</v>
      </c>
      <c r="B87" s="20" t="n">
        <v>615.570773850468</v>
      </c>
      <c r="C87" s="10" t="s">
        <v>291</v>
      </c>
    </row>
    <row r="88" customFormat="false" ht="15" hidden="false" customHeight="false" outlineLevel="0" collapsed="false">
      <c r="A88" s="2" t="s">
        <v>292</v>
      </c>
      <c r="B88" s="17" t="n">
        <f aca="false">2*B87/(1-Beta_q)</f>
        <v>52286.8528239611</v>
      </c>
      <c r="C88" s="10" t="s">
        <v>293</v>
      </c>
    </row>
    <row r="89" customFormat="false" ht="15" hidden="false" customHeight="false" outlineLevel="0" collapsed="false">
      <c r="A89" s="2" t="s">
        <v>294</v>
      </c>
      <c r="B89" s="35" t="n">
        <f aca="false">B88/1000</f>
        <v>52.2868528239611</v>
      </c>
      <c r="C89" s="10" t="s">
        <v>295</v>
      </c>
    </row>
    <row r="90" customFormat="false" ht="15" hidden="false" customHeight="false" outlineLevel="0" collapsed="false">
      <c r="A90" s="2" t="s">
        <v>296</v>
      </c>
      <c r="B90" s="20" t="n">
        <v>0.793193817093908</v>
      </c>
      <c r="C90" s="10" t="s">
        <v>297</v>
      </c>
    </row>
    <row r="91" customFormat="false" ht="15" hidden="false" customHeight="false" outlineLevel="0" collapsed="false">
      <c r="A91" s="2" t="s">
        <v>298</v>
      </c>
      <c r="B91" s="17" t="n">
        <f aca="false">2000000/4</f>
        <v>500000</v>
      </c>
      <c r="C91" s="10" t="s">
        <v>299</v>
      </c>
    </row>
    <row r="92" customFormat="false" ht="15" hidden="false" customHeight="false" outlineLevel="0" collapsed="false">
      <c r="A92" s="2" t="s">
        <v>300</v>
      </c>
      <c r="B92" s="36" t="n">
        <v>37.4722730112923</v>
      </c>
      <c r="C92" s="36" t="n">
        <v>40.3186544335812</v>
      </c>
      <c r="D92" s="36" t="n">
        <v>44.4905326242338</v>
      </c>
      <c r="E92" s="36" t="n">
        <v>60.3785858630412</v>
      </c>
      <c r="F92" s="36" t="n">
        <v>40.4348090154482</v>
      </c>
      <c r="G92" s="36" t="n">
        <v>40.6360677751873</v>
      </c>
      <c r="H92" s="36" t="n">
        <v>61.4040572127391</v>
      </c>
      <c r="I92" s="36" t="n">
        <v>39.4239349416107</v>
      </c>
      <c r="J92" s="36" t="n">
        <v>53.3415170761907</v>
      </c>
      <c r="K92" s="36" t="n">
        <v>66.1666533627335</v>
      </c>
    </row>
    <row r="95" customFormat="false" ht="15" hidden="false" customHeight="false" outlineLevel="0" collapsed="false">
      <c r="A95" s="4" t="s">
        <v>301</v>
      </c>
    </row>
    <row r="96" customFormat="false" ht="15" hidden="false" customHeight="false" outlineLevel="0" collapsed="false">
      <c r="B96" s="20" t="n">
        <v>132.188256376968</v>
      </c>
      <c r="C96" s="20" t="n">
        <v>119.40585118546</v>
      </c>
      <c r="D96" s="20" t="n">
        <v>111.167167799845</v>
      </c>
      <c r="E96" s="20" t="n">
        <v>120.722052646738</v>
      </c>
      <c r="F96" s="20" t="n">
        <v>109.784700753517</v>
      </c>
      <c r="G96" s="20" t="n">
        <v>130.347095912642</v>
      </c>
      <c r="H96" s="20" t="n">
        <v>114.357081521166</v>
      </c>
      <c r="I96" s="20" t="n">
        <v>123.26945621423</v>
      </c>
      <c r="J96" s="20" t="n">
        <v>133.511176682214</v>
      </c>
      <c r="K96" s="20" t="n">
        <v>124.602574204477</v>
      </c>
    </row>
    <row r="97" customFormat="false" ht="15" hidden="false" customHeight="false" outlineLevel="0" collapsed="false">
      <c r="B97" s="20" t="n">
        <v>124.630562919211</v>
      </c>
      <c r="C97" s="20" t="n">
        <v>121.318751695028</v>
      </c>
      <c r="D97" s="20" t="n">
        <v>117.695554845028</v>
      </c>
      <c r="E97" s="20" t="n">
        <v>123.901325544243</v>
      </c>
      <c r="F97" s="20" t="n">
        <v>121.053193575147</v>
      </c>
      <c r="G97" s="20" t="n">
        <v>105.660304684223</v>
      </c>
      <c r="H97" s="20" t="n">
        <v>126.355290629756</v>
      </c>
      <c r="I97" s="20" t="n">
        <v>113.592752508781</v>
      </c>
      <c r="J97" s="20" t="n">
        <v>108.11129920518</v>
      </c>
      <c r="K97" s="20" t="n">
        <v>122.737762899014</v>
      </c>
    </row>
    <row r="98" customFormat="false" ht="15" hidden="false" customHeight="false" outlineLevel="0" collapsed="false">
      <c r="A98" s="2" t="s">
        <v>302</v>
      </c>
      <c r="B98" s="12" t="n">
        <f aca="false">MEDIAN(B96:K97)</f>
        <v>121.185972635087</v>
      </c>
      <c r="C98" s="10" t="s">
        <v>303</v>
      </c>
    </row>
    <row r="99" customFormat="false" ht="15" hidden="false" customHeight="false" outlineLevel="0" collapsed="false">
      <c r="A99" s="2" t="s">
        <v>304</v>
      </c>
      <c r="B99" s="12" t="n">
        <f aca="false">MAX(B96:K97)</f>
        <v>133.511176682214</v>
      </c>
      <c r="C99" s="10" t="s">
        <v>305</v>
      </c>
    </row>
    <row r="100" customFormat="false" ht="15" hidden="false" customHeight="false" outlineLevel="0" collapsed="false">
      <c r="A100" s="2" t="s">
        <v>280</v>
      </c>
      <c r="B100" s="12" t="n">
        <f aca="false">MIN(B96:K97)</f>
        <v>105.660304684223</v>
      </c>
      <c r="C100" s="10" t="s">
        <v>306</v>
      </c>
    </row>
    <row r="101" customFormat="false" ht="15" hidden="false" customHeight="false" outlineLevel="0" collapsed="false">
      <c r="A101" s="2" t="s">
        <v>307</v>
      </c>
      <c r="B101" s="34" t="n">
        <v>0.994864060913523</v>
      </c>
      <c r="C101" s="10" t="s">
        <v>308</v>
      </c>
    </row>
    <row r="102" customFormat="false" ht="15" hidden="false" customHeight="false" outlineLevel="0" collapsed="false">
      <c r="A102" s="2" t="s">
        <v>309</v>
      </c>
      <c r="B102" s="20" t="n">
        <v>52.6117082494469</v>
      </c>
      <c r="C102" s="10" t="s">
        <v>310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16"/>
    <col collapsed="false" customWidth="true" hidden="false" outlineLevel="0" max="3" min="3" style="0" width="18"/>
    <col collapsed="false" customWidth="true" hidden="false" outlineLevel="0" max="4" min="4" style="0" width="12"/>
    <col collapsed="false" customWidth="true" hidden="false" outlineLevel="0" max="5" min="5" style="0" width="18"/>
    <col collapsed="false" customWidth="true" hidden="false" outlineLevel="0" max="6" min="6" style="0" width="20"/>
    <col collapsed="false" customWidth="true" hidden="false" outlineLevel="0" max="7" min="7" style="0" width="14"/>
    <col collapsed="false" customWidth="true" hidden="false" outlineLevel="0" max="8" min="8" style="0" width="16"/>
    <col collapsed="false" customWidth="true" hidden="false" outlineLevel="0" max="12" min="9" style="0" width="14"/>
  </cols>
  <sheetData>
    <row r="1" customFormat="false" ht="15" hidden="false" customHeight="false" outlineLevel="0" collapsed="false">
      <c r="A1" s="1" t="s">
        <v>311</v>
      </c>
    </row>
    <row r="2" customFormat="false" ht="15" hidden="false" customHeight="false" outlineLevel="0" collapsed="false">
      <c r="A2" s="10" t="s">
        <v>312</v>
      </c>
    </row>
    <row r="3" customFormat="false" ht="15" hidden="false" customHeight="false" outlineLevel="0" collapsed="false">
      <c r="A3" s="2" t="s">
        <v>313</v>
      </c>
      <c r="B3" s="31" t="n">
        <v>20000</v>
      </c>
      <c r="C3" s="10" t="s">
        <v>314</v>
      </c>
    </row>
    <row r="4" customFormat="false" ht="15" hidden="false" customHeight="false" outlineLevel="0" collapsed="false">
      <c r="A4" s="2" t="s">
        <v>315</v>
      </c>
      <c r="B4" s="37" t="n">
        <v>12</v>
      </c>
      <c r="C4" s="10" t="s">
        <v>316</v>
      </c>
    </row>
    <row r="5" customFormat="false" ht="15" hidden="false" customHeight="false" outlineLevel="0" collapsed="false">
      <c r="A5" s="2" t="s">
        <v>317</v>
      </c>
      <c r="B5" s="17" t="n">
        <f aca="false">B3*40/4</f>
        <v>200000</v>
      </c>
      <c r="C5" s="10" t="s">
        <v>318</v>
      </c>
    </row>
    <row r="7" customFormat="false" ht="35.05" hidden="false" customHeight="false" outlineLevel="0" collapsed="false">
      <c r="A7" s="8" t="s">
        <v>319</v>
      </c>
      <c r="B7" s="8" t="s">
        <v>320</v>
      </c>
      <c r="C7" s="8" t="s">
        <v>321</v>
      </c>
      <c r="D7" s="8" t="s">
        <v>322</v>
      </c>
      <c r="E7" s="8" t="s">
        <v>323</v>
      </c>
      <c r="F7" s="8" t="s">
        <v>324</v>
      </c>
      <c r="G7" s="8" t="s">
        <v>325</v>
      </c>
      <c r="H7" s="8" t="s">
        <v>326</v>
      </c>
      <c r="I7" s="8" t="s">
        <v>327</v>
      </c>
      <c r="J7" s="8" t="s">
        <v>328</v>
      </c>
      <c r="K7" s="8" t="s">
        <v>329</v>
      </c>
      <c r="L7" s="8" t="s">
        <v>330</v>
      </c>
    </row>
    <row r="8" customFormat="false" ht="15" hidden="false" customHeight="false" outlineLevel="0" collapsed="false">
      <c r="A8" s="9" t="n">
        <v>55</v>
      </c>
      <c r="B8" s="20" t="n">
        <v>141.485557835421</v>
      </c>
      <c r="C8" s="36" t="n">
        <v>13.5600177204167</v>
      </c>
      <c r="D8" s="12" t="n">
        <f aca="false">B8-MIN($B$8:$B$20)</f>
        <v>2.69184090707208</v>
      </c>
      <c r="E8" s="38" t="n">
        <f aca="false">D8/$B$4</f>
        <v>0.22432007558934</v>
      </c>
      <c r="F8" s="17" t="n">
        <f aca="false">IF(E8&gt;0,8*LN($B$3)/E8^2+1+PI()^2/3,"best")</f>
        <v>1578.78695626838</v>
      </c>
      <c r="G8" s="39" t="n">
        <v>606.83</v>
      </c>
      <c r="H8" s="39" t="n">
        <v>174.06</v>
      </c>
      <c r="I8" s="39" t="n">
        <v>275.25</v>
      </c>
      <c r="J8" s="40" t="n">
        <f aca="false">D8*G8</f>
        <v>1633.48981763855</v>
      </c>
      <c r="K8" s="40" t="n">
        <f aca="false">D8*H8</f>
        <v>468.541828284966</v>
      </c>
      <c r="L8" s="40" t="n">
        <f aca="false">D8*I8</f>
        <v>740.929209671589</v>
      </c>
    </row>
    <row r="9" customFormat="false" ht="15" hidden="false" customHeight="false" outlineLevel="0" collapsed="false">
      <c r="A9" s="9" t="n">
        <v>55.25</v>
      </c>
      <c r="B9" s="20" t="n">
        <v>139.962725775173</v>
      </c>
      <c r="C9" s="36" t="n">
        <v>12.8262498804166</v>
      </c>
      <c r="D9" s="12" t="n">
        <f aca="false">B9-MIN($B$8:$B$20)</f>
        <v>1.16900884682337</v>
      </c>
      <c r="E9" s="38" t="n">
        <f aca="false">D9/$B$4</f>
        <v>0.0974174039019478</v>
      </c>
      <c r="F9" s="17" t="n">
        <f aca="false">IF(E9&gt;0,8*LN($B$3)/E9^2+1+PI()^2/3,"best")</f>
        <v>8352.72435580686</v>
      </c>
      <c r="G9" s="39" t="n">
        <v>3595.26</v>
      </c>
      <c r="H9" s="39" t="n">
        <v>725.51</v>
      </c>
      <c r="I9" s="39" t="n">
        <v>877.32</v>
      </c>
      <c r="J9" s="40" t="n">
        <f aca="false">D9*G9</f>
        <v>4202.8907466302</v>
      </c>
      <c r="K9" s="40" t="n">
        <f aca="false">D9*H9</f>
        <v>848.127608458826</v>
      </c>
      <c r="L9" s="40" t="n">
        <f aca="false">D9*I9</f>
        <v>1025.59484149508</v>
      </c>
    </row>
    <row r="10" customFormat="false" ht="15" hidden="false" customHeight="false" outlineLevel="0" collapsed="false">
      <c r="A10" s="9" t="n">
        <v>55.5</v>
      </c>
      <c r="B10" s="20" t="n">
        <v>138.954419872963</v>
      </c>
      <c r="C10" s="36" t="n">
        <v>12.1282926269245</v>
      </c>
      <c r="D10" s="12" t="n">
        <f aca="false">B10-MIN($B$8:$B$20)</f>
        <v>0.160702944613973</v>
      </c>
      <c r="E10" s="38" t="n">
        <f aca="false">D10/$B$4</f>
        <v>0.0133919120511644</v>
      </c>
      <c r="F10" s="17" t="n">
        <f aca="false">IF(E10&gt;0,8*LN($B$3)/E10^2+1+PI()^2/3,"best")</f>
        <v>441770.983776292</v>
      </c>
      <c r="G10" s="39" t="n">
        <v>5984.77</v>
      </c>
      <c r="H10" s="39" t="n">
        <v>6009.55</v>
      </c>
      <c r="I10" s="39" t="n">
        <v>5602.11</v>
      </c>
      <c r="J10" s="40" t="n">
        <f aca="false">D10*G10</f>
        <v>961.77016183737</v>
      </c>
      <c r="K10" s="40" t="n">
        <f aca="false">D10*H10</f>
        <v>965.752380804904</v>
      </c>
      <c r="L10" s="40" t="n">
        <f aca="false">D10*I10</f>
        <v>900.275573051386</v>
      </c>
    </row>
    <row r="11" customFormat="false" ht="15" hidden="false" customHeight="false" outlineLevel="0" collapsed="false">
      <c r="A11" s="9" t="n">
        <v>55.75</v>
      </c>
      <c r="B11" s="20" t="n">
        <v>138.793716928349</v>
      </c>
      <c r="C11" s="36" t="n">
        <v>11.6541607211277</v>
      </c>
      <c r="D11" s="12" t="n">
        <f aca="false">B11-MIN($B$8:$B$20)</f>
        <v>0</v>
      </c>
      <c r="E11" s="38" t="n">
        <f aca="false">D11/$B$4</f>
        <v>0</v>
      </c>
      <c r="F11" s="17" t="str">
        <f aca="false">IF(E11&gt;0,8*LN($B$3)/E11^2+1+PI()^2/3,"best")</f>
        <v>best</v>
      </c>
      <c r="G11" s="39" t="n">
        <v>3983.97</v>
      </c>
      <c r="H11" s="39" t="n">
        <v>10815.48</v>
      </c>
      <c r="I11" s="39" t="n">
        <v>11141.24</v>
      </c>
      <c r="J11" s="40" t="n">
        <f aca="false">D11*G11</f>
        <v>0</v>
      </c>
      <c r="K11" s="40" t="n">
        <f aca="false">D11*H11</f>
        <v>0</v>
      </c>
      <c r="L11" s="40" t="n">
        <f aca="false">D11*I11</f>
        <v>0</v>
      </c>
    </row>
    <row r="12" customFormat="false" ht="15" hidden="false" customHeight="false" outlineLevel="0" collapsed="false">
      <c r="A12" s="9" t="n">
        <v>56</v>
      </c>
      <c r="B12" s="20" t="n">
        <v>139.799605784107</v>
      </c>
      <c r="C12" s="36" t="n">
        <v>11.3557080761612</v>
      </c>
      <c r="D12" s="12" t="n">
        <f aca="false">B12-MIN($B$8:$B$20)</f>
        <v>1.00588885575738</v>
      </c>
      <c r="E12" s="38" t="n">
        <f aca="false">D12/$B$4</f>
        <v>0.0838240713131147</v>
      </c>
      <c r="F12" s="17" t="n">
        <f aca="false">IF(E12&gt;0,8*LN($B$3)/E12^2+1+PI()^2/3,"best")</f>
        <v>11279.9154403588</v>
      </c>
      <c r="G12" s="39" t="n">
        <v>2403.18</v>
      </c>
      <c r="H12" s="39" t="n">
        <v>887.4</v>
      </c>
      <c r="I12" s="39" t="n">
        <v>1171.07</v>
      </c>
      <c r="J12" s="40" t="n">
        <f aca="false">D12*G12</f>
        <v>2417.33198037901</v>
      </c>
      <c r="K12" s="40" t="n">
        <f aca="false">D12*H12</f>
        <v>892.625770599096</v>
      </c>
      <c r="L12" s="40" t="n">
        <f aca="false">D12*I12</f>
        <v>1177.96626231179</v>
      </c>
    </row>
    <row r="13" customFormat="false" ht="15" hidden="false" customHeight="false" outlineLevel="0" collapsed="false">
      <c r="A13" s="9" t="n">
        <v>56.25</v>
      </c>
      <c r="B13" s="20" t="n">
        <v>140.838620023349</v>
      </c>
      <c r="C13" s="36" t="n">
        <v>11.253964303267</v>
      </c>
      <c r="D13" s="12" t="n">
        <f aca="false">B13-MIN($B$8:$B$20)</f>
        <v>2.04490309499948</v>
      </c>
      <c r="E13" s="38" t="n">
        <f aca="false">D13/$B$4</f>
        <v>0.170408591249957</v>
      </c>
      <c r="F13" s="17" t="n">
        <f aca="false">IF(E13&gt;0,8*LN($B$3)/E13^2+1+PI()^2/3,"best")</f>
        <v>2732.60903908154</v>
      </c>
      <c r="G13" s="39" t="n">
        <v>1610.79</v>
      </c>
      <c r="H13" s="39" t="n">
        <v>271.08</v>
      </c>
      <c r="I13" s="39" t="n">
        <v>477.89</v>
      </c>
      <c r="J13" s="40" t="n">
        <f aca="false">D13*G13</f>
        <v>3293.90945639422</v>
      </c>
      <c r="K13" s="40" t="n">
        <f aca="false">D13*H13</f>
        <v>554.33233099246</v>
      </c>
      <c r="L13" s="40" t="n">
        <f aca="false">D13*I13</f>
        <v>977.238740069303</v>
      </c>
    </row>
    <row r="14" customFormat="false" ht="15" hidden="false" customHeight="false" outlineLevel="0" collapsed="false">
      <c r="A14" s="9" t="n">
        <v>56.5</v>
      </c>
      <c r="B14" s="20" t="n">
        <v>142.059816726958</v>
      </c>
      <c r="C14" s="36" t="n">
        <v>11.0609171240042</v>
      </c>
      <c r="D14" s="12" t="n">
        <f aca="false">B14-MIN($B$8:$B$20)</f>
        <v>3.26609979860879</v>
      </c>
      <c r="E14" s="38" t="n">
        <f aca="false">D14/$B$4</f>
        <v>0.272174983217399</v>
      </c>
      <c r="F14" s="17" t="n">
        <f aca="false">IF(E14&gt;0,8*LN($B$3)/E14^2+1+PI()^2/3,"best")</f>
        <v>1073.79220397607</v>
      </c>
      <c r="G14" s="39" t="n">
        <v>803.23</v>
      </c>
      <c r="H14" s="39" t="n">
        <v>182.99</v>
      </c>
      <c r="I14" s="39" t="n">
        <v>190.71</v>
      </c>
      <c r="J14" s="40" t="n">
        <f aca="false">D14*G14</f>
        <v>2623.42934123654</v>
      </c>
      <c r="K14" s="40" t="n">
        <f aca="false">D14*H14</f>
        <v>597.663602147423</v>
      </c>
      <c r="L14" s="40" t="n">
        <f aca="false">D14*I14</f>
        <v>622.877892592683</v>
      </c>
    </row>
    <row r="15" customFormat="false" ht="15" hidden="false" customHeight="false" outlineLevel="0" collapsed="false">
      <c r="A15" s="9" t="n">
        <v>56.75</v>
      </c>
      <c r="B15" s="20" t="n">
        <v>143.622956988496</v>
      </c>
      <c r="C15" s="36" t="n">
        <v>11.0273667481006</v>
      </c>
      <c r="D15" s="12" t="n">
        <f aca="false">B15-MIN($B$8:$B$20)</f>
        <v>4.82924006014699</v>
      </c>
      <c r="E15" s="38" t="n">
        <f aca="false">D15/$B$4</f>
        <v>0.402436671678916</v>
      </c>
      <c r="F15" s="17" t="n">
        <f aca="false">IF(E15&gt;0,8*LN($B$3)/E15^2+1+PI()^2/3,"best")</f>
        <v>493.486040108805</v>
      </c>
      <c r="G15" s="39" t="n">
        <v>802.84</v>
      </c>
      <c r="H15" s="39" t="n">
        <v>159.46</v>
      </c>
      <c r="I15" s="39" t="n">
        <v>97.55</v>
      </c>
      <c r="J15" s="40" t="n">
        <f aca="false">D15*G15</f>
        <v>3877.10708988841</v>
      </c>
      <c r="K15" s="40" t="n">
        <f aca="false">D15*H15</f>
        <v>770.070619991039</v>
      </c>
      <c r="L15" s="40" t="n">
        <f aca="false">D15*I15</f>
        <v>471.092367867339</v>
      </c>
    </row>
    <row r="16" customFormat="false" ht="15" hidden="false" customHeight="false" outlineLevel="0" collapsed="false">
      <c r="A16" s="9" t="n">
        <v>57</v>
      </c>
      <c r="B16" s="20" t="n">
        <v>145.198007434196</v>
      </c>
      <c r="C16" s="36" t="n">
        <v>10.94297171528</v>
      </c>
      <c r="D16" s="12" t="n">
        <f aca="false">B16-MIN($B$8:$B$20)</f>
        <v>6.40429050584697</v>
      </c>
      <c r="E16" s="38" t="n">
        <f aca="false">D16/$B$4</f>
        <v>0.533690875487248</v>
      </c>
      <c r="F16" s="17" t="n">
        <f aca="false">IF(E16&gt;0,8*LN($B$3)/E16^2+1+PI()^2/3,"best")</f>
        <v>282.452374953792</v>
      </c>
      <c r="G16" s="39" t="n">
        <v>202.83</v>
      </c>
      <c r="H16" s="39" t="n">
        <v>157.88</v>
      </c>
      <c r="I16" s="39" t="n">
        <v>58.42</v>
      </c>
      <c r="J16" s="40" t="n">
        <f aca="false">D16*G16</f>
        <v>1298.98224330094</v>
      </c>
      <c r="K16" s="40" t="n">
        <f aca="false">D16*H16</f>
        <v>1011.10938506312</v>
      </c>
      <c r="L16" s="40" t="n">
        <f aca="false">D16*I16</f>
        <v>374.13865135158</v>
      </c>
    </row>
    <row r="17" customFormat="false" ht="15" hidden="false" customHeight="false" outlineLevel="0" collapsed="false">
      <c r="A17" s="9" t="n">
        <v>57.25</v>
      </c>
      <c r="B17" s="20" t="n">
        <v>146.781663478139</v>
      </c>
      <c r="C17" s="36" t="n">
        <v>10.969567771013</v>
      </c>
      <c r="D17" s="12" t="n">
        <f aca="false">B17-MIN($B$8:$B$20)</f>
        <v>7.9879465497902</v>
      </c>
      <c r="E17" s="38" t="n">
        <f aca="false">D17/$B$4</f>
        <v>0.665662212482516</v>
      </c>
      <c r="F17" s="17" t="n">
        <f aca="false">IF(E17&gt;0,8*LN($B$3)/E17^2+1+PI()^2/3,"best")</f>
        <v>183.091030913143</v>
      </c>
      <c r="G17" s="39" t="n">
        <v>2</v>
      </c>
      <c r="H17" s="39" t="n">
        <v>154.35</v>
      </c>
      <c r="I17" s="39" t="n">
        <v>38.54</v>
      </c>
      <c r="J17" s="40" t="n">
        <f aca="false">D17*G17</f>
        <v>15.9758930995804</v>
      </c>
      <c r="K17" s="40" t="n">
        <f aca="false">D17*H17</f>
        <v>1232.93954996012</v>
      </c>
      <c r="L17" s="40" t="n">
        <f aca="false">D17*I17</f>
        <v>307.855460028914</v>
      </c>
    </row>
    <row r="18" customFormat="false" ht="15" hidden="false" customHeight="false" outlineLevel="0" collapsed="false">
      <c r="A18" s="9" t="n">
        <v>57.5</v>
      </c>
      <c r="B18" s="20" t="n">
        <v>148.365819492282</v>
      </c>
      <c r="C18" s="36" t="n">
        <v>10.9621430520818</v>
      </c>
      <c r="D18" s="12" t="n">
        <f aca="false">B18-MIN($B$8:$B$20)</f>
        <v>9.5721025639331</v>
      </c>
      <c r="E18" s="38" t="n">
        <f aca="false">D18/$B$4</f>
        <v>0.797675213661092</v>
      </c>
      <c r="F18" s="17" t="n">
        <f aca="false">IF(E18&gt;0,8*LN($B$3)/E18^2+1+PI()^2/3,"best")</f>
        <v>128.806095092154</v>
      </c>
      <c r="G18" s="39" t="n">
        <v>1.58</v>
      </c>
      <c r="H18" s="39" t="n">
        <v>153.62</v>
      </c>
      <c r="I18" s="39" t="n">
        <v>30.14</v>
      </c>
      <c r="J18" s="40" t="n">
        <f aca="false">D18*G18</f>
        <v>15.1239220510143</v>
      </c>
      <c r="K18" s="40" t="n">
        <f aca="false">D18*H18</f>
        <v>1470.4663958714</v>
      </c>
      <c r="L18" s="40" t="n">
        <f aca="false">D18*I18</f>
        <v>288.503171276944</v>
      </c>
    </row>
    <row r="19" customFormat="false" ht="15" hidden="false" customHeight="false" outlineLevel="0" collapsed="false">
      <c r="A19" s="9" t="n">
        <v>57.75</v>
      </c>
      <c r="B19" s="20" t="n">
        <v>149.950222533949</v>
      </c>
      <c r="C19" s="36" t="n">
        <v>10.9763155282693</v>
      </c>
      <c r="D19" s="12" t="n">
        <f aca="false">B19-MIN($B$8:$B$20)</f>
        <v>11.1565056056003</v>
      </c>
      <c r="E19" s="38" t="n">
        <f aca="false">D19/$B$4</f>
        <v>0.92970880046669</v>
      </c>
      <c r="F19" s="17" t="n">
        <f aca="false">IF(E19&gt;0,8*LN($B$3)/E19^2+1+PI()^2/3,"best")</f>
        <v>95.9507989481432</v>
      </c>
      <c r="G19" s="39" t="n">
        <v>1.43</v>
      </c>
      <c r="H19" s="39" t="n">
        <v>155.12</v>
      </c>
      <c r="I19" s="39" t="n">
        <v>22.55</v>
      </c>
      <c r="J19" s="40" t="n">
        <f aca="false">D19*G19</f>
        <v>15.9538030160084</v>
      </c>
      <c r="K19" s="40" t="n">
        <f aca="false">D19*H19</f>
        <v>1730.59714954071</v>
      </c>
      <c r="L19" s="40" t="n">
        <f aca="false">D19*I19</f>
        <v>251.579201406286</v>
      </c>
    </row>
    <row r="20" customFormat="false" ht="15" hidden="false" customHeight="false" outlineLevel="0" collapsed="false">
      <c r="A20" s="9" t="n">
        <v>58</v>
      </c>
      <c r="B20" s="20" t="n">
        <v>151.53462743681</v>
      </c>
      <c r="C20" s="36" t="n">
        <v>10.9023365251006</v>
      </c>
      <c r="D20" s="12" t="n">
        <f aca="false">B20-MIN($B$8:$B$20)</f>
        <v>12.7409105084613</v>
      </c>
      <c r="E20" s="38" t="n">
        <f aca="false">D20/$B$4</f>
        <v>1.06174254237177</v>
      </c>
      <c r="F20" s="17" t="n">
        <f aca="false">IF(E20&gt;0,8*LN($B$3)/E20^2+1+PI()^2/3,"best")</f>
        <v>74.5711555999925</v>
      </c>
      <c r="G20" s="39" t="n">
        <v>1.29</v>
      </c>
      <c r="H20" s="39" t="n">
        <v>153.5</v>
      </c>
      <c r="I20" s="39" t="n">
        <v>17.21</v>
      </c>
      <c r="J20" s="40" t="n">
        <f aca="false">D20*G20</f>
        <v>16.4357745559151</v>
      </c>
      <c r="K20" s="40" t="n">
        <f aca="false">D20*H20</f>
        <v>1955.72976304881</v>
      </c>
      <c r="L20" s="40" t="n">
        <f aca="false">D20*I20</f>
        <v>219.271069850619</v>
      </c>
    </row>
    <row r="21" customFormat="false" ht="15" hidden="false" customHeight="false" outlineLevel="0" collapsed="false">
      <c r="A21" s="4" t="s">
        <v>62</v>
      </c>
      <c r="G21" s="40" t="n">
        <f aca="false">SUM(G8:G20)</f>
        <v>20000</v>
      </c>
      <c r="H21" s="40" t="n">
        <f aca="false">SUM(H8:H20)</f>
        <v>20000</v>
      </c>
      <c r="I21" s="40" t="n">
        <f aca="false">SUM(I8:I20)</f>
        <v>20000</v>
      </c>
      <c r="J21" s="40" t="n">
        <f aca="false">SUM(J8:J20)</f>
        <v>20372.4002300278</v>
      </c>
      <c r="K21" s="40" t="n">
        <f aca="false">SUM(K8:K20)</f>
        <v>12497.9563847629</v>
      </c>
      <c r="L21" s="40" t="n">
        <f aca="false">SUM(L8:L20)</f>
        <v>7357.32244097352</v>
      </c>
    </row>
    <row r="22" customFormat="false" ht="15" hidden="false" customHeight="false" outlineLevel="0" collapsed="false">
      <c r="A22" s="10" t="s">
        <v>331</v>
      </c>
    </row>
    <row r="24" customFormat="false" ht="23.85" hidden="false" customHeight="false" outlineLevel="0" collapsed="false">
      <c r="A24" s="8" t="s">
        <v>188</v>
      </c>
      <c r="B24" s="8" t="s">
        <v>332</v>
      </c>
      <c r="C24" s="8" t="s">
        <v>333</v>
      </c>
    </row>
    <row r="25" customFormat="false" ht="15" hidden="false" customHeight="false" outlineLevel="0" collapsed="false">
      <c r="A25" s="2" t="s">
        <v>334</v>
      </c>
      <c r="B25" s="27" t="n">
        <v>0.2</v>
      </c>
      <c r="C25" s="20" t="n">
        <v>1.01154311272416</v>
      </c>
    </row>
    <row r="26" customFormat="false" ht="15" hidden="false" customHeight="false" outlineLevel="0" collapsed="false">
      <c r="A26" s="2" t="s">
        <v>335</v>
      </c>
      <c r="B26" s="27" t="n">
        <v>0.63</v>
      </c>
      <c r="C26" s="20" t="n">
        <v>0.545615511100065</v>
      </c>
    </row>
    <row r="27" customFormat="false" ht="15" hidden="false" customHeight="false" outlineLevel="0" collapsed="false">
      <c r="A27" s="2" t="s">
        <v>336</v>
      </c>
      <c r="B27" s="27" t="n">
        <v>0.84</v>
      </c>
      <c r="C27" s="20" t="n">
        <v>0.145769526533744</v>
      </c>
    </row>
    <row r="29" customFormat="false" ht="15" hidden="false" customHeight="false" outlineLevel="0" collapsed="false">
      <c r="A29" s="2" t="s">
        <v>337</v>
      </c>
      <c r="B29" s="12" t="n">
        <f aca="false">INDEX(A8:A20,MATCH(MIN(B8:B20),B8:B20,0))</f>
        <v>55.75</v>
      </c>
      <c r="C29" s="10" t="s">
        <v>338</v>
      </c>
    </row>
    <row r="30" customFormat="false" ht="15" hidden="false" customHeight="false" outlineLevel="0" collapsed="false">
      <c r="A30" s="2" t="s">
        <v>339</v>
      </c>
      <c r="B30" s="12" t="n">
        <f aca="false">INDEX(D8:D20,MATCH(B29,A8:A20,0)-1)</f>
        <v>0.160702944613973</v>
      </c>
      <c r="C30" s="10" t="s">
        <v>340</v>
      </c>
    </row>
    <row r="31" customFormat="false" ht="15" hidden="false" customHeight="false" outlineLevel="0" collapsed="false">
      <c r="A31" s="2" t="s">
        <v>341</v>
      </c>
      <c r="B31" s="12" t="n">
        <f aca="false">INDEX(D8:D20,MATCH(B29,A8:A20,0)+1)</f>
        <v>1.00588885575738</v>
      </c>
      <c r="C31" s="10" t="s">
        <v>342</v>
      </c>
    </row>
    <row r="33" customFormat="false" ht="15" hidden="false" customHeight="false" outlineLevel="0" collapsed="false">
      <c r="A33" s="4" t="s">
        <v>343</v>
      </c>
    </row>
    <row r="34" customFormat="false" ht="35.05" hidden="false" customHeight="false" outlineLevel="0" collapsed="false">
      <c r="A34" s="8" t="s">
        <v>319</v>
      </c>
      <c r="B34" s="8" t="s">
        <v>344</v>
      </c>
      <c r="C34" s="8" t="s">
        <v>345</v>
      </c>
      <c r="D34" s="8" t="s">
        <v>346</v>
      </c>
      <c r="E34" s="8" t="s">
        <v>347</v>
      </c>
    </row>
    <row r="35" customFormat="false" ht="15" hidden="false" customHeight="false" outlineLevel="0" collapsed="false">
      <c r="A35" s="18" t="n">
        <f aca="false">A8</f>
        <v>55</v>
      </c>
      <c r="B35" s="33" t="n">
        <v>186</v>
      </c>
      <c r="C35" s="41" t="n">
        <v>26473.0291488515</v>
      </c>
      <c r="D35" s="12" t="n">
        <f aca="false">C35/B35</f>
        <v>142.328113703503</v>
      </c>
      <c r="E35" s="12" t="n">
        <f aca="false">D35-$B$4*SQRT(2*LN($B$3+1)/B35)</f>
        <v>138.412183449166</v>
      </c>
    </row>
    <row r="36" customFormat="false" ht="15" hidden="false" customHeight="false" outlineLevel="0" collapsed="false">
      <c r="A36" s="18" t="n">
        <f aca="false">A9</f>
        <v>55.25</v>
      </c>
      <c r="B36" s="33" t="n">
        <v>1897</v>
      </c>
      <c r="C36" s="41" t="n">
        <v>264728.970807992</v>
      </c>
      <c r="D36" s="12" t="n">
        <f aca="false">C36/B36</f>
        <v>139.551381554029</v>
      </c>
      <c r="E36" s="12" t="n">
        <f aca="false">D36-$B$4*SQRT(2*LN($B$3+1)/B36)</f>
        <v>138.325191597035</v>
      </c>
    </row>
    <row r="37" customFormat="false" ht="15" hidden="false" customHeight="false" outlineLevel="0" collapsed="false">
      <c r="A37" s="18" t="n">
        <f aca="false">A10</f>
        <v>55.5</v>
      </c>
      <c r="B37" s="33" t="n">
        <v>8573</v>
      </c>
      <c r="C37" s="41" t="n">
        <v>1190655.39548624</v>
      </c>
      <c r="D37" s="12" t="n">
        <f aca="false">C37/B37</f>
        <v>138.884334012159</v>
      </c>
      <c r="E37" s="12" t="n">
        <f aca="false">D37-$B$4*SQRT(2*LN($B$3+1)/B37)</f>
        <v>138.307534335395</v>
      </c>
    </row>
    <row r="38" customFormat="false" ht="15" hidden="false" customHeight="false" outlineLevel="0" collapsed="false">
      <c r="A38" s="18" t="n">
        <f aca="false">A11</f>
        <v>55.75</v>
      </c>
      <c r="B38" s="33" t="n">
        <v>7041</v>
      </c>
      <c r="C38" s="41" t="n">
        <v>978382.338460872</v>
      </c>
      <c r="D38" s="12" t="n">
        <f aca="false">C38/B38</f>
        <v>138.955026056082</v>
      </c>
      <c r="E38" s="12" t="n">
        <f aca="false">D38-$B$4*SQRT(2*LN($B$3+1)/B38)</f>
        <v>138.318561463811</v>
      </c>
    </row>
    <row r="39" customFormat="false" ht="15" hidden="false" customHeight="false" outlineLevel="0" collapsed="false">
      <c r="A39" s="18" t="n">
        <f aca="false">A12</f>
        <v>56</v>
      </c>
      <c r="B39" s="33" t="n">
        <v>1506</v>
      </c>
      <c r="C39" s="41" t="n">
        <v>210385.370720494</v>
      </c>
      <c r="D39" s="12" t="n">
        <f aca="false">C39/B39</f>
        <v>139.698121328349</v>
      </c>
      <c r="E39" s="12" t="n">
        <f aca="false">D39-$B$4*SQRT(2*LN($B$3+1)/B39)</f>
        <v>138.321929628234</v>
      </c>
    </row>
    <row r="40" customFormat="false" ht="15" hidden="false" customHeight="false" outlineLevel="0" collapsed="false">
      <c r="A40" s="18" t="n">
        <f aca="false">A13</f>
        <v>56.25</v>
      </c>
      <c r="B40" s="33" t="n">
        <v>467</v>
      </c>
      <c r="C40" s="41" t="n">
        <v>65753.7709774636</v>
      </c>
      <c r="D40" s="12" t="n">
        <f aca="false">C40/B40</f>
        <v>140.800366118766</v>
      </c>
      <c r="E40" s="12" t="n">
        <f aca="false">D40-$B$4*SQRT(2*LN($B$3+1)/B40)</f>
        <v>138.32902337943</v>
      </c>
    </row>
    <row r="41" customFormat="false" ht="15" hidden="false" customHeight="false" outlineLevel="0" collapsed="false">
      <c r="A41" s="18" t="n">
        <f aca="false">A14</f>
        <v>56.5</v>
      </c>
      <c r="B41" s="33" t="n">
        <v>98</v>
      </c>
      <c r="C41" s="41" t="n">
        <v>14085.4562252266</v>
      </c>
      <c r="D41" s="12" t="n">
        <f aca="false">C41/B41</f>
        <v>143.729145155373</v>
      </c>
      <c r="E41" s="12" t="n">
        <f aca="false">D41-$B$4*SQRT(2*LN($B$3+1)/B41)</f>
        <v>138.334307472912</v>
      </c>
    </row>
    <row r="42" customFormat="false" ht="15" hidden="false" customHeight="false" outlineLevel="0" collapsed="false">
      <c r="A42" s="18" t="n">
        <f aca="false">A15</f>
        <v>56.75</v>
      </c>
      <c r="B42" s="33" t="n">
        <v>81</v>
      </c>
      <c r="C42" s="41" t="n">
        <v>11689.4977370832</v>
      </c>
      <c r="D42" s="12" t="n">
        <f aca="false">C42/B42</f>
        <v>144.31478687757</v>
      </c>
      <c r="E42" s="12" t="n">
        <f aca="false">D42-$B$4*SQRT(2*LN($B$3+1)/B42)</f>
        <v>138.380768175196</v>
      </c>
    </row>
    <row r="43" customFormat="false" ht="15" hidden="false" customHeight="false" outlineLevel="0" collapsed="false">
      <c r="A43" s="18" t="n">
        <f aca="false">A16</f>
        <v>57</v>
      </c>
      <c r="B43" s="33" t="n">
        <v>31</v>
      </c>
      <c r="C43" s="41" t="n">
        <v>4585.19206653636</v>
      </c>
      <c r="D43" s="12" t="n">
        <f aca="false">C43/B43</f>
        <v>147.909421501173</v>
      </c>
      <c r="E43" s="12" t="n">
        <f aca="false">D43-$B$4*SQRT(2*LN($B$3+1)/B43)</f>
        <v>138.317390509721</v>
      </c>
    </row>
    <row r="44" customFormat="false" ht="15" hidden="false" customHeight="false" outlineLevel="0" collapsed="false">
      <c r="A44" s="18" t="n">
        <f aca="false">A17</f>
        <v>57.25</v>
      </c>
      <c r="B44" s="33" t="n">
        <v>45</v>
      </c>
      <c r="C44" s="41" t="n">
        <v>6593.4870049994</v>
      </c>
      <c r="D44" s="12" t="n">
        <f aca="false">C44/B44</f>
        <v>146.521933444431</v>
      </c>
      <c r="E44" s="12" t="n">
        <f aca="false">D44-$B$4*SQRT(2*LN($B$3+1)/B44)</f>
        <v>138.560611925473</v>
      </c>
    </row>
    <row r="45" customFormat="false" ht="15" hidden="false" customHeight="false" outlineLevel="0" collapsed="false">
      <c r="A45" s="18" t="n">
        <f aca="false">A18</f>
        <v>57.5</v>
      </c>
      <c r="B45" s="33" t="n">
        <v>31</v>
      </c>
      <c r="C45" s="41" t="n">
        <v>4600.23958510828</v>
      </c>
      <c r="D45" s="12" t="n">
        <f aca="false">C45/B45</f>
        <v>148.394825326073</v>
      </c>
      <c r="E45" s="12" t="n">
        <f aca="false">D45-$B$4*SQRT(2*LN($B$3+1)/B45)</f>
        <v>138.802794334621</v>
      </c>
    </row>
    <row r="46" customFormat="false" ht="15" hidden="false" customHeight="false" outlineLevel="0" collapsed="false">
      <c r="A46" s="18" t="n">
        <f aca="false">A19</f>
        <v>57.75</v>
      </c>
      <c r="B46" s="33" t="n">
        <v>35</v>
      </c>
      <c r="C46" s="41" t="n">
        <v>5159.4000757065</v>
      </c>
      <c r="D46" s="12" t="n">
        <f aca="false">C46/B46</f>
        <v>147.411430734471</v>
      </c>
      <c r="E46" s="12" t="n">
        <f aca="false">D46-$B$4*SQRT(2*LN($B$3+1)/B46)</f>
        <v>138.384140657361</v>
      </c>
    </row>
    <row r="47" customFormat="false" ht="15" hidden="false" customHeight="false" outlineLevel="0" collapsed="false">
      <c r="A47" s="18" t="n">
        <f aca="false">A20</f>
        <v>58</v>
      </c>
      <c r="B47" s="33" t="n">
        <v>9</v>
      </c>
      <c r="C47" s="41" t="n">
        <v>1406.95111476669</v>
      </c>
      <c r="D47" s="12" t="n">
        <f aca="false">C47/B47</f>
        <v>156.327901640743</v>
      </c>
      <c r="E47" s="12" t="n">
        <f aca="false">D47-$B$4*SQRT(2*LN($B$3+1)/B47)</f>
        <v>138.52584553362</v>
      </c>
    </row>
    <row r="49" customFormat="false" ht="15" hidden="false" customHeight="false" outlineLevel="0" collapsed="false">
      <c r="A49" s="2" t="s">
        <v>348</v>
      </c>
      <c r="B49" s="12" t="n">
        <f aca="false">INDEX(A35:A47,MATCH(MIN(E35:E47),E35:E47,0))</f>
        <v>55.5</v>
      </c>
      <c r="C49" s="10" t="s">
        <v>349</v>
      </c>
    </row>
    <row r="50" customFormat="false" ht="15" hidden="false" customHeight="false" outlineLevel="0" collapsed="false">
      <c r="A50" s="2" t="s">
        <v>350</v>
      </c>
      <c r="B50" s="12" t="n">
        <f aca="false">INDEX(A35:A47,MATCH(MAX(B35:B47),B35:B47,0))</f>
        <v>55.5</v>
      </c>
    </row>
    <row r="51" customFormat="false" ht="15" hidden="false" customHeight="false" outlineLevel="0" collapsed="false">
      <c r="A51" s="2" t="s">
        <v>351</v>
      </c>
      <c r="B51" s="17" t="n">
        <f aca="false">SUM(B35:B47)</f>
        <v>20000</v>
      </c>
      <c r="C51" s="10" t="s">
        <v>352</v>
      </c>
    </row>
    <row r="53" customFormat="false" ht="15" hidden="false" customHeight="false" outlineLevel="0" collapsed="false">
      <c r="A53" s="4" t="s">
        <v>353</v>
      </c>
    </row>
    <row r="54" customFormat="false" ht="15" hidden="false" customHeight="false" outlineLevel="0" collapsed="false">
      <c r="A54" s="2" t="s">
        <v>354</v>
      </c>
      <c r="B54" s="9" t="n">
        <v>0.6</v>
      </c>
    </row>
    <row r="55" customFormat="false" ht="15" hidden="false" customHeight="false" outlineLevel="0" collapsed="false">
      <c r="A55" s="2" t="s">
        <v>355</v>
      </c>
      <c r="B55" s="12" t="n">
        <f aca="false">1-B54</f>
        <v>0.4</v>
      </c>
    </row>
    <row r="56" customFormat="false" ht="15" hidden="false" customHeight="false" outlineLevel="0" collapsed="false">
      <c r="A56" s="2" t="s">
        <v>356</v>
      </c>
      <c r="B56" s="12" t="n">
        <f aca="false">B54-0.5</f>
        <v>0.1</v>
      </c>
    </row>
    <row r="57" customFormat="false" ht="15" hidden="false" customHeight="false" outlineLevel="0" collapsed="false">
      <c r="A57" s="2" t="s">
        <v>357</v>
      </c>
      <c r="B57" s="42" t="n">
        <f aca="false">($B$3-1)*B55*B56</f>
        <v>799.96</v>
      </c>
      <c r="C57" s="10" t="s">
        <v>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5" topLeftCell="A1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2" min="2" style="0" width="14"/>
    <col collapsed="false" customWidth="true" hidden="false" outlineLevel="0" max="3" min="3" style="0" width="22"/>
    <col collapsed="false" customWidth="true" hidden="false" outlineLevel="0" max="4" min="4" style="0" width="14"/>
    <col collapsed="false" customWidth="true" hidden="false" outlineLevel="0" max="7" min="5" style="0" width="13"/>
    <col collapsed="false" customWidth="true" hidden="false" outlineLevel="0" max="8" min="8" style="0" width="14"/>
    <col collapsed="false" customWidth="true" hidden="false" outlineLevel="0" max="9" min="9" style="0" width="18"/>
    <col collapsed="false" customWidth="true" hidden="false" outlineLevel="0" max="10" min="10" style="0" width="14"/>
    <col collapsed="false" customWidth="true" hidden="false" outlineLevel="0" max="11" min="11" style="0" width="16"/>
    <col collapsed="false" customWidth="true" hidden="false" outlineLevel="0" max="12" min="12" style="0" width="12"/>
  </cols>
  <sheetData>
    <row r="1" customFormat="false" ht="15" hidden="false" customHeight="false" outlineLevel="0" collapsed="false">
      <c r="A1" s="1" t="s">
        <v>359</v>
      </c>
    </row>
    <row r="2" customFormat="false" ht="15" hidden="false" customHeight="false" outlineLevel="0" collapsed="false">
      <c r="A2" s="10" t="s">
        <v>360</v>
      </c>
    </row>
    <row r="3" customFormat="false" ht="15" hidden="false" customHeight="false" outlineLevel="0" collapsed="false">
      <c r="A3" s="2" t="s">
        <v>361</v>
      </c>
      <c r="B3" s="18" t="n">
        <f aca="false">Rbar</f>
        <v>50</v>
      </c>
    </row>
    <row r="4" customFormat="false" ht="15" hidden="false" customHeight="false" outlineLevel="0" collapsed="false">
      <c r="A4" s="2" t="s">
        <v>362</v>
      </c>
      <c r="B4" s="17" t="n">
        <f aca="false">Beta_q*B3/(1-Beta_q)^2</f>
        <v>88062.4698490895</v>
      </c>
    </row>
    <row r="5" customFormat="false" ht="15" hidden="false" customHeight="false" outlineLevel="0" collapsed="false">
      <c r="A5" s="2" t="s">
        <v>294</v>
      </c>
      <c r="B5" s="35" t="n">
        <f aca="false">B4/1000</f>
        <v>88.0624698490895</v>
      </c>
      <c r="C5" s="10" t="s">
        <v>363</v>
      </c>
    </row>
    <row r="6" customFormat="false" ht="15" hidden="false" customHeight="false" outlineLevel="0" collapsed="false">
      <c r="A6" s="2" t="s">
        <v>364</v>
      </c>
      <c r="B6" s="15" t="n">
        <v>5</v>
      </c>
      <c r="C6" s="10" t="s">
        <v>365</v>
      </c>
    </row>
    <row r="7" customFormat="false" ht="15" hidden="false" customHeight="false" outlineLevel="0" collapsed="false">
      <c r="A7" s="2" t="s">
        <v>366</v>
      </c>
      <c r="B7" s="9" t="n">
        <v>0.95</v>
      </c>
    </row>
    <row r="9" customFormat="false" ht="35.05" hidden="false" customHeight="false" outlineLevel="0" collapsed="false">
      <c r="A9" s="8" t="s">
        <v>367</v>
      </c>
      <c r="B9" s="8" t="s">
        <v>368</v>
      </c>
      <c r="C9" s="8" t="s">
        <v>369</v>
      </c>
      <c r="D9" s="8" t="s">
        <v>370</v>
      </c>
      <c r="E9" s="8" t="s">
        <v>371</v>
      </c>
      <c r="F9" s="8" t="s">
        <v>279</v>
      </c>
      <c r="G9" s="8" t="s">
        <v>372</v>
      </c>
      <c r="H9" s="8" t="s">
        <v>373</v>
      </c>
      <c r="I9" s="8" t="s">
        <v>374</v>
      </c>
      <c r="J9" s="8" t="s">
        <v>375</v>
      </c>
      <c r="K9" s="8" t="s">
        <v>376</v>
      </c>
      <c r="L9" s="8" t="s">
        <v>375</v>
      </c>
    </row>
    <row r="10" customFormat="false" ht="15" hidden="false" customHeight="false" outlineLevel="0" collapsed="false">
      <c r="A10" s="15" t="n">
        <v>12</v>
      </c>
      <c r="B10" s="16" t="n">
        <f aca="false">SQRT(LN((2^$B$6-2)/(1-$B$7))/(2*A10))</f>
        <v>0.516273895944784</v>
      </c>
      <c r="C10" s="17" t="n">
        <f aca="false">2*$B$4*B10</f>
        <v>90928.7087910191</v>
      </c>
      <c r="D10" s="12" t="n">
        <f aca="false">MAX(J16:J215)</f>
        <v>5.03615287384906</v>
      </c>
      <c r="E10" s="12" t="n">
        <f aca="false">AVERAGE(J16:J215)</f>
        <v>1.16972062879334</v>
      </c>
      <c r="F10" s="12" t="n">
        <f aca="false">PERCENTILE(J16:J215,0.9)</f>
        <v>5.03615287384906</v>
      </c>
      <c r="G10" s="14" t="n">
        <f aca="false">SUM(K16:K215)</f>
        <v>86</v>
      </c>
      <c r="H10" s="16" t="n">
        <f aca="false">AVERAGE(I16:I215)</f>
        <v>0.202916666666667</v>
      </c>
      <c r="I10" s="12" t="n">
        <f aca="false">(2^$B$6-2)*EXP(-2*A10*0.1^2)</f>
        <v>23.5988358319966</v>
      </c>
      <c r="J10" s="43" t="n">
        <f aca="false">COUNTIF(I16:I215,"&gt;="&amp;(0.1-0.000000000001))/200</f>
        <v>0.93</v>
      </c>
      <c r="K10" s="38" t="n">
        <f aca="false">(2^$B$6-2)*EXP(-2*A10*0.2^2)</f>
        <v>11.4867865792534</v>
      </c>
      <c r="L10" s="43" t="n">
        <f aca="false">COUNTIF(I16:I215,"&gt;="&amp;(0.2-0.000000000001))/200</f>
        <v>0.575</v>
      </c>
    </row>
    <row r="11" customFormat="false" ht="15" hidden="false" customHeight="false" outlineLevel="0" collapsed="false">
      <c r="A11" s="15" t="n">
        <v>40</v>
      </c>
      <c r="B11" s="16" t="n">
        <f aca="false">SQRT(LN((2^$B$6-2)/(1-$B$7))/(2*A11))</f>
        <v>0.282774858660033</v>
      </c>
      <c r="C11" s="17" t="n">
        <f aca="false">2*$B$4*B11</f>
        <v>49803.7049296594</v>
      </c>
      <c r="D11" s="12" t="n">
        <f aca="false">MAX(J216:J415)</f>
        <v>5.03615287384906</v>
      </c>
      <c r="E11" s="12" t="n">
        <f aca="false">AVERAGE(J216:J415)</f>
        <v>0.301937157254348</v>
      </c>
      <c r="F11" s="12" t="n">
        <f aca="false">PERCENTILE(J216:J415,0.9)</f>
        <v>0.713021460896897</v>
      </c>
      <c r="G11" s="14" t="n">
        <f aca="false">SUM(K216:K415)</f>
        <v>137</v>
      </c>
      <c r="H11" s="16" t="n">
        <f aca="false">AVERAGE(I216:I415)</f>
        <v>0.10925</v>
      </c>
      <c r="I11" s="12" t="n">
        <f aca="false">(2^$B$6-2)*EXP(-2*A11*0.1^2)</f>
        <v>13.4798689235166</v>
      </c>
      <c r="J11" s="43" t="n">
        <f aca="false">COUNTIF(I216:I415,"&gt;="&amp;(0.1-0.000000000001))/200</f>
        <v>0.655</v>
      </c>
      <c r="K11" s="38" t="n">
        <f aca="false">(2^$B$6-2)*EXP(-2*A11*0.2^2)</f>
        <v>1.22286611935099</v>
      </c>
      <c r="L11" s="43" t="n">
        <f aca="false">COUNTIF(I216:I415,"&gt;="&amp;(0.2-0.000000000001))/200</f>
        <v>0.06</v>
      </c>
    </row>
    <row r="12" customFormat="false" ht="15" hidden="false" customHeight="false" outlineLevel="0" collapsed="false">
      <c r="A12" s="15" t="n">
        <v>120</v>
      </c>
      <c r="B12" s="16" t="n">
        <f aca="false">SQRT(LN((2^$B$6-2)/(1-$B$7))/(2*A12))</f>
        <v>0.163260140767429</v>
      </c>
      <c r="C12" s="17" t="n">
        <f aca="false">2*$B$4*B12</f>
        <v>28754.1824477796</v>
      </c>
      <c r="D12" s="12" t="n">
        <f aca="false">MAX(J416:J615)</f>
        <v>2.12010750248993</v>
      </c>
      <c r="E12" s="12" t="n">
        <f aca="false">AVERAGE(J416:J615)</f>
        <v>0.0524303406587127</v>
      </c>
      <c r="F12" s="12" t="n">
        <f aca="false">PERCENTILE(J416:J615,0.9)</f>
        <v>0.115817627028463</v>
      </c>
      <c r="G12" s="14" t="n">
        <f aca="false">SUM(K416:K615)</f>
        <v>171</v>
      </c>
      <c r="H12" s="16" t="n">
        <f aca="false">AVERAGE(I416:I615)</f>
        <v>0.065375</v>
      </c>
      <c r="I12" s="12" t="n">
        <f aca="false">(2^$B$6-2)*EXP(-2*A12*0.1^2)</f>
        <v>2.72153859868237</v>
      </c>
      <c r="J12" s="43" t="n">
        <f aca="false">COUNTIF(I416:I615,"&gt;="&amp;(0.1-0.000000000001))/200</f>
        <v>0.165</v>
      </c>
      <c r="K12" s="38" t="n">
        <f aca="false">(2^$B$6-2)*EXP(-2*A12*0.2^2)</f>
        <v>0.00203186209472561</v>
      </c>
      <c r="L12" s="43" t="n">
        <f aca="false">COUNTIF(I416:I615,"&gt;="&amp;(0.2-0.000000000001))/200</f>
        <v>0</v>
      </c>
    </row>
    <row r="13" customFormat="false" ht="15" hidden="false" customHeight="false" outlineLevel="0" collapsed="false">
      <c r="A13" s="10" t="s">
        <v>377</v>
      </c>
    </row>
    <row r="15" customFormat="false" ht="35.05" hidden="false" customHeight="false" outlineLevel="0" collapsed="false">
      <c r="A15" s="8" t="s">
        <v>367</v>
      </c>
      <c r="B15" s="8" t="s">
        <v>378</v>
      </c>
      <c r="C15" s="8" t="s">
        <v>379</v>
      </c>
      <c r="D15" s="8" t="s">
        <v>380</v>
      </c>
      <c r="E15" s="8" t="s">
        <v>381</v>
      </c>
      <c r="F15" s="8" t="s">
        <v>382</v>
      </c>
      <c r="G15" s="8" t="s">
        <v>383</v>
      </c>
      <c r="H15" s="8" t="s">
        <v>384</v>
      </c>
      <c r="I15" s="8" t="s">
        <v>385</v>
      </c>
      <c r="J15" s="8" t="s">
        <v>230</v>
      </c>
      <c r="K15" s="8" t="s">
        <v>386</v>
      </c>
    </row>
    <row r="16" customFormat="false" ht="15" hidden="false" customHeight="false" outlineLevel="0" collapsed="false">
      <c r="A16" s="14" t="n">
        <v>12</v>
      </c>
      <c r="B16" s="14" t="n">
        <v>0</v>
      </c>
      <c r="C16" s="14" t="n">
        <f aca="false">Declarations!$B$47+1000*A16+B16</f>
        <v>926000</v>
      </c>
      <c r="D16" s="26" t="n">
        <v>1</v>
      </c>
      <c r="E16" s="26" t="n">
        <v>2</v>
      </c>
      <c r="F16" s="26" t="n">
        <v>4</v>
      </c>
      <c r="G16" s="26" t="n">
        <v>4</v>
      </c>
      <c r="H16" s="26" t="n">
        <v>1</v>
      </c>
      <c r="I16" s="16" t="n">
        <f aca="false">0.5*(ABS(D16/A16-Declarations!$B$25)+ABS(E16/A16-Declarations!$B$26)+ABS(F16/A16-Declarations!$B$27)+ABS(G16/A16-Declarations!$B$28)+ABS(H16/A16-Declarations!$B$29))</f>
        <v>0.2</v>
      </c>
      <c r="J16" s="20" t="n">
        <v>0</v>
      </c>
      <c r="K16" s="26" t="n">
        <v>1</v>
      </c>
    </row>
    <row r="17" customFormat="false" ht="15" hidden="false" customHeight="false" outlineLevel="0" collapsed="false">
      <c r="A17" s="14" t="n">
        <v>12</v>
      </c>
      <c r="B17" s="14" t="n">
        <v>1</v>
      </c>
      <c r="C17" s="14" t="n">
        <f aca="false">Declarations!$B$47+1000*A17+B17</f>
        <v>926001</v>
      </c>
      <c r="D17" s="26" t="n">
        <v>2</v>
      </c>
      <c r="E17" s="26" t="n">
        <v>1</v>
      </c>
      <c r="F17" s="26" t="n">
        <v>8</v>
      </c>
      <c r="G17" s="26" t="n">
        <v>1</v>
      </c>
      <c r="H17" s="26" t="n">
        <v>0</v>
      </c>
      <c r="I17" s="16" t="n">
        <f aca="false">0.5*(ABS(D17/A17-Declarations!$B$25)+ABS(E17/A17-Declarations!$B$26)+ABS(F17/A17-Declarations!$B$27)+ABS(G17/A17-Declarations!$B$28)+ABS(H17/A17-Declarations!$B$29))</f>
        <v>0.283333333333333</v>
      </c>
      <c r="J17" s="20" t="n">
        <v>2.44799484680544</v>
      </c>
      <c r="K17" s="26" t="n">
        <v>0</v>
      </c>
    </row>
    <row r="18" customFormat="false" ht="15" hidden="false" customHeight="false" outlineLevel="0" collapsed="false">
      <c r="A18" s="14" t="n">
        <v>12</v>
      </c>
      <c r="B18" s="14" t="n">
        <v>2</v>
      </c>
      <c r="C18" s="14" t="n">
        <f aca="false">Declarations!$B$47+1000*A18+B18</f>
        <v>926002</v>
      </c>
      <c r="D18" s="26" t="n">
        <v>0</v>
      </c>
      <c r="E18" s="26" t="n">
        <v>1</v>
      </c>
      <c r="F18" s="26" t="n">
        <v>8</v>
      </c>
      <c r="G18" s="26" t="n">
        <v>1</v>
      </c>
      <c r="H18" s="26" t="n">
        <v>2</v>
      </c>
      <c r="I18" s="16" t="n">
        <f aca="false">0.5*(ABS(D18/A18-Declarations!$B$25)+ABS(E18/A18-Declarations!$B$26)+ABS(F18/A18-Declarations!$B$27)+ABS(G18/A18-Declarations!$B$28)+ABS(H18/A18-Declarations!$B$29))</f>
        <v>0.283333333333333</v>
      </c>
      <c r="J18" s="20" t="n">
        <v>5.03615287384906</v>
      </c>
      <c r="K18" s="26" t="n">
        <v>0</v>
      </c>
    </row>
    <row r="19" customFormat="false" ht="15" hidden="false" customHeight="false" outlineLevel="0" collapsed="false">
      <c r="A19" s="14" t="n">
        <v>12</v>
      </c>
      <c r="B19" s="14" t="n">
        <v>3</v>
      </c>
      <c r="C19" s="14" t="n">
        <f aca="false">Declarations!$B$47+1000*A19+B19</f>
        <v>926003</v>
      </c>
      <c r="D19" s="26" t="n">
        <v>0</v>
      </c>
      <c r="E19" s="26" t="n">
        <v>0</v>
      </c>
      <c r="F19" s="26" t="n">
        <v>9</v>
      </c>
      <c r="G19" s="26" t="n">
        <v>3</v>
      </c>
      <c r="H19" s="26" t="n">
        <v>0</v>
      </c>
      <c r="I19" s="16" t="n">
        <f aca="false">0.5*(ABS(D19/A19-Declarations!$B$25)+ABS(E19/A19-Declarations!$B$26)+ABS(F19/A19-Declarations!$B$27)+ABS(G19/A19-Declarations!$B$28)+ABS(H19/A19-Declarations!$B$29))</f>
        <v>0.3</v>
      </c>
      <c r="J19" s="20" t="n">
        <v>5.03615287384906</v>
      </c>
      <c r="K19" s="26" t="n">
        <v>0</v>
      </c>
    </row>
    <row r="20" customFormat="false" ht="15" hidden="false" customHeight="false" outlineLevel="0" collapsed="false">
      <c r="A20" s="14" t="n">
        <v>12</v>
      </c>
      <c r="B20" s="14" t="n">
        <v>4</v>
      </c>
      <c r="C20" s="14" t="n">
        <f aca="false">Declarations!$B$47+1000*A20+B20</f>
        <v>926004</v>
      </c>
      <c r="D20" s="26" t="n">
        <v>1</v>
      </c>
      <c r="E20" s="26" t="n">
        <v>2</v>
      </c>
      <c r="F20" s="26" t="n">
        <v>3</v>
      </c>
      <c r="G20" s="26" t="n">
        <v>5</v>
      </c>
      <c r="H20" s="26" t="n">
        <v>1</v>
      </c>
      <c r="I20" s="16" t="n">
        <f aca="false">0.5*(ABS(D20/A20-Declarations!$B$25)+ABS(E20/A20-Declarations!$B$26)+ABS(F20/A20-Declarations!$B$27)+ABS(G20/A20-Declarations!$B$28)+ABS(H20/A20-Declarations!$B$29))</f>
        <v>0.283333333333333</v>
      </c>
      <c r="J20" s="20" t="n">
        <v>0</v>
      </c>
      <c r="K20" s="26" t="n">
        <v>1</v>
      </c>
    </row>
    <row r="21" customFormat="false" ht="15" hidden="false" customHeight="false" outlineLevel="0" collapsed="false">
      <c r="A21" s="14" t="n">
        <v>12</v>
      </c>
      <c r="B21" s="14" t="n">
        <v>5</v>
      </c>
      <c r="C21" s="14" t="n">
        <f aca="false">Declarations!$B$47+1000*A21+B21</f>
        <v>926005</v>
      </c>
      <c r="D21" s="26" t="n">
        <v>1</v>
      </c>
      <c r="E21" s="26" t="n">
        <v>4</v>
      </c>
      <c r="F21" s="26" t="n">
        <v>6</v>
      </c>
      <c r="G21" s="26" t="n">
        <v>1</v>
      </c>
      <c r="H21" s="26" t="n">
        <v>0</v>
      </c>
      <c r="I21" s="16" t="n">
        <f aca="false">0.5*(ABS(D21/A21-Declarations!$B$25)+ABS(E21/A21-Declarations!$B$26)+ABS(F21/A21-Declarations!$B$27)+ABS(G21/A21-Declarations!$B$28)+ABS(H21/A21-Declarations!$B$29))</f>
        <v>0.166666666666667</v>
      </c>
      <c r="J21" s="20" t="n">
        <v>0</v>
      </c>
      <c r="K21" s="26" t="n">
        <v>1</v>
      </c>
    </row>
    <row r="22" customFormat="false" ht="15" hidden="false" customHeight="false" outlineLevel="0" collapsed="false">
      <c r="A22" s="14" t="n">
        <v>12</v>
      </c>
      <c r="B22" s="14" t="n">
        <v>6</v>
      </c>
      <c r="C22" s="14" t="n">
        <f aca="false">Declarations!$B$47+1000*A22+B22</f>
        <v>926006</v>
      </c>
      <c r="D22" s="26" t="n">
        <v>0</v>
      </c>
      <c r="E22" s="26" t="n">
        <v>3</v>
      </c>
      <c r="F22" s="26" t="n">
        <v>7</v>
      </c>
      <c r="G22" s="26" t="n">
        <v>2</v>
      </c>
      <c r="H22" s="26" t="n">
        <v>0</v>
      </c>
      <c r="I22" s="16" t="n">
        <f aca="false">0.5*(ABS(D22/A22-Declarations!$B$25)+ABS(E22/A22-Declarations!$B$26)+ABS(F22/A22-Declarations!$B$27)+ABS(G22/A22-Declarations!$B$28)+ABS(H22/A22-Declarations!$B$29))</f>
        <v>0.133333333333333</v>
      </c>
      <c r="J22" s="20" t="n">
        <v>0.00281729995887758</v>
      </c>
      <c r="K22" s="26" t="n">
        <v>0</v>
      </c>
    </row>
    <row r="23" customFormat="false" ht="15" hidden="false" customHeight="false" outlineLevel="0" collapsed="false">
      <c r="A23" s="14" t="n">
        <v>12</v>
      </c>
      <c r="B23" s="14" t="n">
        <v>7</v>
      </c>
      <c r="C23" s="14" t="n">
        <f aca="false">Declarations!$B$47+1000*A23+B23</f>
        <v>926007</v>
      </c>
      <c r="D23" s="26" t="n">
        <v>1</v>
      </c>
      <c r="E23" s="26" t="n">
        <v>4</v>
      </c>
      <c r="F23" s="26" t="n">
        <v>5</v>
      </c>
      <c r="G23" s="26" t="n">
        <v>2</v>
      </c>
      <c r="H23" s="26" t="n">
        <v>0</v>
      </c>
      <c r="I23" s="16" t="n">
        <f aca="false">0.5*(ABS(D23/A23-Declarations!$B$25)+ABS(E23/A23-Declarations!$B$26)+ABS(F23/A23-Declarations!$B$27)+ABS(G23/A23-Declarations!$B$28)+ABS(H23/A23-Declarations!$B$29))</f>
        <v>0.166666666666667</v>
      </c>
      <c r="J23" s="20" t="n">
        <v>0</v>
      </c>
      <c r="K23" s="26" t="n">
        <v>1</v>
      </c>
    </row>
    <row r="24" customFormat="false" ht="15" hidden="false" customHeight="false" outlineLevel="0" collapsed="false">
      <c r="A24" s="14" t="n">
        <v>12</v>
      </c>
      <c r="B24" s="14" t="n">
        <v>8</v>
      </c>
      <c r="C24" s="14" t="n">
        <f aca="false">Declarations!$B$47+1000*A24+B24</f>
        <v>926008</v>
      </c>
      <c r="D24" s="26" t="n">
        <v>0</v>
      </c>
      <c r="E24" s="26" t="n">
        <v>3</v>
      </c>
      <c r="F24" s="26" t="n">
        <v>5</v>
      </c>
      <c r="G24" s="26" t="n">
        <v>4</v>
      </c>
      <c r="H24" s="26" t="n">
        <v>0</v>
      </c>
      <c r="I24" s="16" t="n">
        <f aca="false">0.5*(ABS(D24/A24-Declarations!$B$25)+ABS(E24/A24-Declarations!$B$26)+ABS(F24/A24-Declarations!$B$27)+ABS(G24/A24-Declarations!$B$28)+ABS(H24/A24-Declarations!$B$29))</f>
        <v>0.183333333333333</v>
      </c>
      <c r="J24" s="20" t="n">
        <v>0.00281729995887758</v>
      </c>
      <c r="K24" s="26" t="n">
        <v>0</v>
      </c>
    </row>
    <row r="25" customFormat="false" ht="15" hidden="false" customHeight="false" outlineLevel="0" collapsed="false">
      <c r="A25" s="14" t="n">
        <v>12</v>
      </c>
      <c r="B25" s="14" t="n">
        <v>9</v>
      </c>
      <c r="C25" s="14" t="n">
        <f aca="false">Declarations!$B$47+1000*A25+B25</f>
        <v>926009</v>
      </c>
      <c r="D25" s="26" t="n">
        <v>1</v>
      </c>
      <c r="E25" s="26" t="n">
        <v>3</v>
      </c>
      <c r="F25" s="26" t="n">
        <v>4</v>
      </c>
      <c r="G25" s="26" t="n">
        <v>4</v>
      </c>
      <c r="H25" s="26" t="n">
        <v>0</v>
      </c>
      <c r="I25" s="16" t="n">
        <f aca="false">0.5*(ABS(D25/A25-Declarations!$B$25)+ABS(E25/A25-Declarations!$B$26)+ABS(F25/A25-Declarations!$B$27)+ABS(G25/A25-Declarations!$B$28)+ABS(H25/A25-Declarations!$B$29))</f>
        <v>0.216666666666667</v>
      </c>
      <c r="J25" s="20" t="n">
        <v>0</v>
      </c>
      <c r="K25" s="26" t="n">
        <v>1</v>
      </c>
    </row>
    <row r="26" customFormat="false" ht="15" hidden="false" customHeight="false" outlineLevel="0" collapsed="false">
      <c r="A26" s="14" t="n">
        <v>12</v>
      </c>
      <c r="B26" s="14" t="n">
        <v>10</v>
      </c>
      <c r="C26" s="14" t="n">
        <f aca="false">Declarations!$B$47+1000*A26+B26</f>
        <v>926010</v>
      </c>
      <c r="D26" s="26" t="n">
        <v>0</v>
      </c>
      <c r="E26" s="26" t="n">
        <v>2</v>
      </c>
      <c r="F26" s="26" t="n">
        <v>7</v>
      </c>
      <c r="G26" s="26" t="n">
        <v>3</v>
      </c>
      <c r="H26" s="26" t="n">
        <v>0</v>
      </c>
      <c r="I26" s="16" t="n">
        <f aca="false">0.5*(ABS(D26/A26-Declarations!$B$25)+ABS(E26/A26-Declarations!$B$26)+ABS(F26/A26-Declarations!$B$27)+ABS(G26/A26-Declarations!$B$28)+ABS(H26/A26-Declarations!$B$29))</f>
        <v>0.133333333333333</v>
      </c>
      <c r="J26" s="20" t="n">
        <v>0.713021460896897</v>
      </c>
      <c r="K26" s="26" t="n">
        <v>0</v>
      </c>
    </row>
    <row r="27" customFormat="false" ht="15" hidden="false" customHeight="false" outlineLevel="0" collapsed="false">
      <c r="A27" s="14" t="n">
        <v>12</v>
      </c>
      <c r="B27" s="14" t="n">
        <v>11</v>
      </c>
      <c r="C27" s="14" t="n">
        <f aca="false">Declarations!$B$47+1000*A27+B27</f>
        <v>926011</v>
      </c>
      <c r="D27" s="26" t="n">
        <v>1</v>
      </c>
      <c r="E27" s="26" t="n">
        <v>0</v>
      </c>
      <c r="F27" s="26" t="n">
        <v>4</v>
      </c>
      <c r="G27" s="26" t="n">
        <v>7</v>
      </c>
      <c r="H27" s="26" t="n">
        <v>0</v>
      </c>
      <c r="I27" s="16" t="n">
        <f aca="false">0.5*(ABS(D27/A27-Declarations!$B$25)+ABS(E27/A27-Declarations!$B$26)+ABS(F27/A27-Declarations!$B$27)+ABS(G27/A27-Declarations!$B$28)+ABS(H27/A27-Declarations!$B$29))</f>
        <v>0.416666666666667</v>
      </c>
      <c r="J27" s="20" t="n">
        <v>5.03615287384906</v>
      </c>
      <c r="K27" s="26" t="n">
        <v>0</v>
      </c>
    </row>
    <row r="28" customFormat="false" ht="15" hidden="false" customHeight="false" outlineLevel="0" collapsed="false">
      <c r="A28" s="14" t="n">
        <v>12</v>
      </c>
      <c r="B28" s="14" t="n">
        <v>12</v>
      </c>
      <c r="C28" s="14" t="n">
        <f aca="false">Declarations!$B$47+1000*A28+B28</f>
        <v>926012</v>
      </c>
      <c r="D28" s="26" t="n">
        <v>0</v>
      </c>
      <c r="E28" s="26" t="n">
        <v>1</v>
      </c>
      <c r="F28" s="26" t="n">
        <v>6</v>
      </c>
      <c r="G28" s="26" t="n">
        <v>3</v>
      </c>
      <c r="H28" s="26" t="n">
        <v>2</v>
      </c>
      <c r="I28" s="16" t="n">
        <f aca="false">0.5*(ABS(D28/A28-Declarations!$B$25)+ABS(E28/A28-Declarations!$B$26)+ABS(F28/A28-Declarations!$B$27)+ABS(G28/A28-Declarations!$B$28)+ABS(H28/A28-Declarations!$B$29))</f>
        <v>0.166666666666667</v>
      </c>
      <c r="J28" s="20" t="n">
        <v>5.03615287384906</v>
      </c>
      <c r="K28" s="26" t="n">
        <v>0</v>
      </c>
    </row>
    <row r="29" customFormat="false" ht="15" hidden="false" customHeight="false" outlineLevel="0" collapsed="false">
      <c r="A29" s="14" t="n">
        <v>12</v>
      </c>
      <c r="B29" s="14" t="n">
        <v>13</v>
      </c>
      <c r="C29" s="14" t="n">
        <f aca="false">Declarations!$B$47+1000*A29+B29</f>
        <v>926013</v>
      </c>
      <c r="D29" s="26" t="n">
        <v>0</v>
      </c>
      <c r="E29" s="26" t="n">
        <v>1</v>
      </c>
      <c r="F29" s="26" t="n">
        <v>8</v>
      </c>
      <c r="G29" s="26" t="n">
        <v>3</v>
      </c>
      <c r="H29" s="26" t="n">
        <v>0</v>
      </c>
      <c r="I29" s="16" t="n">
        <f aca="false">0.5*(ABS(D29/A29-Declarations!$B$25)+ABS(E29/A29-Declarations!$B$26)+ABS(F29/A29-Declarations!$B$27)+ABS(G29/A29-Declarations!$B$28)+ABS(H29/A29-Declarations!$B$29))</f>
        <v>0.216666666666667</v>
      </c>
      <c r="J29" s="20" t="n">
        <v>5.03615287384906</v>
      </c>
      <c r="K29" s="26" t="n">
        <v>0</v>
      </c>
    </row>
    <row r="30" customFormat="false" ht="15" hidden="false" customHeight="false" outlineLevel="0" collapsed="false">
      <c r="A30" s="14" t="n">
        <v>12</v>
      </c>
      <c r="B30" s="14" t="n">
        <v>14</v>
      </c>
      <c r="C30" s="14" t="n">
        <f aca="false">Declarations!$B$47+1000*A30+B30</f>
        <v>926014</v>
      </c>
      <c r="D30" s="26" t="n">
        <v>0</v>
      </c>
      <c r="E30" s="26" t="n">
        <v>1</v>
      </c>
      <c r="F30" s="26" t="n">
        <v>9</v>
      </c>
      <c r="G30" s="26" t="n">
        <v>2</v>
      </c>
      <c r="H30" s="26" t="n">
        <v>0</v>
      </c>
      <c r="I30" s="16" t="n">
        <f aca="false">0.5*(ABS(D30/A30-Declarations!$B$25)+ABS(E30/A30-Declarations!$B$26)+ABS(F30/A30-Declarations!$B$27)+ABS(G30/A30-Declarations!$B$28)+ABS(H30/A30-Declarations!$B$29))</f>
        <v>0.25</v>
      </c>
      <c r="J30" s="20" t="n">
        <v>5.03615287384906</v>
      </c>
      <c r="K30" s="26" t="n">
        <v>0</v>
      </c>
    </row>
    <row r="31" customFormat="false" ht="15" hidden="false" customHeight="false" outlineLevel="0" collapsed="false">
      <c r="A31" s="14" t="n">
        <v>12</v>
      </c>
      <c r="B31" s="14" t="n">
        <v>15</v>
      </c>
      <c r="C31" s="14" t="n">
        <f aca="false">Declarations!$B$47+1000*A31+B31</f>
        <v>926015</v>
      </c>
      <c r="D31" s="26" t="n">
        <v>0</v>
      </c>
      <c r="E31" s="26" t="n">
        <v>3</v>
      </c>
      <c r="F31" s="26" t="n">
        <v>5</v>
      </c>
      <c r="G31" s="26" t="n">
        <v>3</v>
      </c>
      <c r="H31" s="26" t="n">
        <v>1</v>
      </c>
      <c r="I31" s="16" t="n">
        <f aca="false">0.5*(ABS(D31/A31-Declarations!$B$25)+ABS(E31/A31-Declarations!$B$26)+ABS(F31/A31-Declarations!$B$27)+ABS(G31/A31-Declarations!$B$28)+ABS(H31/A31-Declarations!$B$29))</f>
        <v>0.133333333333333</v>
      </c>
      <c r="J31" s="20" t="n">
        <v>0.0703309017642937</v>
      </c>
      <c r="K31" s="26" t="n">
        <v>0</v>
      </c>
    </row>
    <row r="32" customFormat="false" ht="15" hidden="false" customHeight="false" outlineLevel="0" collapsed="false">
      <c r="A32" s="14" t="n">
        <v>12</v>
      </c>
      <c r="B32" s="14" t="n">
        <v>16</v>
      </c>
      <c r="C32" s="14" t="n">
        <f aca="false">Declarations!$B$47+1000*A32+B32</f>
        <v>926016</v>
      </c>
      <c r="D32" s="26" t="n">
        <v>1</v>
      </c>
      <c r="E32" s="26" t="n">
        <v>1</v>
      </c>
      <c r="F32" s="26" t="n">
        <v>6</v>
      </c>
      <c r="G32" s="26" t="n">
        <v>4</v>
      </c>
      <c r="H32" s="26" t="n">
        <v>0</v>
      </c>
      <c r="I32" s="16" t="n">
        <f aca="false">0.5*(ABS(D32/A32-Declarations!$B$25)+ABS(E32/A32-Declarations!$B$26)+ABS(F32/A32-Declarations!$B$27)+ABS(G32/A32-Declarations!$B$28)+ABS(H32/A32-Declarations!$B$29))</f>
        <v>0.166666666666667</v>
      </c>
      <c r="J32" s="20" t="n">
        <v>0</v>
      </c>
      <c r="K32" s="26" t="n">
        <v>1</v>
      </c>
    </row>
    <row r="33" customFormat="false" ht="15" hidden="false" customHeight="false" outlineLevel="0" collapsed="false">
      <c r="A33" s="14" t="n">
        <v>12</v>
      </c>
      <c r="B33" s="14" t="n">
        <v>17</v>
      </c>
      <c r="C33" s="14" t="n">
        <f aca="false">Declarations!$B$47+1000*A33+B33</f>
        <v>926017</v>
      </c>
      <c r="D33" s="26" t="n">
        <v>0</v>
      </c>
      <c r="E33" s="26" t="n">
        <v>4</v>
      </c>
      <c r="F33" s="26" t="n">
        <v>4</v>
      </c>
      <c r="G33" s="26" t="n">
        <v>3</v>
      </c>
      <c r="H33" s="26" t="n">
        <v>1</v>
      </c>
      <c r="I33" s="16" t="n">
        <f aca="false">0.5*(ABS(D33/A33-Declarations!$B$25)+ABS(E33/A33-Declarations!$B$26)+ABS(F33/A33-Declarations!$B$27)+ABS(G33/A33-Declarations!$B$28)+ABS(H33/A33-Declarations!$B$29))</f>
        <v>0.216666666666667</v>
      </c>
      <c r="J33" s="20" t="n">
        <v>0</v>
      </c>
      <c r="K33" s="26" t="n">
        <v>1</v>
      </c>
    </row>
    <row r="34" customFormat="false" ht="15" hidden="false" customHeight="false" outlineLevel="0" collapsed="false">
      <c r="A34" s="14" t="n">
        <v>12</v>
      </c>
      <c r="B34" s="14" t="n">
        <v>18</v>
      </c>
      <c r="C34" s="14" t="n">
        <f aca="false">Declarations!$B$47+1000*A34+B34</f>
        <v>926018</v>
      </c>
      <c r="D34" s="26" t="n">
        <v>1</v>
      </c>
      <c r="E34" s="26" t="n">
        <v>4</v>
      </c>
      <c r="F34" s="26" t="n">
        <v>5</v>
      </c>
      <c r="G34" s="26" t="n">
        <v>2</v>
      </c>
      <c r="H34" s="26" t="n">
        <v>0</v>
      </c>
      <c r="I34" s="16" t="n">
        <f aca="false">0.5*(ABS(D34/A34-Declarations!$B$25)+ABS(E34/A34-Declarations!$B$26)+ABS(F34/A34-Declarations!$B$27)+ABS(G34/A34-Declarations!$B$28)+ABS(H34/A34-Declarations!$B$29))</f>
        <v>0.166666666666667</v>
      </c>
      <c r="J34" s="20" t="n">
        <v>0</v>
      </c>
      <c r="K34" s="26" t="n">
        <v>1</v>
      </c>
    </row>
    <row r="35" customFormat="false" ht="15" hidden="false" customHeight="false" outlineLevel="0" collapsed="false">
      <c r="A35" s="14" t="n">
        <v>12</v>
      </c>
      <c r="B35" s="14" t="n">
        <v>19</v>
      </c>
      <c r="C35" s="14" t="n">
        <f aca="false">Declarations!$B$47+1000*A35+B35</f>
        <v>926019</v>
      </c>
      <c r="D35" s="26" t="n">
        <v>1</v>
      </c>
      <c r="E35" s="26" t="n">
        <v>2</v>
      </c>
      <c r="F35" s="26" t="n">
        <v>6</v>
      </c>
      <c r="G35" s="26" t="n">
        <v>2</v>
      </c>
      <c r="H35" s="26" t="n">
        <v>1</v>
      </c>
      <c r="I35" s="16" t="n">
        <f aca="false">0.5*(ABS(D35/A35-Declarations!$B$25)+ABS(E35/A35-Declarations!$B$26)+ABS(F35/A35-Declarations!$B$27)+ABS(G35/A35-Declarations!$B$28)+ABS(H35/A35-Declarations!$B$29))</f>
        <v>0.0666666666666667</v>
      </c>
      <c r="J35" s="20" t="n">
        <v>0</v>
      </c>
      <c r="K35" s="26" t="n">
        <v>1</v>
      </c>
    </row>
    <row r="36" customFormat="false" ht="15" hidden="false" customHeight="false" outlineLevel="0" collapsed="false">
      <c r="A36" s="14" t="n">
        <v>12</v>
      </c>
      <c r="B36" s="14" t="n">
        <v>20</v>
      </c>
      <c r="C36" s="14" t="n">
        <f aca="false">Declarations!$B$47+1000*A36+B36</f>
        <v>926020</v>
      </c>
      <c r="D36" s="26" t="n">
        <v>2</v>
      </c>
      <c r="E36" s="26" t="n">
        <v>1</v>
      </c>
      <c r="F36" s="26" t="n">
        <v>8</v>
      </c>
      <c r="G36" s="26" t="n">
        <v>0</v>
      </c>
      <c r="H36" s="26" t="n">
        <v>1</v>
      </c>
      <c r="I36" s="16" t="n">
        <f aca="false">0.5*(ABS(D36/A36-Declarations!$B$25)+ABS(E36/A36-Declarations!$B$26)+ABS(F36/A36-Declarations!$B$27)+ABS(G36/A36-Declarations!$B$28)+ABS(H36/A36-Declarations!$B$29))</f>
        <v>0.316666666666667</v>
      </c>
      <c r="J36" s="20" t="n">
        <v>2.44799484680544</v>
      </c>
      <c r="K36" s="26" t="n">
        <v>0</v>
      </c>
    </row>
    <row r="37" customFormat="false" ht="15" hidden="false" customHeight="false" outlineLevel="0" collapsed="false">
      <c r="A37" s="14" t="n">
        <v>12</v>
      </c>
      <c r="B37" s="14" t="n">
        <v>21</v>
      </c>
      <c r="C37" s="14" t="n">
        <f aca="false">Declarations!$B$47+1000*A37+B37</f>
        <v>926021</v>
      </c>
      <c r="D37" s="26" t="n">
        <v>0</v>
      </c>
      <c r="E37" s="26" t="n">
        <v>1</v>
      </c>
      <c r="F37" s="26" t="n">
        <v>8</v>
      </c>
      <c r="G37" s="26" t="n">
        <v>3</v>
      </c>
      <c r="H37" s="26" t="n">
        <v>0</v>
      </c>
      <c r="I37" s="16" t="n">
        <f aca="false">0.5*(ABS(D37/A37-Declarations!$B$25)+ABS(E37/A37-Declarations!$B$26)+ABS(F37/A37-Declarations!$B$27)+ABS(G37/A37-Declarations!$B$28)+ABS(H37/A37-Declarations!$B$29))</f>
        <v>0.216666666666667</v>
      </c>
      <c r="J37" s="20" t="n">
        <v>5.03615287384906</v>
      </c>
      <c r="K37" s="26" t="n">
        <v>0</v>
      </c>
    </row>
    <row r="38" customFormat="false" ht="15" hidden="false" customHeight="false" outlineLevel="0" collapsed="false">
      <c r="A38" s="14" t="n">
        <v>12</v>
      </c>
      <c r="B38" s="14" t="n">
        <v>22</v>
      </c>
      <c r="C38" s="14" t="n">
        <f aca="false">Declarations!$B$47+1000*A38+B38</f>
        <v>926022</v>
      </c>
      <c r="D38" s="26" t="n">
        <v>0</v>
      </c>
      <c r="E38" s="26" t="n">
        <v>2</v>
      </c>
      <c r="F38" s="26" t="n">
        <v>3</v>
      </c>
      <c r="G38" s="26" t="n">
        <v>7</v>
      </c>
      <c r="H38" s="26" t="n">
        <v>0</v>
      </c>
      <c r="I38" s="16" t="n">
        <f aca="false">0.5*(ABS(D38/A38-Declarations!$B$25)+ABS(E38/A38-Declarations!$B$26)+ABS(F38/A38-Declarations!$B$27)+ABS(G38/A38-Declarations!$B$28)+ABS(H38/A38-Declarations!$B$29))</f>
        <v>0.383333333333333</v>
      </c>
      <c r="J38" s="20" t="n">
        <v>0.713021460896897</v>
      </c>
      <c r="K38" s="26" t="n">
        <v>0</v>
      </c>
    </row>
    <row r="39" customFormat="false" ht="15" hidden="false" customHeight="false" outlineLevel="0" collapsed="false">
      <c r="A39" s="14" t="n">
        <v>12</v>
      </c>
      <c r="B39" s="14" t="n">
        <v>23</v>
      </c>
      <c r="C39" s="14" t="n">
        <f aca="false">Declarations!$B$47+1000*A39+B39</f>
        <v>926023</v>
      </c>
      <c r="D39" s="26" t="n">
        <v>1</v>
      </c>
      <c r="E39" s="26" t="n">
        <v>1</v>
      </c>
      <c r="F39" s="26" t="n">
        <v>8</v>
      </c>
      <c r="G39" s="26" t="n">
        <v>2</v>
      </c>
      <c r="H39" s="26" t="n">
        <v>0</v>
      </c>
      <c r="I39" s="16" t="n">
        <f aca="false">0.5*(ABS(D39/A39-Declarations!$B$25)+ABS(E39/A39-Declarations!$B$26)+ABS(F39/A39-Declarations!$B$27)+ABS(G39/A39-Declarations!$B$28)+ABS(H39/A39-Declarations!$B$29))</f>
        <v>0.2</v>
      </c>
      <c r="J39" s="20" t="n">
        <v>0</v>
      </c>
      <c r="K39" s="26" t="n">
        <v>1</v>
      </c>
    </row>
    <row r="40" customFormat="false" ht="15" hidden="false" customHeight="false" outlineLevel="0" collapsed="false">
      <c r="A40" s="14" t="n">
        <v>12</v>
      </c>
      <c r="B40" s="14" t="n">
        <v>24</v>
      </c>
      <c r="C40" s="14" t="n">
        <f aca="false">Declarations!$B$47+1000*A40+B40</f>
        <v>926024</v>
      </c>
      <c r="D40" s="26" t="n">
        <v>1</v>
      </c>
      <c r="E40" s="26" t="n">
        <v>2</v>
      </c>
      <c r="F40" s="26" t="n">
        <v>4</v>
      </c>
      <c r="G40" s="26" t="n">
        <v>3</v>
      </c>
      <c r="H40" s="26" t="n">
        <v>2</v>
      </c>
      <c r="I40" s="16" t="n">
        <f aca="false">0.5*(ABS(D40/A40-Declarations!$B$25)+ABS(E40/A40-Declarations!$B$26)+ABS(F40/A40-Declarations!$B$27)+ABS(G40/A40-Declarations!$B$28)+ABS(H40/A40-Declarations!$B$29))</f>
        <v>0.2</v>
      </c>
      <c r="J40" s="20" t="n">
        <v>0</v>
      </c>
      <c r="K40" s="26" t="n">
        <v>1</v>
      </c>
    </row>
    <row r="41" customFormat="false" ht="15" hidden="false" customHeight="false" outlineLevel="0" collapsed="false">
      <c r="A41" s="14" t="n">
        <v>12</v>
      </c>
      <c r="B41" s="14" t="n">
        <v>25</v>
      </c>
      <c r="C41" s="14" t="n">
        <f aca="false">Declarations!$B$47+1000*A41+B41</f>
        <v>926025</v>
      </c>
      <c r="D41" s="26" t="n">
        <v>0</v>
      </c>
      <c r="E41" s="26" t="n">
        <v>3</v>
      </c>
      <c r="F41" s="26" t="n">
        <v>6</v>
      </c>
      <c r="G41" s="26" t="n">
        <v>2</v>
      </c>
      <c r="H41" s="26" t="n">
        <v>1</v>
      </c>
      <c r="I41" s="16" t="n">
        <f aca="false">0.5*(ABS(D41/A41-Declarations!$B$25)+ABS(E41/A41-Declarations!$B$26)+ABS(F41/A41-Declarations!$B$27)+ABS(G41/A41-Declarations!$B$28)+ABS(H41/A41-Declarations!$B$29))</f>
        <v>0.0833333333333333</v>
      </c>
      <c r="J41" s="20" t="n">
        <v>0.0703309017642937</v>
      </c>
      <c r="K41" s="26" t="n">
        <v>0</v>
      </c>
    </row>
    <row r="42" customFormat="false" ht="15" hidden="false" customHeight="false" outlineLevel="0" collapsed="false">
      <c r="A42" s="14" t="n">
        <v>12</v>
      </c>
      <c r="B42" s="14" t="n">
        <v>26</v>
      </c>
      <c r="C42" s="14" t="n">
        <f aca="false">Declarations!$B$47+1000*A42+B42</f>
        <v>926026</v>
      </c>
      <c r="D42" s="26" t="n">
        <v>1</v>
      </c>
      <c r="E42" s="26" t="n">
        <v>2</v>
      </c>
      <c r="F42" s="26" t="n">
        <v>5</v>
      </c>
      <c r="G42" s="26" t="n">
        <v>4</v>
      </c>
      <c r="H42" s="26" t="n">
        <v>0</v>
      </c>
      <c r="I42" s="16" t="n">
        <f aca="false">0.5*(ABS(D42/A42-Declarations!$B$25)+ABS(E42/A42-Declarations!$B$26)+ABS(F42/A42-Declarations!$B$27)+ABS(G42/A42-Declarations!$B$28)+ABS(H42/A42-Declarations!$B$29))</f>
        <v>0.166666666666667</v>
      </c>
      <c r="J42" s="20" t="n">
        <v>0</v>
      </c>
      <c r="K42" s="26" t="n">
        <v>1</v>
      </c>
    </row>
    <row r="43" customFormat="false" ht="15" hidden="false" customHeight="false" outlineLevel="0" collapsed="false">
      <c r="A43" s="14" t="n">
        <v>12</v>
      </c>
      <c r="B43" s="14" t="n">
        <v>27</v>
      </c>
      <c r="C43" s="14" t="n">
        <f aca="false">Declarations!$B$47+1000*A43+B43</f>
        <v>926027</v>
      </c>
      <c r="D43" s="26" t="n">
        <v>0</v>
      </c>
      <c r="E43" s="26" t="n">
        <v>4</v>
      </c>
      <c r="F43" s="26" t="n">
        <v>8</v>
      </c>
      <c r="G43" s="26" t="n">
        <v>0</v>
      </c>
      <c r="H43" s="26" t="n">
        <v>0</v>
      </c>
      <c r="I43" s="16" t="n">
        <f aca="false">0.5*(ABS(D43/A43-Declarations!$B$25)+ABS(E43/A43-Declarations!$B$26)+ABS(F43/A43-Declarations!$B$27)+ABS(G43/A43-Declarations!$B$28)+ABS(H43/A43-Declarations!$B$29))</f>
        <v>0.3</v>
      </c>
      <c r="J43" s="20" t="n">
        <v>0</v>
      </c>
      <c r="K43" s="26" t="n">
        <v>1</v>
      </c>
    </row>
    <row r="44" customFormat="false" ht="15" hidden="false" customHeight="false" outlineLevel="0" collapsed="false">
      <c r="A44" s="14" t="n">
        <v>12</v>
      </c>
      <c r="B44" s="14" t="n">
        <v>28</v>
      </c>
      <c r="C44" s="14" t="n">
        <f aca="false">Declarations!$B$47+1000*A44+B44</f>
        <v>926028</v>
      </c>
      <c r="D44" s="26" t="n">
        <v>2</v>
      </c>
      <c r="E44" s="26" t="n">
        <v>1</v>
      </c>
      <c r="F44" s="26" t="n">
        <v>5</v>
      </c>
      <c r="G44" s="26" t="n">
        <v>2</v>
      </c>
      <c r="H44" s="26" t="n">
        <v>2</v>
      </c>
      <c r="I44" s="16" t="n">
        <f aca="false">0.5*(ABS(D44/A44-Declarations!$B$25)+ABS(E44/A44-Declarations!$B$26)+ABS(F44/A44-Declarations!$B$27)+ABS(G44/A44-Declarations!$B$28)+ABS(H44/A44-Declarations!$B$29))</f>
        <v>0.233333333333333</v>
      </c>
      <c r="J44" s="20" t="n">
        <v>2.29751105237367</v>
      </c>
      <c r="K44" s="26" t="n">
        <v>0</v>
      </c>
    </row>
    <row r="45" customFormat="false" ht="15" hidden="false" customHeight="false" outlineLevel="0" collapsed="false">
      <c r="A45" s="14" t="n">
        <v>12</v>
      </c>
      <c r="B45" s="14" t="n">
        <v>29</v>
      </c>
      <c r="C45" s="14" t="n">
        <f aca="false">Declarations!$B$47+1000*A45+B45</f>
        <v>926029</v>
      </c>
      <c r="D45" s="26" t="n">
        <v>0</v>
      </c>
      <c r="E45" s="26" t="n">
        <v>3</v>
      </c>
      <c r="F45" s="26" t="n">
        <v>8</v>
      </c>
      <c r="G45" s="26" t="n">
        <v>1</v>
      </c>
      <c r="H45" s="26" t="n">
        <v>0</v>
      </c>
      <c r="I45" s="16" t="n">
        <f aca="false">0.5*(ABS(D45/A45-Declarations!$B$25)+ABS(E45/A45-Declarations!$B$26)+ABS(F45/A45-Declarations!$B$27)+ABS(G45/A45-Declarations!$B$28)+ABS(H45/A45-Declarations!$B$29))</f>
        <v>0.216666666666667</v>
      </c>
      <c r="J45" s="20" t="n">
        <v>0.00281729995887758</v>
      </c>
      <c r="K45" s="26" t="n">
        <v>0</v>
      </c>
    </row>
    <row r="46" customFormat="false" ht="15" hidden="false" customHeight="false" outlineLevel="0" collapsed="false">
      <c r="A46" s="14" t="n">
        <v>12</v>
      </c>
      <c r="B46" s="14" t="n">
        <v>30</v>
      </c>
      <c r="C46" s="14" t="n">
        <f aca="false">Declarations!$B$47+1000*A46+B46</f>
        <v>926030</v>
      </c>
      <c r="D46" s="26" t="n">
        <v>0</v>
      </c>
      <c r="E46" s="26" t="n">
        <v>3</v>
      </c>
      <c r="F46" s="26" t="n">
        <v>6</v>
      </c>
      <c r="G46" s="26" t="n">
        <v>3</v>
      </c>
      <c r="H46" s="26" t="n">
        <v>0</v>
      </c>
      <c r="I46" s="16" t="n">
        <f aca="false">0.5*(ABS(D46/A46-Declarations!$B$25)+ABS(E46/A46-Declarations!$B$26)+ABS(F46/A46-Declarations!$B$27)+ABS(G46/A46-Declarations!$B$28)+ABS(H46/A46-Declarations!$B$29))</f>
        <v>0.1</v>
      </c>
      <c r="J46" s="20" t="n">
        <v>0.00281729995887758</v>
      </c>
      <c r="K46" s="26" t="n">
        <v>0</v>
      </c>
    </row>
    <row r="47" customFormat="false" ht="15" hidden="false" customHeight="false" outlineLevel="0" collapsed="false">
      <c r="A47" s="14" t="n">
        <v>12</v>
      </c>
      <c r="B47" s="14" t="n">
        <v>31</v>
      </c>
      <c r="C47" s="14" t="n">
        <f aca="false">Declarations!$B$47+1000*A47+B47</f>
        <v>926031</v>
      </c>
      <c r="D47" s="26" t="n">
        <v>1</v>
      </c>
      <c r="E47" s="26" t="n">
        <v>3</v>
      </c>
      <c r="F47" s="26" t="n">
        <v>6</v>
      </c>
      <c r="G47" s="26" t="n">
        <v>2</v>
      </c>
      <c r="H47" s="26" t="n">
        <v>0</v>
      </c>
      <c r="I47" s="16" t="n">
        <f aca="false">0.5*(ABS(D47/A47-Declarations!$B$25)+ABS(E47/A47-Declarations!$B$26)+ABS(F47/A47-Declarations!$B$27)+ABS(G47/A47-Declarations!$B$28)+ABS(H47/A47-Declarations!$B$29))</f>
        <v>0.0833333333333333</v>
      </c>
      <c r="J47" s="20" t="n">
        <v>0</v>
      </c>
      <c r="K47" s="26" t="n">
        <v>1</v>
      </c>
    </row>
    <row r="48" customFormat="false" ht="15" hidden="false" customHeight="false" outlineLevel="0" collapsed="false">
      <c r="A48" s="14" t="n">
        <v>12</v>
      </c>
      <c r="B48" s="14" t="n">
        <v>32</v>
      </c>
      <c r="C48" s="14" t="n">
        <f aca="false">Declarations!$B$47+1000*A48+B48</f>
        <v>926032</v>
      </c>
      <c r="D48" s="26" t="n">
        <v>0</v>
      </c>
      <c r="E48" s="26" t="n">
        <v>3</v>
      </c>
      <c r="F48" s="26" t="n">
        <v>5</v>
      </c>
      <c r="G48" s="26" t="n">
        <v>2</v>
      </c>
      <c r="H48" s="26" t="n">
        <v>2</v>
      </c>
      <c r="I48" s="16" t="n">
        <f aca="false">0.5*(ABS(D48/A48-Declarations!$B$25)+ABS(E48/A48-Declarations!$B$26)+ABS(F48/A48-Declarations!$B$27)+ABS(G48/A48-Declarations!$B$28)+ABS(H48/A48-Declarations!$B$29))</f>
        <v>0.166666666666667</v>
      </c>
      <c r="J48" s="20" t="n">
        <v>0.115817627028463</v>
      </c>
      <c r="K48" s="26" t="n">
        <v>0</v>
      </c>
    </row>
    <row r="49" customFormat="false" ht="15" hidden="false" customHeight="false" outlineLevel="0" collapsed="false">
      <c r="A49" s="14" t="n">
        <v>12</v>
      </c>
      <c r="B49" s="14" t="n">
        <v>33</v>
      </c>
      <c r="C49" s="14" t="n">
        <f aca="false">Declarations!$B$47+1000*A49+B49</f>
        <v>926033</v>
      </c>
      <c r="D49" s="26" t="n">
        <v>2</v>
      </c>
      <c r="E49" s="26" t="n">
        <v>2</v>
      </c>
      <c r="F49" s="26" t="n">
        <v>6</v>
      </c>
      <c r="G49" s="26" t="n">
        <v>2</v>
      </c>
      <c r="H49" s="26" t="n">
        <v>0</v>
      </c>
      <c r="I49" s="16" t="n">
        <f aca="false">0.5*(ABS(D49/A49-Declarations!$B$25)+ABS(E49/A49-Declarations!$B$26)+ABS(F49/A49-Declarations!$B$27)+ABS(G49/A49-Declarations!$B$28)+ABS(H49/A49-Declarations!$B$29))</f>
        <v>0.116666666666667</v>
      </c>
      <c r="J49" s="20" t="n">
        <v>2.52014922256666</v>
      </c>
      <c r="K49" s="26" t="n">
        <v>0</v>
      </c>
    </row>
    <row r="50" customFormat="false" ht="15" hidden="false" customHeight="false" outlineLevel="0" collapsed="false">
      <c r="A50" s="14" t="n">
        <v>12</v>
      </c>
      <c r="B50" s="14" t="n">
        <v>34</v>
      </c>
      <c r="C50" s="14" t="n">
        <f aca="false">Declarations!$B$47+1000*A50+B50</f>
        <v>926034</v>
      </c>
      <c r="D50" s="26" t="n">
        <v>0</v>
      </c>
      <c r="E50" s="26" t="n">
        <v>3</v>
      </c>
      <c r="F50" s="26" t="n">
        <v>6</v>
      </c>
      <c r="G50" s="26" t="n">
        <v>2</v>
      </c>
      <c r="H50" s="26" t="n">
        <v>1</v>
      </c>
      <c r="I50" s="16" t="n">
        <f aca="false">0.5*(ABS(D50/A50-Declarations!$B$25)+ABS(E50/A50-Declarations!$B$26)+ABS(F50/A50-Declarations!$B$27)+ABS(G50/A50-Declarations!$B$28)+ABS(H50/A50-Declarations!$B$29))</f>
        <v>0.0833333333333333</v>
      </c>
      <c r="J50" s="20" t="n">
        <v>0.0703309017642937</v>
      </c>
      <c r="K50" s="26" t="n">
        <v>0</v>
      </c>
    </row>
    <row r="51" customFormat="false" ht="15" hidden="false" customHeight="false" outlineLevel="0" collapsed="false">
      <c r="A51" s="14" t="n">
        <v>12</v>
      </c>
      <c r="B51" s="14" t="n">
        <v>35</v>
      </c>
      <c r="C51" s="14" t="n">
        <f aca="false">Declarations!$B$47+1000*A51+B51</f>
        <v>926035</v>
      </c>
      <c r="D51" s="26" t="n">
        <v>0</v>
      </c>
      <c r="E51" s="26" t="n">
        <v>1</v>
      </c>
      <c r="F51" s="26" t="n">
        <v>8</v>
      </c>
      <c r="G51" s="26" t="n">
        <v>3</v>
      </c>
      <c r="H51" s="26" t="n">
        <v>0</v>
      </c>
      <c r="I51" s="16" t="n">
        <f aca="false">0.5*(ABS(D51/A51-Declarations!$B$25)+ABS(E51/A51-Declarations!$B$26)+ABS(F51/A51-Declarations!$B$27)+ABS(G51/A51-Declarations!$B$28)+ABS(H51/A51-Declarations!$B$29))</f>
        <v>0.216666666666667</v>
      </c>
      <c r="J51" s="20" t="n">
        <v>5.03615287384906</v>
      </c>
      <c r="K51" s="26" t="n">
        <v>0</v>
      </c>
    </row>
    <row r="52" customFormat="false" ht="15" hidden="false" customHeight="false" outlineLevel="0" collapsed="false">
      <c r="A52" s="14" t="n">
        <v>12</v>
      </c>
      <c r="B52" s="14" t="n">
        <v>36</v>
      </c>
      <c r="C52" s="14" t="n">
        <f aca="false">Declarations!$B$47+1000*A52+B52</f>
        <v>926036</v>
      </c>
      <c r="D52" s="26" t="n">
        <v>1</v>
      </c>
      <c r="E52" s="26" t="n">
        <v>2</v>
      </c>
      <c r="F52" s="26" t="n">
        <v>7</v>
      </c>
      <c r="G52" s="26" t="n">
        <v>2</v>
      </c>
      <c r="H52" s="26" t="n">
        <v>0</v>
      </c>
      <c r="I52" s="16" t="n">
        <f aca="false">0.5*(ABS(D52/A52-Declarations!$B$25)+ABS(E52/A52-Declarations!$B$26)+ABS(F52/A52-Declarations!$B$27)+ABS(G52/A52-Declarations!$B$28)+ABS(H52/A52-Declarations!$B$29))</f>
        <v>0.116666666666667</v>
      </c>
      <c r="J52" s="20" t="n">
        <v>0</v>
      </c>
      <c r="K52" s="26" t="n">
        <v>1</v>
      </c>
    </row>
    <row r="53" customFormat="false" ht="15" hidden="false" customHeight="false" outlineLevel="0" collapsed="false">
      <c r="A53" s="14" t="n">
        <v>12</v>
      </c>
      <c r="B53" s="14" t="n">
        <v>37</v>
      </c>
      <c r="C53" s="14" t="n">
        <f aca="false">Declarations!$B$47+1000*A53+B53</f>
        <v>926037</v>
      </c>
      <c r="D53" s="26" t="n">
        <v>3</v>
      </c>
      <c r="E53" s="26" t="n">
        <v>1</v>
      </c>
      <c r="F53" s="26" t="n">
        <v>7</v>
      </c>
      <c r="G53" s="26" t="n">
        <v>1</v>
      </c>
      <c r="H53" s="26" t="n">
        <v>0</v>
      </c>
      <c r="I53" s="16" t="n">
        <f aca="false">0.5*(ABS(D53/A53-Declarations!$B$25)+ABS(E53/A53-Declarations!$B$26)+ABS(F53/A53-Declarations!$B$27)+ABS(G53/A53-Declarations!$B$28)+ABS(H53/A53-Declarations!$B$29))</f>
        <v>0.283333333333333</v>
      </c>
      <c r="J53" s="20" t="n">
        <v>3.52711525452301</v>
      </c>
      <c r="K53" s="26" t="n">
        <v>0</v>
      </c>
    </row>
    <row r="54" customFormat="false" ht="15" hidden="false" customHeight="false" outlineLevel="0" collapsed="false">
      <c r="A54" s="14" t="n">
        <v>12</v>
      </c>
      <c r="B54" s="14" t="n">
        <v>38</v>
      </c>
      <c r="C54" s="14" t="n">
        <f aca="false">Declarations!$B$47+1000*A54+B54</f>
        <v>926038</v>
      </c>
      <c r="D54" s="26" t="n">
        <v>0</v>
      </c>
      <c r="E54" s="26" t="n">
        <v>1</v>
      </c>
      <c r="F54" s="26" t="n">
        <v>5</v>
      </c>
      <c r="G54" s="26" t="n">
        <v>5</v>
      </c>
      <c r="H54" s="26" t="n">
        <v>1</v>
      </c>
      <c r="I54" s="16" t="n">
        <f aca="false">0.5*(ABS(D54/A54-Declarations!$B$25)+ABS(E54/A54-Declarations!$B$26)+ABS(F54/A54-Declarations!$B$27)+ABS(G54/A54-Declarations!$B$28)+ABS(H54/A54-Declarations!$B$29))</f>
        <v>0.25</v>
      </c>
      <c r="J54" s="20" t="n">
        <v>5.03615287384906</v>
      </c>
      <c r="K54" s="26" t="n">
        <v>0</v>
      </c>
    </row>
    <row r="55" customFormat="false" ht="15" hidden="false" customHeight="false" outlineLevel="0" collapsed="false">
      <c r="A55" s="14" t="n">
        <v>12</v>
      </c>
      <c r="B55" s="14" t="n">
        <v>39</v>
      </c>
      <c r="C55" s="14" t="n">
        <f aca="false">Declarations!$B$47+1000*A55+B55</f>
        <v>926039</v>
      </c>
      <c r="D55" s="26" t="n">
        <v>1</v>
      </c>
      <c r="E55" s="26" t="n">
        <v>3</v>
      </c>
      <c r="F55" s="26" t="n">
        <v>6</v>
      </c>
      <c r="G55" s="26" t="n">
        <v>2</v>
      </c>
      <c r="H55" s="26" t="n">
        <v>0</v>
      </c>
      <c r="I55" s="16" t="n">
        <f aca="false">0.5*(ABS(D55/A55-Declarations!$B$25)+ABS(E55/A55-Declarations!$B$26)+ABS(F55/A55-Declarations!$B$27)+ABS(G55/A55-Declarations!$B$28)+ABS(H55/A55-Declarations!$B$29))</f>
        <v>0.0833333333333333</v>
      </c>
      <c r="J55" s="20" t="n">
        <v>0</v>
      </c>
      <c r="K55" s="26" t="n">
        <v>1</v>
      </c>
    </row>
    <row r="56" customFormat="false" ht="15" hidden="false" customHeight="false" outlineLevel="0" collapsed="false">
      <c r="A56" s="14" t="n">
        <v>12</v>
      </c>
      <c r="B56" s="14" t="n">
        <v>40</v>
      </c>
      <c r="C56" s="14" t="n">
        <f aca="false">Declarations!$B$47+1000*A56+B56</f>
        <v>926040</v>
      </c>
      <c r="D56" s="26" t="n">
        <v>1</v>
      </c>
      <c r="E56" s="26" t="n">
        <v>2</v>
      </c>
      <c r="F56" s="26" t="n">
        <v>6</v>
      </c>
      <c r="G56" s="26" t="n">
        <v>2</v>
      </c>
      <c r="H56" s="26" t="n">
        <v>1</v>
      </c>
      <c r="I56" s="16" t="n">
        <f aca="false">0.5*(ABS(D56/A56-Declarations!$B$25)+ABS(E56/A56-Declarations!$B$26)+ABS(F56/A56-Declarations!$B$27)+ABS(G56/A56-Declarations!$B$28)+ABS(H56/A56-Declarations!$B$29))</f>
        <v>0.0666666666666667</v>
      </c>
      <c r="J56" s="20" t="n">
        <v>0</v>
      </c>
      <c r="K56" s="26" t="n">
        <v>1</v>
      </c>
    </row>
    <row r="57" customFormat="false" ht="15" hidden="false" customHeight="false" outlineLevel="0" collapsed="false">
      <c r="A57" s="14" t="n">
        <v>12</v>
      </c>
      <c r="B57" s="14" t="n">
        <v>41</v>
      </c>
      <c r="C57" s="14" t="n">
        <f aca="false">Declarations!$B$47+1000*A57+B57</f>
        <v>926041</v>
      </c>
      <c r="D57" s="26" t="n">
        <v>1</v>
      </c>
      <c r="E57" s="26" t="n">
        <v>4</v>
      </c>
      <c r="F57" s="26" t="n">
        <v>4</v>
      </c>
      <c r="G57" s="26" t="n">
        <v>3</v>
      </c>
      <c r="H57" s="26" t="n">
        <v>0</v>
      </c>
      <c r="I57" s="16" t="n">
        <f aca="false">0.5*(ABS(D57/A57-Declarations!$B$25)+ABS(E57/A57-Declarations!$B$26)+ABS(F57/A57-Declarations!$B$27)+ABS(G57/A57-Declarations!$B$28)+ABS(H57/A57-Declarations!$B$29))</f>
        <v>0.216666666666667</v>
      </c>
      <c r="J57" s="20" t="n">
        <v>0</v>
      </c>
      <c r="K57" s="26" t="n">
        <v>1</v>
      </c>
    </row>
    <row r="58" customFormat="false" ht="15" hidden="false" customHeight="false" outlineLevel="0" collapsed="false">
      <c r="A58" s="14" t="n">
        <v>12</v>
      </c>
      <c r="B58" s="14" t="n">
        <v>42</v>
      </c>
      <c r="C58" s="14" t="n">
        <f aca="false">Declarations!$B$47+1000*A58+B58</f>
        <v>926042</v>
      </c>
      <c r="D58" s="26" t="n">
        <v>1</v>
      </c>
      <c r="E58" s="26" t="n">
        <v>2</v>
      </c>
      <c r="F58" s="26" t="n">
        <v>5</v>
      </c>
      <c r="G58" s="26" t="n">
        <v>2</v>
      </c>
      <c r="H58" s="26" t="n">
        <v>2</v>
      </c>
      <c r="I58" s="16" t="n">
        <f aca="false">0.5*(ABS(D58/A58-Declarations!$B$25)+ABS(E58/A58-Declarations!$B$26)+ABS(F58/A58-Declarations!$B$27)+ABS(G58/A58-Declarations!$B$28)+ABS(H58/A58-Declarations!$B$29))</f>
        <v>0.15</v>
      </c>
      <c r="J58" s="20" t="n">
        <v>0</v>
      </c>
      <c r="K58" s="26" t="n">
        <v>1</v>
      </c>
    </row>
    <row r="59" customFormat="false" ht="15" hidden="false" customHeight="false" outlineLevel="0" collapsed="false">
      <c r="A59" s="14" t="n">
        <v>12</v>
      </c>
      <c r="B59" s="14" t="n">
        <v>43</v>
      </c>
      <c r="C59" s="14" t="n">
        <f aca="false">Declarations!$B$47+1000*A59+B59</f>
        <v>926043</v>
      </c>
      <c r="D59" s="26" t="n">
        <v>1</v>
      </c>
      <c r="E59" s="26" t="n">
        <v>2</v>
      </c>
      <c r="F59" s="26" t="n">
        <v>6</v>
      </c>
      <c r="G59" s="26" t="n">
        <v>2</v>
      </c>
      <c r="H59" s="26" t="n">
        <v>1</v>
      </c>
      <c r="I59" s="16" t="n">
        <f aca="false">0.5*(ABS(D59/A59-Declarations!$B$25)+ABS(E59/A59-Declarations!$B$26)+ABS(F59/A59-Declarations!$B$27)+ABS(G59/A59-Declarations!$B$28)+ABS(H59/A59-Declarations!$B$29))</f>
        <v>0.0666666666666667</v>
      </c>
      <c r="J59" s="20" t="n">
        <v>0</v>
      </c>
      <c r="K59" s="26" t="n">
        <v>1</v>
      </c>
    </row>
    <row r="60" customFormat="false" ht="15" hidden="false" customHeight="false" outlineLevel="0" collapsed="false">
      <c r="A60" s="14" t="n">
        <v>12</v>
      </c>
      <c r="B60" s="14" t="n">
        <v>44</v>
      </c>
      <c r="C60" s="14" t="n">
        <f aca="false">Declarations!$B$47+1000*A60+B60</f>
        <v>926044</v>
      </c>
      <c r="D60" s="26" t="n">
        <v>0</v>
      </c>
      <c r="E60" s="26" t="n">
        <v>4</v>
      </c>
      <c r="F60" s="26" t="n">
        <v>4</v>
      </c>
      <c r="G60" s="26" t="n">
        <v>2</v>
      </c>
      <c r="H60" s="26" t="n">
        <v>2</v>
      </c>
      <c r="I60" s="16" t="n">
        <f aca="false">0.5*(ABS(D60/A60-Declarations!$B$25)+ABS(E60/A60-Declarations!$B$26)+ABS(F60/A60-Declarations!$B$27)+ABS(G60/A60-Declarations!$B$28)+ABS(H60/A60-Declarations!$B$29))</f>
        <v>0.25</v>
      </c>
      <c r="J60" s="20" t="n">
        <v>0</v>
      </c>
      <c r="K60" s="26" t="n">
        <v>1</v>
      </c>
    </row>
    <row r="61" customFormat="false" ht="15" hidden="false" customHeight="false" outlineLevel="0" collapsed="false">
      <c r="A61" s="14" t="n">
        <v>12</v>
      </c>
      <c r="B61" s="14" t="n">
        <v>45</v>
      </c>
      <c r="C61" s="14" t="n">
        <f aca="false">Declarations!$B$47+1000*A61+B61</f>
        <v>926045</v>
      </c>
      <c r="D61" s="26" t="n">
        <v>2</v>
      </c>
      <c r="E61" s="26" t="n">
        <v>3</v>
      </c>
      <c r="F61" s="26" t="n">
        <v>6</v>
      </c>
      <c r="G61" s="26" t="n">
        <v>1</v>
      </c>
      <c r="H61" s="26" t="n">
        <v>0</v>
      </c>
      <c r="I61" s="16" t="n">
        <f aca="false">0.5*(ABS(D61/A61-Declarations!$B$25)+ABS(E61/A61-Declarations!$B$26)+ABS(F61/A61-Declarations!$B$27)+ABS(G61/A61-Declarations!$B$28)+ABS(H61/A61-Declarations!$B$29))</f>
        <v>0.166666666666667</v>
      </c>
      <c r="J61" s="20" t="n">
        <v>3.04521269781455</v>
      </c>
      <c r="K61" s="26" t="n">
        <v>0</v>
      </c>
    </row>
    <row r="62" customFormat="false" ht="15" hidden="false" customHeight="false" outlineLevel="0" collapsed="false">
      <c r="A62" s="14" t="n">
        <v>12</v>
      </c>
      <c r="B62" s="14" t="n">
        <v>46</v>
      </c>
      <c r="C62" s="14" t="n">
        <f aca="false">Declarations!$B$47+1000*A62+B62</f>
        <v>926046</v>
      </c>
      <c r="D62" s="26" t="n">
        <v>0</v>
      </c>
      <c r="E62" s="26" t="n">
        <v>2</v>
      </c>
      <c r="F62" s="26" t="n">
        <v>9</v>
      </c>
      <c r="G62" s="26" t="n">
        <v>1</v>
      </c>
      <c r="H62" s="26" t="n">
        <v>0</v>
      </c>
      <c r="I62" s="16" t="n">
        <f aca="false">0.5*(ABS(D62/A62-Declarations!$B$25)+ABS(E62/A62-Declarations!$B$26)+ABS(F62/A62-Declarations!$B$27)+ABS(G62/A62-Declarations!$B$28)+ABS(H62/A62-Declarations!$B$29))</f>
        <v>0.25</v>
      </c>
      <c r="J62" s="20" t="n">
        <v>0.713021460896897</v>
      </c>
      <c r="K62" s="26" t="n">
        <v>0</v>
      </c>
    </row>
    <row r="63" customFormat="false" ht="15" hidden="false" customHeight="false" outlineLevel="0" collapsed="false">
      <c r="A63" s="14" t="n">
        <v>12</v>
      </c>
      <c r="B63" s="14" t="n">
        <v>47</v>
      </c>
      <c r="C63" s="14" t="n">
        <f aca="false">Declarations!$B$47+1000*A63+B63</f>
        <v>926047</v>
      </c>
      <c r="D63" s="26" t="n">
        <v>1</v>
      </c>
      <c r="E63" s="26" t="n">
        <v>3</v>
      </c>
      <c r="F63" s="26" t="n">
        <v>4</v>
      </c>
      <c r="G63" s="26" t="n">
        <v>3</v>
      </c>
      <c r="H63" s="26" t="n">
        <v>1</v>
      </c>
      <c r="I63" s="16" t="n">
        <f aca="false">0.5*(ABS(D63/A63-Declarations!$B$25)+ABS(E63/A63-Declarations!$B$26)+ABS(F63/A63-Declarations!$B$27)+ABS(G63/A63-Declarations!$B$28)+ABS(H63/A63-Declarations!$B$29))</f>
        <v>0.166666666666667</v>
      </c>
      <c r="J63" s="20" t="n">
        <v>0</v>
      </c>
      <c r="K63" s="26" t="n">
        <v>1</v>
      </c>
    </row>
    <row r="64" customFormat="false" ht="15" hidden="false" customHeight="false" outlineLevel="0" collapsed="false">
      <c r="A64" s="14" t="n">
        <v>12</v>
      </c>
      <c r="B64" s="14" t="n">
        <v>48</v>
      </c>
      <c r="C64" s="14" t="n">
        <f aca="false">Declarations!$B$47+1000*A64+B64</f>
        <v>926048</v>
      </c>
      <c r="D64" s="26" t="n">
        <v>0</v>
      </c>
      <c r="E64" s="26" t="n">
        <v>4</v>
      </c>
      <c r="F64" s="26" t="n">
        <v>4</v>
      </c>
      <c r="G64" s="26" t="n">
        <v>4</v>
      </c>
      <c r="H64" s="26" t="n">
        <v>0</v>
      </c>
      <c r="I64" s="16" t="n">
        <f aca="false">0.5*(ABS(D64/A64-Declarations!$B$25)+ABS(E64/A64-Declarations!$B$26)+ABS(F64/A64-Declarations!$B$27)+ABS(G64/A64-Declarations!$B$28)+ABS(H64/A64-Declarations!$B$29))</f>
        <v>0.266666666666667</v>
      </c>
      <c r="J64" s="20" t="n">
        <v>0</v>
      </c>
      <c r="K64" s="26" t="n">
        <v>1</v>
      </c>
    </row>
    <row r="65" customFormat="false" ht="15" hidden="false" customHeight="false" outlineLevel="0" collapsed="false">
      <c r="A65" s="14" t="n">
        <v>12</v>
      </c>
      <c r="B65" s="14" t="n">
        <v>49</v>
      </c>
      <c r="C65" s="14" t="n">
        <f aca="false">Declarations!$B$47+1000*A65+B65</f>
        <v>926049</v>
      </c>
      <c r="D65" s="26" t="n">
        <v>1</v>
      </c>
      <c r="E65" s="26" t="n">
        <v>5</v>
      </c>
      <c r="F65" s="26" t="n">
        <v>2</v>
      </c>
      <c r="G65" s="26" t="n">
        <v>3</v>
      </c>
      <c r="H65" s="26" t="n">
        <v>1</v>
      </c>
      <c r="I65" s="16" t="n">
        <f aca="false">0.5*(ABS(D65/A65-Declarations!$B$25)+ABS(E65/A65-Declarations!$B$26)+ABS(F65/A65-Declarations!$B$27)+ABS(G65/A65-Declarations!$B$28)+ABS(H65/A65-Declarations!$B$29))</f>
        <v>0.333333333333333</v>
      </c>
      <c r="J65" s="20" t="n">
        <v>0</v>
      </c>
      <c r="K65" s="26" t="n">
        <v>1</v>
      </c>
    </row>
    <row r="66" customFormat="false" ht="15" hidden="false" customHeight="false" outlineLevel="0" collapsed="false">
      <c r="A66" s="14" t="n">
        <v>12</v>
      </c>
      <c r="B66" s="14" t="n">
        <v>50</v>
      </c>
      <c r="C66" s="14" t="n">
        <f aca="false">Declarations!$B$47+1000*A66+B66</f>
        <v>926050</v>
      </c>
      <c r="D66" s="26" t="n">
        <v>1</v>
      </c>
      <c r="E66" s="26" t="n">
        <v>0</v>
      </c>
      <c r="F66" s="26" t="n">
        <v>7</v>
      </c>
      <c r="G66" s="26" t="n">
        <v>4</v>
      </c>
      <c r="H66" s="26" t="n">
        <v>0</v>
      </c>
      <c r="I66" s="16" t="n">
        <f aca="false">0.5*(ABS(D66/A66-Declarations!$B$25)+ABS(E66/A66-Declarations!$B$26)+ABS(F66/A66-Declarations!$B$27)+ABS(G66/A66-Declarations!$B$28)+ABS(H66/A66-Declarations!$B$29))</f>
        <v>0.25</v>
      </c>
      <c r="J66" s="20" t="n">
        <v>5.03615287384906</v>
      </c>
      <c r="K66" s="26" t="n">
        <v>0</v>
      </c>
    </row>
    <row r="67" customFormat="false" ht="15" hidden="false" customHeight="false" outlineLevel="0" collapsed="false">
      <c r="A67" s="14" t="n">
        <v>12</v>
      </c>
      <c r="B67" s="14" t="n">
        <v>51</v>
      </c>
      <c r="C67" s="14" t="n">
        <f aca="false">Declarations!$B$47+1000*A67+B67</f>
        <v>926051</v>
      </c>
      <c r="D67" s="26" t="n">
        <v>1</v>
      </c>
      <c r="E67" s="26" t="n">
        <v>1</v>
      </c>
      <c r="F67" s="26" t="n">
        <v>6</v>
      </c>
      <c r="G67" s="26" t="n">
        <v>2</v>
      </c>
      <c r="H67" s="26" t="n">
        <v>2</v>
      </c>
      <c r="I67" s="16" t="n">
        <f aca="false">0.5*(ABS(D67/A67-Declarations!$B$25)+ABS(E67/A67-Declarations!$B$26)+ABS(F67/A67-Declarations!$B$27)+ABS(G67/A67-Declarations!$B$28)+ABS(H67/A67-Declarations!$B$29))</f>
        <v>0.15</v>
      </c>
      <c r="J67" s="20" t="n">
        <v>0</v>
      </c>
      <c r="K67" s="26" t="n">
        <v>1</v>
      </c>
    </row>
    <row r="68" customFormat="false" ht="15" hidden="false" customHeight="false" outlineLevel="0" collapsed="false">
      <c r="A68" s="14" t="n">
        <v>12</v>
      </c>
      <c r="B68" s="14" t="n">
        <v>52</v>
      </c>
      <c r="C68" s="14" t="n">
        <f aca="false">Declarations!$B$47+1000*A68+B68</f>
        <v>926052</v>
      </c>
      <c r="D68" s="26" t="n">
        <v>1</v>
      </c>
      <c r="E68" s="26" t="n">
        <v>1</v>
      </c>
      <c r="F68" s="26" t="n">
        <v>4</v>
      </c>
      <c r="G68" s="26" t="n">
        <v>6</v>
      </c>
      <c r="H68" s="26" t="n">
        <v>0</v>
      </c>
      <c r="I68" s="16" t="n">
        <f aca="false">0.5*(ABS(D68/A68-Declarations!$B$25)+ABS(E68/A68-Declarations!$B$26)+ABS(F68/A68-Declarations!$B$27)+ABS(G68/A68-Declarations!$B$28)+ABS(H68/A68-Declarations!$B$29))</f>
        <v>0.333333333333333</v>
      </c>
      <c r="J68" s="20" t="n">
        <v>0</v>
      </c>
      <c r="K68" s="26" t="n">
        <v>1</v>
      </c>
    </row>
    <row r="69" customFormat="false" ht="15" hidden="false" customHeight="false" outlineLevel="0" collapsed="false">
      <c r="A69" s="14" t="n">
        <v>12</v>
      </c>
      <c r="B69" s="14" t="n">
        <v>53</v>
      </c>
      <c r="C69" s="14" t="n">
        <f aca="false">Declarations!$B$47+1000*A69+B69</f>
        <v>926053</v>
      </c>
      <c r="D69" s="26" t="n">
        <v>1</v>
      </c>
      <c r="E69" s="26" t="n">
        <v>3</v>
      </c>
      <c r="F69" s="26" t="n">
        <v>7</v>
      </c>
      <c r="G69" s="26" t="n">
        <v>1</v>
      </c>
      <c r="H69" s="26" t="n">
        <v>0</v>
      </c>
      <c r="I69" s="16" t="n">
        <f aca="false">0.5*(ABS(D69/A69-Declarations!$B$25)+ABS(E69/A69-Declarations!$B$26)+ABS(F69/A69-Declarations!$B$27)+ABS(G69/A69-Declarations!$B$28)+ABS(H69/A69-Declarations!$B$29))</f>
        <v>0.166666666666667</v>
      </c>
      <c r="J69" s="20" t="n">
        <v>0</v>
      </c>
      <c r="K69" s="26" t="n">
        <v>1</v>
      </c>
    </row>
    <row r="70" customFormat="false" ht="15" hidden="false" customHeight="false" outlineLevel="0" collapsed="false">
      <c r="A70" s="14" t="n">
        <v>12</v>
      </c>
      <c r="B70" s="14" t="n">
        <v>54</v>
      </c>
      <c r="C70" s="14" t="n">
        <f aca="false">Declarations!$B$47+1000*A70+B70</f>
        <v>926054</v>
      </c>
      <c r="D70" s="26" t="n">
        <v>1</v>
      </c>
      <c r="E70" s="26" t="n">
        <v>5</v>
      </c>
      <c r="F70" s="26" t="n">
        <v>4</v>
      </c>
      <c r="G70" s="26" t="n">
        <v>1</v>
      </c>
      <c r="H70" s="26" t="n">
        <v>1</v>
      </c>
      <c r="I70" s="16" t="n">
        <f aca="false">0.5*(ABS(D70/A70-Declarations!$B$25)+ABS(E70/A70-Declarations!$B$26)+ABS(F70/A70-Declarations!$B$27)+ABS(G70/A70-Declarations!$B$28)+ABS(H70/A70-Declarations!$B$29))</f>
        <v>0.283333333333333</v>
      </c>
      <c r="J70" s="20" t="n">
        <v>0</v>
      </c>
      <c r="K70" s="26" t="n">
        <v>1</v>
      </c>
    </row>
    <row r="71" customFormat="false" ht="15" hidden="false" customHeight="false" outlineLevel="0" collapsed="false">
      <c r="A71" s="14" t="n">
        <v>12</v>
      </c>
      <c r="B71" s="14" t="n">
        <v>55</v>
      </c>
      <c r="C71" s="14" t="n">
        <f aca="false">Declarations!$B$47+1000*A71+B71</f>
        <v>926055</v>
      </c>
      <c r="D71" s="26" t="n">
        <v>3</v>
      </c>
      <c r="E71" s="26" t="n">
        <v>3</v>
      </c>
      <c r="F71" s="26" t="n">
        <v>6</v>
      </c>
      <c r="G71" s="26" t="n">
        <v>0</v>
      </c>
      <c r="H71" s="26" t="n">
        <v>0</v>
      </c>
      <c r="I71" s="16" t="n">
        <f aca="false">0.5*(ABS(D71/A71-Declarations!$B$25)+ABS(E71/A71-Declarations!$B$26)+ABS(F71/A71-Declarations!$B$27)+ABS(G71/A71-Declarations!$B$28)+ABS(H71/A71-Declarations!$B$29))</f>
        <v>0.25</v>
      </c>
      <c r="J71" s="20" t="n">
        <v>3.52711525452301</v>
      </c>
      <c r="K71" s="26" t="n">
        <v>0</v>
      </c>
    </row>
    <row r="72" customFormat="false" ht="15" hidden="false" customHeight="false" outlineLevel="0" collapsed="false">
      <c r="A72" s="14" t="n">
        <v>12</v>
      </c>
      <c r="B72" s="14" t="n">
        <v>56</v>
      </c>
      <c r="C72" s="14" t="n">
        <f aca="false">Declarations!$B$47+1000*A72+B72</f>
        <v>926056</v>
      </c>
      <c r="D72" s="26" t="n">
        <v>1</v>
      </c>
      <c r="E72" s="26" t="n">
        <v>1</v>
      </c>
      <c r="F72" s="26" t="n">
        <v>8</v>
      </c>
      <c r="G72" s="26" t="n">
        <v>1</v>
      </c>
      <c r="H72" s="26" t="n">
        <v>1</v>
      </c>
      <c r="I72" s="16" t="n">
        <f aca="false">0.5*(ABS(D72/A72-Declarations!$B$25)+ABS(E72/A72-Declarations!$B$26)+ABS(F72/A72-Declarations!$B$27)+ABS(G72/A72-Declarations!$B$28)+ABS(H72/A72-Declarations!$B$29))</f>
        <v>0.233333333333333</v>
      </c>
      <c r="J72" s="20" t="n">
        <v>0</v>
      </c>
      <c r="K72" s="26" t="n">
        <v>1</v>
      </c>
    </row>
    <row r="73" customFormat="false" ht="15" hidden="false" customHeight="false" outlineLevel="0" collapsed="false">
      <c r="A73" s="14" t="n">
        <v>12</v>
      </c>
      <c r="B73" s="14" t="n">
        <v>57</v>
      </c>
      <c r="C73" s="14" t="n">
        <f aca="false">Declarations!$B$47+1000*A73+B73</f>
        <v>926057</v>
      </c>
      <c r="D73" s="26" t="n">
        <v>2</v>
      </c>
      <c r="E73" s="26" t="n">
        <v>1</v>
      </c>
      <c r="F73" s="26" t="n">
        <v>7</v>
      </c>
      <c r="G73" s="26" t="n">
        <v>2</v>
      </c>
      <c r="H73" s="26" t="n">
        <v>0</v>
      </c>
      <c r="I73" s="16" t="n">
        <f aca="false">0.5*(ABS(D73/A73-Declarations!$B$25)+ABS(E73/A73-Declarations!$B$26)+ABS(F73/A73-Declarations!$B$27)+ABS(G73/A73-Declarations!$B$28)+ABS(H73/A73-Declarations!$B$29))</f>
        <v>0.2</v>
      </c>
      <c r="J73" s="20" t="n">
        <v>2.44799484680544</v>
      </c>
      <c r="K73" s="26" t="n">
        <v>0</v>
      </c>
    </row>
    <row r="74" customFormat="false" ht="15" hidden="false" customHeight="false" outlineLevel="0" collapsed="false">
      <c r="A74" s="14" t="n">
        <v>12</v>
      </c>
      <c r="B74" s="14" t="n">
        <v>58</v>
      </c>
      <c r="C74" s="14" t="n">
        <f aca="false">Declarations!$B$47+1000*A74+B74</f>
        <v>926058</v>
      </c>
      <c r="D74" s="26" t="n">
        <v>1</v>
      </c>
      <c r="E74" s="26" t="n">
        <v>3</v>
      </c>
      <c r="F74" s="26" t="n">
        <v>4</v>
      </c>
      <c r="G74" s="26" t="n">
        <v>4</v>
      </c>
      <c r="H74" s="26" t="n">
        <v>0</v>
      </c>
      <c r="I74" s="16" t="n">
        <f aca="false">0.5*(ABS(D74/A74-Declarations!$B$25)+ABS(E74/A74-Declarations!$B$26)+ABS(F74/A74-Declarations!$B$27)+ABS(G74/A74-Declarations!$B$28)+ABS(H74/A74-Declarations!$B$29))</f>
        <v>0.216666666666667</v>
      </c>
      <c r="J74" s="20" t="n">
        <v>0</v>
      </c>
      <c r="K74" s="26" t="n">
        <v>1</v>
      </c>
    </row>
    <row r="75" customFormat="false" ht="15" hidden="false" customHeight="false" outlineLevel="0" collapsed="false">
      <c r="A75" s="14" t="n">
        <v>12</v>
      </c>
      <c r="B75" s="14" t="n">
        <v>59</v>
      </c>
      <c r="C75" s="14" t="n">
        <f aca="false">Declarations!$B$47+1000*A75+B75</f>
        <v>926059</v>
      </c>
      <c r="D75" s="26" t="n">
        <v>0</v>
      </c>
      <c r="E75" s="26" t="n">
        <v>3</v>
      </c>
      <c r="F75" s="26" t="n">
        <v>6</v>
      </c>
      <c r="G75" s="26" t="n">
        <v>3</v>
      </c>
      <c r="H75" s="26" t="n">
        <v>0</v>
      </c>
      <c r="I75" s="16" t="n">
        <f aca="false">0.5*(ABS(D75/A75-Declarations!$B$25)+ABS(E75/A75-Declarations!$B$26)+ABS(F75/A75-Declarations!$B$27)+ABS(G75/A75-Declarations!$B$28)+ABS(H75/A75-Declarations!$B$29))</f>
        <v>0.1</v>
      </c>
      <c r="J75" s="20" t="n">
        <v>0.00281729995887758</v>
      </c>
      <c r="K75" s="26" t="n">
        <v>0</v>
      </c>
    </row>
    <row r="76" customFormat="false" ht="15" hidden="false" customHeight="false" outlineLevel="0" collapsed="false">
      <c r="A76" s="14" t="n">
        <v>12</v>
      </c>
      <c r="B76" s="14" t="n">
        <v>60</v>
      </c>
      <c r="C76" s="14" t="n">
        <f aca="false">Declarations!$B$47+1000*A76+B76</f>
        <v>926060</v>
      </c>
      <c r="D76" s="26" t="n">
        <v>1</v>
      </c>
      <c r="E76" s="26" t="n">
        <v>3</v>
      </c>
      <c r="F76" s="26" t="n">
        <v>7</v>
      </c>
      <c r="G76" s="26" t="n">
        <v>0</v>
      </c>
      <c r="H76" s="26" t="n">
        <v>1</v>
      </c>
      <c r="I76" s="16" t="n">
        <f aca="false">0.5*(ABS(D76/A76-Declarations!$B$25)+ABS(E76/A76-Declarations!$B$26)+ABS(F76/A76-Declarations!$B$27)+ABS(G76/A76-Declarations!$B$28)+ABS(H76/A76-Declarations!$B$29))</f>
        <v>0.2</v>
      </c>
      <c r="J76" s="20" t="n">
        <v>0</v>
      </c>
      <c r="K76" s="26" t="n">
        <v>1</v>
      </c>
    </row>
    <row r="77" customFormat="false" ht="15" hidden="false" customHeight="false" outlineLevel="0" collapsed="false">
      <c r="A77" s="14" t="n">
        <v>12</v>
      </c>
      <c r="B77" s="14" t="n">
        <v>61</v>
      </c>
      <c r="C77" s="14" t="n">
        <f aca="false">Declarations!$B$47+1000*A77+B77</f>
        <v>926061</v>
      </c>
      <c r="D77" s="26" t="n">
        <v>0</v>
      </c>
      <c r="E77" s="26" t="n">
        <v>4</v>
      </c>
      <c r="F77" s="26" t="n">
        <v>4</v>
      </c>
      <c r="G77" s="26" t="n">
        <v>2</v>
      </c>
      <c r="H77" s="26" t="n">
        <v>2</v>
      </c>
      <c r="I77" s="16" t="n">
        <f aca="false">0.5*(ABS(D77/A77-Declarations!$B$25)+ABS(E77/A77-Declarations!$B$26)+ABS(F77/A77-Declarations!$B$27)+ABS(G77/A77-Declarations!$B$28)+ABS(H77/A77-Declarations!$B$29))</f>
        <v>0.25</v>
      </c>
      <c r="J77" s="20" t="n">
        <v>0</v>
      </c>
      <c r="K77" s="26" t="n">
        <v>1</v>
      </c>
    </row>
    <row r="78" customFormat="false" ht="15" hidden="false" customHeight="false" outlineLevel="0" collapsed="false">
      <c r="A78" s="14" t="n">
        <v>12</v>
      </c>
      <c r="B78" s="14" t="n">
        <v>62</v>
      </c>
      <c r="C78" s="14" t="n">
        <f aca="false">Declarations!$B$47+1000*A78+B78</f>
        <v>926062</v>
      </c>
      <c r="D78" s="26" t="n">
        <v>1</v>
      </c>
      <c r="E78" s="26" t="n">
        <v>3</v>
      </c>
      <c r="F78" s="26" t="n">
        <v>3</v>
      </c>
      <c r="G78" s="26" t="n">
        <v>5</v>
      </c>
      <c r="H78" s="26" t="n">
        <v>0</v>
      </c>
      <c r="I78" s="16" t="n">
        <f aca="false">0.5*(ABS(D78/A78-Declarations!$B$25)+ABS(E78/A78-Declarations!$B$26)+ABS(F78/A78-Declarations!$B$27)+ABS(G78/A78-Declarations!$B$28)+ABS(H78/A78-Declarations!$B$29))</f>
        <v>0.3</v>
      </c>
      <c r="J78" s="20" t="n">
        <v>0</v>
      </c>
      <c r="K78" s="26" t="n">
        <v>1</v>
      </c>
    </row>
    <row r="79" customFormat="false" ht="15" hidden="false" customHeight="false" outlineLevel="0" collapsed="false">
      <c r="A79" s="14" t="n">
        <v>12</v>
      </c>
      <c r="B79" s="14" t="n">
        <v>63</v>
      </c>
      <c r="C79" s="14" t="n">
        <f aca="false">Declarations!$B$47+1000*A79+B79</f>
        <v>926063</v>
      </c>
      <c r="D79" s="26" t="n">
        <v>1</v>
      </c>
      <c r="E79" s="26" t="n">
        <v>4</v>
      </c>
      <c r="F79" s="26" t="n">
        <v>4</v>
      </c>
      <c r="G79" s="26" t="n">
        <v>3</v>
      </c>
      <c r="H79" s="26" t="n">
        <v>0</v>
      </c>
      <c r="I79" s="16" t="n">
        <f aca="false">0.5*(ABS(D79/A79-Declarations!$B$25)+ABS(E79/A79-Declarations!$B$26)+ABS(F79/A79-Declarations!$B$27)+ABS(G79/A79-Declarations!$B$28)+ABS(H79/A79-Declarations!$B$29))</f>
        <v>0.216666666666667</v>
      </c>
      <c r="J79" s="20" t="n">
        <v>0</v>
      </c>
      <c r="K79" s="26" t="n">
        <v>1</v>
      </c>
    </row>
    <row r="80" customFormat="false" ht="15" hidden="false" customHeight="false" outlineLevel="0" collapsed="false">
      <c r="A80" s="14" t="n">
        <v>12</v>
      </c>
      <c r="B80" s="14" t="n">
        <v>64</v>
      </c>
      <c r="C80" s="14" t="n">
        <f aca="false">Declarations!$B$47+1000*A80+B80</f>
        <v>926064</v>
      </c>
      <c r="D80" s="26" t="n">
        <v>1</v>
      </c>
      <c r="E80" s="26" t="n">
        <v>4</v>
      </c>
      <c r="F80" s="26" t="n">
        <v>2</v>
      </c>
      <c r="G80" s="26" t="n">
        <v>5</v>
      </c>
      <c r="H80" s="26" t="n">
        <v>0</v>
      </c>
      <c r="I80" s="16" t="n">
        <f aca="false">0.5*(ABS(D80/A80-Declarations!$B$25)+ABS(E80/A80-Declarations!$B$26)+ABS(F80/A80-Declarations!$B$27)+ABS(G80/A80-Declarations!$B$28)+ABS(H80/A80-Declarations!$B$29))</f>
        <v>0.383333333333333</v>
      </c>
      <c r="J80" s="20" t="n">
        <v>0</v>
      </c>
      <c r="K80" s="26" t="n">
        <v>1</v>
      </c>
    </row>
    <row r="81" customFormat="false" ht="15" hidden="false" customHeight="false" outlineLevel="0" collapsed="false">
      <c r="A81" s="14" t="n">
        <v>12</v>
      </c>
      <c r="B81" s="14" t="n">
        <v>65</v>
      </c>
      <c r="C81" s="14" t="n">
        <f aca="false">Declarations!$B$47+1000*A81+B81</f>
        <v>926065</v>
      </c>
      <c r="D81" s="26" t="n">
        <v>1</v>
      </c>
      <c r="E81" s="26" t="n">
        <v>2</v>
      </c>
      <c r="F81" s="26" t="n">
        <v>7</v>
      </c>
      <c r="G81" s="26" t="n">
        <v>1</v>
      </c>
      <c r="H81" s="26" t="n">
        <v>1</v>
      </c>
      <c r="I81" s="16" t="n">
        <f aca="false">0.5*(ABS(D81/A81-Declarations!$B$25)+ABS(E81/A81-Declarations!$B$26)+ABS(F81/A81-Declarations!$B$27)+ABS(G81/A81-Declarations!$B$28)+ABS(H81/A81-Declarations!$B$29))</f>
        <v>0.15</v>
      </c>
      <c r="J81" s="20" t="n">
        <v>0</v>
      </c>
      <c r="K81" s="26" t="n">
        <v>1</v>
      </c>
    </row>
    <row r="82" customFormat="false" ht="15" hidden="false" customHeight="false" outlineLevel="0" collapsed="false">
      <c r="A82" s="14" t="n">
        <v>12</v>
      </c>
      <c r="B82" s="14" t="n">
        <v>66</v>
      </c>
      <c r="C82" s="14" t="n">
        <f aca="false">Declarations!$B$47+1000*A82+B82</f>
        <v>926066</v>
      </c>
      <c r="D82" s="26" t="n">
        <v>1</v>
      </c>
      <c r="E82" s="26" t="n">
        <v>2</v>
      </c>
      <c r="F82" s="26" t="n">
        <v>8</v>
      </c>
      <c r="G82" s="26" t="n">
        <v>1</v>
      </c>
      <c r="H82" s="26" t="n">
        <v>0</v>
      </c>
      <c r="I82" s="16" t="n">
        <f aca="false">0.5*(ABS(D82/A82-Declarations!$B$25)+ABS(E82/A82-Declarations!$B$26)+ABS(F82/A82-Declarations!$B$27)+ABS(G82/A82-Declarations!$B$28)+ABS(H82/A82-Declarations!$B$29))</f>
        <v>0.2</v>
      </c>
      <c r="J82" s="20" t="n">
        <v>0</v>
      </c>
      <c r="K82" s="26" t="n">
        <v>1</v>
      </c>
    </row>
    <row r="83" customFormat="false" ht="15" hidden="false" customHeight="false" outlineLevel="0" collapsed="false">
      <c r="A83" s="14" t="n">
        <v>12</v>
      </c>
      <c r="B83" s="14" t="n">
        <v>67</v>
      </c>
      <c r="C83" s="14" t="n">
        <f aca="false">Declarations!$B$47+1000*A83+B83</f>
        <v>926067</v>
      </c>
      <c r="D83" s="26" t="n">
        <v>1</v>
      </c>
      <c r="E83" s="26" t="n">
        <v>0</v>
      </c>
      <c r="F83" s="26" t="n">
        <v>8</v>
      </c>
      <c r="G83" s="26" t="n">
        <v>3</v>
      </c>
      <c r="H83" s="26" t="n">
        <v>0</v>
      </c>
      <c r="I83" s="16" t="n">
        <f aca="false">0.5*(ABS(D83/A83-Declarations!$B$25)+ABS(E83/A83-Declarations!$B$26)+ABS(F83/A83-Declarations!$B$27)+ABS(G83/A83-Declarations!$B$28)+ABS(H83/A83-Declarations!$B$29))</f>
        <v>0.25</v>
      </c>
      <c r="J83" s="20" t="n">
        <v>4.46094245162328</v>
      </c>
      <c r="K83" s="26" t="n">
        <v>0</v>
      </c>
    </row>
    <row r="84" customFormat="false" ht="15" hidden="false" customHeight="false" outlineLevel="0" collapsed="false">
      <c r="A84" s="14" t="n">
        <v>12</v>
      </c>
      <c r="B84" s="14" t="n">
        <v>68</v>
      </c>
      <c r="C84" s="14" t="n">
        <f aca="false">Declarations!$B$47+1000*A84+B84</f>
        <v>926068</v>
      </c>
      <c r="D84" s="26" t="n">
        <v>0</v>
      </c>
      <c r="E84" s="26" t="n">
        <v>0</v>
      </c>
      <c r="F84" s="26" t="n">
        <v>10</v>
      </c>
      <c r="G84" s="26" t="n">
        <v>1</v>
      </c>
      <c r="H84" s="26" t="n">
        <v>1</v>
      </c>
      <c r="I84" s="16" t="n">
        <f aca="false">0.5*(ABS(D84/A84-Declarations!$B$25)+ABS(E84/A84-Declarations!$B$26)+ABS(F84/A84-Declarations!$B$27)+ABS(G84/A84-Declarations!$B$28)+ABS(H84/A84-Declarations!$B$29))</f>
        <v>0.366666666666667</v>
      </c>
      <c r="J84" s="20" t="n">
        <v>5.03615287384906</v>
      </c>
      <c r="K84" s="26" t="n">
        <v>0</v>
      </c>
    </row>
    <row r="85" customFormat="false" ht="15" hidden="false" customHeight="false" outlineLevel="0" collapsed="false">
      <c r="A85" s="14" t="n">
        <v>12</v>
      </c>
      <c r="B85" s="14" t="n">
        <v>69</v>
      </c>
      <c r="C85" s="14" t="n">
        <f aca="false">Declarations!$B$47+1000*A85+B85</f>
        <v>926069</v>
      </c>
      <c r="D85" s="26" t="n">
        <v>0</v>
      </c>
      <c r="E85" s="26" t="n">
        <v>2</v>
      </c>
      <c r="F85" s="26" t="n">
        <v>7</v>
      </c>
      <c r="G85" s="26" t="n">
        <v>2</v>
      </c>
      <c r="H85" s="26" t="n">
        <v>1</v>
      </c>
      <c r="I85" s="16" t="n">
        <f aca="false">0.5*(ABS(D85/A85-Declarations!$B$25)+ABS(E85/A85-Declarations!$B$26)+ABS(F85/A85-Declarations!$B$27)+ABS(G85/A85-Declarations!$B$28)+ABS(H85/A85-Declarations!$B$29))</f>
        <v>0.116666666666667</v>
      </c>
      <c r="J85" s="20" t="n">
        <v>0.713021460896897</v>
      </c>
      <c r="K85" s="26" t="n">
        <v>0</v>
      </c>
    </row>
    <row r="86" customFormat="false" ht="15" hidden="false" customHeight="false" outlineLevel="0" collapsed="false">
      <c r="A86" s="14" t="n">
        <v>12</v>
      </c>
      <c r="B86" s="14" t="n">
        <v>70</v>
      </c>
      <c r="C86" s="14" t="n">
        <f aca="false">Declarations!$B$47+1000*A86+B86</f>
        <v>926070</v>
      </c>
      <c r="D86" s="26" t="n">
        <v>0</v>
      </c>
      <c r="E86" s="26" t="n">
        <v>1</v>
      </c>
      <c r="F86" s="26" t="n">
        <v>6</v>
      </c>
      <c r="G86" s="26" t="n">
        <v>3</v>
      </c>
      <c r="H86" s="26" t="n">
        <v>2</v>
      </c>
      <c r="I86" s="16" t="n">
        <f aca="false">0.5*(ABS(D86/A86-Declarations!$B$25)+ABS(E86/A86-Declarations!$B$26)+ABS(F86/A86-Declarations!$B$27)+ABS(G86/A86-Declarations!$B$28)+ABS(H86/A86-Declarations!$B$29))</f>
        <v>0.166666666666667</v>
      </c>
      <c r="J86" s="20" t="n">
        <v>5.03615287384906</v>
      </c>
      <c r="K86" s="26" t="n">
        <v>0</v>
      </c>
    </row>
    <row r="87" customFormat="false" ht="15" hidden="false" customHeight="false" outlineLevel="0" collapsed="false">
      <c r="A87" s="14" t="n">
        <v>12</v>
      </c>
      <c r="B87" s="14" t="n">
        <v>71</v>
      </c>
      <c r="C87" s="14" t="n">
        <f aca="false">Declarations!$B$47+1000*A87+B87</f>
        <v>926071</v>
      </c>
      <c r="D87" s="26" t="n">
        <v>0</v>
      </c>
      <c r="E87" s="26" t="n">
        <v>2</v>
      </c>
      <c r="F87" s="26" t="n">
        <v>6</v>
      </c>
      <c r="G87" s="26" t="n">
        <v>3</v>
      </c>
      <c r="H87" s="26" t="n">
        <v>1</v>
      </c>
      <c r="I87" s="16" t="n">
        <f aca="false">0.5*(ABS(D87/A87-Declarations!$B$25)+ABS(E87/A87-Declarations!$B$26)+ABS(F87/A87-Declarations!$B$27)+ABS(G87/A87-Declarations!$B$28)+ABS(H87/A87-Declarations!$B$29))</f>
        <v>0.0833333333333333</v>
      </c>
      <c r="J87" s="20" t="n">
        <v>0.713021460896897</v>
      </c>
      <c r="K87" s="26" t="n">
        <v>0</v>
      </c>
    </row>
    <row r="88" customFormat="false" ht="15" hidden="false" customHeight="false" outlineLevel="0" collapsed="false">
      <c r="A88" s="14" t="n">
        <v>12</v>
      </c>
      <c r="B88" s="14" t="n">
        <v>72</v>
      </c>
      <c r="C88" s="14" t="n">
        <f aca="false">Declarations!$B$47+1000*A88+B88</f>
        <v>926072</v>
      </c>
      <c r="D88" s="26" t="n">
        <v>2</v>
      </c>
      <c r="E88" s="26" t="n">
        <v>2</v>
      </c>
      <c r="F88" s="26" t="n">
        <v>5</v>
      </c>
      <c r="G88" s="26" t="n">
        <v>3</v>
      </c>
      <c r="H88" s="26" t="n">
        <v>0</v>
      </c>
      <c r="I88" s="16" t="n">
        <f aca="false">0.5*(ABS(D88/A88-Declarations!$B$25)+ABS(E88/A88-Declarations!$B$26)+ABS(F88/A88-Declarations!$B$27)+ABS(G88/A88-Declarations!$B$28)+ABS(H88/A88-Declarations!$B$29))</f>
        <v>0.166666666666667</v>
      </c>
      <c r="J88" s="20" t="n">
        <v>2.52014922256666</v>
      </c>
      <c r="K88" s="26" t="n">
        <v>0</v>
      </c>
    </row>
    <row r="89" customFormat="false" ht="15" hidden="false" customHeight="false" outlineLevel="0" collapsed="false">
      <c r="A89" s="14" t="n">
        <v>12</v>
      </c>
      <c r="B89" s="14" t="n">
        <v>73</v>
      </c>
      <c r="C89" s="14" t="n">
        <f aca="false">Declarations!$B$47+1000*A89+B89</f>
        <v>926073</v>
      </c>
      <c r="D89" s="26" t="n">
        <v>0</v>
      </c>
      <c r="E89" s="26" t="n">
        <v>3</v>
      </c>
      <c r="F89" s="26" t="n">
        <v>6</v>
      </c>
      <c r="G89" s="26" t="n">
        <v>3</v>
      </c>
      <c r="H89" s="26" t="n">
        <v>0</v>
      </c>
      <c r="I89" s="16" t="n">
        <f aca="false">0.5*(ABS(D89/A89-Declarations!$B$25)+ABS(E89/A89-Declarations!$B$26)+ABS(F89/A89-Declarations!$B$27)+ABS(G89/A89-Declarations!$B$28)+ABS(H89/A89-Declarations!$B$29))</f>
        <v>0.1</v>
      </c>
      <c r="J89" s="20" t="n">
        <v>0.00281729995887758</v>
      </c>
      <c r="K89" s="26" t="n">
        <v>0</v>
      </c>
    </row>
    <row r="90" customFormat="false" ht="15" hidden="false" customHeight="false" outlineLevel="0" collapsed="false">
      <c r="A90" s="14" t="n">
        <v>12</v>
      </c>
      <c r="B90" s="14" t="n">
        <v>74</v>
      </c>
      <c r="C90" s="14" t="n">
        <f aca="false">Declarations!$B$47+1000*A90+B90</f>
        <v>926074</v>
      </c>
      <c r="D90" s="26" t="n">
        <v>0</v>
      </c>
      <c r="E90" s="26" t="n">
        <v>3</v>
      </c>
      <c r="F90" s="26" t="n">
        <v>8</v>
      </c>
      <c r="G90" s="26" t="n">
        <v>1</v>
      </c>
      <c r="H90" s="26" t="n">
        <v>0</v>
      </c>
      <c r="I90" s="16" t="n">
        <f aca="false">0.5*(ABS(D90/A90-Declarations!$B$25)+ABS(E90/A90-Declarations!$B$26)+ABS(F90/A90-Declarations!$B$27)+ABS(G90/A90-Declarations!$B$28)+ABS(H90/A90-Declarations!$B$29))</f>
        <v>0.216666666666667</v>
      </c>
      <c r="J90" s="20" t="n">
        <v>0.00281729995887758</v>
      </c>
      <c r="K90" s="26" t="n">
        <v>0</v>
      </c>
    </row>
    <row r="91" customFormat="false" ht="15" hidden="false" customHeight="false" outlineLevel="0" collapsed="false">
      <c r="A91" s="14" t="n">
        <v>12</v>
      </c>
      <c r="B91" s="14" t="n">
        <v>75</v>
      </c>
      <c r="C91" s="14" t="n">
        <f aca="false">Declarations!$B$47+1000*A91+B91</f>
        <v>926075</v>
      </c>
      <c r="D91" s="26" t="n">
        <v>0</v>
      </c>
      <c r="E91" s="26" t="n">
        <v>2</v>
      </c>
      <c r="F91" s="26" t="n">
        <v>9</v>
      </c>
      <c r="G91" s="26" t="n">
        <v>0</v>
      </c>
      <c r="H91" s="26" t="n">
        <v>1</v>
      </c>
      <c r="I91" s="16" t="n">
        <f aca="false">0.5*(ABS(D91/A91-Declarations!$B$25)+ABS(E91/A91-Declarations!$B$26)+ABS(F91/A91-Declarations!$B$27)+ABS(G91/A91-Declarations!$B$28)+ABS(H91/A91-Declarations!$B$29))</f>
        <v>0.283333333333333</v>
      </c>
      <c r="J91" s="20" t="n">
        <v>0.713021460896897</v>
      </c>
      <c r="K91" s="26" t="n">
        <v>0</v>
      </c>
    </row>
    <row r="92" customFormat="false" ht="15" hidden="false" customHeight="false" outlineLevel="0" collapsed="false">
      <c r="A92" s="14" t="n">
        <v>12</v>
      </c>
      <c r="B92" s="14" t="n">
        <v>76</v>
      </c>
      <c r="C92" s="14" t="n">
        <f aca="false">Declarations!$B$47+1000*A92+B92</f>
        <v>926076</v>
      </c>
      <c r="D92" s="26" t="n">
        <v>0</v>
      </c>
      <c r="E92" s="26" t="n">
        <v>3</v>
      </c>
      <c r="F92" s="26" t="n">
        <v>5</v>
      </c>
      <c r="G92" s="26" t="n">
        <v>3</v>
      </c>
      <c r="H92" s="26" t="n">
        <v>1</v>
      </c>
      <c r="I92" s="16" t="n">
        <f aca="false">0.5*(ABS(D92/A92-Declarations!$B$25)+ABS(E92/A92-Declarations!$B$26)+ABS(F92/A92-Declarations!$B$27)+ABS(G92/A92-Declarations!$B$28)+ABS(H92/A92-Declarations!$B$29))</f>
        <v>0.133333333333333</v>
      </c>
      <c r="J92" s="20" t="n">
        <v>0.0703309017642937</v>
      </c>
      <c r="K92" s="26" t="n">
        <v>0</v>
      </c>
    </row>
    <row r="93" customFormat="false" ht="15" hidden="false" customHeight="false" outlineLevel="0" collapsed="false">
      <c r="A93" s="14" t="n">
        <v>12</v>
      </c>
      <c r="B93" s="14" t="n">
        <v>77</v>
      </c>
      <c r="C93" s="14" t="n">
        <f aca="false">Declarations!$B$47+1000*A93+B93</f>
        <v>926077</v>
      </c>
      <c r="D93" s="26" t="n">
        <v>0</v>
      </c>
      <c r="E93" s="26" t="n">
        <v>3</v>
      </c>
      <c r="F93" s="26" t="n">
        <v>6</v>
      </c>
      <c r="G93" s="26" t="n">
        <v>2</v>
      </c>
      <c r="H93" s="26" t="n">
        <v>1</v>
      </c>
      <c r="I93" s="16" t="n">
        <f aca="false">0.5*(ABS(D93/A93-Declarations!$B$25)+ABS(E93/A93-Declarations!$B$26)+ABS(F93/A93-Declarations!$B$27)+ABS(G93/A93-Declarations!$B$28)+ABS(H93/A93-Declarations!$B$29))</f>
        <v>0.0833333333333333</v>
      </c>
      <c r="J93" s="20" t="n">
        <v>0.0703309017642937</v>
      </c>
      <c r="K93" s="26" t="n">
        <v>0</v>
      </c>
    </row>
    <row r="94" customFormat="false" ht="15" hidden="false" customHeight="false" outlineLevel="0" collapsed="false">
      <c r="A94" s="14" t="n">
        <v>12</v>
      </c>
      <c r="B94" s="14" t="n">
        <v>78</v>
      </c>
      <c r="C94" s="14" t="n">
        <f aca="false">Declarations!$B$47+1000*A94+B94</f>
        <v>926078</v>
      </c>
      <c r="D94" s="26" t="n">
        <v>1</v>
      </c>
      <c r="E94" s="26" t="n">
        <v>3</v>
      </c>
      <c r="F94" s="26" t="n">
        <v>6</v>
      </c>
      <c r="G94" s="26" t="n">
        <v>2</v>
      </c>
      <c r="H94" s="26" t="n">
        <v>0</v>
      </c>
      <c r="I94" s="16" t="n">
        <f aca="false">0.5*(ABS(D94/A94-Declarations!$B$25)+ABS(E94/A94-Declarations!$B$26)+ABS(F94/A94-Declarations!$B$27)+ABS(G94/A94-Declarations!$B$28)+ABS(H94/A94-Declarations!$B$29))</f>
        <v>0.0833333333333333</v>
      </c>
      <c r="J94" s="20" t="n">
        <v>0</v>
      </c>
      <c r="K94" s="26" t="n">
        <v>1</v>
      </c>
    </row>
    <row r="95" customFormat="false" ht="15" hidden="false" customHeight="false" outlineLevel="0" collapsed="false">
      <c r="A95" s="14" t="n">
        <v>12</v>
      </c>
      <c r="B95" s="14" t="n">
        <v>79</v>
      </c>
      <c r="C95" s="14" t="n">
        <f aca="false">Declarations!$B$47+1000*A95+B95</f>
        <v>926079</v>
      </c>
      <c r="D95" s="26" t="n">
        <v>0</v>
      </c>
      <c r="E95" s="26" t="n">
        <v>1</v>
      </c>
      <c r="F95" s="26" t="n">
        <v>8</v>
      </c>
      <c r="G95" s="26" t="n">
        <v>3</v>
      </c>
      <c r="H95" s="26" t="n">
        <v>0</v>
      </c>
      <c r="I95" s="16" t="n">
        <f aca="false">0.5*(ABS(D95/A95-Declarations!$B$25)+ABS(E95/A95-Declarations!$B$26)+ABS(F95/A95-Declarations!$B$27)+ABS(G95/A95-Declarations!$B$28)+ABS(H95/A95-Declarations!$B$29))</f>
        <v>0.216666666666667</v>
      </c>
      <c r="J95" s="20" t="n">
        <v>5.03615287384906</v>
      </c>
      <c r="K95" s="26" t="n">
        <v>0</v>
      </c>
    </row>
    <row r="96" customFormat="false" ht="15" hidden="false" customHeight="false" outlineLevel="0" collapsed="false">
      <c r="A96" s="14" t="n">
        <v>12</v>
      </c>
      <c r="B96" s="14" t="n">
        <v>80</v>
      </c>
      <c r="C96" s="14" t="n">
        <f aca="false">Declarations!$B$47+1000*A96+B96</f>
        <v>926080</v>
      </c>
      <c r="D96" s="26" t="n">
        <v>1</v>
      </c>
      <c r="E96" s="26" t="n">
        <v>1</v>
      </c>
      <c r="F96" s="26" t="n">
        <v>8</v>
      </c>
      <c r="G96" s="26" t="n">
        <v>2</v>
      </c>
      <c r="H96" s="26" t="n">
        <v>0</v>
      </c>
      <c r="I96" s="16" t="n">
        <f aca="false">0.5*(ABS(D96/A96-Declarations!$B$25)+ABS(E96/A96-Declarations!$B$26)+ABS(F96/A96-Declarations!$B$27)+ABS(G96/A96-Declarations!$B$28)+ABS(H96/A96-Declarations!$B$29))</f>
        <v>0.2</v>
      </c>
      <c r="J96" s="20" t="n">
        <v>0</v>
      </c>
      <c r="K96" s="26" t="n">
        <v>1</v>
      </c>
    </row>
    <row r="97" customFormat="false" ht="15" hidden="false" customHeight="false" outlineLevel="0" collapsed="false">
      <c r="A97" s="14" t="n">
        <v>12</v>
      </c>
      <c r="B97" s="14" t="n">
        <v>81</v>
      </c>
      <c r="C97" s="14" t="n">
        <f aca="false">Declarations!$B$47+1000*A97+B97</f>
        <v>926081</v>
      </c>
      <c r="D97" s="26" t="n">
        <v>0</v>
      </c>
      <c r="E97" s="26" t="n">
        <v>4</v>
      </c>
      <c r="F97" s="26" t="n">
        <v>7</v>
      </c>
      <c r="G97" s="26" t="n">
        <v>1</v>
      </c>
      <c r="H97" s="26" t="n">
        <v>0</v>
      </c>
      <c r="I97" s="16" t="n">
        <f aca="false">0.5*(ABS(D97/A97-Declarations!$B$25)+ABS(E97/A97-Declarations!$B$26)+ABS(F97/A97-Declarations!$B$27)+ABS(G97/A97-Declarations!$B$28)+ABS(H97/A97-Declarations!$B$29))</f>
        <v>0.216666666666667</v>
      </c>
      <c r="J97" s="20" t="n">
        <v>0</v>
      </c>
      <c r="K97" s="26" t="n">
        <v>1</v>
      </c>
    </row>
    <row r="98" customFormat="false" ht="15" hidden="false" customHeight="false" outlineLevel="0" collapsed="false">
      <c r="A98" s="14" t="n">
        <v>12</v>
      </c>
      <c r="B98" s="14" t="n">
        <v>82</v>
      </c>
      <c r="C98" s="14" t="n">
        <f aca="false">Declarations!$B$47+1000*A98+B98</f>
        <v>926082</v>
      </c>
      <c r="D98" s="26" t="n">
        <v>0</v>
      </c>
      <c r="E98" s="26" t="n">
        <v>1</v>
      </c>
      <c r="F98" s="26" t="n">
        <v>7</v>
      </c>
      <c r="G98" s="26" t="n">
        <v>2</v>
      </c>
      <c r="H98" s="26" t="n">
        <v>2</v>
      </c>
      <c r="I98" s="16" t="n">
        <f aca="false">0.5*(ABS(D98/A98-Declarations!$B$25)+ABS(E98/A98-Declarations!$B$26)+ABS(F98/A98-Declarations!$B$27)+ABS(G98/A98-Declarations!$B$28)+ABS(H98/A98-Declarations!$B$29))</f>
        <v>0.2</v>
      </c>
      <c r="J98" s="20" t="n">
        <v>5.03615287384906</v>
      </c>
      <c r="K98" s="26" t="n">
        <v>0</v>
      </c>
    </row>
    <row r="99" customFormat="false" ht="15" hidden="false" customHeight="false" outlineLevel="0" collapsed="false">
      <c r="A99" s="14" t="n">
        <v>12</v>
      </c>
      <c r="B99" s="14" t="n">
        <v>83</v>
      </c>
      <c r="C99" s="14" t="n">
        <f aca="false">Declarations!$B$47+1000*A99+B99</f>
        <v>926083</v>
      </c>
      <c r="D99" s="26" t="n">
        <v>2</v>
      </c>
      <c r="E99" s="26" t="n">
        <v>1</v>
      </c>
      <c r="F99" s="26" t="n">
        <v>6</v>
      </c>
      <c r="G99" s="26" t="n">
        <v>3</v>
      </c>
      <c r="H99" s="26" t="n">
        <v>0</v>
      </c>
      <c r="I99" s="16" t="n">
        <f aca="false">0.5*(ABS(D99/A99-Declarations!$B$25)+ABS(E99/A99-Declarations!$B$26)+ABS(F99/A99-Declarations!$B$27)+ABS(G99/A99-Declarations!$B$28)+ABS(H99/A99-Declarations!$B$29))</f>
        <v>0.166666666666667</v>
      </c>
      <c r="J99" s="20" t="n">
        <v>2.52014922256666</v>
      </c>
      <c r="K99" s="26" t="n">
        <v>0</v>
      </c>
    </row>
    <row r="100" customFormat="false" ht="15" hidden="false" customHeight="false" outlineLevel="0" collapsed="false">
      <c r="A100" s="14" t="n">
        <v>12</v>
      </c>
      <c r="B100" s="14" t="n">
        <v>84</v>
      </c>
      <c r="C100" s="14" t="n">
        <f aca="false">Declarations!$B$47+1000*A100+B100</f>
        <v>926084</v>
      </c>
      <c r="D100" s="26" t="n">
        <v>0</v>
      </c>
      <c r="E100" s="26" t="n">
        <v>3</v>
      </c>
      <c r="F100" s="26" t="n">
        <v>4</v>
      </c>
      <c r="G100" s="26" t="n">
        <v>4</v>
      </c>
      <c r="H100" s="26" t="n">
        <v>1</v>
      </c>
      <c r="I100" s="16" t="n">
        <f aca="false">0.5*(ABS(D100/A100-Declarations!$B$25)+ABS(E100/A100-Declarations!$B$26)+ABS(F100/A100-Declarations!$B$27)+ABS(G100/A100-Declarations!$B$28)+ABS(H100/A100-Declarations!$B$29))</f>
        <v>0.216666666666667</v>
      </c>
      <c r="J100" s="20" t="n">
        <v>0.0703309017642937</v>
      </c>
      <c r="K100" s="26" t="n">
        <v>0</v>
      </c>
    </row>
    <row r="101" customFormat="false" ht="15" hidden="false" customHeight="false" outlineLevel="0" collapsed="false">
      <c r="A101" s="14" t="n">
        <v>12</v>
      </c>
      <c r="B101" s="14" t="n">
        <v>85</v>
      </c>
      <c r="C101" s="14" t="n">
        <f aca="false">Declarations!$B$47+1000*A101+B101</f>
        <v>926085</v>
      </c>
      <c r="D101" s="26" t="n">
        <v>1</v>
      </c>
      <c r="E101" s="26" t="n">
        <v>2</v>
      </c>
      <c r="F101" s="26" t="n">
        <v>8</v>
      </c>
      <c r="G101" s="26" t="n">
        <v>1</v>
      </c>
      <c r="H101" s="26" t="n">
        <v>0</v>
      </c>
      <c r="I101" s="16" t="n">
        <f aca="false">0.5*(ABS(D101/A101-Declarations!$B$25)+ABS(E101/A101-Declarations!$B$26)+ABS(F101/A101-Declarations!$B$27)+ABS(G101/A101-Declarations!$B$28)+ABS(H101/A101-Declarations!$B$29))</f>
        <v>0.2</v>
      </c>
      <c r="J101" s="20" t="n">
        <v>0</v>
      </c>
      <c r="K101" s="26" t="n">
        <v>1</v>
      </c>
    </row>
    <row r="102" customFormat="false" ht="15" hidden="false" customHeight="false" outlineLevel="0" collapsed="false">
      <c r="A102" s="14" t="n">
        <v>12</v>
      </c>
      <c r="B102" s="14" t="n">
        <v>86</v>
      </c>
      <c r="C102" s="14" t="n">
        <f aca="false">Declarations!$B$47+1000*A102+B102</f>
        <v>926086</v>
      </c>
      <c r="D102" s="26" t="n">
        <v>0</v>
      </c>
      <c r="E102" s="26" t="n">
        <v>1</v>
      </c>
      <c r="F102" s="26" t="n">
        <v>7</v>
      </c>
      <c r="G102" s="26" t="n">
        <v>2</v>
      </c>
      <c r="H102" s="26" t="n">
        <v>2</v>
      </c>
      <c r="I102" s="16" t="n">
        <f aca="false">0.5*(ABS(D102/A102-Declarations!$B$25)+ABS(E102/A102-Declarations!$B$26)+ABS(F102/A102-Declarations!$B$27)+ABS(G102/A102-Declarations!$B$28)+ABS(H102/A102-Declarations!$B$29))</f>
        <v>0.2</v>
      </c>
      <c r="J102" s="20" t="n">
        <v>5.03615287384906</v>
      </c>
      <c r="K102" s="26" t="n">
        <v>0</v>
      </c>
    </row>
    <row r="103" customFormat="false" ht="15" hidden="false" customHeight="false" outlineLevel="0" collapsed="false">
      <c r="A103" s="14" t="n">
        <v>12</v>
      </c>
      <c r="B103" s="14" t="n">
        <v>87</v>
      </c>
      <c r="C103" s="14" t="n">
        <f aca="false">Declarations!$B$47+1000*A103+B103</f>
        <v>926087</v>
      </c>
      <c r="D103" s="26" t="n">
        <v>0</v>
      </c>
      <c r="E103" s="26" t="n">
        <v>3</v>
      </c>
      <c r="F103" s="26" t="n">
        <v>7</v>
      </c>
      <c r="G103" s="26" t="n">
        <v>2</v>
      </c>
      <c r="H103" s="26" t="n">
        <v>0</v>
      </c>
      <c r="I103" s="16" t="n">
        <f aca="false">0.5*(ABS(D103/A103-Declarations!$B$25)+ABS(E103/A103-Declarations!$B$26)+ABS(F103/A103-Declarations!$B$27)+ABS(G103/A103-Declarations!$B$28)+ABS(H103/A103-Declarations!$B$29))</f>
        <v>0.133333333333333</v>
      </c>
      <c r="J103" s="20" t="n">
        <v>0.00281729995887758</v>
      </c>
      <c r="K103" s="26" t="n">
        <v>0</v>
      </c>
    </row>
    <row r="104" customFormat="false" ht="15" hidden="false" customHeight="false" outlineLevel="0" collapsed="false">
      <c r="A104" s="14" t="n">
        <v>12</v>
      </c>
      <c r="B104" s="14" t="n">
        <v>88</v>
      </c>
      <c r="C104" s="14" t="n">
        <f aca="false">Declarations!$B$47+1000*A104+B104</f>
        <v>926088</v>
      </c>
      <c r="D104" s="26" t="n">
        <v>1</v>
      </c>
      <c r="E104" s="26" t="n">
        <v>3</v>
      </c>
      <c r="F104" s="26" t="n">
        <v>7</v>
      </c>
      <c r="G104" s="26" t="n">
        <v>1</v>
      </c>
      <c r="H104" s="26" t="n">
        <v>0</v>
      </c>
      <c r="I104" s="16" t="n">
        <f aca="false">0.5*(ABS(D104/A104-Declarations!$B$25)+ABS(E104/A104-Declarations!$B$26)+ABS(F104/A104-Declarations!$B$27)+ABS(G104/A104-Declarations!$B$28)+ABS(H104/A104-Declarations!$B$29))</f>
        <v>0.166666666666667</v>
      </c>
      <c r="J104" s="20" t="n">
        <v>0</v>
      </c>
      <c r="K104" s="26" t="n">
        <v>1</v>
      </c>
    </row>
    <row r="105" customFormat="false" ht="15" hidden="false" customHeight="false" outlineLevel="0" collapsed="false">
      <c r="A105" s="14" t="n">
        <v>12</v>
      </c>
      <c r="B105" s="14" t="n">
        <v>89</v>
      </c>
      <c r="C105" s="14" t="n">
        <f aca="false">Declarations!$B$47+1000*A105+B105</f>
        <v>926089</v>
      </c>
      <c r="D105" s="26" t="n">
        <v>0</v>
      </c>
      <c r="E105" s="26" t="n">
        <v>1</v>
      </c>
      <c r="F105" s="26" t="n">
        <v>7</v>
      </c>
      <c r="G105" s="26" t="n">
        <v>3</v>
      </c>
      <c r="H105" s="26" t="n">
        <v>1</v>
      </c>
      <c r="I105" s="16" t="n">
        <f aca="false">0.5*(ABS(D105/A105-Declarations!$B$25)+ABS(E105/A105-Declarations!$B$26)+ABS(F105/A105-Declarations!$B$27)+ABS(G105/A105-Declarations!$B$28)+ABS(H105/A105-Declarations!$B$29))</f>
        <v>0.166666666666667</v>
      </c>
      <c r="J105" s="20" t="n">
        <v>5.03615287384906</v>
      </c>
      <c r="K105" s="26" t="n">
        <v>0</v>
      </c>
    </row>
    <row r="106" customFormat="false" ht="15" hidden="false" customHeight="false" outlineLevel="0" collapsed="false">
      <c r="A106" s="14" t="n">
        <v>12</v>
      </c>
      <c r="B106" s="14" t="n">
        <v>90</v>
      </c>
      <c r="C106" s="14" t="n">
        <f aca="false">Declarations!$B$47+1000*A106+B106</f>
        <v>926090</v>
      </c>
      <c r="D106" s="26" t="n">
        <v>0</v>
      </c>
      <c r="E106" s="26" t="n">
        <v>3</v>
      </c>
      <c r="F106" s="26" t="n">
        <v>4</v>
      </c>
      <c r="G106" s="26" t="n">
        <v>4</v>
      </c>
      <c r="H106" s="26" t="n">
        <v>1</v>
      </c>
      <c r="I106" s="16" t="n">
        <f aca="false">0.5*(ABS(D106/A106-Declarations!$B$25)+ABS(E106/A106-Declarations!$B$26)+ABS(F106/A106-Declarations!$B$27)+ABS(G106/A106-Declarations!$B$28)+ABS(H106/A106-Declarations!$B$29))</f>
        <v>0.216666666666667</v>
      </c>
      <c r="J106" s="20" t="n">
        <v>0.0703309017642937</v>
      </c>
      <c r="K106" s="26" t="n">
        <v>0</v>
      </c>
    </row>
    <row r="107" customFormat="false" ht="15" hidden="false" customHeight="false" outlineLevel="0" collapsed="false">
      <c r="A107" s="14" t="n">
        <v>12</v>
      </c>
      <c r="B107" s="14" t="n">
        <v>91</v>
      </c>
      <c r="C107" s="14" t="n">
        <f aca="false">Declarations!$B$47+1000*A107+B107</f>
        <v>926091</v>
      </c>
      <c r="D107" s="26" t="n">
        <v>1</v>
      </c>
      <c r="E107" s="26" t="n">
        <v>4</v>
      </c>
      <c r="F107" s="26" t="n">
        <v>5</v>
      </c>
      <c r="G107" s="26" t="n">
        <v>1</v>
      </c>
      <c r="H107" s="26" t="n">
        <v>1</v>
      </c>
      <c r="I107" s="16" t="n">
        <f aca="false">0.5*(ABS(D107/A107-Declarations!$B$25)+ABS(E107/A107-Declarations!$B$26)+ABS(F107/A107-Declarations!$B$27)+ABS(G107/A107-Declarations!$B$28)+ABS(H107/A107-Declarations!$B$29))</f>
        <v>0.2</v>
      </c>
      <c r="J107" s="20" t="n">
        <v>0</v>
      </c>
      <c r="K107" s="26" t="n">
        <v>1</v>
      </c>
    </row>
    <row r="108" customFormat="false" ht="15" hidden="false" customHeight="false" outlineLevel="0" collapsed="false">
      <c r="A108" s="14" t="n">
        <v>12</v>
      </c>
      <c r="B108" s="14" t="n">
        <v>92</v>
      </c>
      <c r="C108" s="14" t="n">
        <f aca="false">Declarations!$B$47+1000*A108+B108</f>
        <v>926092</v>
      </c>
      <c r="D108" s="26" t="n">
        <v>0</v>
      </c>
      <c r="E108" s="26" t="n">
        <v>3</v>
      </c>
      <c r="F108" s="26" t="n">
        <v>6</v>
      </c>
      <c r="G108" s="26" t="n">
        <v>3</v>
      </c>
      <c r="H108" s="26" t="n">
        <v>0</v>
      </c>
      <c r="I108" s="16" t="n">
        <f aca="false">0.5*(ABS(D108/A108-Declarations!$B$25)+ABS(E108/A108-Declarations!$B$26)+ABS(F108/A108-Declarations!$B$27)+ABS(G108/A108-Declarations!$B$28)+ABS(H108/A108-Declarations!$B$29))</f>
        <v>0.1</v>
      </c>
      <c r="J108" s="20" t="n">
        <v>0.00281729995887758</v>
      </c>
      <c r="K108" s="26" t="n">
        <v>0</v>
      </c>
    </row>
    <row r="109" customFormat="false" ht="15" hidden="false" customHeight="false" outlineLevel="0" collapsed="false">
      <c r="A109" s="14" t="n">
        <v>12</v>
      </c>
      <c r="B109" s="14" t="n">
        <v>93</v>
      </c>
      <c r="C109" s="14" t="n">
        <f aca="false">Declarations!$B$47+1000*A109+B109</f>
        <v>926093</v>
      </c>
      <c r="D109" s="26" t="n">
        <v>0</v>
      </c>
      <c r="E109" s="26" t="n">
        <v>4</v>
      </c>
      <c r="F109" s="26" t="n">
        <v>5</v>
      </c>
      <c r="G109" s="26" t="n">
        <v>3</v>
      </c>
      <c r="H109" s="26" t="n">
        <v>0</v>
      </c>
      <c r="I109" s="16" t="n">
        <f aca="false">0.5*(ABS(D109/A109-Declarations!$B$25)+ABS(E109/A109-Declarations!$B$26)+ABS(F109/A109-Declarations!$B$27)+ABS(G109/A109-Declarations!$B$28)+ABS(H109/A109-Declarations!$B$29))</f>
        <v>0.183333333333333</v>
      </c>
      <c r="J109" s="20" t="n">
        <v>0</v>
      </c>
      <c r="K109" s="26" t="n">
        <v>1</v>
      </c>
    </row>
    <row r="110" customFormat="false" ht="15" hidden="false" customHeight="false" outlineLevel="0" collapsed="false">
      <c r="A110" s="14" t="n">
        <v>12</v>
      </c>
      <c r="B110" s="14" t="n">
        <v>94</v>
      </c>
      <c r="C110" s="14" t="n">
        <f aca="false">Declarations!$B$47+1000*A110+B110</f>
        <v>926094</v>
      </c>
      <c r="D110" s="26" t="n">
        <v>0</v>
      </c>
      <c r="E110" s="26" t="n">
        <v>2</v>
      </c>
      <c r="F110" s="26" t="n">
        <v>5</v>
      </c>
      <c r="G110" s="26" t="n">
        <v>5</v>
      </c>
      <c r="H110" s="26" t="n">
        <v>0</v>
      </c>
      <c r="I110" s="16" t="n">
        <f aca="false">0.5*(ABS(D110/A110-Declarations!$B$25)+ABS(E110/A110-Declarations!$B$26)+ABS(F110/A110-Declarations!$B$27)+ABS(G110/A110-Declarations!$B$28)+ABS(H110/A110-Declarations!$B$29))</f>
        <v>0.216666666666667</v>
      </c>
      <c r="J110" s="20" t="n">
        <v>0.713021460896897</v>
      </c>
      <c r="K110" s="26" t="n">
        <v>0</v>
      </c>
    </row>
    <row r="111" customFormat="false" ht="15" hidden="false" customHeight="false" outlineLevel="0" collapsed="false">
      <c r="A111" s="14" t="n">
        <v>12</v>
      </c>
      <c r="B111" s="14" t="n">
        <v>95</v>
      </c>
      <c r="C111" s="14" t="n">
        <f aca="false">Declarations!$B$47+1000*A111+B111</f>
        <v>926095</v>
      </c>
      <c r="D111" s="26" t="n">
        <v>0</v>
      </c>
      <c r="E111" s="26" t="n">
        <v>2</v>
      </c>
      <c r="F111" s="26" t="n">
        <v>8</v>
      </c>
      <c r="G111" s="26" t="n">
        <v>2</v>
      </c>
      <c r="H111" s="26" t="n">
        <v>0</v>
      </c>
      <c r="I111" s="16" t="n">
        <f aca="false">0.5*(ABS(D111/A111-Declarations!$B$25)+ABS(E111/A111-Declarations!$B$26)+ABS(F111/A111-Declarations!$B$27)+ABS(G111/A111-Declarations!$B$28)+ABS(H111/A111-Declarations!$B$29))</f>
        <v>0.166666666666667</v>
      </c>
      <c r="J111" s="20" t="n">
        <v>0.713021460896897</v>
      </c>
      <c r="K111" s="26" t="n">
        <v>0</v>
      </c>
    </row>
    <row r="112" customFormat="false" ht="15" hidden="false" customHeight="false" outlineLevel="0" collapsed="false">
      <c r="A112" s="14" t="n">
        <v>12</v>
      </c>
      <c r="B112" s="14" t="n">
        <v>96</v>
      </c>
      <c r="C112" s="14" t="n">
        <f aca="false">Declarations!$B$47+1000*A112+B112</f>
        <v>926096</v>
      </c>
      <c r="D112" s="26" t="n">
        <v>0</v>
      </c>
      <c r="E112" s="26" t="n">
        <v>3</v>
      </c>
      <c r="F112" s="26" t="n">
        <v>8</v>
      </c>
      <c r="G112" s="26" t="n">
        <v>0</v>
      </c>
      <c r="H112" s="26" t="n">
        <v>1</v>
      </c>
      <c r="I112" s="16" t="n">
        <f aca="false">0.5*(ABS(D112/A112-Declarations!$B$25)+ABS(E112/A112-Declarations!$B$26)+ABS(F112/A112-Declarations!$B$27)+ABS(G112/A112-Declarations!$B$28)+ABS(H112/A112-Declarations!$B$29))</f>
        <v>0.25</v>
      </c>
      <c r="J112" s="20" t="n">
        <v>0.0703309017642937</v>
      </c>
      <c r="K112" s="26" t="n">
        <v>0</v>
      </c>
    </row>
    <row r="113" customFormat="false" ht="15" hidden="false" customHeight="false" outlineLevel="0" collapsed="false">
      <c r="A113" s="14" t="n">
        <v>12</v>
      </c>
      <c r="B113" s="14" t="n">
        <v>97</v>
      </c>
      <c r="C113" s="14" t="n">
        <f aca="false">Declarations!$B$47+1000*A113+B113</f>
        <v>926097</v>
      </c>
      <c r="D113" s="26" t="n">
        <v>1</v>
      </c>
      <c r="E113" s="26" t="n">
        <v>3</v>
      </c>
      <c r="F113" s="26" t="n">
        <v>5</v>
      </c>
      <c r="G113" s="26" t="n">
        <v>2</v>
      </c>
      <c r="H113" s="26" t="n">
        <v>1</v>
      </c>
      <c r="I113" s="16" t="n">
        <f aca="false">0.5*(ABS(D113/A113-Declarations!$B$25)+ABS(E113/A113-Declarations!$B$26)+ABS(F113/A113-Declarations!$B$27)+ABS(G113/A113-Declarations!$B$28)+ABS(H113/A113-Declarations!$B$29))</f>
        <v>0.116666666666667</v>
      </c>
      <c r="J113" s="20" t="n">
        <v>0</v>
      </c>
      <c r="K113" s="26" t="n">
        <v>1</v>
      </c>
    </row>
    <row r="114" customFormat="false" ht="15" hidden="false" customHeight="false" outlineLevel="0" collapsed="false">
      <c r="A114" s="14" t="n">
        <v>12</v>
      </c>
      <c r="B114" s="14" t="n">
        <v>98</v>
      </c>
      <c r="C114" s="14" t="n">
        <f aca="false">Declarations!$B$47+1000*A114+B114</f>
        <v>926098</v>
      </c>
      <c r="D114" s="26" t="n">
        <v>0</v>
      </c>
      <c r="E114" s="26" t="n">
        <v>2</v>
      </c>
      <c r="F114" s="26" t="n">
        <v>7</v>
      </c>
      <c r="G114" s="26" t="n">
        <v>2</v>
      </c>
      <c r="H114" s="26" t="n">
        <v>1</v>
      </c>
      <c r="I114" s="16" t="n">
        <f aca="false">0.5*(ABS(D114/A114-Declarations!$B$25)+ABS(E114/A114-Declarations!$B$26)+ABS(F114/A114-Declarations!$B$27)+ABS(G114/A114-Declarations!$B$28)+ABS(H114/A114-Declarations!$B$29))</f>
        <v>0.116666666666667</v>
      </c>
      <c r="J114" s="20" t="n">
        <v>0.713021460896897</v>
      </c>
      <c r="K114" s="26" t="n">
        <v>0</v>
      </c>
    </row>
    <row r="115" customFormat="false" ht="15" hidden="false" customHeight="false" outlineLevel="0" collapsed="false">
      <c r="A115" s="14" t="n">
        <v>12</v>
      </c>
      <c r="B115" s="14" t="n">
        <v>99</v>
      </c>
      <c r="C115" s="14" t="n">
        <f aca="false">Declarations!$B$47+1000*A115+B115</f>
        <v>926099</v>
      </c>
      <c r="D115" s="26" t="n">
        <v>0</v>
      </c>
      <c r="E115" s="26" t="n">
        <v>3</v>
      </c>
      <c r="F115" s="26" t="n">
        <v>6</v>
      </c>
      <c r="G115" s="26" t="n">
        <v>2</v>
      </c>
      <c r="H115" s="26" t="n">
        <v>1</v>
      </c>
      <c r="I115" s="16" t="n">
        <f aca="false">0.5*(ABS(D115/A115-Declarations!$B$25)+ABS(E115/A115-Declarations!$B$26)+ABS(F115/A115-Declarations!$B$27)+ABS(G115/A115-Declarations!$B$28)+ABS(H115/A115-Declarations!$B$29))</f>
        <v>0.0833333333333333</v>
      </c>
      <c r="J115" s="20" t="n">
        <v>0.0703309017642937</v>
      </c>
      <c r="K115" s="26" t="n">
        <v>0</v>
      </c>
    </row>
    <row r="116" customFormat="false" ht="15" hidden="false" customHeight="false" outlineLevel="0" collapsed="false">
      <c r="A116" s="14" t="n">
        <v>12</v>
      </c>
      <c r="B116" s="14" t="n">
        <v>100</v>
      </c>
      <c r="C116" s="14" t="n">
        <f aca="false">Declarations!$B$47+1000*A116+B116</f>
        <v>926100</v>
      </c>
      <c r="D116" s="26" t="n">
        <v>2</v>
      </c>
      <c r="E116" s="26" t="n">
        <v>2</v>
      </c>
      <c r="F116" s="26" t="n">
        <v>6</v>
      </c>
      <c r="G116" s="26" t="n">
        <v>2</v>
      </c>
      <c r="H116" s="26" t="n">
        <v>0</v>
      </c>
      <c r="I116" s="16" t="n">
        <f aca="false">0.5*(ABS(D116/A116-Declarations!$B$25)+ABS(E116/A116-Declarations!$B$26)+ABS(F116/A116-Declarations!$B$27)+ABS(G116/A116-Declarations!$B$28)+ABS(H116/A116-Declarations!$B$29))</f>
        <v>0.116666666666667</v>
      </c>
      <c r="J116" s="20" t="n">
        <v>2.52014922256666</v>
      </c>
      <c r="K116" s="26" t="n">
        <v>0</v>
      </c>
    </row>
    <row r="117" customFormat="false" ht="15" hidden="false" customHeight="false" outlineLevel="0" collapsed="false">
      <c r="A117" s="14" t="n">
        <v>12</v>
      </c>
      <c r="B117" s="14" t="n">
        <v>101</v>
      </c>
      <c r="C117" s="14" t="n">
        <f aca="false">Declarations!$B$47+1000*A117+B117</f>
        <v>926101</v>
      </c>
      <c r="D117" s="26" t="n">
        <v>1</v>
      </c>
      <c r="E117" s="26" t="n">
        <v>1</v>
      </c>
      <c r="F117" s="26" t="n">
        <v>9</v>
      </c>
      <c r="G117" s="26" t="n">
        <v>1</v>
      </c>
      <c r="H117" s="26" t="n">
        <v>0</v>
      </c>
      <c r="I117" s="16" t="n">
        <f aca="false">0.5*(ABS(D117/A117-Declarations!$B$25)+ABS(E117/A117-Declarations!$B$26)+ABS(F117/A117-Declarations!$B$27)+ABS(G117/A117-Declarations!$B$28)+ABS(H117/A117-Declarations!$B$29))</f>
        <v>0.283333333333333</v>
      </c>
      <c r="J117" s="20" t="n">
        <v>0</v>
      </c>
      <c r="K117" s="26" t="n">
        <v>1</v>
      </c>
    </row>
    <row r="118" customFormat="false" ht="15" hidden="false" customHeight="false" outlineLevel="0" collapsed="false">
      <c r="A118" s="14" t="n">
        <v>12</v>
      </c>
      <c r="B118" s="14" t="n">
        <v>102</v>
      </c>
      <c r="C118" s="14" t="n">
        <f aca="false">Declarations!$B$47+1000*A118+B118</f>
        <v>926102</v>
      </c>
      <c r="D118" s="26" t="n">
        <v>1</v>
      </c>
      <c r="E118" s="26" t="n">
        <v>1</v>
      </c>
      <c r="F118" s="26" t="n">
        <v>3</v>
      </c>
      <c r="G118" s="26" t="n">
        <v>3</v>
      </c>
      <c r="H118" s="26" t="n">
        <v>4</v>
      </c>
      <c r="I118" s="16" t="n">
        <f aca="false">0.5*(ABS(D118/A118-Declarations!$B$25)+ABS(E118/A118-Declarations!$B$26)+ABS(F118/A118-Declarations!$B$27)+ABS(G118/A118-Declarations!$B$28)+ABS(H118/A118-Declarations!$B$29))</f>
        <v>0.366666666666667</v>
      </c>
      <c r="J118" s="20" t="n">
        <v>0.0703309017642937</v>
      </c>
      <c r="K118" s="26" t="n">
        <v>0</v>
      </c>
    </row>
    <row r="119" customFormat="false" ht="15" hidden="false" customHeight="false" outlineLevel="0" collapsed="false">
      <c r="A119" s="14" t="n">
        <v>12</v>
      </c>
      <c r="B119" s="14" t="n">
        <v>103</v>
      </c>
      <c r="C119" s="14" t="n">
        <f aca="false">Declarations!$B$47+1000*A119+B119</f>
        <v>926103</v>
      </c>
      <c r="D119" s="26" t="n">
        <v>0</v>
      </c>
      <c r="E119" s="26" t="n">
        <v>2</v>
      </c>
      <c r="F119" s="26" t="n">
        <v>7</v>
      </c>
      <c r="G119" s="26" t="n">
        <v>1</v>
      </c>
      <c r="H119" s="26" t="n">
        <v>2</v>
      </c>
      <c r="I119" s="16" t="n">
        <f aca="false">0.5*(ABS(D119/A119-Declarations!$B$25)+ABS(E119/A119-Declarations!$B$26)+ABS(F119/A119-Declarations!$B$27)+ABS(G119/A119-Declarations!$B$28)+ABS(H119/A119-Declarations!$B$29))</f>
        <v>0.2</v>
      </c>
      <c r="J119" s="20" t="n">
        <v>0.713021460896897</v>
      </c>
      <c r="K119" s="26" t="n">
        <v>0</v>
      </c>
    </row>
    <row r="120" customFormat="false" ht="15" hidden="false" customHeight="false" outlineLevel="0" collapsed="false">
      <c r="A120" s="14" t="n">
        <v>12</v>
      </c>
      <c r="B120" s="14" t="n">
        <v>104</v>
      </c>
      <c r="C120" s="14" t="n">
        <f aca="false">Declarations!$B$47+1000*A120+B120</f>
        <v>926104</v>
      </c>
      <c r="D120" s="26" t="n">
        <v>0</v>
      </c>
      <c r="E120" s="26" t="n">
        <v>1</v>
      </c>
      <c r="F120" s="26" t="n">
        <v>8</v>
      </c>
      <c r="G120" s="26" t="n">
        <v>2</v>
      </c>
      <c r="H120" s="26" t="n">
        <v>1</v>
      </c>
      <c r="I120" s="16" t="n">
        <f aca="false">0.5*(ABS(D120/A120-Declarations!$B$25)+ABS(E120/A120-Declarations!$B$26)+ABS(F120/A120-Declarations!$B$27)+ABS(G120/A120-Declarations!$B$28)+ABS(H120/A120-Declarations!$B$29))</f>
        <v>0.2</v>
      </c>
      <c r="J120" s="20" t="n">
        <v>5.03615287384906</v>
      </c>
      <c r="K120" s="26" t="n">
        <v>0</v>
      </c>
    </row>
    <row r="121" customFormat="false" ht="15" hidden="false" customHeight="false" outlineLevel="0" collapsed="false">
      <c r="A121" s="14" t="n">
        <v>12</v>
      </c>
      <c r="B121" s="14" t="n">
        <v>105</v>
      </c>
      <c r="C121" s="14" t="n">
        <f aca="false">Declarations!$B$47+1000*A121+B121</f>
        <v>926105</v>
      </c>
      <c r="D121" s="26" t="n">
        <v>0</v>
      </c>
      <c r="E121" s="26" t="n">
        <v>4</v>
      </c>
      <c r="F121" s="26" t="n">
        <v>5</v>
      </c>
      <c r="G121" s="26" t="n">
        <v>2</v>
      </c>
      <c r="H121" s="26" t="n">
        <v>1</v>
      </c>
      <c r="I121" s="16" t="n">
        <f aca="false">0.5*(ABS(D121/A121-Declarations!$B$25)+ABS(E121/A121-Declarations!$B$26)+ABS(F121/A121-Declarations!$B$27)+ABS(G121/A121-Declarations!$B$28)+ABS(H121/A121-Declarations!$B$29))</f>
        <v>0.166666666666667</v>
      </c>
      <c r="J121" s="20" t="n">
        <v>0</v>
      </c>
      <c r="K121" s="26" t="n">
        <v>1</v>
      </c>
    </row>
    <row r="122" customFormat="false" ht="15" hidden="false" customHeight="false" outlineLevel="0" collapsed="false">
      <c r="A122" s="14" t="n">
        <v>12</v>
      </c>
      <c r="B122" s="14" t="n">
        <v>106</v>
      </c>
      <c r="C122" s="14" t="n">
        <f aca="false">Declarations!$B$47+1000*A122+B122</f>
        <v>926106</v>
      </c>
      <c r="D122" s="26" t="n">
        <v>1</v>
      </c>
      <c r="E122" s="26" t="n">
        <v>2</v>
      </c>
      <c r="F122" s="26" t="n">
        <v>5</v>
      </c>
      <c r="G122" s="26" t="n">
        <v>2</v>
      </c>
      <c r="H122" s="26" t="n">
        <v>2</v>
      </c>
      <c r="I122" s="16" t="n">
        <f aca="false">0.5*(ABS(D122/A122-Declarations!$B$25)+ABS(E122/A122-Declarations!$B$26)+ABS(F122/A122-Declarations!$B$27)+ABS(G122/A122-Declarations!$B$28)+ABS(H122/A122-Declarations!$B$29))</f>
        <v>0.15</v>
      </c>
      <c r="J122" s="20" t="n">
        <v>0</v>
      </c>
      <c r="K122" s="26" t="n">
        <v>1</v>
      </c>
    </row>
    <row r="123" customFormat="false" ht="15" hidden="false" customHeight="false" outlineLevel="0" collapsed="false">
      <c r="A123" s="14" t="n">
        <v>12</v>
      </c>
      <c r="B123" s="14" t="n">
        <v>107</v>
      </c>
      <c r="C123" s="14" t="n">
        <f aca="false">Declarations!$B$47+1000*A123+B123</f>
        <v>926107</v>
      </c>
      <c r="D123" s="26" t="n">
        <v>0</v>
      </c>
      <c r="E123" s="26" t="n">
        <v>6</v>
      </c>
      <c r="F123" s="26" t="n">
        <v>5</v>
      </c>
      <c r="G123" s="26" t="n">
        <v>1</v>
      </c>
      <c r="H123" s="26" t="n">
        <v>0</v>
      </c>
      <c r="I123" s="16" t="n">
        <f aca="false">0.5*(ABS(D123/A123-Declarations!$B$25)+ABS(E123/A123-Declarations!$B$26)+ABS(F123/A123-Declarations!$B$27)+ABS(G123/A123-Declarations!$B$28)+ABS(H123/A123-Declarations!$B$29))</f>
        <v>0.3</v>
      </c>
      <c r="J123" s="20" t="n">
        <v>0</v>
      </c>
      <c r="K123" s="26" t="n">
        <v>1</v>
      </c>
    </row>
    <row r="124" customFormat="false" ht="15" hidden="false" customHeight="false" outlineLevel="0" collapsed="false">
      <c r="A124" s="14" t="n">
        <v>12</v>
      </c>
      <c r="B124" s="14" t="n">
        <v>108</v>
      </c>
      <c r="C124" s="14" t="n">
        <f aca="false">Declarations!$B$47+1000*A124+B124</f>
        <v>926108</v>
      </c>
      <c r="D124" s="26" t="n">
        <v>0</v>
      </c>
      <c r="E124" s="26" t="n">
        <v>5</v>
      </c>
      <c r="F124" s="26" t="n">
        <v>3</v>
      </c>
      <c r="G124" s="26" t="n">
        <v>3</v>
      </c>
      <c r="H124" s="26" t="n">
        <v>1</v>
      </c>
      <c r="I124" s="16" t="n">
        <f aca="false">0.5*(ABS(D124/A124-Declarations!$B$25)+ABS(E124/A124-Declarations!$B$26)+ABS(F124/A124-Declarations!$B$27)+ABS(G124/A124-Declarations!$B$28)+ABS(H124/A124-Declarations!$B$29))</f>
        <v>0.3</v>
      </c>
      <c r="J124" s="20" t="n">
        <v>0</v>
      </c>
      <c r="K124" s="26" t="n">
        <v>1</v>
      </c>
    </row>
    <row r="125" customFormat="false" ht="15" hidden="false" customHeight="false" outlineLevel="0" collapsed="false">
      <c r="A125" s="14" t="n">
        <v>12</v>
      </c>
      <c r="B125" s="14" t="n">
        <v>109</v>
      </c>
      <c r="C125" s="14" t="n">
        <f aca="false">Declarations!$B$47+1000*A125+B125</f>
        <v>926109</v>
      </c>
      <c r="D125" s="26" t="n">
        <v>1</v>
      </c>
      <c r="E125" s="26" t="n">
        <v>2</v>
      </c>
      <c r="F125" s="26" t="n">
        <v>6</v>
      </c>
      <c r="G125" s="26" t="n">
        <v>3</v>
      </c>
      <c r="H125" s="26" t="n">
        <v>0</v>
      </c>
      <c r="I125" s="16" t="n">
        <f aca="false">0.5*(ABS(D125/A125-Declarations!$B$25)+ABS(E125/A125-Declarations!$B$26)+ABS(F125/A125-Declarations!$B$27)+ABS(G125/A125-Declarations!$B$28)+ABS(H125/A125-Declarations!$B$29))</f>
        <v>0.0833333333333333</v>
      </c>
      <c r="J125" s="20" t="n">
        <v>0</v>
      </c>
      <c r="K125" s="26" t="n">
        <v>1</v>
      </c>
    </row>
    <row r="126" customFormat="false" ht="15" hidden="false" customHeight="false" outlineLevel="0" collapsed="false">
      <c r="A126" s="14" t="n">
        <v>12</v>
      </c>
      <c r="B126" s="14" t="n">
        <v>110</v>
      </c>
      <c r="C126" s="14" t="n">
        <f aca="false">Declarations!$B$47+1000*A126+B126</f>
        <v>926110</v>
      </c>
      <c r="D126" s="26" t="n">
        <v>0</v>
      </c>
      <c r="E126" s="26" t="n">
        <v>5</v>
      </c>
      <c r="F126" s="26" t="n">
        <v>6</v>
      </c>
      <c r="G126" s="26" t="n">
        <v>1</v>
      </c>
      <c r="H126" s="26" t="n">
        <v>0</v>
      </c>
      <c r="I126" s="16" t="n">
        <f aca="false">0.5*(ABS(D126/A126-Declarations!$B$25)+ABS(E126/A126-Declarations!$B$26)+ABS(F126/A126-Declarations!$B$27)+ABS(G126/A126-Declarations!$B$28)+ABS(H126/A126-Declarations!$B$29))</f>
        <v>0.216666666666667</v>
      </c>
      <c r="J126" s="20" t="n">
        <v>0</v>
      </c>
      <c r="K126" s="26" t="n">
        <v>1</v>
      </c>
    </row>
    <row r="127" customFormat="false" ht="15" hidden="false" customHeight="false" outlineLevel="0" collapsed="false">
      <c r="A127" s="14" t="n">
        <v>12</v>
      </c>
      <c r="B127" s="14" t="n">
        <v>111</v>
      </c>
      <c r="C127" s="14" t="n">
        <f aca="false">Declarations!$B$47+1000*A127+B127</f>
        <v>926111</v>
      </c>
      <c r="D127" s="26" t="n">
        <v>0</v>
      </c>
      <c r="E127" s="26" t="n">
        <v>3</v>
      </c>
      <c r="F127" s="26" t="n">
        <v>6</v>
      </c>
      <c r="G127" s="26" t="n">
        <v>3</v>
      </c>
      <c r="H127" s="26" t="n">
        <v>0</v>
      </c>
      <c r="I127" s="16" t="n">
        <f aca="false">0.5*(ABS(D127/A127-Declarations!$B$25)+ABS(E127/A127-Declarations!$B$26)+ABS(F127/A127-Declarations!$B$27)+ABS(G127/A127-Declarations!$B$28)+ABS(H127/A127-Declarations!$B$29))</f>
        <v>0.1</v>
      </c>
      <c r="J127" s="20" t="n">
        <v>0.00281729995887758</v>
      </c>
      <c r="K127" s="26" t="n">
        <v>0</v>
      </c>
    </row>
    <row r="128" customFormat="false" ht="15" hidden="false" customHeight="false" outlineLevel="0" collapsed="false">
      <c r="A128" s="14" t="n">
        <v>12</v>
      </c>
      <c r="B128" s="14" t="n">
        <v>112</v>
      </c>
      <c r="C128" s="14" t="n">
        <f aca="false">Declarations!$B$47+1000*A128+B128</f>
        <v>926112</v>
      </c>
      <c r="D128" s="26" t="n">
        <v>0</v>
      </c>
      <c r="E128" s="26" t="n">
        <v>3</v>
      </c>
      <c r="F128" s="26" t="n">
        <v>6</v>
      </c>
      <c r="G128" s="26" t="n">
        <v>3</v>
      </c>
      <c r="H128" s="26" t="n">
        <v>0</v>
      </c>
      <c r="I128" s="16" t="n">
        <f aca="false">0.5*(ABS(D128/A128-Declarations!$B$25)+ABS(E128/A128-Declarations!$B$26)+ABS(F128/A128-Declarations!$B$27)+ABS(G128/A128-Declarations!$B$28)+ABS(H128/A128-Declarations!$B$29))</f>
        <v>0.1</v>
      </c>
      <c r="J128" s="20" t="n">
        <v>0.00281729995887758</v>
      </c>
      <c r="K128" s="26" t="n">
        <v>0</v>
      </c>
    </row>
    <row r="129" customFormat="false" ht="15" hidden="false" customHeight="false" outlineLevel="0" collapsed="false">
      <c r="A129" s="14" t="n">
        <v>12</v>
      </c>
      <c r="B129" s="14" t="n">
        <v>113</v>
      </c>
      <c r="C129" s="14" t="n">
        <f aca="false">Declarations!$B$47+1000*A129+B129</f>
        <v>926113</v>
      </c>
      <c r="D129" s="26" t="n">
        <v>0</v>
      </c>
      <c r="E129" s="26" t="n">
        <v>4</v>
      </c>
      <c r="F129" s="26" t="n">
        <v>5</v>
      </c>
      <c r="G129" s="26" t="n">
        <v>3</v>
      </c>
      <c r="H129" s="26" t="n">
        <v>0</v>
      </c>
      <c r="I129" s="16" t="n">
        <f aca="false">0.5*(ABS(D129/A129-Declarations!$B$25)+ABS(E129/A129-Declarations!$B$26)+ABS(F129/A129-Declarations!$B$27)+ABS(G129/A129-Declarations!$B$28)+ABS(H129/A129-Declarations!$B$29))</f>
        <v>0.183333333333333</v>
      </c>
      <c r="J129" s="20" t="n">
        <v>0</v>
      </c>
      <c r="K129" s="26" t="n">
        <v>1</v>
      </c>
    </row>
    <row r="130" customFormat="false" ht="15" hidden="false" customHeight="false" outlineLevel="0" collapsed="false">
      <c r="A130" s="14" t="n">
        <v>12</v>
      </c>
      <c r="B130" s="14" t="n">
        <v>114</v>
      </c>
      <c r="C130" s="14" t="n">
        <f aca="false">Declarations!$B$47+1000*A130+B130</f>
        <v>926114</v>
      </c>
      <c r="D130" s="26" t="n">
        <v>2</v>
      </c>
      <c r="E130" s="26" t="n">
        <v>3</v>
      </c>
      <c r="F130" s="26" t="n">
        <v>3</v>
      </c>
      <c r="G130" s="26" t="n">
        <v>4</v>
      </c>
      <c r="H130" s="26" t="n">
        <v>0</v>
      </c>
      <c r="I130" s="16" t="n">
        <f aca="false">0.5*(ABS(D130/A130-Declarations!$B$25)+ABS(E130/A130-Declarations!$B$26)+ABS(F130/A130-Declarations!$B$27)+ABS(G130/A130-Declarations!$B$28)+ABS(H130/A130-Declarations!$B$29))</f>
        <v>0.3</v>
      </c>
      <c r="J130" s="20" t="n">
        <v>3.04521269781455</v>
      </c>
      <c r="K130" s="26" t="n">
        <v>0</v>
      </c>
    </row>
    <row r="131" customFormat="false" ht="15" hidden="false" customHeight="false" outlineLevel="0" collapsed="false">
      <c r="A131" s="14" t="n">
        <v>12</v>
      </c>
      <c r="B131" s="14" t="n">
        <v>115</v>
      </c>
      <c r="C131" s="14" t="n">
        <f aca="false">Declarations!$B$47+1000*A131+B131</f>
        <v>926115</v>
      </c>
      <c r="D131" s="26" t="n">
        <v>0</v>
      </c>
      <c r="E131" s="26" t="n">
        <v>2</v>
      </c>
      <c r="F131" s="26" t="n">
        <v>7</v>
      </c>
      <c r="G131" s="26" t="n">
        <v>2</v>
      </c>
      <c r="H131" s="26" t="n">
        <v>1</v>
      </c>
      <c r="I131" s="16" t="n">
        <f aca="false">0.5*(ABS(D131/A131-Declarations!$B$25)+ABS(E131/A131-Declarations!$B$26)+ABS(F131/A131-Declarations!$B$27)+ABS(G131/A131-Declarations!$B$28)+ABS(H131/A131-Declarations!$B$29))</f>
        <v>0.116666666666667</v>
      </c>
      <c r="J131" s="20" t="n">
        <v>0.713021460896897</v>
      </c>
      <c r="K131" s="26" t="n">
        <v>0</v>
      </c>
    </row>
    <row r="132" customFormat="false" ht="15" hidden="false" customHeight="false" outlineLevel="0" collapsed="false">
      <c r="A132" s="14" t="n">
        <v>12</v>
      </c>
      <c r="B132" s="14" t="n">
        <v>116</v>
      </c>
      <c r="C132" s="14" t="n">
        <f aca="false">Declarations!$B$47+1000*A132+B132</f>
        <v>926116</v>
      </c>
      <c r="D132" s="26" t="n">
        <v>0</v>
      </c>
      <c r="E132" s="26" t="n">
        <v>1</v>
      </c>
      <c r="F132" s="26" t="n">
        <v>10</v>
      </c>
      <c r="G132" s="26" t="n">
        <v>0</v>
      </c>
      <c r="H132" s="26" t="n">
        <v>1</v>
      </c>
      <c r="I132" s="16" t="n">
        <f aca="false">0.5*(ABS(D132/A132-Declarations!$B$25)+ABS(E132/A132-Declarations!$B$26)+ABS(F132/A132-Declarations!$B$27)+ABS(G132/A132-Declarations!$B$28)+ABS(H132/A132-Declarations!$B$29))</f>
        <v>0.366666666666667</v>
      </c>
      <c r="J132" s="20" t="n">
        <v>5.03615287384906</v>
      </c>
      <c r="K132" s="26" t="n">
        <v>0</v>
      </c>
    </row>
    <row r="133" customFormat="false" ht="15" hidden="false" customHeight="false" outlineLevel="0" collapsed="false">
      <c r="A133" s="14" t="n">
        <v>12</v>
      </c>
      <c r="B133" s="14" t="n">
        <v>117</v>
      </c>
      <c r="C133" s="14" t="n">
        <f aca="false">Declarations!$B$47+1000*A133+B133</f>
        <v>926117</v>
      </c>
      <c r="D133" s="26" t="n">
        <v>0</v>
      </c>
      <c r="E133" s="26" t="n">
        <v>3</v>
      </c>
      <c r="F133" s="26" t="n">
        <v>9</v>
      </c>
      <c r="G133" s="26" t="n">
        <v>0</v>
      </c>
      <c r="H133" s="26" t="n">
        <v>0</v>
      </c>
      <c r="I133" s="16" t="n">
        <f aca="false">0.5*(ABS(D133/A133-Declarations!$B$25)+ABS(E133/A133-Declarations!$B$26)+ABS(F133/A133-Declarations!$B$27)+ABS(G133/A133-Declarations!$B$28)+ABS(H133/A133-Declarations!$B$29))</f>
        <v>0.3</v>
      </c>
      <c r="J133" s="20" t="n">
        <v>0.00281729995887758</v>
      </c>
      <c r="K133" s="26" t="n">
        <v>0</v>
      </c>
    </row>
    <row r="134" customFormat="false" ht="15" hidden="false" customHeight="false" outlineLevel="0" collapsed="false">
      <c r="A134" s="14" t="n">
        <v>12</v>
      </c>
      <c r="B134" s="14" t="n">
        <v>118</v>
      </c>
      <c r="C134" s="14" t="n">
        <f aca="false">Declarations!$B$47+1000*A134+B134</f>
        <v>926118</v>
      </c>
      <c r="D134" s="26" t="n">
        <v>0</v>
      </c>
      <c r="E134" s="26" t="n">
        <v>0</v>
      </c>
      <c r="F134" s="26" t="n">
        <v>10</v>
      </c>
      <c r="G134" s="26" t="n">
        <v>1</v>
      </c>
      <c r="H134" s="26" t="n">
        <v>1</v>
      </c>
      <c r="I134" s="16" t="n">
        <f aca="false">0.5*(ABS(D134/A134-Declarations!$B$25)+ABS(E134/A134-Declarations!$B$26)+ABS(F134/A134-Declarations!$B$27)+ABS(G134/A134-Declarations!$B$28)+ABS(H134/A134-Declarations!$B$29))</f>
        <v>0.366666666666667</v>
      </c>
      <c r="J134" s="20" t="n">
        <v>5.03615287384906</v>
      </c>
      <c r="K134" s="26" t="n">
        <v>0</v>
      </c>
    </row>
    <row r="135" customFormat="false" ht="15" hidden="false" customHeight="false" outlineLevel="0" collapsed="false">
      <c r="A135" s="14" t="n">
        <v>12</v>
      </c>
      <c r="B135" s="14" t="n">
        <v>119</v>
      </c>
      <c r="C135" s="14" t="n">
        <f aca="false">Declarations!$B$47+1000*A135+B135</f>
        <v>926119</v>
      </c>
      <c r="D135" s="26" t="n">
        <v>1</v>
      </c>
      <c r="E135" s="26" t="n">
        <v>4</v>
      </c>
      <c r="F135" s="26" t="n">
        <v>6</v>
      </c>
      <c r="G135" s="26" t="n">
        <v>1</v>
      </c>
      <c r="H135" s="26" t="n">
        <v>0</v>
      </c>
      <c r="I135" s="16" t="n">
        <f aca="false">0.5*(ABS(D135/A135-Declarations!$B$25)+ABS(E135/A135-Declarations!$B$26)+ABS(F135/A135-Declarations!$B$27)+ABS(G135/A135-Declarations!$B$28)+ABS(H135/A135-Declarations!$B$29))</f>
        <v>0.166666666666667</v>
      </c>
      <c r="J135" s="20" t="n">
        <v>0</v>
      </c>
      <c r="K135" s="26" t="n">
        <v>1</v>
      </c>
    </row>
    <row r="136" customFormat="false" ht="15" hidden="false" customHeight="false" outlineLevel="0" collapsed="false">
      <c r="A136" s="14" t="n">
        <v>12</v>
      </c>
      <c r="B136" s="14" t="n">
        <v>120</v>
      </c>
      <c r="C136" s="14" t="n">
        <f aca="false">Declarations!$B$47+1000*A136+B136</f>
        <v>926120</v>
      </c>
      <c r="D136" s="26" t="n">
        <v>1</v>
      </c>
      <c r="E136" s="26" t="n">
        <v>5</v>
      </c>
      <c r="F136" s="26" t="n">
        <v>4</v>
      </c>
      <c r="G136" s="26" t="n">
        <v>2</v>
      </c>
      <c r="H136" s="26" t="n">
        <v>0</v>
      </c>
      <c r="I136" s="16" t="n">
        <f aca="false">0.5*(ABS(D136/A136-Declarations!$B$25)+ABS(E136/A136-Declarations!$B$26)+ABS(F136/A136-Declarations!$B$27)+ABS(G136/A136-Declarations!$B$28)+ABS(H136/A136-Declarations!$B$29))</f>
        <v>0.25</v>
      </c>
      <c r="J136" s="20" t="n">
        <v>0</v>
      </c>
      <c r="K136" s="26" t="n">
        <v>1</v>
      </c>
    </row>
    <row r="137" customFormat="false" ht="15" hidden="false" customHeight="false" outlineLevel="0" collapsed="false">
      <c r="A137" s="14" t="n">
        <v>12</v>
      </c>
      <c r="B137" s="14" t="n">
        <v>121</v>
      </c>
      <c r="C137" s="14" t="n">
        <f aca="false">Declarations!$B$47+1000*A137+B137</f>
        <v>926121</v>
      </c>
      <c r="D137" s="26" t="n">
        <v>0</v>
      </c>
      <c r="E137" s="26" t="n">
        <v>1</v>
      </c>
      <c r="F137" s="26" t="n">
        <v>6</v>
      </c>
      <c r="G137" s="26" t="n">
        <v>5</v>
      </c>
      <c r="H137" s="26" t="n">
        <v>0</v>
      </c>
      <c r="I137" s="16" t="n">
        <f aca="false">0.5*(ABS(D137/A137-Declarations!$B$25)+ABS(E137/A137-Declarations!$B$26)+ABS(F137/A137-Declarations!$B$27)+ABS(G137/A137-Declarations!$B$28)+ABS(H137/A137-Declarations!$B$29))</f>
        <v>0.216666666666667</v>
      </c>
      <c r="J137" s="20" t="n">
        <v>5.03615287384906</v>
      </c>
      <c r="K137" s="26" t="n">
        <v>0</v>
      </c>
    </row>
    <row r="138" customFormat="false" ht="15" hidden="false" customHeight="false" outlineLevel="0" collapsed="false">
      <c r="A138" s="14" t="n">
        <v>12</v>
      </c>
      <c r="B138" s="14" t="n">
        <v>122</v>
      </c>
      <c r="C138" s="14" t="n">
        <f aca="false">Declarations!$B$47+1000*A138+B138</f>
        <v>926122</v>
      </c>
      <c r="D138" s="26" t="n">
        <v>0</v>
      </c>
      <c r="E138" s="26" t="n">
        <v>2</v>
      </c>
      <c r="F138" s="26" t="n">
        <v>7</v>
      </c>
      <c r="G138" s="26" t="n">
        <v>3</v>
      </c>
      <c r="H138" s="26" t="n">
        <v>0</v>
      </c>
      <c r="I138" s="16" t="n">
        <f aca="false">0.5*(ABS(D138/A138-Declarations!$B$25)+ABS(E138/A138-Declarations!$B$26)+ABS(F138/A138-Declarations!$B$27)+ABS(G138/A138-Declarations!$B$28)+ABS(H138/A138-Declarations!$B$29))</f>
        <v>0.133333333333333</v>
      </c>
      <c r="J138" s="20" t="n">
        <v>0.713021460896897</v>
      </c>
      <c r="K138" s="26" t="n">
        <v>0</v>
      </c>
    </row>
    <row r="139" customFormat="false" ht="15" hidden="false" customHeight="false" outlineLevel="0" collapsed="false">
      <c r="A139" s="14" t="n">
        <v>12</v>
      </c>
      <c r="B139" s="14" t="n">
        <v>123</v>
      </c>
      <c r="C139" s="14" t="n">
        <f aca="false">Declarations!$B$47+1000*A139+B139</f>
        <v>926123</v>
      </c>
      <c r="D139" s="26" t="n">
        <v>0</v>
      </c>
      <c r="E139" s="26" t="n">
        <v>2</v>
      </c>
      <c r="F139" s="26" t="n">
        <v>7</v>
      </c>
      <c r="G139" s="26" t="n">
        <v>2</v>
      </c>
      <c r="H139" s="26" t="n">
        <v>1</v>
      </c>
      <c r="I139" s="16" t="n">
        <f aca="false">0.5*(ABS(D139/A139-Declarations!$B$25)+ABS(E139/A139-Declarations!$B$26)+ABS(F139/A139-Declarations!$B$27)+ABS(G139/A139-Declarations!$B$28)+ABS(H139/A139-Declarations!$B$29))</f>
        <v>0.116666666666667</v>
      </c>
      <c r="J139" s="20" t="n">
        <v>0.713021460896897</v>
      </c>
      <c r="K139" s="26" t="n">
        <v>0</v>
      </c>
    </row>
    <row r="140" customFormat="false" ht="15" hidden="false" customHeight="false" outlineLevel="0" collapsed="false">
      <c r="A140" s="14" t="n">
        <v>12</v>
      </c>
      <c r="B140" s="14" t="n">
        <v>124</v>
      </c>
      <c r="C140" s="14" t="n">
        <f aca="false">Declarations!$B$47+1000*A140+B140</f>
        <v>926124</v>
      </c>
      <c r="D140" s="26" t="n">
        <v>0</v>
      </c>
      <c r="E140" s="26" t="n">
        <v>2</v>
      </c>
      <c r="F140" s="26" t="n">
        <v>8</v>
      </c>
      <c r="G140" s="26" t="n">
        <v>2</v>
      </c>
      <c r="H140" s="26" t="n">
        <v>0</v>
      </c>
      <c r="I140" s="16" t="n">
        <f aca="false">0.5*(ABS(D140/A140-Declarations!$B$25)+ABS(E140/A140-Declarations!$B$26)+ABS(F140/A140-Declarations!$B$27)+ABS(G140/A140-Declarations!$B$28)+ABS(H140/A140-Declarations!$B$29))</f>
        <v>0.166666666666667</v>
      </c>
      <c r="J140" s="20" t="n">
        <v>0.713021460896897</v>
      </c>
      <c r="K140" s="26" t="n">
        <v>0</v>
      </c>
    </row>
    <row r="141" customFormat="false" ht="15" hidden="false" customHeight="false" outlineLevel="0" collapsed="false">
      <c r="A141" s="14" t="n">
        <v>12</v>
      </c>
      <c r="B141" s="14" t="n">
        <v>125</v>
      </c>
      <c r="C141" s="14" t="n">
        <f aca="false">Declarations!$B$47+1000*A141+B141</f>
        <v>926125</v>
      </c>
      <c r="D141" s="26" t="n">
        <v>1</v>
      </c>
      <c r="E141" s="26" t="n">
        <v>2</v>
      </c>
      <c r="F141" s="26" t="n">
        <v>6</v>
      </c>
      <c r="G141" s="26" t="n">
        <v>1</v>
      </c>
      <c r="H141" s="26" t="n">
        <v>2</v>
      </c>
      <c r="I141" s="16" t="n">
        <f aca="false">0.5*(ABS(D141/A141-Declarations!$B$25)+ABS(E141/A141-Declarations!$B$26)+ABS(F141/A141-Declarations!$B$27)+ABS(G141/A141-Declarations!$B$28)+ABS(H141/A141-Declarations!$B$29))</f>
        <v>0.15</v>
      </c>
      <c r="J141" s="20" t="n">
        <v>0</v>
      </c>
      <c r="K141" s="26" t="n">
        <v>1</v>
      </c>
    </row>
    <row r="142" customFormat="false" ht="15" hidden="false" customHeight="false" outlineLevel="0" collapsed="false">
      <c r="A142" s="14" t="n">
        <v>12</v>
      </c>
      <c r="B142" s="14" t="n">
        <v>126</v>
      </c>
      <c r="C142" s="14" t="n">
        <f aca="false">Declarations!$B$47+1000*A142+B142</f>
        <v>926126</v>
      </c>
      <c r="D142" s="26" t="n">
        <v>2</v>
      </c>
      <c r="E142" s="26" t="n">
        <v>1</v>
      </c>
      <c r="F142" s="26" t="n">
        <v>6</v>
      </c>
      <c r="G142" s="26" t="n">
        <v>3</v>
      </c>
      <c r="H142" s="26" t="n">
        <v>0</v>
      </c>
      <c r="I142" s="16" t="n">
        <f aca="false">0.5*(ABS(D142/A142-Declarations!$B$25)+ABS(E142/A142-Declarations!$B$26)+ABS(F142/A142-Declarations!$B$27)+ABS(G142/A142-Declarations!$B$28)+ABS(H142/A142-Declarations!$B$29))</f>
        <v>0.166666666666667</v>
      </c>
      <c r="J142" s="20" t="n">
        <v>2.52014922256666</v>
      </c>
      <c r="K142" s="26" t="n">
        <v>0</v>
      </c>
    </row>
    <row r="143" customFormat="false" ht="15" hidden="false" customHeight="false" outlineLevel="0" collapsed="false">
      <c r="A143" s="14" t="n">
        <v>12</v>
      </c>
      <c r="B143" s="14" t="n">
        <v>127</v>
      </c>
      <c r="C143" s="14" t="n">
        <f aca="false">Declarations!$B$47+1000*A143+B143</f>
        <v>926127</v>
      </c>
      <c r="D143" s="26" t="n">
        <v>1</v>
      </c>
      <c r="E143" s="26" t="n">
        <v>0</v>
      </c>
      <c r="F143" s="26" t="n">
        <v>6</v>
      </c>
      <c r="G143" s="26" t="n">
        <v>4</v>
      </c>
      <c r="H143" s="26" t="n">
        <v>1</v>
      </c>
      <c r="I143" s="16" t="n">
        <f aca="false">0.5*(ABS(D143/A143-Declarations!$B$25)+ABS(E143/A143-Declarations!$B$26)+ABS(F143/A143-Declarations!$B$27)+ABS(G143/A143-Declarations!$B$28)+ABS(H143/A143-Declarations!$B$29))</f>
        <v>0.2</v>
      </c>
      <c r="J143" s="20" t="n">
        <v>5.03615287384906</v>
      </c>
      <c r="K143" s="26" t="n">
        <v>0</v>
      </c>
    </row>
    <row r="144" customFormat="false" ht="15" hidden="false" customHeight="false" outlineLevel="0" collapsed="false">
      <c r="A144" s="14" t="n">
        <v>12</v>
      </c>
      <c r="B144" s="14" t="n">
        <v>128</v>
      </c>
      <c r="C144" s="14" t="n">
        <f aca="false">Declarations!$B$47+1000*A144+B144</f>
        <v>926128</v>
      </c>
      <c r="D144" s="26" t="n">
        <v>0</v>
      </c>
      <c r="E144" s="26" t="n">
        <v>1</v>
      </c>
      <c r="F144" s="26" t="n">
        <v>8</v>
      </c>
      <c r="G144" s="26" t="n">
        <v>3</v>
      </c>
      <c r="H144" s="26" t="n">
        <v>0</v>
      </c>
      <c r="I144" s="16" t="n">
        <f aca="false">0.5*(ABS(D144/A144-Declarations!$B$25)+ABS(E144/A144-Declarations!$B$26)+ABS(F144/A144-Declarations!$B$27)+ABS(G144/A144-Declarations!$B$28)+ABS(H144/A144-Declarations!$B$29))</f>
        <v>0.216666666666667</v>
      </c>
      <c r="J144" s="20" t="n">
        <v>5.03615287384906</v>
      </c>
      <c r="K144" s="26" t="n">
        <v>0</v>
      </c>
    </row>
    <row r="145" customFormat="false" ht="15" hidden="false" customHeight="false" outlineLevel="0" collapsed="false">
      <c r="A145" s="14" t="n">
        <v>12</v>
      </c>
      <c r="B145" s="14" t="n">
        <v>129</v>
      </c>
      <c r="C145" s="14" t="n">
        <f aca="false">Declarations!$B$47+1000*A145+B145</f>
        <v>926129</v>
      </c>
      <c r="D145" s="26" t="n">
        <v>0</v>
      </c>
      <c r="E145" s="26" t="n">
        <v>2</v>
      </c>
      <c r="F145" s="26" t="n">
        <v>7</v>
      </c>
      <c r="G145" s="26" t="n">
        <v>3</v>
      </c>
      <c r="H145" s="26" t="n">
        <v>0</v>
      </c>
      <c r="I145" s="16" t="n">
        <f aca="false">0.5*(ABS(D145/A145-Declarations!$B$25)+ABS(E145/A145-Declarations!$B$26)+ABS(F145/A145-Declarations!$B$27)+ABS(G145/A145-Declarations!$B$28)+ABS(H145/A145-Declarations!$B$29))</f>
        <v>0.133333333333333</v>
      </c>
      <c r="J145" s="20" t="n">
        <v>0.713021460896897</v>
      </c>
      <c r="K145" s="26" t="n">
        <v>0</v>
      </c>
    </row>
    <row r="146" customFormat="false" ht="15" hidden="false" customHeight="false" outlineLevel="0" collapsed="false">
      <c r="A146" s="14" t="n">
        <v>12</v>
      </c>
      <c r="B146" s="14" t="n">
        <v>130</v>
      </c>
      <c r="C146" s="14" t="n">
        <f aca="false">Declarations!$B$47+1000*A146+B146</f>
        <v>926130</v>
      </c>
      <c r="D146" s="26" t="n">
        <v>0</v>
      </c>
      <c r="E146" s="26" t="n">
        <v>2</v>
      </c>
      <c r="F146" s="26" t="n">
        <v>3</v>
      </c>
      <c r="G146" s="26" t="n">
        <v>4</v>
      </c>
      <c r="H146" s="26" t="n">
        <v>3</v>
      </c>
      <c r="I146" s="16" t="n">
        <f aca="false">0.5*(ABS(D146/A146-Declarations!$B$25)+ABS(E146/A146-Declarations!$B$26)+ABS(F146/A146-Declarations!$B$27)+ABS(G146/A146-Declarations!$B$28)+ABS(H146/A146-Declarations!$B$29))</f>
        <v>0.333333333333333</v>
      </c>
      <c r="J146" s="20" t="n">
        <v>0.713021460896897</v>
      </c>
      <c r="K146" s="26" t="n">
        <v>0</v>
      </c>
    </row>
    <row r="147" customFormat="false" ht="15" hidden="false" customHeight="false" outlineLevel="0" collapsed="false">
      <c r="A147" s="14" t="n">
        <v>12</v>
      </c>
      <c r="B147" s="14" t="n">
        <v>131</v>
      </c>
      <c r="C147" s="14" t="n">
        <f aca="false">Declarations!$B$47+1000*A147+B147</f>
        <v>926131</v>
      </c>
      <c r="D147" s="26" t="n">
        <v>0</v>
      </c>
      <c r="E147" s="26" t="n">
        <v>2</v>
      </c>
      <c r="F147" s="26" t="n">
        <v>4</v>
      </c>
      <c r="G147" s="26" t="n">
        <v>6</v>
      </c>
      <c r="H147" s="26" t="n">
        <v>0</v>
      </c>
      <c r="I147" s="16" t="n">
        <f aca="false">0.5*(ABS(D147/A147-Declarations!$B$25)+ABS(E147/A147-Declarations!$B$26)+ABS(F147/A147-Declarations!$B$27)+ABS(G147/A147-Declarations!$B$28)+ABS(H147/A147-Declarations!$B$29))</f>
        <v>0.3</v>
      </c>
      <c r="J147" s="20" t="n">
        <v>0.713021460896897</v>
      </c>
      <c r="K147" s="26" t="n">
        <v>0</v>
      </c>
    </row>
    <row r="148" customFormat="false" ht="15" hidden="false" customHeight="false" outlineLevel="0" collapsed="false">
      <c r="A148" s="14" t="n">
        <v>12</v>
      </c>
      <c r="B148" s="14" t="n">
        <v>132</v>
      </c>
      <c r="C148" s="14" t="n">
        <f aca="false">Declarations!$B$47+1000*A148+B148</f>
        <v>926132</v>
      </c>
      <c r="D148" s="26" t="n">
        <v>0</v>
      </c>
      <c r="E148" s="26" t="n">
        <v>2</v>
      </c>
      <c r="F148" s="26" t="n">
        <v>9</v>
      </c>
      <c r="G148" s="26" t="n">
        <v>1</v>
      </c>
      <c r="H148" s="26" t="n">
        <v>0</v>
      </c>
      <c r="I148" s="16" t="n">
        <f aca="false">0.5*(ABS(D148/A148-Declarations!$B$25)+ABS(E148/A148-Declarations!$B$26)+ABS(F148/A148-Declarations!$B$27)+ABS(G148/A148-Declarations!$B$28)+ABS(H148/A148-Declarations!$B$29))</f>
        <v>0.25</v>
      </c>
      <c r="J148" s="20" t="n">
        <v>0.713021460896897</v>
      </c>
      <c r="K148" s="26" t="n">
        <v>0</v>
      </c>
    </row>
    <row r="149" customFormat="false" ht="15" hidden="false" customHeight="false" outlineLevel="0" collapsed="false">
      <c r="A149" s="14" t="n">
        <v>12</v>
      </c>
      <c r="B149" s="14" t="n">
        <v>133</v>
      </c>
      <c r="C149" s="14" t="n">
        <f aca="false">Declarations!$B$47+1000*A149+B149</f>
        <v>926133</v>
      </c>
      <c r="D149" s="26" t="n">
        <v>1</v>
      </c>
      <c r="E149" s="26" t="n">
        <v>3</v>
      </c>
      <c r="F149" s="26" t="n">
        <v>5</v>
      </c>
      <c r="G149" s="26" t="n">
        <v>2</v>
      </c>
      <c r="H149" s="26" t="n">
        <v>1</v>
      </c>
      <c r="I149" s="16" t="n">
        <f aca="false">0.5*(ABS(D149/A149-Declarations!$B$25)+ABS(E149/A149-Declarations!$B$26)+ABS(F149/A149-Declarations!$B$27)+ABS(G149/A149-Declarations!$B$28)+ABS(H149/A149-Declarations!$B$29))</f>
        <v>0.116666666666667</v>
      </c>
      <c r="J149" s="20" t="n">
        <v>0</v>
      </c>
      <c r="K149" s="26" t="n">
        <v>1</v>
      </c>
    </row>
    <row r="150" customFormat="false" ht="15" hidden="false" customHeight="false" outlineLevel="0" collapsed="false">
      <c r="A150" s="14" t="n">
        <v>12</v>
      </c>
      <c r="B150" s="14" t="n">
        <v>134</v>
      </c>
      <c r="C150" s="14" t="n">
        <f aca="false">Declarations!$B$47+1000*A150+B150</f>
        <v>926134</v>
      </c>
      <c r="D150" s="26" t="n">
        <v>0</v>
      </c>
      <c r="E150" s="26" t="n">
        <v>4</v>
      </c>
      <c r="F150" s="26" t="n">
        <v>6</v>
      </c>
      <c r="G150" s="26" t="n">
        <v>2</v>
      </c>
      <c r="H150" s="26" t="n">
        <v>0</v>
      </c>
      <c r="I150" s="16" t="n">
        <f aca="false">0.5*(ABS(D150/A150-Declarations!$B$25)+ABS(E150/A150-Declarations!$B$26)+ABS(F150/A150-Declarations!$B$27)+ABS(G150/A150-Declarations!$B$28)+ABS(H150/A150-Declarations!$B$29))</f>
        <v>0.133333333333333</v>
      </c>
      <c r="J150" s="20" t="n">
        <v>0</v>
      </c>
      <c r="K150" s="26" t="n">
        <v>1</v>
      </c>
    </row>
    <row r="151" customFormat="false" ht="15" hidden="false" customHeight="false" outlineLevel="0" collapsed="false">
      <c r="A151" s="14" t="n">
        <v>12</v>
      </c>
      <c r="B151" s="14" t="n">
        <v>135</v>
      </c>
      <c r="C151" s="14" t="n">
        <f aca="false">Declarations!$B$47+1000*A151+B151</f>
        <v>926135</v>
      </c>
      <c r="D151" s="26" t="n">
        <v>0</v>
      </c>
      <c r="E151" s="26" t="n">
        <v>1</v>
      </c>
      <c r="F151" s="26" t="n">
        <v>8</v>
      </c>
      <c r="G151" s="26" t="n">
        <v>1</v>
      </c>
      <c r="H151" s="26" t="n">
        <v>2</v>
      </c>
      <c r="I151" s="16" t="n">
        <f aca="false">0.5*(ABS(D151/A151-Declarations!$B$25)+ABS(E151/A151-Declarations!$B$26)+ABS(F151/A151-Declarations!$B$27)+ABS(G151/A151-Declarations!$B$28)+ABS(H151/A151-Declarations!$B$29))</f>
        <v>0.283333333333333</v>
      </c>
      <c r="J151" s="20" t="n">
        <v>5.03615287384906</v>
      </c>
      <c r="K151" s="26" t="n">
        <v>0</v>
      </c>
    </row>
    <row r="152" customFormat="false" ht="15" hidden="false" customHeight="false" outlineLevel="0" collapsed="false">
      <c r="A152" s="14" t="n">
        <v>12</v>
      </c>
      <c r="B152" s="14" t="n">
        <v>136</v>
      </c>
      <c r="C152" s="14" t="n">
        <f aca="false">Declarations!$B$47+1000*A152+B152</f>
        <v>926136</v>
      </c>
      <c r="D152" s="26" t="n">
        <v>2</v>
      </c>
      <c r="E152" s="26" t="n">
        <v>4</v>
      </c>
      <c r="F152" s="26" t="n">
        <v>4</v>
      </c>
      <c r="G152" s="26" t="n">
        <v>1</v>
      </c>
      <c r="H152" s="26" t="n">
        <v>1</v>
      </c>
      <c r="I152" s="16" t="n">
        <f aca="false">0.5*(ABS(D152/A152-Declarations!$B$25)+ABS(E152/A152-Declarations!$B$26)+ABS(F152/A152-Declarations!$B$27)+ABS(G152/A152-Declarations!$B$28)+ABS(H152/A152-Declarations!$B$29))</f>
        <v>0.283333333333333</v>
      </c>
      <c r="J152" s="20" t="n">
        <v>2.52014922256666</v>
      </c>
      <c r="K152" s="26" t="n">
        <v>0</v>
      </c>
    </row>
    <row r="153" customFormat="false" ht="15" hidden="false" customHeight="false" outlineLevel="0" collapsed="false">
      <c r="A153" s="14" t="n">
        <v>12</v>
      </c>
      <c r="B153" s="14" t="n">
        <v>137</v>
      </c>
      <c r="C153" s="14" t="n">
        <f aca="false">Declarations!$B$47+1000*A153+B153</f>
        <v>926137</v>
      </c>
      <c r="D153" s="26" t="n">
        <v>0</v>
      </c>
      <c r="E153" s="26" t="n">
        <v>2</v>
      </c>
      <c r="F153" s="26" t="n">
        <v>8</v>
      </c>
      <c r="G153" s="26" t="n">
        <v>2</v>
      </c>
      <c r="H153" s="26" t="n">
        <v>0</v>
      </c>
      <c r="I153" s="16" t="n">
        <f aca="false">0.5*(ABS(D153/A153-Declarations!$B$25)+ABS(E153/A153-Declarations!$B$26)+ABS(F153/A153-Declarations!$B$27)+ABS(G153/A153-Declarations!$B$28)+ABS(H153/A153-Declarations!$B$29))</f>
        <v>0.166666666666667</v>
      </c>
      <c r="J153" s="20" t="n">
        <v>0.713021460896897</v>
      </c>
      <c r="K153" s="26" t="n">
        <v>0</v>
      </c>
    </row>
    <row r="154" customFormat="false" ht="15" hidden="false" customHeight="false" outlineLevel="0" collapsed="false">
      <c r="A154" s="14" t="n">
        <v>12</v>
      </c>
      <c r="B154" s="14" t="n">
        <v>138</v>
      </c>
      <c r="C154" s="14" t="n">
        <f aca="false">Declarations!$B$47+1000*A154+B154</f>
        <v>926138</v>
      </c>
      <c r="D154" s="26" t="n">
        <v>0</v>
      </c>
      <c r="E154" s="26" t="n">
        <v>3</v>
      </c>
      <c r="F154" s="26" t="n">
        <v>8</v>
      </c>
      <c r="G154" s="26" t="n">
        <v>1</v>
      </c>
      <c r="H154" s="26" t="n">
        <v>0</v>
      </c>
      <c r="I154" s="16" t="n">
        <f aca="false">0.5*(ABS(D154/A154-Declarations!$B$25)+ABS(E154/A154-Declarations!$B$26)+ABS(F154/A154-Declarations!$B$27)+ABS(G154/A154-Declarations!$B$28)+ABS(H154/A154-Declarations!$B$29))</f>
        <v>0.216666666666667</v>
      </c>
      <c r="J154" s="20" t="n">
        <v>0.00281729995887758</v>
      </c>
      <c r="K154" s="26" t="n">
        <v>0</v>
      </c>
    </row>
    <row r="155" customFormat="false" ht="15" hidden="false" customHeight="false" outlineLevel="0" collapsed="false">
      <c r="A155" s="14" t="n">
        <v>12</v>
      </c>
      <c r="B155" s="14" t="n">
        <v>139</v>
      </c>
      <c r="C155" s="14" t="n">
        <f aca="false">Declarations!$B$47+1000*A155+B155</f>
        <v>926139</v>
      </c>
      <c r="D155" s="26" t="n">
        <v>1</v>
      </c>
      <c r="E155" s="26" t="n">
        <v>2</v>
      </c>
      <c r="F155" s="26" t="n">
        <v>7</v>
      </c>
      <c r="G155" s="26" t="n">
        <v>0</v>
      </c>
      <c r="H155" s="26" t="n">
        <v>2</v>
      </c>
      <c r="I155" s="16" t="n">
        <f aca="false">0.5*(ABS(D155/A155-Declarations!$B$25)+ABS(E155/A155-Declarations!$B$26)+ABS(F155/A155-Declarations!$B$27)+ABS(G155/A155-Declarations!$B$28)+ABS(H155/A155-Declarations!$B$29))</f>
        <v>0.233333333333333</v>
      </c>
      <c r="J155" s="20" t="n">
        <v>0</v>
      </c>
      <c r="K155" s="26" t="n">
        <v>1</v>
      </c>
    </row>
    <row r="156" customFormat="false" ht="15" hidden="false" customHeight="false" outlineLevel="0" collapsed="false">
      <c r="A156" s="14" t="n">
        <v>12</v>
      </c>
      <c r="B156" s="14" t="n">
        <v>140</v>
      </c>
      <c r="C156" s="14" t="n">
        <f aca="false">Declarations!$B$47+1000*A156+B156</f>
        <v>926140</v>
      </c>
      <c r="D156" s="26" t="n">
        <v>0</v>
      </c>
      <c r="E156" s="26" t="n">
        <v>3</v>
      </c>
      <c r="F156" s="26" t="n">
        <v>6</v>
      </c>
      <c r="G156" s="26" t="n">
        <v>3</v>
      </c>
      <c r="H156" s="26" t="n">
        <v>0</v>
      </c>
      <c r="I156" s="16" t="n">
        <f aca="false">0.5*(ABS(D156/A156-Declarations!$B$25)+ABS(E156/A156-Declarations!$B$26)+ABS(F156/A156-Declarations!$B$27)+ABS(G156/A156-Declarations!$B$28)+ABS(H156/A156-Declarations!$B$29))</f>
        <v>0.1</v>
      </c>
      <c r="J156" s="20" t="n">
        <v>0.00281729995887758</v>
      </c>
      <c r="K156" s="26" t="n">
        <v>0</v>
      </c>
    </row>
    <row r="157" customFormat="false" ht="15" hidden="false" customHeight="false" outlineLevel="0" collapsed="false">
      <c r="A157" s="14" t="n">
        <v>12</v>
      </c>
      <c r="B157" s="14" t="n">
        <v>141</v>
      </c>
      <c r="C157" s="14" t="n">
        <f aca="false">Declarations!$B$47+1000*A157+B157</f>
        <v>926141</v>
      </c>
      <c r="D157" s="26" t="n">
        <v>1</v>
      </c>
      <c r="E157" s="26" t="n">
        <v>4</v>
      </c>
      <c r="F157" s="26" t="n">
        <v>2</v>
      </c>
      <c r="G157" s="26" t="n">
        <v>3</v>
      </c>
      <c r="H157" s="26" t="n">
        <v>2</v>
      </c>
      <c r="I157" s="16" t="n">
        <f aca="false">0.5*(ABS(D157/A157-Declarations!$B$25)+ABS(E157/A157-Declarations!$B$26)+ABS(F157/A157-Declarations!$B$27)+ABS(G157/A157-Declarations!$B$28)+ABS(H157/A157-Declarations!$B$29))</f>
        <v>0.333333333333333</v>
      </c>
      <c r="J157" s="20" t="n">
        <v>0</v>
      </c>
      <c r="K157" s="26" t="n">
        <v>1</v>
      </c>
    </row>
    <row r="158" customFormat="false" ht="15" hidden="false" customHeight="false" outlineLevel="0" collapsed="false">
      <c r="A158" s="14" t="n">
        <v>12</v>
      </c>
      <c r="B158" s="14" t="n">
        <v>142</v>
      </c>
      <c r="C158" s="14" t="n">
        <f aca="false">Declarations!$B$47+1000*A158+B158</f>
        <v>926142</v>
      </c>
      <c r="D158" s="26" t="n">
        <v>0</v>
      </c>
      <c r="E158" s="26" t="n">
        <v>5</v>
      </c>
      <c r="F158" s="26" t="n">
        <v>2</v>
      </c>
      <c r="G158" s="26" t="n">
        <v>2</v>
      </c>
      <c r="H158" s="26" t="n">
        <v>3</v>
      </c>
      <c r="I158" s="16" t="n">
        <f aca="false">0.5*(ABS(D158/A158-Declarations!$B$25)+ABS(E158/A158-Declarations!$B$26)+ABS(F158/A158-Declarations!$B$27)+ABS(G158/A158-Declarations!$B$28)+ABS(H158/A158-Declarations!$B$29))</f>
        <v>0.416666666666667</v>
      </c>
      <c r="J158" s="20" t="n">
        <v>0</v>
      </c>
      <c r="K158" s="26" t="n">
        <v>1</v>
      </c>
    </row>
    <row r="159" customFormat="false" ht="15" hidden="false" customHeight="false" outlineLevel="0" collapsed="false">
      <c r="A159" s="14" t="n">
        <v>12</v>
      </c>
      <c r="B159" s="14" t="n">
        <v>143</v>
      </c>
      <c r="C159" s="14" t="n">
        <f aca="false">Declarations!$B$47+1000*A159+B159</f>
        <v>926143</v>
      </c>
      <c r="D159" s="26" t="n">
        <v>0</v>
      </c>
      <c r="E159" s="26" t="n">
        <v>3</v>
      </c>
      <c r="F159" s="26" t="n">
        <v>7</v>
      </c>
      <c r="G159" s="26" t="n">
        <v>0</v>
      </c>
      <c r="H159" s="26" t="n">
        <v>2</v>
      </c>
      <c r="I159" s="16" t="n">
        <f aca="false">0.5*(ABS(D159/A159-Declarations!$B$25)+ABS(E159/A159-Declarations!$B$26)+ABS(F159/A159-Declarations!$B$27)+ABS(G159/A159-Declarations!$B$28)+ABS(H159/A159-Declarations!$B$29))</f>
        <v>0.25</v>
      </c>
      <c r="J159" s="20" t="n">
        <v>0.115817627028463</v>
      </c>
      <c r="K159" s="26" t="n">
        <v>0</v>
      </c>
    </row>
    <row r="160" customFormat="false" ht="15" hidden="false" customHeight="false" outlineLevel="0" collapsed="false">
      <c r="A160" s="14" t="n">
        <v>12</v>
      </c>
      <c r="B160" s="14" t="n">
        <v>144</v>
      </c>
      <c r="C160" s="14" t="n">
        <f aca="false">Declarations!$B$47+1000*A160+B160</f>
        <v>926144</v>
      </c>
      <c r="D160" s="26" t="n">
        <v>1</v>
      </c>
      <c r="E160" s="26" t="n">
        <v>2</v>
      </c>
      <c r="F160" s="26" t="n">
        <v>7</v>
      </c>
      <c r="G160" s="26" t="n">
        <v>2</v>
      </c>
      <c r="H160" s="26" t="n">
        <v>0</v>
      </c>
      <c r="I160" s="16" t="n">
        <f aca="false">0.5*(ABS(D160/A160-Declarations!$B$25)+ABS(E160/A160-Declarations!$B$26)+ABS(F160/A160-Declarations!$B$27)+ABS(G160/A160-Declarations!$B$28)+ABS(H160/A160-Declarations!$B$29))</f>
        <v>0.116666666666667</v>
      </c>
      <c r="J160" s="20" t="n">
        <v>0</v>
      </c>
      <c r="K160" s="26" t="n">
        <v>1</v>
      </c>
    </row>
    <row r="161" customFormat="false" ht="15" hidden="false" customHeight="false" outlineLevel="0" collapsed="false">
      <c r="A161" s="14" t="n">
        <v>12</v>
      </c>
      <c r="B161" s="14" t="n">
        <v>145</v>
      </c>
      <c r="C161" s="14" t="n">
        <f aca="false">Declarations!$B$47+1000*A161+B161</f>
        <v>926145</v>
      </c>
      <c r="D161" s="26" t="n">
        <v>3</v>
      </c>
      <c r="E161" s="26" t="n">
        <v>3</v>
      </c>
      <c r="F161" s="26" t="n">
        <v>3</v>
      </c>
      <c r="G161" s="26" t="n">
        <v>3</v>
      </c>
      <c r="H161" s="26" t="n">
        <v>0</v>
      </c>
      <c r="I161" s="16" t="n">
        <f aca="false">0.5*(ABS(D161/A161-Declarations!$B$25)+ABS(E161/A161-Declarations!$B$26)+ABS(F161/A161-Declarations!$B$27)+ABS(G161/A161-Declarations!$B$28)+ABS(H161/A161-Declarations!$B$29))</f>
        <v>0.3</v>
      </c>
      <c r="J161" s="20" t="n">
        <v>3.52711525452301</v>
      </c>
      <c r="K161" s="26" t="n">
        <v>0</v>
      </c>
    </row>
    <row r="162" customFormat="false" ht="15" hidden="false" customHeight="false" outlineLevel="0" collapsed="false">
      <c r="A162" s="14" t="n">
        <v>12</v>
      </c>
      <c r="B162" s="14" t="n">
        <v>146</v>
      </c>
      <c r="C162" s="14" t="n">
        <f aca="false">Declarations!$B$47+1000*A162+B162</f>
        <v>926146</v>
      </c>
      <c r="D162" s="26" t="n">
        <v>0</v>
      </c>
      <c r="E162" s="26" t="n">
        <v>1</v>
      </c>
      <c r="F162" s="26" t="n">
        <v>9</v>
      </c>
      <c r="G162" s="26" t="n">
        <v>2</v>
      </c>
      <c r="H162" s="26" t="n">
        <v>0</v>
      </c>
      <c r="I162" s="16" t="n">
        <f aca="false">0.5*(ABS(D162/A162-Declarations!$B$25)+ABS(E162/A162-Declarations!$B$26)+ABS(F162/A162-Declarations!$B$27)+ABS(G162/A162-Declarations!$B$28)+ABS(H162/A162-Declarations!$B$29))</f>
        <v>0.25</v>
      </c>
      <c r="J162" s="20" t="n">
        <v>5.03615287384906</v>
      </c>
      <c r="K162" s="26" t="n">
        <v>0</v>
      </c>
    </row>
    <row r="163" customFormat="false" ht="15" hidden="false" customHeight="false" outlineLevel="0" collapsed="false">
      <c r="A163" s="14" t="n">
        <v>12</v>
      </c>
      <c r="B163" s="14" t="n">
        <v>147</v>
      </c>
      <c r="C163" s="14" t="n">
        <f aca="false">Declarations!$B$47+1000*A163+B163</f>
        <v>926147</v>
      </c>
      <c r="D163" s="26" t="n">
        <v>0</v>
      </c>
      <c r="E163" s="26" t="n">
        <v>2</v>
      </c>
      <c r="F163" s="26" t="n">
        <v>7</v>
      </c>
      <c r="G163" s="26" t="n">
        <v>2</v>
      </c>
      <c r="H163" s="26" t="n">
        <v>1</v>
      </c>
      <c r="I163" s="16" t="n">
        <f aca="false">0.5*(ABS(D163/A163-Declarations!$B$25)+ABS(E163/A163-Declarations!$B$26)+ABS(F163/A163-Declarations!$B$27)+ABS(G163/A163-Declarations!$B$28)+ABS(H163/A163-Declarations!$B$29))</f>
        <v>0.116666666666667</v>
      </c>
      <c r="J163" s="20" t="n">
        <v>0.713021460896897</v>
      </c>
      <c r="K163" s="26" t="n">
        <v>0</v>
      </c>
    </row>
    <row r="164" customFormat="false" ht="15" hidden="false" customHeight="false" outlineLevel="0" collapsed="false">
      <c r="A164" s="14" t="n">
        <v>12</v>
      </c>
      <c r="B164" s="14" t="n">
        <v>148</v>
      </c>
      <c r="C164" s="14" t="n">
        <f aca="false">Declarations!$B$47+1000*A164+B164</f>
        <v>926148</v>
      </c>
      <c r="D164" s="26" t="n">
        <v>0</v>
      </c>
      <c r="E164" s="26" t="n">
        <v>4</v>
      </c>
      <c r="F164" s="26" t="n">
        <v>7</v>
      </c>
      <c r="G164" s="26" t="n">
        <v>1</v>
      </c>
      <c r="H164" s="26" t="n">
        <v>0</v>
      </c>
      <c r="I164" s="16" t="n">
        <f aca="false">0.5*(ABS(D164/A164-Declarations!$B$25)+ABS(E164/A164-Declarations!$B$26)+ABS(F164/A164-Declarations!$B$27)+ABS(G164/A164-Declarations!$B$28)+ABS(H164/A164-Declarations!$B$29))</f>
        <v>0.216666666666667</v>
      </c>
      <c r="J164" s="20" t="n">
        <v>0</v>
      </c>
      <c r="K164" s="26" t="n">
        <v>1</v>
      </c>
    </row>
    <row r="165" customFormat="false" ht="15" hidden="false" customHeight="false" outlineLevel="0" collapsed="false">
      <c r="A165" s="14" t="n">
        <v>12</v>
      </c>
      <c r="B165" s="14" t="n">
        <v>149</v>
      </c>
      <c r="C165" s="14" t="n">
        <f aca="false">Declarations!$B$47+1000*A165+B165</f>
        <v>926149</v>
      </c>
      <c r="D165" s="26" t="n">
        <v>1</v>
      </c>
      <c r="E165" s="26" t="n">
        <v>3</v>
      </c>
      <c r="F165" s="26" t="n">
        <v>5</v>
      </c>
      <c r="G165" s="26" t="n">
        <v>2</v>
      </c>
      <c r="H165" s="26" t="n">
        <v>1</v>
      </c>
      <c r="I165" s="16" t="n">
        <f aca="false">0.5*(ABS(D165/A165-Declarations!$B$25)+ABS(E165/A165-Declarations!$B$26)+ABS(F165/A165-Declarations!$B$27)+ABS(G165/A165-Declarations!$B$28)+ABS(H165/A165-Declarations!$B$29))</f>
        <v>0.116666666666667</v>
      </c>
      <c r="J165" s="20" t="n">
        <v>0</v>
      </c>
      <c r="K165" s="26" t="n">
        <v>1</v>
      </c>
    </row>
    <row r="166" customFormat="false" ht="15" hidden="false" customHeight="false" outlineLevel="0" collapsed="false">
      <c r="A166" s="14" t="n">
        <v>12</v>
      </c>
      <c r="B166" s="14" t="n">
        <v>150</v>
      </c>
      <c r="C166" s="14" t="n">
        <f aca="false">Declarations!$B$47+1000*A166+B166</f>
        <v>926150</v>
      </c>
      <c r="D166" s="26" t="n">
        <v>0</v>
      </c>
      <c r="E166" s="26" t="n">
        <v>5</v>
      </c>
      <c r="F166" s="26" t="n">
        <v>6</v>
      </c>
      <c r="G166" s="26" t="n">
        <v>1</v>
      </c>
      <c r="H166" s="26" t="n">
        <v>0</v>
      </c>
      <c r="I166" s="16" t="n">
        <f aca="false">0.5*(ABS(D166/A166-Declarations!$B$25)+ABS(E166/A166-Declarations!$B$26)+ABS(F166/A166-Declarations!$B$27)+ABS(G166/A166-Declarations!$B$28)+ABS(H166/A166-Declarations!$B$29))</f>
        <v>0.216666666666667</v>
      </c>
      <c r="J166" s="20" t="n">
        <v>0</v>
      </c>
      <c r="K166" s="26" t="n">
        <v>1</v>
      </c>
    </row>
    <row r="167" customFormat="false" ht="15" hidden="false" customHeight="false" outlineLevel="0" collapsed="false">
      <c r="A167" s="14" t="n">
        <v>12</v>
      </c>
      <c r="B167" s="14" t="n">
        <v>151</v>
      </c>
      <c r="C167" s="14" t="n">
        <f aca="false">Declarations!$B$47+1000*A167+B167</f>
        <v>926151</v>
      </c>
      <c r="D167" s="26" t="n">
        <v>0</v>
      </c>
      <c r="E167" s="26" t="n">
        <v>3</v>
      </c>
      <c r="F167" s="26" t="n">
        <v>6</v>
      </c>
      <c r="G167" s="26" t="n">
        <v>2</v>
      </c>
      <c r="H167" s="26" t="n">
        <v>1</v>
      </c>
      <c r="I167" s="16" t="n">
        <f aca="false">0.5*(ABS(D167/A167-Declarations!$B$25)+ABS(E167/A167-Declarations!$B$26)+ABS(F167/A167-Declarations!$B$27)+ABS(G167/A167-Declarations!$B$28)+ABS(H167/A167-Declarations!$B$29))</f>
        <v>0.0833333333333333</v>
      </c>
      <c r="J167" s="20" t="n">
        <v>0.0703309017642937</v>
      </c>
      <c r="K167" s="26" t="n">
        <v>0</v>
      </c>
    </row>
    <row r="168" customFormat="false" ht="15" hidden="false" customHeight="false" outlineLevel="0" collapsed="false">
      <c r="A168" s="14" t="n">
        <v>12</v>
      </c>
      <c r="B168" s="14" t="n">
        <v>152</v>
      </c>
      <c r="C168" s="14" t="n">
        <f aca="false">Declarations!$B$47+1000*A168+B168</f>
        <v>926152</v>
      </c>
      <c r="D168" s="26" t="n">
        <v>0</v>
      </c>
      <c r="E168" s="26" t="n">
        <v>4</v>
      </c>
      <c r="F168" s="26" t="n">
        <v>6</v>
      </c>
      <c r="G168" s="26" t="n">
        <v>2</v>
      </c>
      <c r="H168" s="26" t="n">
        <v>0</v>
      </c>
      <c r="I168" s="16" t="n">
        <f aca="false">0.5*(ABS(D168/A168-Declarations!$B$25)+ABS(E168/A168-Declarations!$B$26)+ABS(F168/A168-Declarations!$B$27)+ABS(G168/A168-Declarations!$B$28)+ABS(H168/A168-Declarations!$B$29))</f>
        <v>0.133333333333333</v>
      </c>
      <c r="J168" s="20" t="n">
        <v>0</v>
      </c>
      <c r="K168" s="26" t="n">
        <v>1</v>
      </c>
    </row>
    <row r="169" customFormat="false" ht="15" hidden="false" customHeight="false" outlineLevel="0" collapsed="false">
      <c r="A169" s="14" t="n">
        <v>12</v>
      </c>
      <c r="B169" s="14" t="n">
        <v>153</v>
      </c>
      <c r="C169" s="14" t="n">
        <f aca="false">Declarations!$B$47+1000*A169+B169</f>
        <v>926153</v>
      </c>
      <c r="D169" s="26" t="n">
        <v>1</v>
      </c>
      <c r="E169" s="26" t="n">
        <v>4</v>
      </c>
      <c r="F169" s="26" t="n">
        <v>4</v>
      </c>
      <c r="G169" s="26" t="n">
        <v>2</v>
      </c>
      <c r="H169" s="26" t="n">
        <v>1</v>
      </c>
      <c r="I169" s="16" t="n">
        <f aca="false">0.5*(ABS(D169/A169-Declarations!$B$25)+ABS(E169/A169-Declarations!$B$26)+ABS(F169/A169-Declarations!$B$27)+ABS(G169/A169-Declarations!$B$28)+ABS(H169/A169-Declarations!$B$29))</f>
        <v>0.2</v>
      </c>
      <c r="J169" s="20" t="n">
        <v>0</v>
      </c>
      <c r="K169" s="26" t="n">
        <v>1</v>
      </c>
    </row>
    <row r="170" customFormat="false" ht="15" hidden="false" customHeight="false" outlineLevel="0" collapsed="false">
      <c r="A170" s="14" t="n">
        <v>12</v>
      </c>
      <c r="B170" s="14" t="n">
        <v>154</v>
      </c>
      <c r="C170" s="14" t="n">
        <f aca="false">Declarations!$B$47+1000*A170+B170</f>
        <v>926154</v>
      </c>
      <c r="D170" s="26" t="n">
        <v>0</v>
      </c>
      <c r="E170" s="26" t="n">
        <v>3</v>
      </c>
      <c r="F170" s="26" t="n">
        <v>8</v>
      </c>
      <c r="G170" s="26" t="n">
        <v>1</v>
      </c>
      <c r="H170" s="26" t="n">
        <v>0</v>
      </c>
      <c r="I170" s="16" t="n">
        <f aca="false">0.5*(ABS(D170/A170-Declarations!$B$25)+ABS(E170/A170-Declarations!$B$26)+ABS(F170/A170-Declarations!$B$27)+ABS(G170/A170-Declarations!$B$28)+ABS(H170/A170-Declarations!$B$29))</f>
        <v>0.216666666666667</v>
      </c>
      <c r="J170" s="20" t="n">
        <v>0.00281729995887758</v>
      </c>
      <c r="K170" s="26" t="n">
        <v>0</v>
      </c>
    </row>
    <row r="171" customFormat="false" ht="15" hidden="false" customHeight="false" outlineLevel="0" collapsed="false">
      <c r="A171" s="14" t="n">
        <v>12</v>
      </c>
      <c r="B171" s="14" t="n">
        <v>155</v>
      </c>
      <c r="C171" s="14" t="n">
        <f aca="false">Declarations!$B$47+1000*A171+B171</f>
        <v>926155</v>
      </c>
      <c r="D171" s="26" t="n">
        <v>0</v>
      </c>
      <c r="E171" s="26" t="n">
        <v>4</v>
      </c>
      <c r="F171" s="26" t="n">
        <v>6</v>
      </c>
      <c r="G171" s="26" t="n">
        <v>2</v>
      </c>
      <c r="H171" s="26" t="n">
        <v>0</v>
      </c>
      <c r="I171" s="16" t="n">
        <f aca="false">0.5*(ABS(D171/A171-Declarations!$B$25)+ABS(E171/A171-Declarations!$B$26)+ABS(F171/A171-Declarations!$B$27)+ABS(G171/A171-Declarations!$B$28)+ABS(H171/A171-Declarations!$B$29))</f>
        <v>0.133333333333333</v>
      </c>
      <c r="J171" s="20" t="n">
        <v>0</v>
      </c>
      <c r="K171" s="26" t="n">
        <v>1</v>
      </c>
    </row>
    <row r="172" customFormat="false" ht="15" hidden="false" customHeight="false" outlineLevel="0" collapsed="false">
      <c r="A172" s="14" t="n">
        <v>12</v>
      </c>
      <c r="B172" s="14" t="n">
        <v>156</v>
      </c>
      <c r="C172" s="14" t="n">
        <f aca="false">Declarations!$B$47+1000*A172+B172</f>
        <v>926156</v>
      </c>
      <c r="D172" s="26" t="n">
        <v>2</v>
      </c>
      <c r="E172" s="26" t="n">
        <v>3</v>
      </c>
      <c r="F172" s="26" t="n">
        <v>6</v>
      </c>
      <c r="G172" s="26" t="n">
        <v>1</v>
      </c>
      <c r="H172" s="26" t="n">
        <v>0</v>
      </c>
      <c r="I172" s="16" t="n">
        <f aca="false">0.5*(ABS(D172/A172-Declarations!$B$25)+ABS(E172/A172-Declarations!$B$26)+ABS(F172/A172-Declarations!$B$27)+ABS(G172/A172-Declarations!$B$28)+ABS(H172/A172-Declarations!$B$29))</f>
        <v>0.166666666666667</v>
      </c>
      <c r="J172" s="20" t="n">
        <v>3.04521269781455</v>
      </c>
      <c r="K172" s="26" t="n">
        <v>0</v>
      </c>
    </row>
    <row r="173" customFormat="false" ht="15" hidden="false" customHeight="false" outlineLevel="0" collapsed="false">
      <c r="A173" s="14" t="n">
        <v>12</v>
      </c>
      <c r="B173" s="14" t="n">
        <v>157</v>
      </c>
      <c r="C173" s="14" t="n">
        <f aca="false">Declarations!$B$47+1000*A173+B173</f>
        <v>926157</v>
      </c>
      <c r="D173" s="26" t="n">
        <v>2</v>
      </c>
      <c r="E173" s="26" t="n">
        <v>0</v>
      </c>
      <c r="F173" s="26" t="n">
        <v>7</v>
      </c>
      <c r="G173" s="26" t="n">
        <v>3</v>
      </c>
      <c r="H173" s="26" t="n">
        <v>0</v>
      </c>
      <c r="I173" s="16" t="n">
        <f aca="false">0.5*(ABS(D173/A173-Declarations!$B$25)+ABS(E173/A173-Declarations!$B$26)+ABS(F173/A173-Declarations!$B$27)+ABS(G173/A173-Declarations!$B$28)+ABS(H173/A173-Declarations!$B$29))</f>
        <v>0.25</v>
      </c>
      <c r="J173" s="20" t="n">
        <v>2.44799484680544</v>
      </c>
      <c r="K173" s="26" t="n">
        <v>0</v>
      </c>
    </row>
    <row r="174" customFormat="false" ht="15" hidden="false" customHeight="false" outlineLevel="0" collapsed="false">
      <c r="A174" s="14" t="n">
        <v>12</v>
      </c>
      <c r="B174" s="14" t="n">
        <v>158</v>
      </c>
      <c r="C174" s="14" t="n">
        <f aca="false">Declarations!$B$47+1000*A174+B174</f>
        <v>926158</v>
      </c>
      <c r="D174" s="26" t="n">
        <v>1</v>
      </c>
      <c r="E174" s="26" t="n">
        <v>1</v>
      </c>
      <c r="F174" s="26" t="n">
        <v>4</v>
      </c>
      <c r="G174" s="26" t="n">
        <v>5</v>
      </c>
      <c r="H174" s="26" t="n">
        <v>1</v>
      </c>
      <c r="I174" s="16" t="n">
        <f aca="false">0.5*(ABS(D174/A174-Declarations!$B$25)+ABS(E174/A174-Declarations!$B$26)+ABS(F174/A174-Declarations!$B$27)+ABS(G174/A174-Declarations!$B$28)+ABS(H174/A174-Declarations!$B$29))</f>
        <v>0.283333333333333</v>
      </c>
      <c r="J174" s="20" t="n">
        <v>0</v>
      </c>
      <c r="K174" s="26" t="n">
        <v>1</v>
      </c>
    </row>
    <row r="175" customFormat="false" ht="15" hidden="false" customHeight="false" outlineLevel="0" collapsed="false">
      <c r="A175" s="14" t="n">
        <v>12</v>
      </c>
      <c r="B175" s="14" t="n">
        <v>159</v>
      </c>
      <c r="C175" s="14" t="n">
        <f aca="false">Declarations!$B$47+1000*A175+B175</f>
        <v>926159</v>
      </c>
      <c r="D175" s="26" t="n">
        <v>2</v>
      </c>
      <c r="E175" s="26" t="n">
        <v>2</v>
      </c>
      <c r="F175" s="26" t="n">
        <v>5</v>
      </c>
      <c r="G175" s="26" t="n">
        <v>2</v>
      </c>
      <c r="H175" s="26" t="n">
        <v>1</v>
      </c>
      <c r="I175" s="16" t="n">
        <f aca="false">0.5*(ABS(D175/A175-Declarations!$B$25)+ABS(E175/A175-Declarations!$B$26)+ABS(F175/A175-Declarations!$B$27)+ABS(G175/A175-Declarations!$B$28)+ABS(H175/A175-Declarations!$B$29))</f>
        <v>0.15</v>
      </c>
      <c r="J175" s="20" t="n">
        <v>2.44799484680544</v>
      </c>
      <c r="K175" s="26" t="n">
        <v>0</v>
      </c>
    </row>
    <row r="176" customFormat="false" ht="15" hidden="false" customHeight="false" outlineLevel="0" collapsed="false">
      <c r="A176" s="14" t="n">
        <v>12</v>
      </c>
      <c r="B176" s="14" t="n">
        <v>160</v>
      </c>
      <c r="C176" s="14" t="n">
        <f aca="false">Declarations!$B$47+1000*A176+B176</f>
        <v>926160</v>
      </c>
      <c r="D176" s="26" t="n">
        <v>1</v>
      </c>
      <c r="E176" s="26" t="n">
        <v>2</v>
      </c>
      <c r="F176" s="26" t="n">
        <v>4</v>
      </c>
      <c r="G176" s="26" t="n">
        <v>4</v>
      </c>
      <c r="H176" s="26" t="n">
        <v>1</v>
      </c>
      <c r="I176" s="16" t="n">
        <f aca="false">0.5*(ABS(D176/A176-Declarations!$B$25)+ABS(E176/A176-Declarations!$B$26)+ABS(F176/A176-Declarations!$B$27)+ABS(G176/A176-Declarations!$B$28)+ABS(H176/A176-Declarations!$B$29))</f>
        <v>0.2</v>
      </c>
      <c r="J176" s="20" t="n">
        <v>0</v>
      </c>
      <c r="K176" s="26" t="n">
        <v>1</v>
      </c>
    </row>
    <row r="177" customFormat="false" ht="15" hidden="false" customHeight="false" outlineLevel="0" collapsed="false">
      <c r="A177" s="14" t="n">
        <v>12</v>
      </c>
      <c r="B177" s="14" t="n">
        <v>161</v>
      </c>
      <c r="C177" s="14" t="n">
        <f aca="false">Declarations!$B$47+1000*A177+B177</f>
        <v>926161</v>
      </c>
      <c r="D177" s="26" t="n">
        <v>0</v>
      </c>
      <c r="E177" s="26" t="n">
        <v>4</v>
      </c>
      <c r="F177" s="26" t="n">
        <v>4</v>
      </c>
      <c r="G177" s="26" t="n">
        <v>3</v>
      </c>
      <c r="H177" s="26" t="n">
        <v>1</v>
      </c>
      <c r="I177" s="16" t="n">
        <f aca="false">0.5*(ABS(D177/A177-Declarations!$B$25)+ABS(E177/A177-Declarations!$B$26)+ABS(F177/A177-Declarations!$B$27)+ABS(G177/A177-Declarations!$B$28)+ABS(H177/A177-Declarations!$B$29))</f>
        <v>0.216666666666667</v>
      </c>
      <c r="J177" s="20" t="n">
        <v>0</v>
      </c>
      <c r="K177" s="26" t="n">
        <v>1</v>
      </c>
    </row>
    <row r="178" customFormat="false" ht="15" hidden="false" customHeight="false" outlineLevel="0" collapsed="false">
      <c r="A178" s="14" t="n">
        <v>12</v>
      </c>
      <c r="B178" s="14" t="n">
        <v>162</v>
      </c>
      <c r="C178" s="14" t="n">
        <f aca="false">Declarations!$B$47+1000*A178+B178</f>
        <v>926162</v>
      </c>
      <c r="D178" s="26" t="n">
        <v>1</v>
      </c>
      <c r="E178" s="26" t="n">
        <v>1</v>
      </c>
      <c r="F178" s="26" t="n">
        <v>8</v>
      </c>
      <c r="G178" s="26" t="n">
        <v>2</v>
      </c>
      <c r="H178" s="26" t="n">
        <v>0</v>
      </c>
      <c r="I178" s="16" t="n">
        <f aca="false">0.5*(ABS(D178/A178-Declarations!$B$25)+ABS(E178/A178-Declarations!$B$26)+ABS(F178/A178-Declarations!$B$27)+ABS(G178/A178-Declarations!$B$28)+ABS(H178/A178-Declarations!$B$29))</f>
        <v>0.2</v>
      </c>
      <c r="J178" s="20" t="n">
        <v>0</v>
      </c>
      <c r="K178" s="26" t="n">
        <v>1</v>
      </c>
    </row>
    <row r="179" customFormat="false" ht="15" hidden="false" customHeight="false" outlineLevel="0" collapsed="false">
      <c r="A179" s="14" t="n">
        <v>12</v>
      </c>
      <c r="B179" s="14" t="n">
        <v>163</v>
      </c>
      <c r="C179" s="14" t="n">
        <f aca="false">Declarations!$B$47+1000*A179+B179</f>
        <v>926163</v>
      </c>
      <c r="D179" s="26" t="n">
        <v>0</v>
      </c>
      <c r="E179" s="26" t="n">
        <v>3</v>
      </c>
      <c r="F179" s="26" t="n">
        <v>8</v>
      </c>
      <c r="G179" s="26" t="n">
        <v>0</v>
      </c>
      <c r="H179" s="26" t="n">
        <v>1</v>
      </c>
      <c r="I179" s="16" t="n">
        <f aca="false">0.5*(ABS(D179/A179-Declarations!$B$25)+ABS(E179/A179-Declarations!$B$26)+ABS(F179/A179-Declarations!$B$27)+ABS(G179/A179-Declarations!$B$28)+ABS(H179/A179-Declarations!$B$29))</f>
        <v>0.25</v>
      </c>
      <c r="J179" s="20" t="n">
        <v>0.0703309017642937</v>
      </c>
      <c r="K179" s="26" t="n">
        <v>0</v>
      </c>
    </row>
    <row r="180" customFormat="false" ht="15" hidden="false" customHeight="false" outlineLevel="0" collapsed="false">
      <c r="A180" s="14" t="n">
        <v>12</v>
      </c>
      <c r="B180" s="14" t="n">
        <v>164</v>
      </c>
      <c r="C180" s="14" t="n">
        <f aca="false">Declarations!$B$47+1000*A180+B180</f>
        <v>926164</v>
      </c>
      <c r="D180" s="26" t="n">
        <v>1</v>
      </c>
      <c r="E180" s="26" t="n">
        <v>1</v>
      </c>
      <c r="F180" s="26" t="n">
        <v>8</v>
      </c>
      <c r="G180" s="26" t="n">
        <v>2</v>
      </c>
      <c r="H180" s="26" t="n">
        <v>0</v>
      </c>
      <c r="I180" s="16" t="n">
        <f aca="false">0.5*(ABS(D180/A180-Declarations!$B$25)+ABS(E180/A180-Declarations!$B$26)+ABS(F180/A180-Declarations!$B$27)+ABS(G180/A180-Declarations!$B$28)+ABS(H180/A180-Declarations!$B$29))</f>
        <v>0.2</v>
      </c>
      <c r="J180" s="20" t="n">
        <v>0</v>
      </c>
      <c r="K180" s="26" t="n">
        <v>1</v>
      </c>
    </row>
    <row r="181" customFormat="false" ht="15" hidden="false" customHeight="false" outlineLevel="0" collapsed="false">
      <c r="A181" s="14" t="n">
        <v>12</v>
      </c>
      <c r="B181" s="14" t="n">
        <v>165</v>
      </c>
      <c r="C181" s="14" t="n">
        <f aca="false">Declarations!$B$47+1000*A181+B181</f>
        <v>926165</v>
      </c>
      <c r="D181" s="26" t="n">
        <v>2</v>
      </c>
      <c r="E181" s="26" t="n">
        <v>3</v>
      </c>
      <c r="F181" s="26" t="n">
        <v>4</v>
      </c>
      <c r="G181" s="26" t="n">
        <v>3</v>
      </c>
      <c r="H181" s="26" t="n">
        <v>0</v>
      </c>
      <c r="I181" s="16" t="n">
        <f aca="false">0.5*(ABS(D181/A181-Declarations!$B$25)+ABS(E181/A181-Declarations!$B$26)+ABS(F181/A181-Declarations!$B$27)+ABS(G181/A181-Declarations!$B$28)+ABS(H181/A181-Declarations!$B$29))</f>
        <v>0.216666666666667</v>
      </c>
      <c r="J181" s="20" t="n">
        <v>3.04521269781455</v>
      </c>
      <c r="K181" s="26" t="n">
        <v>0</v>
      </c>
    </row>
    <row r="182" customFormat="false" ht="15" hidden="false" customHeight="false" outlineLevel="0" collapsed="false">
      <c r="A182" s="14" t="n">
        <v>12</v>
      </c>
      <c r="B182" s="14" t="n">
        <v>166</v>
      </c>
      <c r="C182" s="14" t="n">
        <f aca="false">Declarations!$B$47+1000*A182+B182</f>
        <v>926166</v>
      </c>
      <c r="D182" s="26" t="n">
        <v>1</v>
      </c>
      <c r="E182" s="26" t="n">
        <v>2</v>
      </c>
      <c r="F182" s="26" t="n">
        <v>6</v>
      </c>
      <c r="G182" s="26" t="n">
        <v>2</v>
      </c>
      <c r="H182" s="26" t="n">
        <v>1</v>
      </c>
      <c r="I182" s="16" t="n">
        <f aca="false">0.5*(ABS(D182/A182-Declarations!$B$25)+ABS(E182/A182-Declarations!$B$26)+ABS(F182/A182-Declarations!$B$27)+ABS(G182/A182-Declarations!$B$28)+ABS(H182/A182-Declarations!$B$29))</f>
        <v>0.0666666666666667</v>
      </c>
      <c r="J182" s="20" t="n">
        <v>0</v>
      </c>
      <c r="K182" s="26" t="n">
        <v>1</v>
      </c>
    </row>
    <row r="183" customFormat="false" ht="15" hidden="false" customHeight="false" outlineLevel="0" collapsed="false">
      <c r="A183" s="14" t="n">
        <v>12</v>
      </c>
      <c r="B183" s="14" t="n">
        <v>167</v>
      </c>
      <c r="C183" s="14" t="n">
        <f aca="false">Declarations!$B$47+1000*A183+B183</f>
        <v>926167</v>
      </c>
      <c r="D183" s="26" t="n">
        <v>1</v>
      </c>
      <c r="E183" s="26" t="n">
        <v>3</v>
      </c>
      <c r="F183" s="26" t="n">
        <v>8</v>
      </c>
      <c r="G183" s="26" t="n">
        <v>0</v>
      </c>
      <c r="H183" s="26" t="n">
        <v>0</v>
      </c>
      <c r="I183" s="16" t="n">
        <f aca="false">0.5*(ABS(D183/A183-Declarations!$B$25)+ABS(E183/A183-Declarations!$B$26)+ABS(F183/A183-Declarations!$B$27)+ABS(G183/A183-Declarations!$B$28)+ABS(H183/A183-Declarations!$B$29))</f>
        <v>0.25</v>
      </c>
      <c r="J183" s="20" t="n">
        <v>0</v>
      </c>
      <c r="K183" s="26" t="n">
        <v>1</v>
      </c>
    </row>
    <row r="184" customFormat="false" ht="15" hidden="false" customHeight="false" outlineLevel="0" collapsed="false">
      <c r="A184" s="14" t="n">
        <v>12</v>
      </c>
      <c r="B184" s="14" t="n">
        <v>168</v>
      </c>
      <c r="C184" s="14" t="n">
        <f aca="false">Declarations!$B$47+1000*A184+B184</f>
        <v>926168</v>
      </c>
      <c r="D184" s="26" t="n">
        <v>0</v>
      </c>
      <c r="E184" s="26" t="n">
        <v>4</v>
      </c>
      <c r="F184" s="26" t="n">
        <v>6</v>
      </c>
      <c r="G184" s="26" t="n">
        <v>2</v>
      </c>
      <c r="H184" s="26" t="n">
        <v>0</v>
      </c>
      <c r="I184" s="16" t="n">
        <f aca="false">0.5*(ABS(D184/A184-Declarations!$B$25)+ABS(E184/A184-Declarations!$B$26)+ABS(F184/A184-Declarations!$B$27)+ABS(G184/A184-Declarations!$B$28)+ABS(H184/A184-Declarations!$B$29))</f>
        <v>0.133333333333333</v>
      </c>
      <c r="J184" s="20" t="n">
        <v>0</v>
      </c>
      <c r="K184" s="26" t="n">
        <v>1</v>
      </c>
    </row>
    <row r="185" customFormat="false" ht="15" hidden="false" customHeight="false" outlineLevel="0" collapsed="false">
      <c r="A185" s="14" t="n">
        <v>12</v>
      </c>
      <c r="B185" s="14" t="n">
        <v>169</v>
      </c>
      <c r="C185" s="14" t="n">
        <f aca="false">Declarations!$B$47+1000*A185+B185</f>
        <v>926169</v>
      </c>
      <c r="D185" s="26" t="n">
        <v>0</v>
      </c>
      <c r="E185" s="26" t="n">
        <v>0</v>
      </c>
      <c r="F185" s="26" t="n">
        <v>8</v>
      </c>
      <c r="G185" s="26" t="n">
        <v>4</v>
      </c>
      <c r="H185" s="26" t="n">
        <v>0</v>
      </c>
      <c r="I185" s="16" t="n">
        <f aca="false">0.5*(ABS(D185/A185-Declarations!$B$25)+ABS(E185/A185-Declarations!$B$26)+ABS(F185/A185-Declarations!$B$27)+ABS(G185/A185-Declarations!$B$28)+ABS(H185/A185-Declarations!$B$29))</f>
        <v>0.3</v>
      </c>
      <c r="J185" s="20" t="n">
        <v>5.03615287384906</v>
      </c>
      <c r="K185" s="26" t="n">
        <v>0</v>
      </c>
    </row>
    <row r="186" customFormat="false" ht="15" hidden="false" customHeight="false" outlineLevel="0" collapsed="false">
      <c r="A186" s="14" t="n">
        <v>12</v>
      </c>
      <c r="B186" s="14" t="n">
        <v>170</v>
      </c>
      <c r="C186" s="14" t="n">
        <f aca="false">Declarations!$B$47+1000*A186+B186</f>
        <v>926170</v>
      </c>
      <c r="D186" s="26" t="n">
        <v>0</v>
      </c>
      <c r="E186" s="26" t="n">
        <v>2</v>
      </c>
      <c r="F186" s="26" t="n">
        <v>9</v>
      </c>
      <c r="G186" s="26" t="n">
        <v>1</v>
      </c>
      <c r="H186" s="26" t="n">
        <v>0</v>
      </c>
      <c r="I186" s="16" t="n">
        <f aca="false">0.5*(ABS(D186/A186-Declarations!$B$25)+ABS(E186/A186-Declarations!$B$26)+ABS(F186/A186-Declarations!$B$27)+ABS(G186/A186-Declarations!$B$28)+ABS(H186/A186-Declarations!$B$29))</f>
        <v>0.25</v>
      </c>
      <c r="J186" s="20" t="n">
        <v>0.713021460896897</v>
      </c>
      <c r="K186" s="26" t="n">
        <v>0</v>
      </c>
    </row>
    <row r="187" customFormat="false" ht="15" hidden="false" customHeight="false" outlineLevel="0" collapsed="false">
      <c r="A187" s="14" t="n">
        <v>12</v>
      </c>
      <c r="B187" s="14" t="n">
        <v>171</v>
      </c>
      <c r="C187" s="14" t="n">
        <f aca="false">Declarations!$B$47+1000*A187+B187</f>
        <v>926171</v>
      </c>
      <c r="D187" s="26" t="n">
        <v>0</v>
      </c>
      <c r="E187" s="26" t="n">
        <v>3</v>
      </c>
      <c r="F187" s="26" t="n">
        <v>4</v>
      </c>
      <c r="G187" s="26" t="n">
        <v>5</v>
      </c>
      <c r="H187" s="26" t="n">
        <v>0</v>
      </c>
      <c r="I187" s="16" t="n">
        <f aca="false">0.5*(ABS(D187/A187-Declarations!$B$25)+ABS(E187/A187-Declarations!$B$26)+ABS(F187/A187-Declarations!$B$27)+ABS(G187/A187-Declarations!$B$28)+ABS(H187/A187-Declarations!$B$29))</f>
        <v>0.266666666666667</v>
      </c>
      <c r="J187" s="20" t="n">
        <v>0.00281729995887758</v>
      </c>
      <c r="K187" s="26" t="n">
        <v>0</v>
      </c>
    </row>
    <row r="188" customFormat="false" ht="15" hidden="false" customHeight="false" outlineLevel="0" collapsed="false">
      <c r="A188" s="14" t="n">
        <v>12</v>
      </c>
      <c r="B188" s="14" t="n">
        <v>172</v>
      </c>
      <c r="C188" s="14" t="n">
        <f aca="false">Declarations!$B$47+1000*A188+B188</f>
        <v>926172</v>
      </c>
      <c r="D188" s="26" t="n">
        <v>0</v>
      </c>
      <c r="E188" s="26" t="n">
        <v>2</v>
      </c>
      <c r="F188" s="26" t="n">
        <v>6</v>
      </c>
      <c r="G188" s="26" t="n">
        <v>2</v>
      </c>
      <c r="H188" s="26" t="n">
        <v>2</v>
      </c>
      <c r="I188" s="16" t="n">
        <f aca="false">0.5*(ABS(D188/A188-Declarations!$B$25)+ABS(E188/A188-Declarations!$B$26)+ABS(F188/A188-Declarations!$B$27)+ABS(G188/A188-Declarations!$B$28)+ABS(H188/A188-Declarations!$B$29))</f>
        <v>0.116666666666667</v>
      </c>
      <c r="J188" s="20" t="n">
        <v>0.713021460896897</v>
      </c>
      <c r="K188" s="26" t="n">
        <v>0</v>
      </c>
    </row>
    <row r="189" customFormat="false" ht="15" hidden="false" customHeight="false" outlineLevel="0" collapsed="false">
      <c r="A189" s="14" t="n">
        <v>12</v>
      </c>
      <c r="B189" s="14" t="n">
        <v>173</v>
      </c>
      <c r="C189" s="14" t="n">
        <f aca="false">Declarations!$B$47+1000*A189+B189</f>
        <v>926173</v>
      </c>
      <c r="D189" s="26" t="n">
        <v>2</v>
      </c>
      <c r="E189" s="26" t="n">
        <v>2</v>
      </c>
      <c r="F189" s="26" t="n">
        <v>7</v>
      </c>
      <c r="G189" s="26" t="n">
        <v>1</v>
      </c>
      <c r="H189" s="26" t="n">
        <v>0</v>
      </c>
      <c r="I189" s="16" t="n">
        <f aca="false">0.5*(ABS(D189/A189-Declarations!$B$25)+ABS(E189/A189-Declarations!$B$26)+ABS(F189/A189-Declarations!$B$27)+ABS(G189/A189-Declarations!$B$28)+ABS(H189/A189-Declarations!$B$29))</f>
        <v>0.2</v>
      </c>
      <c r="J189" s="20" t="n">
        <v>2.52014922256666</v>
      </c>
      <c r="K189" s="26" t="n">
        <v>0</v>
      </c>
    </row>
    <row r="190" customFormat="false" ht="15" hidden="false" customHeight="false" outlineLevel="0" collapsed="false">
      <c r="A190" s="14" t="n">
        <v>12</v>
      </c>
      <c r="B190" s="14" t="n">
        <v>174</v>
      </c>
      <c r="C190" s="14" t="n">
        <f aca="false">Declarations!$B$47+1000*A190+B190</f>
        <v>926174</v>
      </c>
      <c r="D190" s="26" t="n">
        <v>1</v>
      </c>
      <c r="E190" s="26" t="n">
        <v>2</v>
      </c>
      <c r="F190" s="26" t="n">
        <v>4</v>
      </c>
      <c r="G190" s="26" t="n">
        <v>5</v>
      </c>
      <c r="H190" s="26" t="n">
        <v>0</v>
      </c>
      <c r="I190" s="16" t="n">
        <f aca="false">0.5*(ABS(D190/A190-Declarations!$B$25)+ABS(E190/A190-Declarations!$B$26)+ABS(F190/A190-Declarations!$B$27)+ABS(G190/A190-Declarations!$B$28)+ABS(H190/A190-Declarations!$B$29))</f>
        <v>0.25</v>
      </c>
      <c r="J190" s="20" t="n">
        <v>0</v>
      </c>
      <c r="K190" s="26" t="n">
        <v>1</v>
      </c>
    </row>
    <row r="191" customFormat="false" ht="15" hidden="false" customHeight="false" outlineLevel="0" collapsed="false">
      <c r="A191" s="14" t="n">
        <v>12</v>
      </c>
      <c r="B191" s="14" t="n">
        <v>175</v>
      </c>
      <c r="C191" s="14" t="n">
        <f aca="false">Declarations!$B$47+1000*A191+B191</f>
        <v>926175</v>
      </c>
      <c r="D191" s="26" t="n">
        <v>1</v>
      </c>
      <c r="E191" s="26" t="n">
        <v>3</v>
      </c>
      <c r="F191" s="26" t="n">
        <v>3</v>
      </c>
      <c r="G191" s="26" t="n">
        <v>3</v>
      </c>
      <c r="H191" s="26" t="n">
        <v>2</v>
      </c>
      <c r="I191" s="16" t="n">
        <f aca="false">0.5*(ABS(D191/A191-Declarations!$B$25)+ABS(E191/A191-Declarations!$B$26)+ABS(F191/A191-Declarations!$B$27)+ABS(G191/A191-Declarations!$B$28)+ABS(H191/A191-Declarations!$B$29))</f>
        <v>0.25</v>
      </c>
      <c r="J191" s="20" t="n">
        <v>0</v>
      </c>
      <c r="K191" s="26" t="n">
        <v>1</v>
      </c>
    </row>
    <row r="192" customFormat="false" ht="15" hidden="false" customHeight="false" outlineLevel="0" collapsed="false">
      <c r="A192" s="14" t="n">
        <v>12</v>
      </c>
      <c r="B192" s="14" t="n">
        <v>176</v>
      </c>
      <c r="C192" s="14" t="n">
        <f aca="false">Declarations!$B$47+1000*A192+B192</f>
        <v>926176</v>
      </c>
      <c r="D192" s="26" t="n">
        <v>0</v>
      </c>
      <c r="E192" s="26" t="n">
        <v>2</v>
      </c>
      <c r="F192" s="26" t="n">
        <v>5</v>
      </c>
      <c r="G192" s="26" t="n">
        <v>5</v>
      </c>
      <c r="H192" s="26" t="n">
        <v>0</v>
      </c>
      <c r="I192" s="16" t="n">
        <f aca="false">0.5*(ABS(D192/A192-Declarations!$B$25)+ABS(E192/A192-Declarations!$B$26)+ABS(F192/A192-Declarations!$B$27)+ABS(G192/A192-Declarations!$B$28)+ABS(H192/A192-Declarations!$B$29))</f>
        <v>0.216666666666667</v>
      </c>
      <c r="J192" s="20" t="n">
        <v>0.713021460896897</v>
      </c>
      <c r="K192" s="26" t="n">
        <v>0</v>
      </c>
    </row>
    <row r="193" customFormat="false" ht="15" hidden="false" customHeight="false" outlineLevel="0" collapsed="false">
      <c r="A193" s="14" t="n">
        <v>12</v>
      </c>
      <c r="B193" s="14" t="n">
        <v>177</v>
      </c>
      <c r="C193" s="14" t="n">
        <f aca="false">Declarations!$B$47+1000*A193+B193</f>
        <v>926177</v>
      </c>
      <c r="D193" s="26" t="n">
        <v>0</v>
      </c>
      <c r="E193" s="26" t="n">
        <v>3</v>
      </c>
      <c r="F193" s="26" t="n">
        <v>5</v>
      </c>
      <c r="G193" s="26" t="n">
        <v>4</v>
      </c>
      <c r="H193" s="26" t="n">
        <v>0</v>
      </c>
      <c r="I193" s="16" t="n">
        <f aca="false">0.5*(ABS(D193/A193-Declarations!$B$25)+ABS(E193/A193-Declarations!$B$26)+ABS(F193/A193-Declarations!$B$27)+ABS(G193/A193-Declarations!$B$28)+ABS(H193/A193-Declarations!$B$29))</f>
        <v>0.183333333333333</v>
      </c>
      <c r="J193" s="20" t="n">
        <v>0.00281729995887758</v>
      </c>
      <c r="K193" s="26" t="n">
        <v>0</v>
      </c>
    </row>
    <row r="194" customFormat="false" ht="15" hidden="false" customHeight="false" outlineLevel="0" collapsed="false">
      <c r="A194" s="14" t="n">
        <v>12</v>
      </c>
      <c r="B194" s="14" t="n">
        <v>178</v>
      </c>
      <c r="C194" s="14" t="n">
        <f aca="false">Declarations!$B$47+1000*A194+B194</f>
        <v>926178</v>
      </c>
      <c r="D194" s="26" t="n">
        <v>1</v>
      </c>
      <c r="E194" s="26" t="n">
        <v>1</v>
      </c>
      <c r="F194" s="26" t="n">
        <v>5</v>
      </c>
      <c r="G194" s="26" t="n">
        <v>2</v>
      </c>
      <c r="H194" s="26" t="n">
        <v>3</v>
      </c>
      <c r="I194" s="16" t="n">
        <f aca="false">0.5*(ABS(D194/A194-Declarations!$B$25)+ABS(E194/A194-Declarations!$B$26)+ABS(F194/A194-Declarations!$B$27)+ABS(G194/A194-Declarations!$B$28)+ABS(H194/A194-Declarations!$B$29))</f>
        <v>0.233333333333333</v>
      </c>
      <c r="J194" s="20" t="n">
        <v>0</v>
      </c>
      <c r="K194" s="26" t="n">
        <v>1</v>
      </c>
    </row>
    <row r="195" customFormat="false" ht="15" hidden="false" customHeight="false" outlineLevel="0" collapsed="false">
      <c r="A195" s="14" t="n">
        <v>12</v>
      </c>
      <c r="B195" s="14" t="n">
        <v>179</v>
      </c>
      <c r="C195" s="14" t="n">
        <f aca="false">Declarations!$B$47+1000*A195+B195</f>
        <v>926179</v>
      </c>
      <c r="D195" s="26" t="n">
        <v>1</v>
      </c>
      <c r="E195" s="26" t="n">
        <v>0</v>
      </c>
      <c r="F195" s="26" t="n">
        <v>8</v>
      </c>
      <c r="G195" s="26" t="n">
        <v>2</v>
      </c>
      <c r="H195" s="26" t="n">
        <v>1</v>
      </c>
      <c r="I195" s="16" t="n">
        <f aca="false">0.5*(ABS(D195/A195-Declarations!$B$25)+ABS(E195/A195-Declarations!$B$26)+ABS(F195/A195-Declarations!$B$27)+ABS(G195/A195-Declarations!$B$28)+ABS(H195/A195-Declarations!$B$29))</f>
        <v>0.233333333333333</v>
      </c>
      <c r="J195" s="20" t="n">
        <v>4.67239414323146</v>
      </c>
      <c r="K195" s="26" t="n">
        <v>0</v>
      </c>
    </row>
    <row r="196" customFormat="false" ht="15" hidden="false" customHeight="false" outlineLevel="0" collapsed="false">
      <c r="A196" s="14" t="n">
        <v>12</v>
      </c>
      <c r="B196" s="14" t="n">
        <v>180</v>
      </c>
      <c r="C196" s="14" t="n">
        <f aca="false">Declarations!$B$47+1000*A196+B196</f>
        <v>926180</v>
      </c>
      <c r="D196" s="26" t="n">
        <v>0</v>
      </c>
      <c r="E196" s="26" t="n">
        <v>3</v>
      </c>
      <c r="F196" s="26" t="n">
        <v>6</v>
      </c>
      <c r="G196" s="26" t="n">
        <v>3</v>
      </c>
      <c r="H196" s="26" t="n">
        <v>0</v>
      </c>
      <c r="I196" s="16" t="n">
        <f aca="false">0.5*(ABS(D196/A196-Declarations!$B$25)+ABS(E196/A196-Declarations!$B$26)+ABS(F196/A196-Declarations!$B$27)+ABS(G196/A196-Declarations!$B$28)+ABS(H196/A196-Declarations!$B$29))</f>
        <v>0.1</v>
      </c>
      <c r="J196" s="20" t="n">
        <v>0.00281729995887758</v>
      </c>
      <c r="K196" s="26" t="n">
        <v>0</v>
      </c>
    </row>
    <row r="197" customFormat="false" ht="15" hidden="false" customHeight="false" outlineLevel="0" collapsed="false">
      <c r="A197" s="14" t="n">
        <v>12</v>
      </c>
      <c r="B197" s="14" t="n">
        <v>181</v>
      </c>
      <c r="C197" s="14" t="n">
        <f aca="false">Declarations!$B$47+1000*A197+B197</f>
        <v>926181</v>
      </c>
      <c r="D197" s="26" t="n">
        <v>0</v>
      </c>
      <c r="E197" s="26" t="n">
        <v>3</v>
      </c>
      <c r="F197" s="26" t="n">
        <v>5</v>
      </c>
      <c r="G197" s="26" t="n">
        <v>2</v>
      </c>
      <c r="H197" s="26" t="n">
        <v>2</v>
      </c>
      <c r="I197" s="16" t="n">
        <f aca="false">0.5*(ABS(D197/A197-Declarations!$B$25)+ABS(E197/A197-Declarations!$B$26)+ABS(F197/A197-Declarations!$B$27)+ABS(G197/A197-Declarations!$B$28)+ABS(H197/A197-Declarations!$B$29))</f>
        <v>0.166666666666667</v>
      </c>
      <c r="J197" s="20" t="n">
        <v>0.115817627028463</v>
      </c>
      <c r="K197" s="26" t="n">
        <v>0</v>
      </c>
    </row>
    <row r="198" customFormat="false" ht="15" hidden="false" customHeight="false" outlineLevel="0" collapsed="false">
      <c r="A198" s="14" t="n">
        <v>12</v>
      </c>
      <c r="B198" s="14" t="n">
        <v>182</v>
      </c>
      <c r="C198" s="14" t="n">
        <f aca="false">Declarations!$B$47+1000*A198+B198</f>
        <v>926182</v>
      </c>
      <c r="D198" s="26" t="n">
        <v>0</v>
      </c>
      <c r="E198" s="26" t="n">
        <v>0</v>
      </c>
      <c r="F198" s="26" t="n">
        <v>11</v>
      </c>
      <c r="G198" s="26" t="n">
        <v>1</v>
      </c>
      <c r="H198" s="26" t="n">
        <v>0</v>
      </c>
      <c r="I198" s="16" t="n">
        <f aca="false">0.5*(ABS(D198/A198-Declarations!$B$25)+ABS(E198/A198-Declarations!$B$26)+ABS(F198/A198-Declarations!$B$27)+ABS(G198/A198-Declarations!$B$28)+ABS(H198/A198-Declarations!$B$29))</f>
        <v>0.416666666666667</v>
      </c>
      <c r="J198" s="20" t="n">
        <v>5.03615287384906</v>
      </c>
      <c r="K198" s="26" t="n">
        <v>0</v>
      </c>
    </row>
    <row r="199" customFormat="false" ht="15" hidden="false" customHeight="false" outlineLevel="0" collapsed="false">
      <c r="A199" s="14" t="n">
        <v>12</v>
      </c>
      <c r="B199" s="14" t="n">
        <v>183</v>
      </c>
      <c r="C199" s="14" t="n">
        <f aca="false">Declarations!$B$47+1000*A199+B199</f>
        <v>926183</v>
      </c>
      <c r="D199" s="26" t="n">
        <v>0</v>
      </c>
      <c r="E199" s="26" t="n">
        <v>3</v>
      </c>
      <c r="F199" s="26" t="n">
        <v>4</v>
      </c>
      <c r="G199" s="26" t="n">
        <v>5</v>
      </c>
      <c r="H199" s="26" t="n">
        <v>0</v>
      </c>
      <c r="I199" s="16" t="n">
        <f aca="false">0.5*(ABS(D199/A199-Declarations!$B$25)+ABS(E199/A199-Declarations!$B$26)+ABS(F199/A199-Declarations!$B$27)+ABS(G199/A199-Declarations!$B$28)+ABS(H199/A199-Declarations!$B$29))</f>
        <v>0.266666666666667</v>
      </c>
      <c r="J199" s="20" t="n">
        <v>0.00281729995887758</v>
      </c>
      <c r="K199" s="26" t="n">
        <v>0</v>
      </c>
    </row>
    <row r="200" customFormat="false" ht="15" hidden="false" customHeight="false" outlineLevel="0" collapsed="false">
      <c r="A200" s="14" t="n">
        <v>12</v>
      </c>
      <c r="B200" s="14" t="n">
        <v>184</v>
      </c>
      <c r="C200" s="14" t="n">
        <f aca="false">Declarations!$B$47+1000*A200+B200</f>
        <v>926184</v>
      </c>
      <c r="D200" s="26" t="n">
        <v>0</v>
      </c>
      <c r="E200" s="26" t="n">
        <v>2</v>
      </c>
      <c r="F200" s="26" t="n">
        <v>6</v>
      </c>
      <c r="G200" s="26" t="n">
        <v>4</v>
      </c>
      <c r="H200" s="26" t="n">
        <v>0</v>
      </c>
      <c r="I200" s="16" t="n">
        <f aca="false">0.5*(ABS(D200/A200-Declarations!$B$25)+ABS(E200/A200-Declarations!$B$26)+ABS(F200/A200-Declarations!$B$27)+ABS(G200/A200-Declarations!$B$28)+ABS(H200/A200-Declarations!$B$29))</f>
        <v>0.133333333333333</v>
      </c>
      <c r="J200" s="20" t="n">
        <v>0.713021460896897</v>
      </c>
      <c r="K200" s="26" t="n">
        <v>0</v>
      </c>
    </row>
    <row r="201" customFormat="false" ht="15" hidden="false" customHeight="false" outlineLevel="0" collapsed="false">
      <c r="A201" s="14" t="n">
        <v>12</v>
      </c>
      <c r="B201" s="14" t="n">
        <v>185</v>
      </c>
      <c r="C201" s="14" t="n">
        <f aca="false">Declarations!$B$47+1000*A201+B201</f>
        <v>926185</v>
      </c>
      <c r="D201" s="26" t="n">
        <v>1</v>
      </c>
      <c r="E201" s="26" t="n">
        <v>2</v>
      </c>
      <c r="F201" s="26" t="n">
        <v>7</v>
      </c>
      <c r="G201" s="26" t="n">
        <v>2</v>
      </c>
      <c r="H201" s="26" t="n">
        <v>0</v>
      </c>
      <c r="I201" s="16" t="n">
        <f aca="false">0.5*(ABS(D201/A201-Declarations!$B$25)+ABS(E201/A201-Declarations!$B$26)+ABS(F201/A201-Declarations!$B$27)+ABS(G201/A201-Declarations!$B$28)+ABS(H201/A201-Declarations!$B$29))</f>
        <v>0.116666666666667</v>
      </c>
      <c r="J201" s="20" t="n">
        <v>0</v>
      </c>
      <c r="K201" s="26" t="n">
        <v>1</v>
      </c>
    </row>
    <row r="202" customFormat="false" ht="15" hidden="false" customHeight="false" outlineLevel="0" collapsed="false">
      <c r="A202" s="14" t="n">
        <v>12</v>
      </c>
      <c r="B202" s="14" t="n">
        <v>186</v>
      </c>
      <c r="C202" s="14" t="n">
        <f aca="false">Declarations!$B$47+1000*A202+B202</f>
        <v>926186</v>
      </c>
      <c r="D202" s="26" t="n">
        <v>0</v>
      </c>
      <c r="E202" s="26" t="n">
        <v>1</v>
      </c>
      <c r="F202" s="26" t="n">
        <v>6</v>
      </c>
      <c r="G202" s="26" t="n">
        <v>4</v>
      </c>
      <c r="H202" s="26" t="n">
        <v>1</v>
      </c>
      <c r="I202" s="16" t="n">
        <f aca="false">0.5*(ABS(D202/A202-Declarations!$B$25)+ABS(E202/A202-Declarations!$B$26)+ABS(F202/A202-Declarations!$B$27)+ABS(G202/A202-Declarations!$B$28)+ABS(H202/A202-Declarations!$B$29))</f>
        <v>0.166666666666667</v>
      </c>
      <c r="J202" s="20" t="n">
        <v>5.03615287384906</v>
      </c>
      <c r="K202" s="26" t="n">
        <v>0</v>
      </c>
    </row>
    <row r="203" customFormat="false" ht="15" hidden="false" customHeight="false" outlineLevel="0" collapsed="false">
      <c r="A203" s="14" t="n">
        <v>12</v>
      </c>
      <c r="B203" s="14" t="n">
        <v>187</v>
      </c>
      <c r="C203" s="14" t="n">
        <f aca="false">Declarations!$B$47+1000*A203+B203</f>
        <v>926187</v>
      </c>
      <c r="D203" s="26" t="n">
        <v>0</v>
      </c>
      <c r="E203" s="26" t="n">
        <v>4</v>
      </c>
      <c r="F203" s="26" t="n">
        <v>2</v>
      </c>
      <c r="G203" s="26" t="n">
        <v>5</v>
      </c>
      <c r="H203" s="26" t="n">
        <v>1</v>
      </c>
      <c r="I203" s="16" t="n">
        <f aca="false">0.5*(ABS(D203/A203-Declarations!$B$25)+ABS(E203/A203-Declarations!$B$26)+ABS(F203/A203-Declarations!$B$27)+ABS(G203/A203-Declarations!$B$28)+ABS(H203/A203-Declarations!$B$29))</f>
        <v>0.383333333333333</v>
      </c>
      <c r="J203" s="20" t="n">
        <v>0</v>
      </c>
      <c r="K203" s="26" t="n">
        <v>1</v>
      </c>
    </row>
    <row r="204" customFormat="false" ht="15" hidden="false" customHeight="false" outlineLevel="0" collapsed="false">
      <c r="A204" s="14" t="n">
        <v>12</v>
      </c>
      <c r="B204" s="14" t="n">
        <v>188</v>
      </c>
      <c r="C204" s="14" t="n">
        <f aca="false">Declarations!$B$47+1000*A204+B204</f>
        <v>926188</v>
      </c>
      <c r="D204" s="26" t="n">
        <v>0</v>
      </c>
      <c r="E204" s="26" t="n">
        <v>5</v>
      </c>
      <c r="F204" s="26" t="n">
        <v>4</v>
      </c>
      <c r="G204" s="26" t="n">
        <v>3</v>
      </c>
      <c r="H204" s="26" t="n">
        <v>0</v>
      </c>
      <c r="I204" s="16" t="n">
        <f aca="false">0.5*(ABS(D204/A204-Declarations!$B$25)+ABS(E204/A204-Declarations!$B$26)+ABS(F204/A204-Declarations!$B$27)+ABS(G204/A204-Declarations!$B$28)+ABS(H204/A204-Declarations!$B$29))</f>
        <v>0.266666666666667</v>
      </c>
      <c r="J204" s="20" t="n">
        <v>0</v>
      </c>
      <c r="K204" s="26" t="n">
        <v>1</v>
      </c>
    </row>
    <row r="205" customFormat="false" ht="15" hidden="false" customHeight="false" outlineLevel="0" collapsed="false">
      <c r="A205" s="14" t="n">
        <v>12</v>
      </c>
      <c r="B205" s="14" t="n">
        <v>189</v>
      </c>
      <c r="C205" s="14" t="n">
        <f aca="false">Declarations!$B$47+1000*A205+B205</f>
        <v>926189</v>
      </c>
      <c r="D205" s="26" t="n">
        <v>0</v>
      </c>
      <c r="E205" s="26" t="n">
        <v>3</v>
      </c>
      <c r="F205" s="26" t="n">
        <v>6</v>
      </c>
      <c r="G205" s="26" t="n">
        <v>3</v>
      </c>
      <c r="H205" s="26" t="n">
        <v>0</v>
      </c>
      <c r="I205" s="16" t="n">
        <f aca="false">0.5*(ABS(D205/A205-Declarations!$B$25)+ABS(E205/A205-Declarations!$B$26)+ABS(F205/A205-Declarations!$B$27)+ABS(G205/A205-Declarations!$B$28)+ABS(H205/A205-Declarations!$B$29))</f>
        <v>0.1</v>
      </c>
      <c r="J205" s="20" t="n">
        <v>0.00281729995887758</v>
      </c>
      <c r="K205" s="26" t="n">
        <v>0</v>
      </c>
    </row>
    <row r="206" customFormat="false" ht="15" hidden="false" customHeight="false" outlineLevel="0" collapsed="false">
      <c r="A206" s="14" t="n">
        <v>12</v>
      </c>
      <c r="B206" s="14" t="n">
        <v>190</v>
      </c>
      <c r="C206" s="14" t="n">
        <f aca="false">Declarations!$B$47+1000*A206+B206</f>
        <v>926190</v>
      </c>
      <c r="D206" s="26" t="n">
        <v>0</v>
      </c>
      <c r="E206" s="26" t="n">
        <v>3</v>
      </c>
      <c r="F206" s="26" t="n">
        <v>8</v>
      </c>
      <c r="G206" s="26" t="n">
        <v>1</v>
      </c>
      <c r="H206" s="26" t="n">
        <v>0</v>
      </c>
      <c r="I206" s="16" t="n">
        <f aca="false">0.5*(ABS(D206/A206-Declarations!$B$25)+ABS(E206/A206-Declarations!$B$26)+ABS(F206/A206-Declarations!$B$27)+ABS(G206/A206-Declarations!$B$28)+ABS(H206/A206-Declarations!$B$29))</f>
        <v>0.216666666666667</v>
      </c>
      <c r="J206" s="20" t="n">
        <v>0.00281729995887758</v>
      </c>
      <c r="K206" s="26" t="n">
        <v>0</v>
      </c>
    </row>
    <row r="207" customFormat="false" ht="15" hidden="false" customHeight="false" outlineLevel="0" collapsed="false">
      <c r="A207" s="14" t="n">
        <v>12</v>
      </c>
      <c r="B207" s="14" t="n">
        <v>191</v>
      </c>
      <c r="C207" s="14" t="n">
        <f aca="false">Declarations!$B$47+1000*A207+B207</f>
        <v>926191</v>
      </c>
      <c r="D207" s="26" t="n">
        <v>0</v>
      </c>
      <c r="E207" s="26" t="n">
        <v>4</v>
      </c>
      <c r="F207" s="26" t="n">
        <v>4</v>
      </c>
      <c r="G207" s="26" t="n">
        <v>2</v>
      </c>
      <c r="H207" s="26" t="n">
        <v>2</v>
      </c>
      <c r="I207" s="16" t="n">
        <f aca="false">0.5*(ABS(D207/A207-Declarations!$B$25)+ABS(E207/A207-Declarations!$B$26)+ABS(F207/A207-Declarations!$B$27)+ABS(G207/A207-Declarations!$B$28)+ABS(H207/A207-Declarations!$B$29))</f>
        <v>0.25</v>
      </c>
      <c r="J207" s="20" t="n">
        <v>0</v>
      </c>
      <c r="K207" s="26" t="n">
        <v>1</v>
      </c>
    </row>
    <row r="208" customFormat="false" ht="15" hidden="false" customHeight="false" outlineLevel="0" collapsed="false">
      <c r="A208" s="14" t="n">
        <v>12</v>
      </c>
      <c r="B208" s="14" t="n">
        <v>192</v>
      </c>
      <c r="C208" s="14" t="n">
        <f aca="false">Declarations!$B$47+1000*A208+B208</f>
        <v>926192</v>
      </c>
      <c r="D208" s="26" t="n">
        <v>1</v>
      </c>
      <c r="E208" s="26" t="n">
        <v>3</v>
      </c>
      <c r="F208" s="26" t="n">
        <v>8</v>
      </c>
      <c r="G208" s="26" t="n">
        <v>0</v>
      </c>
      <c r="H208" s="26" t="n">
        <v>0</v>
      </c>
      <c r="I208" s="16" t="n">
        <f aca="false">0.5*(ABS(D208/A208-Declarations!$B$25)+ABS(E208/A208-Declarations!$B$26)+ABS(F208/A208-Declarations!$B$27)+ABS(G208/A208-Declarations!$B$28)+ABS(H208/A208-Declarations!$B$29))</f>
        <v>0.25</v>
      </c>
      <c r="J208" s="20" t="n">
        <v>0</v>
      </c>
      <c r="K208" s="26" t="n">
        <v>1</v>
      </c>
    </row>
    <row r="209" customFormat="false" ht="15" hidden="false" customHeight="false" outlineLevel="0" collapsed="false">
      <c r="A209" s="14" t="n">
        <v>12</v>
      </c>
      <c r="B209" s="14" t="n">
        <v>193</v>
      </c>
      <c r="C209" s="14" t="n">
        <f aca="false">Declarations!$B$47+1000*A209+B209</f>
        <v>926193</v>
      </c>
      <c r="D209" s="26" t="n">
        <v>0</v>
      </c>
      <c r="E209" s="26" t="n">
        <v>4</v>
      </c>
      <c r="F209" s="26" t="n">
        <v>6</v>
      </c>
      <c r="G209" s="26" t="n">
        <v>2</v>
      </c>
      <c r="H209" s="26" t="n">
        <v>0</v>
      </c>
      <c r="I209" s="16" t="n">
        <f aca="false">0.5*(ABS(D209/A209-Declarations!$B$25)+ABS(E209/A209-Declarations!$B$26)+ABS(F209/A209-Declarations!$B$27)+ABS(G209/A209-Declarations!$B$28)+ABS(H209/A209-Declarations!$B$29))</f>
        <v>0.133333333333333</v>
      </c>
      <c r="J209" s="20" t="n">
        <v>0</v>
      </c>
      <c r="K209" s="26" t="n">
        <v>1</v>
      </c>
    </row>
    <row r="210" customFormat="false" ht="15" hidden="false" customHeight="false" outlineLevel="0" collapsed="false">
      <c r="A210" s="14" t="n">
        <v>12</v>
      </c>
      <c r="B210" s="14" t="n">
        <v>194</v>
      </c>
      <c r="C210" s="14" t="n">
        <f aca="false">Declarations!$B$47+1000*A210+B210</f>
        <v>926194</v>
      </c>
      <c r="D210" s="26" t="n">
        <v>0</v>
      </c>
      <c r="E210" s="26" t="n">
        <v>2</v>
      </c>
      <c r="F210" s="26" t="n">
        <v>5</v>
      </c>
      <c r="G210" s="26" t="n">
        <v>1</v>
      </c>
      <c r="H210" s="26" t="n">
        <v>4</v>
      </c>
      <c r="I210" s="16" t="n">
        <f aca="false">0.5*(ABS(D210/A210-Declarations!$B$25)+ABS(E210/A210-Declarations!$B$26)+ABS(F210/A210-Declarations!$B$27)+ABS(G210/A210-Declarations!$B$28)+ABS(H210/A210-Declarations!$B$29))</f>
        <v>0.283333333333333</v>
      </c>
      <c r="J210" s="20" t="n">
        <v>0.713021460896897</v>
      </c>
      <c r="K210" s="26" t="n">
        <v>0</v>
      </c>
    </row>
    <row r="211" customFormat="false" ht="15" hidden="false" customHeight="false" outlineLevel="0" collapsed="false">
      <c r="A211" s="14" t="n">
        <v>12</v>
      </c>
      <c r="B211" s="14" t="n">
        <v>195</v>
      </c>
      <c r="C211" s="14" t="n">
        <f aca="false">Declarations!$B$47+1000*A211+B211</f>
        <v>926195</v>
      </c>
      <c r="D211" s="26" t="n">
        <v>2</v>
      </c>
      <c r="E211" s="26" t="n">
        <v>0</v>
      </c>
      <c r="F211" s="26" t="n">
        <v>6</v>
      </c>
      <c r="G211" s="26" t="n">
        <v>2</v>
      </c>
      <c r="H211" s="26" t="n">
        <v>2</v>
      </c>
      <c r="I211" s="16" t="n">
        <f aca="false">0.5*(ABS(D211/A211-Declarations!$B$25)+ABS(E211/A211-Declarations!$B$26)+ABS(F211/A211-Declarations!$B$27)+ABS(G211/A211-Declarations!$B$28)+ABS(H211/A211-Declarations!$B$29))</f>
        <v>0.233333333333333</v>
      </c>
      <c r="J211" s="20" t="n">
        <v>2.29751105237367</v>
      </c>
      <c r="K211" s="26" t="n">
        <v>0</v>
      </c>
    </row>
    <row r="212" customFormat="false" ht="15" hidden="false" customHeight="false" outlineLevel="0" collapsed="false">
      <c r="A212" s="14" t="n">
        <v>12</v>
      </c>
      <c r="B212" s="14" t="n">
        <v>196</v>
      </c>
      <c r="C212" s="14" t="n">
        <f aca="false">Declarations!$B$47+1000*A212+B212</f>
        <v>926196</v>
      </c>
      <c r="D212" s="26" t="n">
        <v>1</v>
      </c>
      <c r="E212" s="26" t="n">
        <v>3</v>
      </c>
      <c r="F212" s="26" t="n">
        <v>7</v>
      </c>
      <c r="G212" s="26" t="n">
        <v>1</v>
      </c>
      <c r="H212" s="26" t="n">
        <v>0</v>
      </c>
      <c r="I212" s="16" t="n">
        <f aca="false">0.5*(ABS(D212/A212-Declarations!$B$25)+ABS(E212/A212-Declarations!$B$26)+ABS(F212/A212-Declarations!$B$27)+ABS(G212/A212-Declarations!$B$28)+ABS(H212/A212-Declarations!$B$29))</f>
        <v>0.166666666666667</v>
      </c>
      <c r="J212" s="20" t="n">
        <v>0</v>
      </c>
      <c r="K212" s="26" t="n">
        <v>1</v>
      </c>
    </row>
    <row r="213" customFormat="false" ht="15" hidden="false" customHeight="false" outlineLevel="0" collapsed="false">
      <c r="A213" s="14" t="n">
        <v>12</v>
      </c>
      <c r="B213" s="14" t="n">
        <v>197</v>
      </c>
      <c r="C213" s="14" t="n">
        <f aca="false">Declarations!$B$47+1000*A213+B213</f>
        <v>926197</v>
      </c>
      <c r="D213" s="26" t="n">
        <v>0</v>
      </c>
      <c r="E213" s="26" t="n">
        <v>1</v>
      </c>
      <c r="F213" s="26" t="n">
        <v>8</v>
      </c>
      <c r="G213" s="26" t="n">
        <v>3</v>
      </c>
      <c r="H213" s="26" t="n">
        <v>0</v>
      </c>
      <c r="I213" s="16" t="n">
        <f aca="false">0.5*(ABS(D213/A213-Declarations!$B$25)+ABS(E213/A213-Declarations!$B$26)+ABS(F213/A213-Declarations!$B$27)+ABS(G213/A213-Declarations!$B$28)+ABS(H213/A213-Declarations!$B$29))</f>
        <v>0.216666666666667</v>
      </c>
      <c r="J213" s="20" t="n">
        <v>5.03615287384906</v>
      </c>
      <c r="K213" s="26" t="n">
        <v>0</v>
      </c>
    </row>
    <row r="214" customFormat="false" ht="15" hidden="false" customHeight="false" outlineLevel="0" collapsed="false">
      <c r="A214" s="14" t="n">
        <v>12</v>
      </c>
      <c r="B214" s="14" t="n">
        <v>198</v>
      </c>
      <c r="C214" s="14" t="n">
        <f aca="false">Declarations!$B$47+1000*A214+B214</f>
        <v>926198</v>
      </c>
      <c r="D214" s="26" t="n">
        <v>2</v>
      </c>
      <c r="E214" s="26" t="n">
        <v>2</v>
      </c>
      <c r="F214" s="26" t="n">
        <v>4</v>
      </c>
      <c r="G214" s="26" t="n">
        <v>3</v>
      </c>
      <c r="H214" s="26" t="n">
        <v>1</v>
      </c>
      <c r="I214" s="16" t="n">
        <f aca="false">0.5*(ABS(D214/A214-Declarations!$B$25)+ABS(E214/A214-Declarations!$B$26)+ABS(F214/A214-Declarations!$B$27)+ABS(G214/A214-Declarations!$B$28)+ABS(H214/A214-Declarations!$B$29))</f>
        <v>0.2</v>
      </c>
      <c r="J214" s="20" t="n">
        <v>2.44799484680544</v>
      </c>
      <c r="K214" s="26" t="n">
        <v>0</v>
      </c>
    </row>
    <row r="215" customFormat="false" ht="15" hidden="false" customHeight="false" outlineLevel="0" collapsed="false">
      <c r="A215" s="14" t="n">
        <v>12</v>
      </c>
      <c r="B215" s="14" t="n">
        <v>199</v>
      </c>
      <c r="C215" s="14" t="n">
        <f aca="false">Declarations!$B$47+1000*A215+B215</f>
        <v>926199</v>
      </c>
      <c r="D215" s="26" t="n">
        <v>0</v>
      </c>
      <c r="E215" s="26" t="n">
        <v>1</v>
      </c>
      <c r="F215" s="26" t="n">
        <v>7</v>
      </c>
      <c r="G215" s="26" t="n">
        <v>4</v>
      </c>
      <c r="H215" s="26" t="n">
        <v>0</v>
      </c>
      <c r="I215" s="16" t="n">
        <f aca="false">0.5*(ABS(D215/A215-Declarations!$B$25)+ABS(E215/A215-Declarations!$B$26)+ABS(F215/A215-Declarations!$B$27)+ABS(G215/A215-Declarations!$B$28)+ABS(H215/A215-Declarations!$B$29))</f>
        <v>0.216666666666667</v>
      </c>
      <c r="J215" s="20" t="n">
        <v>5.03615287384906</v>
      </c>
      <c r="K215" s="26" t="n">
        <v>0</v>
      </c>
    </row>
    <row r="216" customFormat="false" ht="15" hidden="false" customHeight="false" outlineLevel="0" collapsed="false">
      <c r="A216" s="14" t="n">
        <v>40</v>
      </c>
      <c r="B216" s="14" t="n">
        <v>0</v>
      </c>
      <c r="C216" s="14" t="n">
        <f aca="false">Declarations!$B$47+1000*A216+B216</f>
        <v>954000</v>
      </c>
      <c r="D216" s="26" t="n">
        <v>1</v>
      </c>
      <c r="E216" s="26" t="n">
        <v>12</v>
      </c>
      <c r="F216" s="26" t="n">
        <v>20</v>
      </c>
      <c r="G216" s="26" t="n">
        <v>5</v>
      </c>
      <c r="H216" s="26" t="n">
        <v>2</v>
      </c>
      <c r="I216" s="16" t="n">
        <f aca="false">0.5*(ABS(D216/A216-Declarations!$B$25)+ABS(E216/A216-Declarations!$B$26)+ABS(F216/A216-Declarations!$B$27)+ABS(G216/A216-Declarations!$B$28)+ABS(H216/A216-Declarations!$B$29))</f>
        <v>0.1</v>
      </c>
      <c r="J216" s="20" t="n">
        <v>0</v>
      </c>
      <c r="K216" s="26" t="n">
        <v>1</v>
      </c>
    </row>
    <row r="217" customFormat="false" ht="15" hidden="false" customHeight="false" outlineLevel="0" collapsed="false">
      <c r="A217" s="14" t="n">
        <v>40</v>
      </c>
      <c r="B217" s="14" t="n">
        <v>1</v>
      </c>
      <c r="C217" s="14" t="n">
        <f aca="false">Declarations!$B$47+1000*A217+B217</f>
        <v>954001</v>
      </c>
      <c r="D217" s="26" t="n">
        <v>4</v>
      </c>
      <c r="E217" s="26" t="n">
        <v>9</v>
      </c>
      <c r="F217" s="26" t="n">
        <v>18</v>
      </c>
      <c r="G217" s="26" t="n">
        <v>6</v>
      </c>
      <c r="H217" s="26" t="n">
        <v>3</v>
      </c>
      <c r="I217" s="16" t="n">
        <f aca="false">0.5*(ABS(D217/A217-Declarations!$B$25)+ABS(E217/A217-Declarations!$B$26)+ABS(F217/A217-Declarations!$B$27)+ABS(G217/A217-Declarations!$B$28)+ABS(H217/A217-Declarations!$B$29))</f>
        <v>0.1</v>
      </c>
      <c r="J217" s="20" t="n">
        <v>0</v>
      </c>
      <c r="K217" s="26" t="n">
        <v>1</v>
      </c>
    </row>
    <row r="218" customFormat="false" ht="15" hidden="false" customHeight="false" outlineLevel="0" collapsed="false">
      <c r="A218" s="14" t="n">
        <v>40</v>
      </c>
      <c r="B218" s="14" t="n">
        <v>2</v>
      </c>
      <c r="C218" s="14" t="n">
        <f aca="false">Declarations!$B$47+1000*A218+B218</f>
        <v>954002</v>
      </c>
      <c r="D218" s="26" t="n">
        <v>3</v>
      </c>
      <c r="E218" s="26" t="n">
        <v>7</v>
      </c>
      <c r="F218" s="26" t="n">
        <v>22</v>
      </c>
      <c r="G218" s="26" t="n">
        <v>7</v>
      </c>
      <c r="H218" s="26" t="n">
        <v>1</v>
      </c>
      <c r="I218" s="16" t="n">
        <f aca="false">0.5*(ABS(D218/A218-Declarations!$B$25)+ABS(E218/A218-Declarations!$B$26)+ABS(F218/A218-Declarations!$B$27)+ABS(G218/A218-Declarations!$B$28)+ABS(H218/A218-Declarations!$B$29))</f>
        <v>0.075</v>
      </c>
      <c r="J218" s="20" t="n">
        <v>0</v>
      </c>
      <c r="K218" s="26" t="n">
        <v>1</v>
      </c>
    </row>
    <row r="219" customFormat="false" ht="15" hidden="false" customHeight="false" outlineLevel="0" collapsed="false">
      <c r="A219" s="14" t="n">
        <v>40</v>
      </c>
      <c r="B219" s="14" t="n">
        <v>3</v>
      </c>
      <c r="C219" s="14" t="n">
        <f aca="false">Declarations!$B$47+1000*A219+B219</f>
        <v>954003</v>
      </c>
      <c r="D219" s="26" t="n">
        <v>2</v>
      </c>
      <c r="E219" s="26" t="n">
        <v>10</v>
      </c>
      <c r="F219" s="26" t="n">
        <v>18</v>
      </c>
      <c r="G219" s="26" t="n">
        <v>7</v>
      </c>
      <c r="H219" s="26" t="n">
        <v>3</v>
      </c>
      <c r="I219" s="16" t="n">
        <f aca="false">0.5*(ABS(D219/A219-Declarations!$B$25)+ABS(E219/A219-Declarations!$B$26)+ABS(F219/A219-Declarations!$B$27)+ABS(G219/A219-Declarations!$B$28)+ABS(H219/A219-Declarations!$B$29))</f>
        <v>0.075</v>
      </c>
      <c r="J219" s="20" t="n">
        <v>0</v>
      </c>
      <c r="K219" s="26" t="n">
        <v>1</v>
      </c>
    </row>
    <row r="220" customFormat="false" ht="15" hidden="false" customHeight="false" outlineLevel="0" collapsed="false">
      <c r="A220" s="14" t="n">
        <v>40</v>
      </c>
      <c r="B220" s="14" t="n">
        <v>4</v>
      </c>
      <c r="C220" s="14" t="n">
        <f aca="false">Declarations!$B$47+1000*A220+B220</f>
        <v>954004</v>
      </c>
      <c r="D220" s="26" t="n">
        <v>2</v>
      </c>
      <c r="E220" s="26" t="n">
        <v>12</v>
      </c>
      <c r="F220" s="26" t="n">
        <v>19</v>
      </c>
      <c r="G220" s="26" t="n">
        <v>6</v>
      </c>
      <c r="H220" s="26" t="n">
        <v>1</v>
      </c>
      <c r="I220" s="16" t="n">
        <f aca="false">0.5*(ABS(D220/A220-Declarations!$B$25)+ABS(E220/A220-Declarations!$B$26)+ABS(F220/A220-Declarations!$B$27)+ABS(G220/A220-Declarations!$B$28)+ABS(H220/A220-Declarations!$B$29))</f>
        <v>0.1</v>
      </c>
      <c r="J220" s="20" t="n">
        <v>0</v>
      </c>
      <c r="K220" s="26" t="n">
        <v>1</v>
      </c>
    </row>
    <row r="221" customFormat="false" ht="15" hidden="false" customHeight="false" outlineLevel="0" collapsed="false">
      <c r="A221" s="14" t="n">
        <v>40</v>
      </c>
      <c r="B221" s="14" t="n">
        <v>5</v>
      </c>
      <c r="C221" s="14" t="n">
        <f aca="false">Declarations!$B$47+1000*A221+B221</f>
        <v>954005</v>
      </c>
      <c r="D221" s="26" t="n">
        <v>4</v>
      </c>
      <c r="E221" s="26" t="n">
        <v>7</v>
      </c>
      <c r="F221" s="26" t="n">
        <v>17</v>
      </c>
      <c r="G221" s="26" t="n">
        <v>10</v>
      </c>
      <c r="H221" s="26" t="n">
        <v>2</v>
      </c>
      <c r="I221" s="16" t="n">
        <f aca="false">0.5*(ABS(D221/A221-Declarations!$B$25)+ABS(E221/A221-Declarations!$B$26)+ABS(F221/A221-Declarations!$B$27)+ABS(G221/A221-Declarations!$B$28)+ABS(H221/A221-Declarations!$B$29))</f>
        <v>0.1</v>
      </c>
      <c r="J221" s="20" t="n">
        <v>0</v>
      </c>
      <c r="K221" s="26" t="n">
        <v>1</v>
      </c>
    </row>
    <row r="222" customFormat="false" ht="15" hidden="false" customHeight="false" outlineLevel="0" collapsed="false">
      <c r="A222" s="14" t="n">
        <v>40</v>
      </c>
      <c r="B222" s="14" t="n">
        <v>6</v>
      </c>
      <c r="C222" s="14" t="n">
        <f aca="false">Declarations!$B$47+1000*A222+B222</f>
        <v>954006</v>
      </c>
      <c r="D222" s="26" t="n">
        <v>4</v>
      </c>
      <c r="E222" s="26" t="n">
        <v>7</v>
      </c>
      <c r="F222" s="26" t="n">
        <v>14</v>
      </c>
      <c r="G222" s="26" t="n">
        <v>15</v>
      </c>
      <c r="H222" s="26" t="n">
        <v>0</v>
      </c>
      <c r="I222" s="16" t="n">
        <f aca="false">0.5*(ABS(D222/A222-Declarations!$B$25)+ABS(E222/A222-Declarations!$B$26)+ABS(F222/A222-Declarations!$B$27)+ABS(G222/A222-Declarations!$B$28)+ABS(H222/A222-Declarations!$B$29))</f>
        <v>0.225</v>
      </c>
      <c r="J222" s="20" t="n">
        <v>0</v>
      </c>
      <c r="K222" s="26" t="n">
        <v>1</v>
      </c>
    </row>
    <row r="223" customFormat="false" ht="15" hidden="false" customHeight="false" outlineLevel="0" collapsed="false">
      <c r="A223" s="14" t="n">
        <v>40</v>
      </c>
      <c r="B223" s="14" t="n">
        <v>7</v>
      </c>
      <c r="C223" s="14" t="n">
        <f aca="false">Declarations!$B$47+1000*A223+B223</f>
        <v>954007</v>
      </c>
      <c r="D223" s="26" t="n">
        <v>2</v>
      </c>
      <c r="E223" s="26" t="n">
        <v>7</v>
      </c>
      <c r="F223" s="26" t="n">
        <v>22</v>
      </c>
      <c r="G223" s="26" t="n">
        <v>9</v>
      </c>
      <c r="H223" s="26" t="n">
        <v>0</v>
      </c>
      <c r="I223" s="16" t="n">
        <f aca="false">0.5*(ABS(D223/A223-Declarations!$B$25)+ABS(E223/A223-Declarations!$B$26)+ABS(F223/A223-Declarations!$B$27)+ABS(G223/A223-Declarations!$B$28)+ABS(H223/A223-Declarations!$B$29))</f>
        <v>0.075</v>
      </c>
      <c r="J223" s="20" t="n">
        <v>0</v>
      </c>
      <c r="K223" s="26" t="n">
        <v>1</v>
      </c>
    </row>
    <row r="224" customFormat="false" ht="15" hidden="false" customHeight="false" outlineLevel="0" collapsed="false">
      <c r="A224" s="14" t="n">
        <v>40</v>
      </c>
      <c r="B224" s="14" t="n">
        <v>8</v>
      </c>
      <c r="C224" s="14" t="n">
        <f aca="false">Declarations!$B$47+1000*A224+B224</f>
        <v>954008</v>
      </c>
      <c r="D224" s="26" t="n">
        <v>5</v>
      </c>
      <c r="E224" s="26" t="n">
        <v>11</v>
      </c>
      <c r="F224" s="26" t="n">
        <v>19</v>
      </c>
      <c r="G224" s="26" t="n">
        <v>5</v>
      </c>
      <c r="H224" s="26" t="n">
        <v>0</v>
      </c>
      <c r="I224" s="16" t="n">
        <f aca="false">0.5*(ABS(D224/A224-Declarations!$B$25)+ABS(E224/A224-Declarations!$B$26)+ABS(F224/A224-Declarations!$B$27)+ABS(G224/A224-Declarations!$B$28)+ABS(H224/A224-Declarations!$B$29))</f>
        <v>0.15</v>
      </c>
      <c r="J224" s="20" t="n">
        <v>2.12010750248993</v>
      </c>
      <c r="K224" s="26" t="n">
        <v>0</v>
      </c>
    </row>
    <row r="225" customFormat="false" ht="15" hidden="false" customHeight="false" outlineLevel="0" collapsed="false">
      <c r="A225" s="14" t="n">
        <v>40</v>
      </c>
      <c r="B225" s="14" t="n">
        <v>9</v>
      </c>
      <c r="C225" s="14" t="n">
        <f aca="false">Declarations!$B$47+1000*A225+B225</f>
        <v>954009</v>
      </c>
      <c r="D225" s="26" t="n">
        <v>0</v>
      </c>
      <c r="E225" s="26" t="n">
        <v>8</v>
      </c>
      <c r="F225" s="26" t="n">
        <v>22</v>
      </c>
      <c r="G225" s="26" t="n">
        <v>9</v>
      </c>
      <c r="H225" s="26" t="n">
        <v>1</v>
      </c>
      <c r="I225" s="16" t="n">
        <f aca="false">0.5*(ABS(D225/A225-Declarations!$B$25)+ABS(E225/A225-Declarations!$B$26)+ABS(F225/A225-Declarations!$B$27)+ABS(G225/A225-Declarations!$B$28)+ABS(H225/A225-Declarations!$B$29))</f>
        <v>0.075</v>
      </c>
      <c r="J225" s="20" t="n">
        <v>0.488582070127848</v>
      </c>
      <c r="K225" s="26" t="n">
        <v>0</v>
      </c>
    </row>
    <row r="226" customFormat="false" ht="15" hidden="false" customHeight="false" outlineLevel="0" collapsed="false">
      <c r="A226" s="14" t="n">
        <v>40</v>
      </c>
      <c r="B226" s="14" t="n">
        <v>10</v>
      </c>
      <c r="C226" s="14" t="n">
        <f aca="false">Declarations!$B$47+1000*A226+B226</f>
        <v>954010</v>
      </c>
      <c r="D226" s="26" t="n">
        <v>4</v>
      </c>
      <c r="E226" s="26" t="n">
        <v>4</v>
      </c>
      <c r="F226" s="26" t="n">
        <v>23</v>
      </c>
      <c r="G226" s="26" t="n">
        <v>8</v>
      </c>
      <c r="H226" s="26" t="n">
        <v>1</v>
      </c>
      <c r="I226" s="16" t="n">
        <f aca="false">0.5*(ABS(D226/A226-Declarations!$B$25)+ABS(E226/A226-Declarations!$B$26)+ABS(F226/A226-Declarations!$B$27)+ABS(G226/A226-Declarations!$B$28)+ABS(H226/A226-Declarations!$B$29))</f>
        <v>0.125</v>
      </c>
      <c r="J226" s="20" t="n">
        <v>0</v>
      </c>
      <c r="K226" s="26" t="n">
        <v>1</v>
      </c>
    </row>
    <row r="227" customFormat="false" ht="15" hidden="false" customHeight="false" outlineLevel="0" collapsed="false">
      <c r="A227" s="14" t="n">
        <v>40</v>
      </c>
      <c r="B227" s="14" t="n">
        <v>11</v>
      </c>
      <c r="C227" s="14" t="n">
        <f aca="false">Declarations!$B$47+1000*A227+B227</f>
        <v>954011</v>
      </c>
      <c r="D227" s="26" t="n">
        <v>3</v>
      </c>
      <c r="E227" s="26" t="n">
        <v>7</v>
      </c>
      <c r="F227" s="26" t="n">
        <v>20</v>
      </c>
      <c r="G227" s="26" t="n">
        <v>7</v>
      </c>
      <c r="H227" s="26" t="n">
        <v>3</v>
      </c>
      <c r="I227" s="16" t="n">
        <f aca="false">0.5*(ABS(D227/A227-Declarations!$B$25)+ABS(E227/A227-Declarations!$B$26)+ABS(F227/A227-Declarations!$B$27)+ABS(G227/A227-Declarations!$B$28)+ABS(H227/A227-Declarations!$B$29))</f>
        <v>0.05</v>
      </c>
      <c r="J227" s="20" t="n">
        <v>0</v>
      </c>
      <c r="K227" s="26" t="n">
        <v>1</v>
      </c>
    </row>
    <row r="228" customFormat="false" ht="15" hidden="false" customHeight="false" outlineLevel="0" collapsed="false">
      <c r="A228" s="14" t="n">
        <v>40</v>
      </c>
      <c r="B228" s="14" t="n">
        <v>12</v>
      </c>
      <c r="C228" s="14" t="n">
        <f aca="false">Declarations!$B$47+1000*A228+B228</f>
        <v>954012</v>
      </c>
      <c r="D228" s="26" t="n">
        <v>4</v>
      </c>
      <c r="E228" s="26" t="n">
        <v>8</v>
      </c>
      <c r="F228" s="26" t="n">
        <v>15</v>
      </c>
      <c r="G228" s="26" t="n">
        <v>12</v>
      </c>
      <c r="H228" s="26" t="n">
        <v>1</v>
      </c>
      <c r="I228" s="16" t="n">
        <f aca="false">0.5*(ABS(D228/A228-Declarations!$B$25)+ABS(E228/A228-Declarations!$B$26)+ABS(F228/A228-Declarations!$B$27)+ABS(G228/A228-Declarations!$B$28)+ABS(H228/A228-Declarations!$B$29))</f>
        <v>0.15</v>
      </c>
      <c r="J228" s="20" t="n">
        <v>0</v>
      </c>
      <c r="K228" s="26" t="n">
        <v>1</v>
      </c>
    </row>
    <row r="229" customFormat="false" ht="15" hidden="false" customHeight="false" outlineLevel="0" collapsed="false">
      <c r="A229" s="14" t="n">
        <v>40</v>
      </c>
      <c r="B229" s="14" t="n">
        <v>13</v>
      </c>
      <c r="C229" s="14" t="n">
        <f aca="false">Declarations!$B$47+1000*A229+B229</f>
        <v>954013</v>
      </c>
      <c r="D229" s="26" t="n">
        <v>1</v>
      </c>
      <c r="E229" s="26" t="n">
        <v>8</v>
      </c>
      <c r="F229" s="26" t="n">
        <v>23</v>
      </c>
      <c r="G229" s="26" t="n">
        <v>7</v>
      </c>
      <c r="H229" s="26" t="n">
        <v>1</v>
      </c>
      <c r="I229" s="16" t="n">
        <f aca="false">0.5*(ABS(D229/A229-Declarations!$B$25)+ABS(E229/A229-Declarations!$B$26)+ABS(F229/A229-Declarations!$B$27)+ABS(G229/A229-Declarations!$B$28)+ABS(H229/A229-Declarations!$B$29))</f>
        <v>0.075</v>
      </c>
      <c r="J229" s="20" t="n">
        <v>0</v>
      </c>
      <c r="K229" s="26" t="n">
        <v>1</v>
      </c>
    </row>
    <row r="230" customFormat="false" ht="15" hidden="false" customHeight="false" outlineLevel="0" collapsed="false">
      <c r="A230" s="14" t="n">
        <v>40</v>
      </c>
      <c r="B230" s="14" t="n">
        <v>14</v>
      </c>
      <c r="C230" s="14" t="n">
        <f aca="false">Declarations!$B$47+1000*A230+B230</f>
        <v>954014</v>
      </c>
      <c r="D230" s="26" t="n">
        <v>2</v>
      </c>
      <c r="E230" s="26" t="n">
        <v>9</v>
      </c>
      <c r="F230" s="26" t="n">
        <v>17</v>
      </c>
      <c r="G230" s="26" t="n">
        <v>11</v>
      </c>
      <c r="H230" s="26" t="n">
        <v>1</v>
      </c>
      <c r="I230" s="16" t="n">
        <f aca="false">0.5*(ABS(D230/A230-Declarations!$B$25)+ABS(E230/A230-Declarations!$B$26)+ABS(F230/A230-Declarations!$B$27)+ABS(G230/A230-Declarations!$B$28)+ABS(H230/A230-Declarations!$B$29))</f>
        <v>0.1</v>
      </c>
      <c r="J230" s="20" t="n">
        <v>0</v>
      </c>
      <c r="K230" s="26" t="n">
        <v>1</v>
      </c>
    </row>
    <row r="231" customFormat="false" ht="15" hidden="false" customHeight="false" outlineLevel="0" collapsed="false">
      <c r="A231" s="14" t="n">
        <v>40</v>
      </c>
      <c r="B231" s="14" t="n">
        <v>15</v>
      </c>
      <c r="C231" s="14" t="n">
        <f aca="false">Declarations!$B$47+1000*A231+B231</f>
        <v>954015</v>
      </c>
      <c r="D231" s="26" t="n">
        <v>3</v>
      </c>
      <c r="E231" s="26" t="n">
        <v>4</v>
      </c>
      <c r="F231" s="26" t="n">
        <v>22</v>
      </c>
      <c r="G231" s="26" t="n">
        <v>9</v>
      </c>
      <c r="H231" s="26" t="n">
        <v>2</v>
      </c>
      <c r="I231" s="16" t="n">
        <f aca="false">0.5*(ABS(D231/A231-Declarations!$B$25)+ABS(E231/A231-Declarations!$B$26)+ABS(F231/A231-Declarations!$B$27)+ABS(G231/A231-Declarations!$B$28)+ABS(H231/A231-Declarations!$B$29))</f>
        <v>0.1</v>
      </c>
      <c r="J231" s="20" t="n">
        <v>0</v>
      </c>
      <c r="K231" s="26" t="n">
        <v>1</v>
      </c>
    </row>
    <row r="232" customFormat="false" ht="15" hidden="false" customHeight="false" outlineLevel="0" collapsed="false">
      <c r="A232" s="14" t="n">
        <v>40</v>
      </c>
      <c r="B232" s="14" t="n">
        <v>16</v>
      </c>
      <c r="C232" s="14" t="n">
        <f aca="false">Declarations!$B$47+1000*A232+B232</f>
        <v>954016</v>
      </c>
      <c r="D232" s="26" t="n">
        <v>1</v>
      </c>
      <c r="E232" s="26" t="n">
        <v>13</v>
      </c>
      <c r="F232" s="26" t="n">
        <v>17</v>
      </c>
      <c r="G232" s="26" t="n">
        <v>7</v>
      </c>
      <c r="H232" s="26" t="n">
        <v>2</v>
      </c>
      <c r="I232" s="16" t="n">
        <f aca="false">0.5*(ABS(D232/A232-Declarations!$B$25)+ABS(E232/A232-Declarations!$B$26)+ABS(F232/A232-Declarations!$B$27)+ABS(G232/A232-Declarations!$B$28)+ABS(H232/A232-Declarations!$B$29))</f>
        <v>0.125</v>
      </c>
      <c r="J232" s="20" t="n">
        <v>0</v>
      </c>
      <c r="K232" s="26" t="n">
        <v>1</v>
      </c>
    </row>
    <row r="233" customFormat="false" ht="15" hidden="false" customHeight="false" outlineLevel="0" collapsed="false">
      <c r="A233" s="14" t="n">
        <v>40</v>
      </c>
      <c r="B233" s="14" t="n">
        <v>17</v>
      </c>
      <c r="C233" s="14" t="n">
        <f aca="false">Declarations!$B$47+1000*A233+B233</f>
        <v>954017</v>
      </c>
      <c r="D233" s="26" t="n">
        <v>1</v>
      </c>
      <c r="E233" s="26" t="n">
        <v>8</v>
      </c>
      <c r="F233" s="26" t="n">
        <v>20</v>
      </c>
      <c r="G233" s="26" t="n">
        <v>7</v>
      </c>
      <c r="H233" s="26" t="n">
        <v>4</v>
      </c>
      <c r="I233" s="16" t="n">
        <f aca="false">0.5*(ABS(D233/A233-Declarations!$B$25)+ABS(E233/A233-Declarations!$B$26)+ABS(F233/A233-Declarations!$B$27)+ABS(G233/A233-Declarations!$B$28)+ABS(H233/A233-Declarations!$B$29))</f>
        <v>0.05</v>
      </c>
      <c r="J233" s="20" t="n">
        <v>0.00281729995887758</v>
      </c>
      <c r="K233" s="26" t="n">
        <v>0</v>
      </c>
    </row>
    <row r="234" customFormat="false" ht="15" hidden="false" customHeight="false" outlineLevel="0" collapsed="false">
      <c r="A234" s="14" t="n">
        <v>40</v>
      </c>
      <c r="B234" s="14" t="n">
        <v>18</v>
      </c>
      <c r="C234" s="14" t="n">
        <f aca="false">Declarations!$B$47+1000*A234+B234</f>
        <v>954018</v>
      </c>
      <c r="D234" s="26" t="n">
        <v>4</v>
      </c>
      <c r="E234" s="26" t="n">
        <v>11</v>
      </c>
      <c r="F234" s="26" t="n">
        <v>15</v>
      </c>
      <c r="G234" s="26" t="n">
        <v>8</v>
      </c>
      <c r="H234" s="26" t="n">
        <v>2</v>
      </c>
      <c r="I234" s="16" t="n">
        <f aca="false">0.5*(ABS(D234/A234-Declarations!$B$25)+ABS(E234/A234-Declarations!$B$26)+ABS(F234/A234-Declarations!$B$27)+ABS(G234/A234-Declarations!$B$28)+ABS(H234/A234-Declarations!$B$29))</f>
        <v>0.125</v>
      </c>
      <c r="J234" s="20" t="n">
        <v>0.317486583715066</v>
      </c>
      <c r="K234" s="26" t="n">
        <v>0</v>
      </c>
    </row>
    <row r="235" customFormat="false" ht="15" hidden="false" customHeight="false" outlineLevel="0" collapsed="false">
      <c r="A235" s="14" t="n">
        <v>40</v>
      </c>
      <c r="B235" s="14" t="n">
        <v>19</v>
      </c>
      <c r="C235" s="14" t="n">
        <f aca="false">Declarations!$B$47+1000*A235+B235</f>
        <v>954019</v>
      </c>
      <c r="D235" s="26" t="n">
        <v>1</v>
      </c>
      <c r="E235" s="26" t="n">
        <v>10</v>
      </c>
      <c r="F235" s="26" t="n">
        <v>19</v>
      </c>
      <c r="G235" s="26" t="n">
        <v>8</v>
      </c>
      <c r="H235" s="26" t="n">
        <v>2</v>
      </c>
      <c r="I235" s="16" t="n">
        <f aca="false">0.5*(ABS(D235/A235-Declarations!$B$25)+ABS(E235/A235-Declarations!$B$26)+ABS(F235/A235-Declarations!$B$27)+ABS(G235/A235-Declarations!$B$28)+ABS(H235/A235-Declarations!$B$29))</f>
        <v>0.05</v>
      </c>
      <c r="J235" s="20" t="n">
        <v>0</v>
      </c>
      <c r="K235" s="26" t="n">
        <v>1</v>
      </c>
    </row>
    <row r="236" customFormat="false" ht="15" hidden="false" customHeight="false" outlineLevel="0" collapsed="false">
      <c r="A236" s="14" t="n">
        <v>40</v>
      </c>
      <c r="B236" s="14" t="n">
        <v>20</v>
      </c>
      <c r="C236" s="14" t="n">
        <f aca="false">Declarations!$B$47+1000*A236+B236</f>
        <v>954020</v>
      </c>
      <c r="D236" s="26" t="n">
        <v>3</v>
      </c>
      <c r="E236" s="26" t="n">
        <v>10</v>
      </c>
      <c r="F236" s="26" t="n">
        <v>17</v>
      </c>
      <c r="G236" s="26" t="n">
        <v>5</v>
      </c>
      <c r="H236" s="26" t="n">
        <v>5</v>
      </c>
      <c r="I236" s="16" t="n">
        <f aca="false">0.5*(ABS(D236/A236-Declarations!$B$25)+ABS(E236/A236-Declarations!$B$26)+ABS(F236/A236-Declarations!$B$27)+ABS(G236/A236-Declarations!$B$28)+ABS(H236/A236-Declarations!$B$29))</f>
        <v>0.15</v>
      </c>
      <c r="J236" s="20" t="n">
        <v>0</v>
      </c>
      <c r="K236" s="26" t="n">
        <v>1</v>
      </c>
    </row>
    <row r="237" customFormat="false" ht="15" hidden="false" customHeight="false" outlineLevel="0" collapsed="false">
      <c r="A237" s="14" t="n">
        <v>40</v>
      </c>
      <c r="B237" s="14" t="n">
        <v>21</v>
      </c>
      <c r="C237" s="14" t="n">
        <f aca="false">Declarations!$B$47+1000*A237+B237</f>
        <v>954021</v>
      </c>
      <c r="D237" s="26" t="n">
        <v>2</v>
      </c>
      <c r="E237" s="26" t="n">
        <v>8</v>
      </c>
      <c r="F237" s="26" t="n">
        <v>24</v>
      </c>
      <c r="G237" s="26" t="n">
        <v>5</v>
      </c>
      <c r="H237" s="26" t="n">
        <v>1</v>
      </c>
      <c r="I237" s="16" t="n">
        <f aca="false">0.5*(ABS(D237/A237-Declarations!$B$25)+ABS(E237/A237-Declarations!$B$26)+ABS(F237/A237-Declarations!$B$27)+ABS(G237/A237-Declarations!$B$28)+ABS(H237/A237-Declarations!$B$29))</f>
        <v>0.1</v>
      </c>
      <c r="J237" s="20" t="n">
        <v>0</v>
      </c>
      <c r="K237" s="26" t="n">
        <v>1</v>
      </c>
    </row>
    <row r="238" customFormat="false" ht="15" hidden="false" customHeight="false" outlineLevel="0" collapsed="false">
      <c r="A238" s="14" t="n">
        <v>40</v>
      </c>
      <c r="B238" s="14" t="n">
        <v>22</v>
      </c>
      <c r="C238" s="14" t="n">
        <f aca="false">Declarations!$B$47+1000*A238+B238</f>
        <v>954022</v>
      </c>
      <c r="D238" s="26" t="n">
        <v>1</v>
      </c>
      <c r="E238" s="26" t="n">
        <v>3</v>
      </c>
      <c r="F238" s="26" t="n">
        <v>27</v>
      </c>
      <c r="G238" s="26" t="n">
        <v>7</v>
      </c>
      <c r="H238" s="26" t="n">
        <v>2</v>
      </c>
      <c r="I238" s="16" t="n">
        <f aca="false">0.5*(ABS(D238/A238-Declarations!$B$25)+ABS(E238/A238-Declarations!$B$26)+ABS(F238/A238-Declarations!$B$27)+ABS(G238/A238-Declarations!$B$28)+ABS(H238/A238-Declarations!$B$29))</f>
        <v>0.175</v>
      </c>
      <c r="J238" s="20" t="n">
        <v>5.03615287384906</v>
      </c>
      <c r="K238" s="26" t="n">
        <v>0</v>
      </c>
    </row>
    <row r="239" customFormat="false" ht="15" hidden="false" customHeight="false" outlineLevel="0" collapsed="false">
      <c r="A239" s="14" t="n">
        <v>40</v>
      </c>
      <c r="B239" s="14" t="n">
        <v>23</v>
      </c>
      <c r="C239" s="14" t="n">
        <f aca="false">Declarations!$B$47+1000*A239+B239</f>
        <v>954023</v>
      </c>
      <c r="D239" s="26" t="n">
        <v>3</v>
      </c>
      <c r="E239" s="26" t="n">
        <v>5</v>
      </c>
      <c r="F239" s="26" t="n">
        <v>19</v>
      </c>
      <c r="G239" s="26" t="n">
        <v>11</v>
      </c>
      <c r="H239" s="26" t="n">
        <v>2</v>
      </c>
      <c r="I239" s="16" t="n">
        <f aca="false">0.5*(ABS(D239/A239-Declarations!$B$25)+ABS(E239/A239-Declarations!$B$26)+ABS(F239/A239-Declarations!$B$27)+ABS(G239/A239-Declarations!$B$28)+ABS(H239/A239-Declarations!$B$29))</f>
        <v>0.1</v>
      </c>
      <c r="J239" s="20" t="n">
        <v>0</v>
      </c>
      <c r="K239" s="26" t="n">
        <v>1</v>
      </c>
    </row>
    <row r="240" customFormat="false" ht="15" hidden="false" customHeight="false" outlineLevel="0" collapsed="false">
      <c r="A240" s="14" t="n">
        <v>40</v>
      </c>
      <c r="B240" s="14" t="n">
        <v>24</v>
      </c>
      <c r="C240" s="14" t="n">
        <f aca="false">Declarations!$B$47+1000*A240+B240</f>
        <v>954024</v>
      </c>
      <c r="D240" s="26" t="n">
        <v>2</v>
      </c>
      <c r="E240" s="26" t="n">
        <v>4</v>
      </c>
      <c r="F240" s="26" t="n">
        <v>20</v>
      </c>
      <c r="G240" s="26" t="n">
        <v>12</v>
      </c>
      <c r="H240" s="26" t="n">
        <v>2</v>
      </c>
      <c r="I240" s="16" t="n">
        <f aca="false">0.5*(ABS(D240/A240-Declarations!$B$25)+ABS(E240/A240-Declarations!$B$26)+ABS(F240/A240-Declarations!$B$27)+ABS(G240/A240-Declarations!$B$28)+ABS(H240/A240-Declarations!$B$29))</f>
        <v>0.1</v>
      </c>
      <c r="J240" s="20" t="n">
        <v>0.713021460896897</v>
      </c>
      <c r="K240" s="26" t="n">
        <v>0</v>
      </c>
    </row>
    <row r="241" customFormat="false" ht="15" hidden="false" customHeight="false" outlineLevel="0" collapsed="false">
      <c r="A241" s="14" t="n">
        <v>40</v>
      </c>
      <c r="B241" s="14" t="n">
        <v>25</v>
      </c>
      <c r="C241" s="14" t="n">
        <f aca="false">Declarations!$B$47+1000*A241+B241</f>
        <v>954025</v>
      </c>
      <c r="D241" s="26" t="n">
        <v>2</v>
      </c>
      <c r="E241" s="26" t="n">
        <v>5</v>
      </c>
      <c r="F241" s="26" t="n">
        <v>22</v>
      </c>
      <c r="G241" s="26" t="n">
        <v>10</v>
      </c>
      <c r="H241" s="26" t="n">
        <v>1</v>
      </c>
      <c r="I241" s="16" t="n">
        <f aca="false">0.5*(ABS(D241/A241-Declarations!$B$25)+ABS(E241/A241-Declarations!$B$26)+ABS(F241/A241-Declarations!$B$27)+ABS(G241/A241-Declarations!$B$28)+ABS(H241/A241-Declarations!$B$29))</f>
        <v>0.1</v>
      </c>
      <c r="J241" s="20" t="n">
        <v>0.175883920405738</v>
      </c>
      <c r="K241" s="26" t="n">
        <v>0</v>
      </c>
    </row>
    <row r="242" customFormat="false" ht="15" hidden="false" customHeight="false" outlineLevel="0" collapsed="false">
      <c r="A242" s="14" t="n">
        <v>40</v>
      </c>
      <c r="B242" s="14" t="n">
        <v>26</v>
      </c>
      <c r="C242" s="14" t="n">
        <f aca="false">Declarations!$B$47+1000*A242+B242</f>
        <v>954026</v>
      </c>
      <c r="D242" s="26" t="n">
        <v>3</v>
      </c>
      <c r="E242" s="26" t="n">
        <v>10</v>
      </c>
      <c r="F242" s="26" t="n">
        <v>15</v>
      </c>
      <c r="G242" s="26" t="n">
        <v>10</v>
      </c>
      <c r="H242" s="26" t="n">
        <v>2</v>
      </c>
      <c r="I242" s="16" t="n">
        <f aca="false">0.5*(ABS(D242/A242-Declarations!$B$25)+ABS(E242/A242-Declarations!$B$26)+ABS(F242/A242-Declarations!$B$27)+ABS(G242/A242-Declarations!$B$28)+ABS(H242/A242-Declarations!$B$29))</f>
        <v>0.125</v>
      </c>
      <c r="J242" s="20" t="n">
        <v>0</v>
      </c>
      <c r="K242" s="26" t="n">
        <v>1</v>
      </c>
    </row>
    <row r="243" customFormat="false" ht="15" hidden="false" customHeight="false" outlineLevel="0" collapsed="false">
      <c r="A243" s="14" t="n">
        <v>40</v>
      </c>
      <c r="B243" s="14" t="n">
        <v>27</v>
      </c>
      <c r="C243" s="14" t="n">
        <f aca="false">Declarations!$B$47+1000*A243+B243</f>
        <v>954027</v>
      </c>
      <c r="D243" s="26" t="n">
        <v>1</v>
      </c>
      <c r="E243" s="26" t="n">
        <v>9</v>
      </c>
      <c r="F243" s="26" t="n">
        <v>16</v>
      </c>
      <c r="G243" s="26" t="n">
        <v>10</v>
      </c>
      <c r="H243" s="26" t="n">
        <v>4</v>
      </c>
      <c r="I243" s="16" t="n">
        <f aca="false">0.5*(ABS(D243/A243-Declarations!$B$25)+ABS(E243/A243-Declarations!$B$26)+ABS(F243/A243-Declarations!$B$27)+ABS(G243/A243-Declarations!$B$28)+ABS(H243/A243-Declarations!$B$29))</f>
        <v>0.125</v>
      </c>
      <c r="J243" s="20" t="n">
        <v>0</v>
      </c>
      <c r="K243" s="26" t="n">
        <v>1</v>
      </c>
    </row>
    <row r="244" customFormat="false" ht="15" hidden="false" customHeight="false" outlineLevel="0" collapsed="false">
      <c r="A244" s="14" t="n">
        <v>40</v>
      </c>
      <c r="B244" s="14" t="n">
        <v>28</v>
      </c>
      <c r="C244" s="14" t="n">
        <f aca="false">Declarations!$B$47+1000*A244+B244</f>
        <v>954028</v>
      </c>
      <c r="D244" s="26" t="n">
        <v>3</v>
      </c>
      <c r="E244" s="26" t="n">
        <v>5</v>
      </c>
      <c r="F244" s="26" t="n">
        <v>20</v>
      </c>
      <c r="G244" s="26" t="n">
        <v>10</v>
      </c>
      <c r="H244" s="26" t="n">
        <v>2</v>
      </c>
      <c r="I244" s="16" t="n">
        <f aca="false">0.5*(ABS(D244/A244-Declarations!$B$25)+ABS(E244/A244-Declarations!$B$26)+ABS(F244/A244-Declarations!$B$27)+ABS(G244/A244-Declarations!$B$28)+ABS(H244/A244-Declarations!$B$29))</f>
        <v>0.075</v>
      </c>
      <c r="J244" s="20" t="n">
        <v>0</v>
      </c>
      <c r="K244" s="26" t="n">
        <v>1</v>
      </c>
    </row>
    <row r="245" customFormat="false" ht="15" hidden="false" customHeight="false" outlineLevel="0" collapsed="false">
      <c r="A245" s="14" t="n">
        <v>40</v>
      </c>
      <c r="B245" s="14" t="n">
        <v>29</v>
      </c>
      <c r="C245" s="14" t="n">
        <f aca="false">Declarations!$B$47+1000*A245+B245</f>
        <v>954029</v>
      </c>
      <c r="D245" s="26" t="n">
        <v>3</v>
      </c>
      <c r="E245" s="26" t="n">
        <v>7</v>
      </c>
      <c r="F245" s="26" t="n">
        <v>21</v>
      </c>
      <c r="G245" s="26" t="n">
        <v>7</v>
      </c>
      <c r="H245" s="26" t="n">
        <v>2</v>
      </c>
      <c r="I245" s="16" t="n">
        <f aca="false">0.5*(ABS(D245/A245-Declarations!$B$25)+ABS(E245/A245-Declarations!$B$26)+ABS(F245/A245-Declarations!$B$27)+ABS(G245/A245-Declarations!$B$28)+ABS(H245/A245-Declarations!$B$29))</f>
        <v>0.05</v>
      </c>
      <c r="J245" s="20" t="n">
        <v>0</v>
      </c>
      <c r="K245" s="26" t="n">
        <v>1</v>
      </c>
    </row>
    <row r="246" customFormat="false" ht="15" hidden="false" customHeight="false" outlineLevel="0" collapsed="false">
      <c r="A246" s="14" t="n">
        <v>40</v>
      </c>
      <c r="B246" s="14" t="n">
        <v>30</v>
      </c>
      <c r="C246" s="14" t="n">
        <f aca="false">Declarations!$B$47+1000*A246+B246</f>
        <v>954030</v>
      </c>
      <c r="D246" s="26" t="n">
        <v>1</v>
      </c>
      <c r="E246" s="26" t="n">
        <v>5</v>
      </c>
      <c r="F246" s="26" t="n">
        <v>24</v>
      </c>
      <c r="G246" s="26" t="n">
        <v>9</v>
      </c>
      <c r="H246" s="26" t="n">
        <v>1</v>
      </c>
      <c r="I246" s="16" t="n">
        <f aca="false">0.5*(ABS(D246/A246-Declarations!$B$25)+ABS(E246/A246-Declarations!$B$26)+ABS(F246/A246-Declarations!$B$27)+ABS(G246/A246-Declarations!$B$28)+ABS(H246/A246-Declarations!$B$29))</f>
        <v>0.125</v>
      </c>
      <c r="J246" s="20" t="n">
        <v>0.713021460896897</v>
      </c>
      <c r="K246" s="26" t="n">
        <v>0</v>
      </c>
    </row>
    <row r="247" customFormat="false" ht="15" hidden="false" customHeight="false" outlineLevel="0" collapsed="false">
      <c r="A247" s="14" t="n">
        <v>40</v>
      </c>
      <c r="B247" s="14" t="n">
        <v>31</v>
      </c>
      <c r="C247" s="14" t="n">
        <f aca="false">Declarations!$B$47+1000*A247+B247</f>
        <v>954031</v>
      </c>
      <c r="D247" s="26" t="n">
        <v>3</v>
      </c>
      <c r="E247" s="26" t="n">
        <v>10</v>
      </c>
      <c r="F247" s="26" t="n">
        <v>19</v>
      </c>
      <c r="G247" s="26" t="n">
        <v>7</v>
      </c>
      <c r="H247" s="26" t="n">
        <v>1</v>
      </c>
      <c r="I247" s="16" t="n">
        <f aca="false">0.5*(ABS(D247/A247-Declarations!$B$25)+ABS(E247/A247-Declarations!$B$26)+ABS(F247/A247-Declarations!$B$27)+ABS(G247/A247-Declarations!$B$28)+ABS(H247/A247-Declarations!$B$29))</f>
        <v>0.075</v>
      </c>
      <c r="J247" s="20" t="n">
        <v>0</v>
      </c>
      <c r="K247" s="26" t="n">
        <v>1</v>
      </c>
    </row>
    <row r="248" customFormat="false" ht="15" hidden="false" customHeight="false" outlineLevel="0" collapsed="false">
      <c r="A248" s="14" t="n">
        <v>40</v>
      </c>
      <c r="B248" s="14" t="n">
        <v>32</v>
      </c>
      <c r="C248" s="14" t="n">
        <f aca="false">Declarations!$B$47+1000*A248+B248</f>
        <v>954032</v>
      </c>
      <c r="D248" s="26" t="n">
        <v>2</v>
      </c>
      <c r="E248" s="26" t="n">
        <v>12</v>
      </c>
      <c r="F248" s="26" t="n">
        <v>10</v>
      </c>
      <c r="G248" s="26" t="n">
        <v>11</v>
      </c>
      <c r="H248" s="26" t="n">
        <v>5</v>
      </c>
      <c r="I248" s="16" t="n">
        <f aca="false">0.5*(ABS(D248/A248-Declarations!$B$25)+ABS(E248/A248-Declarations!$B$26)+ABS(F248/A248-Declarations!$B$27)+ABS(G248/A248-Declarations!$B$28)+ABS(H248/A248-Declarations!$B$29))</f>
        <v>0.25</v>
      </c>
      <c r="J248" s="20" t="n">
        <v>0</v>
      </c>
      <c r="K248" s="26" t="n">
        <v>1</v>
      </c>
    </row>
    <row r="249" customFormat="false" ht="15" hidden="false" customHeight="false" outlineLevel="0" collapsed="false">
      <c r="A249" s="14" t="n">
        <v>40</v>
      </c>
      <c r="B249" s="14" t="n">
        <v>33</v>
      </c>
      <c r="C249" s="14" t="n">
        <f aca="false">Declarations!$B$47+1000*A249+B249</f>
        <v>954033</v>
      </c>
      <c r="D249" s="26" t="n">
        <v>0</v>
      </c>
      <c r="E249" s="26" t="n">
        <v>6</v>
      </c>
      <c r="F249" s="26" t="n">
        <v>22</v>
      </c>
      <c r="G249" s="26" t="n">
        <v>9</v>
      </c>
      <c r="H249" s="26" t="n">
        <v>3</v>
      </c>
      <c r="I249" s="16" t="n">
        <f aca="false">0.5*(ABS(D249/A249-Declarations!$B$25)+ABS(E249/A249-Declarations!$B$26)+ABS(F249/A249-Declarations!$B$27)+ABS(G249/A249-Declarations!$B$28)+ABS(H249/A249-Declarations!$B$29))</f>
        <v>0.1</v>
      </c>
      <c r="J249" s="20" t="n">
        <v>0.713021460896897</v>
      </c>
      <c r="K249" s="26" t="n">
        <v>0</v>
      </c>
    </row>
    <row r="250" customFormat="false" ht="15" hidden="false" customHeight="false" outlineLevel="0" collapsed="false">
      <c r="A250" s="14" t="n">
        <v>40</v>
      </c>
      <c r="B250" s="14" t="n">
        <v>34</v>
      </c>
      <c r="C250" s="14" t="n">
        <f aca="false">Declarations!$B$47+1000*A250+B250</f>
        <v>954034</v>
      </c>
      <c r="D250" s="26" t="n">
        <v>0</v>
      </c>
      <c r="E250" s="26" t="n">
        <v>14</v>
      </c>
      <c r="F250" s="26" t="n">
        <v>19</v>
      </c>
      <c r="G250" s="26" t="n">
        <v>6</v>
      </c>
      <c r="H250" s="26" t="n">
        <v>1</v>
      </c>
      <c r="I250" s="16" t="n">
        <f aca="false">0.5*(ABS(D250/A250-Declarations!$B$25)+ABS(E250/A250-Declarations!$B$26)+ABS(F250/A250-Declarations!$B$27)+ABS(G250/A250-Declarations!$B$28)+ABS(H250/A250-Declarations!$B$29))</f>
        <v>0.15</v>
      </c>
      <c r="J250" s="20" t="n">
        <v>0</v>
      </c>
      <c r="K250" s="26" t="n">
        <v>1</v>
      </c>
    </row>
    <row r="251" customFormat="false" ht="15" hidden="false" customHeight="false" outlineLevel="0" collapsed="false">
      <c r="A251" s="14" t="n">
        <v>40</v>
      </c>
      <c r="B251" s="14" t="n">
        <v>35</v>
      </c>
      <c r="C251" s="14" t="n">
        <f aca="false">Declarations!$B$47+1000*A251+B251</f>
        <v>954035</v>
      </c>
      <c r="D251" s="26" t="n">
        <v>2</v>
      </c>
      <c r="E251" s="26" t="n">
        <v>8</v>
      </c>
      <c r="F251" s="26" t="n">
        <v>23</v>
      </c>
      <c r="G251" s="26" t="n">
        <v>6</v>
      </c>
      <c r="H251" s="26" t="n">
        <v>1</v>
      </c>
      <c r="I251" s="16" t="n">
        <f aca="false">0.5*(ABS(D251/A251-Declarations!$B$25)+ABS(E251/A251-Declarations!$B$26)+ABS(F251/A251-Declarations!$B$27)+ABS(G251/A251-Declarations!$B$28)+ABS(H251/A251-Declarations!$B$29))</f>
        <v>0.075</v>
      </c>
      <c r="J251" s="20" t="n">
        <v>0</v>
      </c>
      <c r="K251" s="26" t="n">
        <v>1</v>
      </c>
    </row>
    <row r="252" customFormat="false" ht="15" hidden="false" customHeight="false" outlineLevel="0" collapsed="false">
      <c r="A252" s="14" t="n">
        <v>40</v>
      </c>
      <c r="B252" s="14" t="n">
        <v>36</v>
      </c>
      <c r="C252" s="14" t="n">
        <f aca="false">Declarations!$B$47+1000*A252+B252</f>
        <v>954036</v>
      </c>
      <c r="D252" s="26" t="n">
        <v>2</v>
      </c>
      <c r="E252" s="26" t="n">
        <v>8</v>
      </c>
      <c r="F252" s="26" t="n">
        <v>24</v>
      </c>
      <c r="G252" s="26" t="n">
        <v>6</v>
      </c>
      <c r="H252" s="26" t="n">
        <v>0</v>
      </c>
      <c r="I252" s="16" t="n">
        <f aca="false">0.5*(ABS(D252/A252-Declarations!$B$25)+ABS(E252/A252-Declarations!$B$26)+ABS(F252/A252-Declarations!$B$27)+ABS(G252/A252-Declarations!$B$28)+ABS(H252/A252-Declarations!$B$29))</f>
        <v>0.1</v>
      </c>
      <c r="J252" s="20" t="n">
        <v>0</v>
      </c>
      <c r="K252" s="26" t="n">
        <v>1</v>
      </c>
    </row>
    <row r="253" customFormat="false" ht="15" hidden="false" customHeight="false" outlineLevel="0" collapsed="false">
      <c r="A253" s="14" t="n">
        <v>40</v>
      </c>
      <c r="B253" s="14" t="n">
        <v>37</v>
      </c>
      <c r="C253" s="14" t="n">
        <f aca="false">Declarations!$B$47+1000*A253+B253</f>
        <v>954037</v>
      </c>
      <c r="D253" s="26" t="n">
        <v>4</v>
      </c>
      <c r="E253" s="26" t="n">
        <v>4</v>
      </c>
      <c r="F253" s="26" t="n">
        <v>22</v>
      </c>
      <c r="G253" s="26" t="n">
        <v>10</v>
      </c>
      <c r="H253" s="26" t="n">
        <v>0</v>
      </c>
      <c r="I253" s="16" t="n">
        <f aca="false">0.5*(ABS(D253/A253-Declarations!$B$25)+ABS(E253/A253-Declarations!$B$26)+ABS(F253/A253-Declarations!$B$27)+ABS(G253/A253-Declarations!$B$28)+ABS(H253/A253-Declarations!$B$29))</f>
        <v>0.15</v>
      </c>
      <c r="J253" s="20" t="n">
        <v>0</v>
      </c>
      <c r="K253" s="26" t="n">
        <v>1</v>
      </c>
    </row>
    <row r="254" customFormat="false" ht="15" hidden="false" customHeight="false" outlineLevel="0" collapsed="false">
      <c r="A254" s="14" t="n">
        <v>40</v>
      </c>
      <c r="B254" s="14" t="n">
        <v>38</v>
      </c>
      <c r="C254" s="14" t="n">
        <f aca="false">Declarations!$B$47+1000*A254+B254</f>
        <v>954038</v>
      </c>
      <c r="D254" s="26" t="n">
        <v>1</v>
      </c>
      <c r="E254" s="26" t="n">
        <v>7</v>
      </c>
      <c r="F254" s="26" t="n">
        <v>22</v>
      </c>
      <c r="G254" s="26" t="n">
        <v>8</v>
      </c>
      <c r="H254" s="26" t="n">
        <v>2</v>
      </c>
      <c r="I254" s="16" t="n">
        <f aca="false">0.5*(ABS(D254/A254-Declarations!$B$25)+ABS(E254/A254-Declarations!$B$26)+ABS(F254/A254-Declarations!$B$27)+ABS(G254/A254-Declarations!$B$28)+ABS(H254/A254-Declarations!$B$29))</f>
        <v>0.05</v>
      </c>
      <c r="J254" s="20" t="n">
        <v>0.175883920405738</v>
      </c>
      <c r="K254" s="26" t="n">
        <v>0</v>
      </c>
    </row>
    <row r="255" customFormat="false" ht="15" hidden="false" customHeight="false" outlineLevel="0" collapsed="false">
      <c r="A255" s="14" t="n">
        <v>40</v>
      </c>
      <c r="B255" s="14" t="n">
        <v>39</v>
      </c>
      <c r="C255" s="14" t="n">
        <f aca="false">Declarations!$B$47+1000*A255+B255</f>
        <v>954039</v>
      </c>
      <c r="D255" s="26" t="n">
        <v>2</v>
      </c>
      <c r="E255" s="26" t="n">
        <v>7</v>
      </c>
      <c r="F255" s="26" t="n">
        <v>23</v>
      </c>
      <c r="G255" s="26" t="n">
        <v>3</v>
      </c>
      <c r="H255" s="26" t="n">
        <v>5</v>
      </c>
      <c r="I255" s="16" t="n">
        <f aca="false">0.5*(ABS(D255/A255-Declarations!$B$25)+ABS(E255/A255-Declarations!$B$26)+ABS(F255/A255-Declarations!$B$27)+ABS(G255/A255-Declarations!$B$28)+ABS(H255/A255-Declarations!$B$29))</f>
        <v>0.15</v>
      </c>
      <c r="J255" s="20" t="n">
        <v>0</v>
      </c>
      <c r="K255" s="26" t="n">
        <v>1</v>
      </c>
    </row>
    <row r="256" customFormat="false" ht="15" hidden="false" customHeight="false" outlineLevel="0" collapsed="false">
      <c r="A256" s="14" t="n">
        <v>40</v>
      </c>
      <c r="B256" s="14" t="n">
        <v>40</v>
      </c>
      <c r="C256" s="14" t="n">
        <f aca="false">Declarations!$B$47+1000*A256+B256</f>
        <v>954040</v>
      </c>
      <c r="D256" s="26" t="n">
        <v>3</v>
      </c>
      <c r="E256" s="26" t="n">
        <v>8</v>
      </c>
      <c r="F256" s="26" t="n">
        <v>21</v>
      </c>
      <c r="G256" s="26" t="n">
        <v>7</v>
      </c>
      <c r="H256" s="26" t="n">
        <v>1</v>
      </c>
      <c r="I256" s="16" t="n">
        <f aca="false">0.5*(ABS(D256/A256-Declarations!$B$25)+ABS(E256/A256-Declarations!$B$26)+ABS(F256/A256-Declarations!$B$27)+ABS(G256/A256-Declarations!$B$28)+ABS(H256/A256-Declarations!$B$29))</f>
        <v>0.05</v>
      </c>
      <c r="J256" s="20" t="n">
        <v>0</v>
      </c>
      <c r="K256" s="26" t="n">
        <v>1</v>
      </c>
    </row>
    <row r="257" customFormat="false" ht="15" hidden="false" customHeight="false" outlineLevel="0" collapsed="false">
      <c r="A257" s="14" t="n">
        <v>40</v>
      </c>
      <c r="B257" s="14" t="n">
        <v>41</v>
      </c>
      <c r="C257" s="14" t="n">
        <f aca="false">Declarations!$B$47+1000*A257+B257</f>
        <v>954041</v>
      </c>
      <c r="D257" s="26" t="n">
        <v>0</v>
      </c>
      <c r="E257" s="26" t="n">
        <v>11</v>
      </c>
      <c r="F257" s="26" t="n">
        <v>18</v>
      </c>
      <c r="G257" s="26" t="n">
        <v>8</v>
      </c>
      <c r="H257" s="26" t="n">
        <v>3</v>
      </c>
      <c r="I257" s="16" t="n">
        <f aca="false">0.5*(ABS(D257/A257-Declarations!$B$25)+ABS(E257/A257-Declarations!$B$26)+ABS(F257/A257-Declarations!$B$27)+ABS(G257/A257-Declarations!$B$28)+ABS(H257/A257-Declarations!$B$29))</f>
        <v>0.1</v>
      </c>
      <c r="J257" s="20" t="n">
        <v>0</v>
      </c>
      <c r="K257" s="26" t="n">
        <v>1</v>
      </c>
    </row>
    <row r="258" customFormat="false" ht="15" hidden="false" customHeight="false" outlineLevel="0" collapsed="false">
      <c r="A258" s="14" t="n">
        <v>40</v>
      </c>
      <c r="B258" s="14" t="n">
        <v>42</v>
      </c>
      <c r="C258" s="14" t="n">
        <f aca="false">Declarations!$B$47+1000*A258+B258</f>
        <v>954042</v>
      </c>
      <c r="D258" s="26" t="n">
        <v>2</v>
      </c>
      <c r="E258" s="26" t="n">
        <v>13</v>
      </c>
      <c r="F258" s="26" t="n">
        <v>19</v>
      </c>
      <c r="G258" s="26" t="n">
        <v>4</v>
      </c>
      <c r="H258" s="26" t="n">
        <v>2</v>
      </c>
      <c r="I258" s="16" t="n">
        <f aca="false">0.5*(ABS(D258/A258-Declarations!$B$25)+ABS(E258/A258-Declarations!$B$26)+ABS(F258/A258-Declarations!$B$27)+ABS(G258/A258-Declarations!$B$28)+ABS(H258/A258-Declarations!$B$29))</f>
        <v>0.125</v>
      </c>
      <c r="J258" s="20" t="n">
        <v>0</v>
      </c>
      <c r="K258" s="26" t="n">
        <v>1</v>
      </c>
    </row>
    <row r="259" customFormat="false" ht="15" hidden="false" customHeight="false" outlineLevel="0" collapsed="false">
      <c r="A259" s="14" t="n">
        <v>40</v>
      </c>
      <c r="B259" s="14" t="n">
        <v>43</v>
      </c>
      <c r="C259" s="14" t="n">
        <f aca="false">Declarations!$B$47+1000*A259+B259</f>
        <v>954043</v>
      </c>
      <c r="D259" s="26" t="n">
        <v>0</v>
      </c>
      <c r="E259" s="26" t="n">
        <v>6</v>
      </c>
      <c r="F259" s="26" t="n">
        <v>27</v>
      </c>
      <c r="G259" s="26" t="n">
        <v>5</v>
      </c>
      <c r="H259" s="26" t="n">
        <v>2</v>
      </c>
      <c r="I259" s="16" t="n">
        <f aca="false">0.5*(ABS(D259/A259-Declarations!$B$25)+ABS(E259/A259-Declarations!$B$26)+ABS(F259/A259-Declarations!$B$27)+ABS(G259/A259-Declarations!$B$28)+ABS(H259/A259-Declarations!$B$29))</f>
        <v>0.175</v>
      </c>
      <c r="J259" s="20" t="n">
        <v>0.713021460896897</v>
      </c>
      <c r="K259" s="26" t="n">
        <v>0</v>
      </c>
    </row>
    <row r="260" customFormat="false" ht="15" hidden="false" customHeight="false" outlineLevel="0" collapsed="false">
      <c r="A260" s="14" t="n">
        <v>40</v>
      </c>
      <c r="B260" s="14" t="n">
        <v>44</v>
      </c>
      <c r="C260" s="14" t="n">
        <f aca="false">Declarations!$B$47+1000*A260+B260</f>
        <v>954044</v>
      </c>
      <c r="D260" s="26" t="n">
        <v>1</v>
      </c>
      <c r="E260" s="26" t="n">
        <v>7</v>
      </c>
      <c r="F260" s="26" t="n">
        <v>16</v>
      </c>
      <c r="G260" s="26" t="n">
        <v>12</v>
      </c>
      <c r="H260" s="26" t="n">
        <v>4</v>
      </c>
      <c r="I260" s="16" t="n">
        <f aca="false">0.5*(ABS(D260/A260-Declarations!$B$25)+ABS(E260/A260-Declarations!$B$26)+ABS(F260/A260-Declarations!$B$27)+ABS(G260/A260-Declarations!$B$28)+ABS(H260/A260-Declarations!$B$29))</f>
        <v>0.15</v>
      </c>
      <c r="J260" s="20" t="n">
        <v>0.175883920405738</v>
      </c>
      <c r="K260" s="26" t="n">
        <v>0</v>
      </c>
    </row>
    <row r="261" customFormat="false" ht="15" hidden="false" customHeight="false" outlineLevel="0" collapsed="false">
      <c r="A261" s="14" t="n">
        <v>40</v>
      </c>
      <c r="B261" s="14" t="n">
        <v>45</v>
      </c>
      <c r="C261" s="14" t="n">
        <f aca="false">Declarations!$B$47+1000*A261+B261</f>
        <v>954045</v>
      </c>
      <c r="D261" s="26" t="n">
        <v>3</v>
      </c>
      <c r="E261" s="26" t="n">
        <v>5</v>
      </c>
      <c r="F261" s="26" t="n">
        <v>21</v>
      </c>
      <c r="G261" s="26" t="n">
        <v>8</v>
      </c>
      <c r="H261" s="26" t="n">
        <v>3</v>
      </c>
      <c r="I261" s="16" t="n">
        <f aca="false">0.5*(ABS(D261/A261-Declarations!$B$25)+ABS(E261/A261-Declarations!$B$26)+ABS(F261/A261-Declarations!$B$27)+ABS(G261/A261-Declarations!$B$28)+ABS(H261/A261-Declarations!$B$29))</f>
        <v>0.075</v>
      </c>
      <c r="J261" s="20" t="n">
        <v>0</v>
      </c>
      <c r="K261" s="26" t="n">
        <v>1</v>
      </c>
    </row>
    <row r="262" customFormat="false" ht="15" hidden="false" customHeight="false" outlineLevel="0" collapsed="false">
      <c r="A262" s="14" t="n">
        <v>40</v>
      </c>
      <c r="B262" s="14" t="n">
        <v>46</v>
      </c>
      <c r="C262" s="14" t="n">
        <f aca="false">Declarations!$B$47+1000*A262+B262</f>
        <v>954046</v>
      </c>
      <c r="D262" s="26" t="n">
        <v>3</v>
      </c>
      <c r="E262" s="26" t="n">
        <v>8</v>
      </c>
      <c r="F262" s="26" t="n">
        <v>18</v>
      </c>
      <c r="G262" s="26" t="n">
        <v>9</v>
      </c>
      <c r="H262" s="26" t="n">
        <v>2</v>
      </c>
      <c r="I262" s="16" t="n">
        <f aca="false">0.5*(ABS(D262/A262-Declarations!$B$25)+ABS(E262/A262-Declarations!$B$26)+ABS(F262/A262-Declarations!$B$27)+ABS(G262/A262-Declarations!$B$28)+ABS(H262/A262-Declarations!$B$29))</f>
        <v>0.05</v>
      </c>
      <c r="J262" s="20" t="n">
        <v>0</v>
      </c>
      <c r="K262" s="26" t="n">
        <v>1</v>
      </c>
    </row>
    <row r="263" customFormat="false" ht="15" hidden="false" customHeight="false" outlineLevel="0" collapsed="false">
      <c r="A263" s="14" t="n">
        <v>40</v>
      </c>
      <c r="B263" s="14" t="n">
        <v>47</v>
      </c>
      <c r="C263" s="14" t="n">
        <f aca="false">Declarations!$B$47+1000*A263+B263</f>
        <v>954047</v>
      </c>
      <c r="D263" s="26" t="n">
        <v>1</v>
      </c>
      <c r="E263" s="26" t="n">
        <v>7</v>
      </c>
      <c r="F263" s="26" t="n">
        <v>20</v>
      </c>
      <c r="G263" s="26" t="n">
        <v>11</v>
      </c>
      <c r="H263" s="26" t="n">
        <v>1</v>
      </c>
      <c r="I263" s="16" t="n">
        <f aca="false">0.5*(ABS(D263/A263-Declarations!$B$25)+ABS(E263/A263-Declarations!$B$26)+ABS(F263/A263-Declarations!$B$27)+ABS(G263/A263-Declarations!$B$28)+ABS(H263/A263-Declarations!$B$29))</f>
        <v>0.075</v>
      </c>
      <c r="J263" s="20" t="n">
        <v>0.115817627028463</v>
      </c>
      <c r="K263" s="26" t="n">
        <v>0</v>
      </c>
    </row>
    <row r="264" customFormat="false" ht="15" hidden="false" customHeight="false" outlineLevel="0" collapsed="false">
      <c r="A264" s="14" t="n">
        <v>40</v>
      </c>
      <c r="B264" s="14" t="n">
        <v>48</v>
      </c>
      <c r="C264" s="14" t="n">
        <f aca="false">Declarations!$B$47+1000*A264+B264</f>
        <v>954048</v>
      </c>
      <c r="D264" s="26" t="n">
        <v>0</v>
      </c>
      <c r="E264" s="26" t="n">
        <v>11</v>
      </c>
      <c r="F264" s="26" t="n">
        <v>20</v>
      </c>
      <c r="G264" s="26" t="n">
        <v>8</v>
      </c>
      <c r="H264" s="26" t="n">
        <v>1</v>
      </c>
      <c r="I264" s="16" t="n">
        <f aca="false">0.5*(ABS(D264/A264-Declarations!$B$25)+ABS(E264/A264-Declarations!$B$26)+ABS(F264/A264-Declarations!$B$27)+ABS(G264/A264-Declarations!$B$28)+ABS(H264/A264-Declarations!$B$29))</f>
        <v>0.075</v>
      </c>
      <c r="J264" s="20" t="n">
        <v>0</v>
      </c>
      <c r="K264" s="26" t="n">
        <v>1</v>
      </c>
    </row>
    <row r="265" customFormat="false" ht="15" hidden="false" customHeight="false" outlineLevel="0" collapsed="false">
      <c r="A265" s="14" t="n">
        <v>40</v>
      </c>
      <c r="B265" s="14" t="n">
        <v>49</v>
      </c>
      <c r="C265" s="14" t="n">
        <f aca="false">Declarations!$B$47+1000*A265+B265</f>
        <v>954049</v>
      </c>
      <c r="D265" s="26" t="n">
        <v>1</v>
      </c>
      <c r="E265" s="26" t="n">
        <v>12</v>
      </c>
      <c r="F265" s="26" t="n">
        <v>21</v>
      </c>
      <c r="G265" s="26" t="n">
        <v>6</v>
      </c>
      <c r="H265" s="26" t="n">
        <v>0</v>
      </c>
      <c r="I265" s="16" t="n">
        <f aca="false">0.5*(ABS(D265/A265-Declarations!$B$25)+ABS(E265/A265-Declarations!$B$26)+ABS(F265/A265-Declarations!$B$27)+ABS(G265/A265-Declarations!$B$28)+ABS(H265/A265-Declarations!$B$29))</f>
        <v>0.125</v>
      </c>
      <c r="J265" s="20" t="n">
        <v>0</v>
      </c>
      <c r="K265" s="26" t="n">
        <v>1</v>
      </c>
    </row>
    <row r="266" customFormat="false" ht="15" hidden="false" customHeight="false" outlineLevel="0" collapsed="false">
      <c r="A266" s="14" t="n">
        <v>40</v>
      </c>
      <c r="B266" s="14" t="n">
        <v>50</v>
      </c>
      <c r="C266" s="14" t="n">
        <f aca="false">Declarations!$B$47+1000*A266+B266</f>
        <v>954050</v>
      </c>
      <c r="D266" s="26" t="n">
        <v>4</v>
      </c>
      <c r="E266" s="26" t="n">
        <v>4</v>
      </c>
      <c r="F266" s="26" t="n">
        <v>20</v>
      </c>
      <c r="G266" s="26" t="n">
        <v>10</v>
      </c>
      <c r="H266" s="26" t="n">
        <v>2</v>
      </c>
      <c r="I266" s="16" t="n">
        <f aca="false">0.5*(ABS(D266/A266-Declarations!$B$25)+ABS(E266/A266-Declarations!$B$26)+ABS(F266/A266-Declarations!$B$27)+ABS(G266/A266-Declarations!$B$28)+ABS(H266/A266-Declarations!$B$29))</f>
        <v>0.1</v>
      </c>
      <c r="J266" s="20" t="n">
        <v>0</v>
      </c>
      <c r="K266" s="26" t="n">
        <v>1</v>
      </c>
    </row>
    <row r="267" customFormat="false" ht="15" hidden="false" customHeight="false" outlineLevel="0" collapsed="false">
      <c r="A267" s="14" t="n">
        <v>40</v>
      </c>
      <c r="B267" s="14" t="n">
        <v>51</v>
      </c>
      <c r="C267" s="14" t="n">
        <f aca="false">Declarations!$B$47+1000*A267+B267</f>
        <v>954051</v>
      </c>
      <c r="D267" s="26" t="n">
        <v>1</v>
      </c>
      <c r="E267" s="26" t="n">
        <v>9</v>
      </c>
      <c r="F267" s="26" t="n">
        <v>23</v>
      </c>
      <c r="G267" s="26" t="n">
        <v>6</v>
      </c>
      <c r="H267" s="26" t="n">
        <v>1</v>
      </c>
      <c r="I267" s="16" t="n">
        <f aca="false">0.5*(ABS(D267/A267-Declarations!$B$25)+ABS(E267/A267-Declarations!$B$26)+ABS(F267/A267-Declarations!$B$27)+ABS(G267/A267-Declarations!$B$28)+ABS(H267/A267-Declarations!$B$29))</f>
        <v>0.1</v>
      </c>
      <c r="J267" s="20" t="n">
        <v>0</v>
      </c>
      <c r="K267" s="26" t="n">
        <v>1</v>
      </c>
    </row>
    <row r="268" customFormat="false" ht="15" hidden="false" customHeight="false" outlineLevel="0" collapsed="false">
      <c r="A268" s="14" t="n">
        <v>40</v>
      </c>
      <c r="B268" s="14" t="n">
        <v>52</v>
      </c>
      <c r="C268" s="14" t="n">
        <f aca="false">Declarations!$B$47+1000*A268+B268</f>
        <v>954052</v>
      </c>
      <c r="D268" s="26" t="n">
        <v>4</v>
      </c>
      <c r="E268" s="26" t="n">
        <v>6</v>
      </c>
      <c r="F268" s="26" t="n">
        <v>17</v>
      </c>
      <c r="G268" s="26" t="n">
        <v>10</v>
      </c>
      <c r="H268" s="26" t="n">
        <v>3</v>
      </c>
      <c r="I268" s="16" t="n">
        <f aca="false">0.5*(ABS(D268/A268-Declarations!$B$25)+ABS(E268/A268-Declarations!$B$26)+ABS(F268/A268-Declarations!$B$27)+ABS(G268/A268-Declarations!$B$28)+ABS(H268/A268-Declarations!$B$29))</f>
        <v>0.125</v>
      </c>
      <c r="J268" s="20" t="n">
        <v>0</v>
      </c>
      <c r="K268" s="26" t="n">
        <v>1</v>
      </c>
    </row>
    <row r="269" customFormat="false" ht="15" hidden="false" customHeight="false" outlineLevel="0" collapsed="false">
      <c r="A269" s="14" t="n">
        <v>40</v>
      </c>
      <c r="B269" s="14" t="n">
        <v>53</v>
      </c>
      <c r="C269" s="14" t="n">
        <f aca="false">Declarations!$B$47+1000*A269+B269</f>
        <v>954053</v>
      </c>
      <c r="D269" s="26" t="n">
        <v>2</v>
      </c>
      <c r="E269" s="26" t="n">
        <v>8</v>
      </c>
      <c r="F269" s="26" t="n">
        <v>18</v>
      </c>
      <c r="G269" s="26" t="n">
        <v>9</v>
      </c>
      <c r="H269" s="26" t="n">
        <v>3</v>
      </c>
      <c r="I269" s="16" t="n">
        <f aca="false">0.5*(ABS(D269/A269-Declarations!$B$25)+ABS(E269/A269-Declarations!$B$26)+ABS(F269/A269-Declarations!$B$27)+ABS(G269/A269-Declarations!$B$28)+ABS(H269/A269-Declarations!$B$29))</f>
        <v>0.05</v>
      </c>
      <c r="J269" s="20" t="n">
        <v>0</v>
      </c>
      <c r="K269" s="26" t="n">
        <v>1</v>
      </c>
    </row>
    <row r="270" customFormat="false" ht="15" hidden="false" customHeight="false" outlineLevel="0" collapsed="false">
      <c r="A270" s="14" t="n">
        <v>40</v>
      </c>
      <c r="B270" s="14" t="n">
        <v>54</v>
      </c>
      <c r="C270" s="14" t="n">
        <f aca="false">Declarations!$B$47+1000*A270+B270</f>
        <v>954054</v>
      </c>
      <c r="D270" s="26" t="n">
        <v>1</v>
      </c>
      <c r="E270" s="26" t="n">
        <v>10</v>
      </c>
      <c r="F270" s="26" t="n">
        <v>17</v>
      </c>
      <c r="G270" s="26" t="n">
        <v>11</v>
      </c>
      <c r="H270" s="26" t="n">
        <v>1</v>
      </c>
      <c r="I270" s="16" t="n">
        <f aca="false">0.5*(ABS(D270/A270-Declarations!$B$25)+ABS(E270/A270-Declarations!$B$26)+ABS(F270/A270-Declarations!$B$27)+ABS(G270/A270-Declarations!$B$28)+ABS(H270/A270-Declarations!$B$29))</f>
        <v>0.125</v>
      </c>
      <c r="J270" s="20" t="n">
        <v>0</v>
      </c>
      <c r="K270" s="26" t="n">
        <v>1</v>
      </c>
    </row>
    <row r="271" customFormat="false" ht="15" hidden="false" customHeight="false" outlineLevel="0" collapsed="false">
      <c r="A271" s="14" t="n">
        <v>40</v>
      </c>
      <c r="B271" s="14" t="n">
        <v>55</v>
      </c>
      <c r="C271" s="14" t="n">
        <f aca="false">Declarations!$B$47+1000*A271+B271</f>
        <v>954055</v>
      </c>
      <c r="D271" s="26" t="n">
        <v>1</v>
      </c>
      <c r="E271" s="26" t="n">
        <v>8</v>
      </c>
      <c r="F271" s="26" t="n">
        <v>23</v>
      </c>
      <c r="G271" s="26" t="n">
        <v>6</v>
      </c>
      <c r="H271" s="26" t="n">
        <v>2</v>
      </c>
      <c r="I271" s="16" t="n">
        <f aca="false">0.5*(ABS(D271/A271-Declarations!$B$25)+ABS(E271/A271-Declarations!$B$26)+ABS(F271/A271-Declarations!$B$27)+ABS(G271/A271-Declarations!$B$28)+ABS(H271/A271-Declarations!$B$29))</f>
        <v>0.075</v>
      </c>
      <c r="J271" s="20" t="n">
        <v>0.00281729995887758</v>
      </c>
      <c r="K271" s="26" t="n">
        <v>0</v>
      </c>
    </row>
    <row r="272" customFormat="false" ht="15" hidden="false" customHeight="false" outlineLevel="0" collapsed="false">
      <c r="A272" s="14" t="n">
        <v>40</v>
      </c>
      <c r="B272" s="14" t="n">
        <v>56</v>
      </c>
      <c r="C272" s="14" t="n">
        <f aca="false">Declarations!$B$47+1000*A272+B272</f>
        <v>954056</v>
      </c>
      <c r="D272" s="26" t="n">
        <v>5</v>
      </c>
      <c r="E272" s="26" t="n">
        <v>8</v>
      </c>
      <c r="F272" s="26" t="n">
        <v>13</v>
      </c>
      <c r="G272" s="26" t="n">
        <v>13</v>
      </c>
      <c r="H272" s="26" t="n">
        <v>1</v>
      </c>
      <c r="I272" s="16" t="n">
        <f aca="false">0.5*(ABS(D272/A272-Declarations!$B$25)+ABS(E272/A272-Declarations!$B$26)+ABS(F272/A272-Declarations!$B$27)+ABS(G272/A272-Declarations!$B$28)+ABS(H272/A272-Declarations!$B$29))</f>
        <v>0.2</v>
      </c>
      <c r="J272" s="20" t="n">
        <v>2.12010750248993</v>
      </c>
      <c r="K272" s="26" t="n">
        <v>0</v>
      </c>
    </row>
    <row r="273" customFormat="false" ht="15" hidden="false" customHeight="false" outlineLevel="0" collapsed="false">
      <c r="A273" s="14" t="n">
        <v>40</v>
      </c>
      <c r="B273" s="14" t="n">
        <v>57</v>
      </c>
      <c r="C273" s="14" t="n">
        <f aca="false">Declarations!$B$47+1000*A273+B273</f>
        <v>954057</v>
      </c>
      <c r="D273" s="26" t="n">
        <v>1</v>
      </c>
      <c r="E273" s="26" t="n">
        <v>9</v>
      </c>
      <c r="F273" s="26" t="n">
        <v>24</v>
      </c>
      <c r="G273" s="26" t="n">
        <v>5</v>
      </c>
      <c r="H273" s="26" t="n">
        <v>1</v>
      </c>
      <c r="I273" s="16" t="n">
        <f aca="false">0.5*(ABS(D273/A273-Declarations!$B$25)+ABS(E273/A273-Declarations!$B$26)+ABS(F273/A273-Declarations!$B$27)+ABS(G273/A273-Declarations!$B$28)+ABS(H273/A273-Declarations!$B$29))</f>
        <v>0.125</v>
      </c>
      <c r="J273" s="20" t="n">
        <v>0</v>
      </c>
      <c r="K273" s="26" t="n">
        <v>1</v>
      </c>
    </row>
    <row r="274" customFormat="false" ht="15" hidden="false" customHeight="false" outlineLevel="0" collapsed="false">
      <c r="A274" s="14" t="n">
        <v>40</v>
      </c>
      <c r="B274" s="14" t="n">
        <v>58</v>
      </c>
      <c r="C274" s="14" t="n">
        <f aca="false">Declarations!$B$47+1000*A274+B274</f>
        <v>954058</v>
      </c>
      <c r="D274" s="26" t="n">
        <v>1</v>
      </c>
      <c r="E274" s="26" t="n">
        <v>13</v>
      </c>
      <c r="F274" s="26" t="n">
        <v>18</v>
      </c>
      <c r="G274" s="26" t="n">
        <v>6</v>
      </c>
      <c r="H274" s="26" t="n">
        <v>2</v>
      </c>
      <c r="I274" s="16" t="n">
        <f aca="false">0.5*(ABS(D274/A274-Declarations!$B$25)+ABS(E274/A274-Declarations!$B$26)+ABS(F274/A274-Declarations!$B$27)+ABS(G274/A274-Declarations!$B$28)+ABS(H274/A274-Declarations!$B$29))</f>
        <v>0.125</v>
      </c>
      <c r="J274" s="20" t="n">
        <v>0</v>
      </c>
      <c r="K274" s="26" t="n">
        <v>1</v>
      </c>
    </row>
    <row r="275" customFormat="false" ht="15" hidden="false" customHeight="false" outlineLevel="0" collapsed="false">
      <c r="A275" s="14" t="n">
        <v>40</v>
      </c>
      <c r="B275" s="14" t="n">
        <v>59</v>
      </c>
      <c r="C275" s="14" t="n">
        <f aca="false">Declarations!$B$47+1000*A275+B275</f>
        <v>954059</v>
      </c>
      <c r="D275" s="26" t="n">
        <v>2</v>
      </c>
      <c r="E275" s="26" t="n">
        <v>10</v>
      </c>
      <c r="F275" s="26" t="n">
        <v>19</v>
      </c>
      <c r="G275" s="26" t="n">
        <v>8</v>
      </c>
      <c r="H275" s="26" t="n">
        <v>1</v>
      </c>
      <c r="I275" s="16" t="n">
        <f aca="false">0.5*(ABS(D275/A275-Declarations!$B$25)+ABS(E275/A275-Declarations!$B$26)+ABS(F275/A275-Declarations!$B$27)+ABS(G275/A275-Declarations!$B$28)+ABS(H275/A275-Declarations!$B$29))</f>
        <v>0.05</v>
      </c>
      <c r="J275" s="20" t="n">
        <v>0</v>
      </c>
      <c r="K275" s="26" t="n">
        <v>1</v>
      </c>
    </row>
    <row r="276" customFormat="false" ht="15" hidden="false" customHeight="false" outlineLevel="0" collapsed="false">
      <c r="A276" s="14" t="n">
        <v>40</v>
      </c>
      <c r="B276" s="14" t="n">
        <v>60</v>
      </c>
      <c r="C276" s="14" t="n">
        <f aca="false">Declarations!$B$47+1000*A276+B276</f>
        <v>954060</v>
      </c>
      <c r="D276" s="26" t="n">
        <v>6</v>
      </c>
      <c r="E276" s="26" t="n">
        <v>12</v>
      </c>
      <c r="F276" s="26" t="n">
        <v>15</v>
      </c>
      <c r="G276" s="26" t="n">
        <v>5</v>
      </c>
      <c r="H276" s="26" t="n">
        <v>2</v>
      </c>
      <c r="I276" s="16" t="n">
        <f aca="false">0.5*(ABS(D276/A276-Declarations!$B$25)+ABS(E276/A276-Declarations!$B$26)+ABS(F276/A276-Declarations!$B$27)+ABS(G276/A276-Declarations!$B$28)+ABS(H276/A276-Declarations!$B$29))</f>
        <v>0.2</v>
      </c>
      <c r="J276" s="20" t="n">
        <v>2.16178860116244</v>
      </c>
      <c r="K276" s="26" t="n">
        <v>0</v>
      </c>
    </row>
    <row r="277" customFormat="false" ht="15" hidden="false" customHeight="false" outlineLevel="0" collapsed="false">
      <c r="A277" s="14" t="n">
        <v>40</v>
      </c>
      <c r="B277" s="14" t="n">
        <v>61</v>
      </c>
      <c r="C277" s="14" t="n">
        <f aca="false">Declarations!$B$47+1000*A277+B277</f>
        <v>954061</v>
      </c>
      <c r="D277" s="26" t="n">
        <v>1</v>
      </c>
      <c r="E277" s="26" t="n">
        <v>6</v>
      </c>
      <c r="F277" s="26" t="n">
        <v>21</v>
      </c>
      <c r="G277" s="26" t="n">
        <v>7</v>
      </c>
      <c r="H277" s="26" t="n">
        <v>5</v>
      </c>
      <c r="I277" s="16" t="n">
        <f aca="false">0.5*(ABS(D277/A277-Declarations!$B$25)+ABS(E277/A277-Declarations!$B$26)+ABS(F277/A277-Declarations!$B$27)+ABS(G277/A277-Declarations!$B$28)+ABS(H277/A277-Declarations!$B$29))</f>
        <v>0.1</v>
      </c>
      <c r="J277" s="20" t="n">
        <v>0.683019168813217</v>
      </c>
      <c r="K277" s="26" t="n">
        <v>0</v>
      </c>
    </row>
    <row r="278" customFormat="false" ht="15" hidden="false" customHeight="false" outlineLevel="0" collapsed="false">
      <c r="A278" s="14" t="n">
        <v>40</v>
      </c>
      <c r="B278" s="14" t="n">
        <v>62</v>
      </c>
      <c r="C278" s="14" t="n">
        <f aca="false">Declarations!$B$47+1000*A278+B278</f>
        <v>954062</v>
      </c>
      <c r="D278" s="26" t="n">
        <v>3</v>
      </c>
      <c r="E278" s="26" t="n">
        <v>6</v>
      </c>
      <c r="F278" s="26" t="n">
        <v>20</v>
      </c>
      <c r="G278" s="26" t="n">
        <v>10</v>
      </c>
      <c r="H278" s="26" t="n">
        <v>1</v>
      </c>
      <c r="I278" s="16" t="n">
        <f aca="false">0.5*(ABS(D278/A278-Declarations!$B$25)+ABS(E278/A278-Declarations!$B$26)+ABS(F278/A278-Declarations!$B$27)+ABS(G278/A278-Declarations!$B$28)+ABS(H278/A278-Declarations!$B$29))</f>
        <v>0.075</v>
      </c>
      <c r="J278" s="20" t="n">
        <v>0</v>
      </c>
      <c r="K278" s="26" t="n">
        <v>1</v>
      </c>
    </row>
    <row r="279" customFormat="false" ht="15" hidden="false" customHeight="false" outlineLevel="0" collapsed="false">
      <c r="A279" s="14" t="n">
        <v>40</v>
      </c>
      <c r="B279" s="14" t="n">
        <v>63</v>
      </c>
      <c r="C279" s="14" t="n">
        <f aca="false">Declarations!$B$47+1000*A279+B279</f>
        <v>954063</v>
      </c>
      <c r="D279" s="26" t="n">
        <v>3</v>
      </c>
      <c r="E279" s="26" t="n">
        <v>6</v>
      </c>
      <c r="F279" s="26" t="n">
        <v>18</v>
      </c>
      <c r="G279" s="26" t="n">
        <v>9</v>
      </c>
      <c r="H279" s="26" t="n">
        <v>4</v>
      </c>
      <c r="I279" s="16" t="n">
        <f aca="false">0.5*(ABS(D279/A279-Declarations!$B$25)+ABS(E279/A279-Declarations!$B$26)+ABS(F279/A279-Declarations!$B$27)+ABS(G279/A279-Declarations!$B$28)+ABS(H279/A279-Declarations!$B$29))</f>
        <v>0.1</v>
      </c>
      <c r="J279" s="20" t="n">
        <v>0</v>
      </c>
      <c r="K279" s="26" t="n">
        <v>1</v>
      </c>
    </row>
    <row r="280" customFormat="false" ht="15" hidden="false" customHeight="false" outlineLevel="0" collapsed="false">
      <c r="A280" s="14" t="n">
        <v>40</v>
      </c>
      <c r="B280" s="14" t="n">
        <v>64</v>
      </c>
      <c r="C280" s="14" t="n">
        <f aca="false">Declarations!$B$47+1000*A280+B280</f>
        <v>954064</v>
      </c>
      <c r="D280" s="26" t="n">
        <v>1</v>
      </c>
      <c r="E280" s="26" t="n">
        <v>11</v>
      </c>
      <c r="F280" s="26" t="n">
        <v>18</v>
      </c>
      <c r="G280" s="26" t="n">
        <v>9</v>
      </c>
      <c r="H280" s="26" t="n">
        <v>1</v>
      </c>
      <c r="I280" s="16" t="n">
        <f aca="false">0.5*(ABS(D280/A280-Declarations!$B$25)+ABS(E280/A280-Declarations!$B$26)+ABS(F280/A280-Declarations!$B$27)+ABS(G280/A280-Declarations!$B$28)+ABS(H280/A280-Declarations!$B$29))</f>
        <v>0.1</v>
      </c>
      <c r="J280" s="20" t="n">
        <v>0</v>
      </c>
      <c r="K280" s="26" t="n">
        <v>1</v>
      </c>
    </row>
    <row r="281" customFormat="false" ht="15" hidden="false" customHeight="false" outlineLevel="0" collapsed="false">
      <c r="A281" s="14" t="n">
        <v>40</v>
      </c>
      <c r="B281" s="14" t="n">
        <v>65</v>
      </c>
      <c r="C281" s="14" t="n">
        <f aca="false">Declarations!$B$47+1000*A281+B281</f>
        <v>954065</v>
      </c>
      <c r="D281" s="26" t="n">
        <v>3</v>
      </c>
      <c r="E281" s="26" t="n">
        <v>14</v>
      </c>
      <c r="F281" s="26" t="n">
        <v>14</v>
      </c>
      <c r="G281" s="26" t="n">
        <v>8</v>
      </c>
      <c r="H281" s="26" t="n">
        <v>1</v>
      </c>
      <c r="I281" s="16" t="n">
        <f aca="false">0.5*(ABS(D281/A281-Declarations!$B$25)+ABS(E281/A281-Declarations!$B$26)+ABS(F281/A281-Declarations!$B$27)+ABS(G281/A281-Declarations!$B$28)+ABS(H281/A281-Declarations!$B$29))</f>
        <v>0.175</v>
      </c>
      <c r="J281" s="20" t="n">
        <v>0</v>
      </c>
      <c r="K281" s="26" t="n">
        <v>1</v>
      </c>
    </row>
    <row r="282" customFormat="false" ht="15" hidden="false" customHeight="false" outlineLevel="0" collapsed="false">
      <c r="A282" s="14" t="n">
        <v>40</v>
      </c>
      <c r="B282" s="14" t="n">
        <v>66</v>
      </c>
      <c r="C282" s="14" t="n">
        <f aca="false">Declarations!$B$47+1000*A282+B282</f>
        <v>954066</v>
      </c>
      <c r="D282" s="26" t="n">
        <v>1</v>
      </c>
      <c r="E282" s="26" t="n">
        <v>10</v>
      </c>
      <c r="F282" s="26" t="n">
        <v>19</v>
      </c>
      <c r="G282" s="26" t="n">
        <v>10</v>
      </c>
      <c r="H282" s="26" t="n">
        <v>0</v>
      </c>
      <c r="I282" s="16" t="n">
        <f aca="false">0.5*(ABS(D282/A282-Declarations!$B$25)+ABS(E282/A282-Declarations!$B$26)+ABS(F282/A282-Declarations!$B$27)+ABS(G282/A282-Declarations!$B$28)+ABS(H282/A282-Declarations!$B$29))</f>
        <v>0.1</v>
      </c>
      <c r="J282" s="20" t="n">
        <v>0</v>
      </c>
      <c r="K282" s="26" t="n">
        <v>1</v>
      </c>
    </row>
    <row r="283" customFormat="false" ht="15" hidden="false" customHeight="false" outlineLevel="0" collapsed="false">
      <c r="A283" s="14" t="n">
        <v>40</v>
      </c>
      <c r="B283" s="14" t="n">
        <v>67</v>
      </c>
      <c r="C283" s="14" t="n">
        <f aca="false">Declarations!$B$47+1000*A283+B283</f>
        <v>954067</v>
      </c>
      <c r="D283" s="26" t="n">
        <v>2</v>
      </c>
      <c r="E283" s="26" t="n">
        <v>4</v>
      </c>
      <c r="F283" s="26" t="n">
        <v>21</v>
      </c>
      <c r="G283" s="26" t="n">
        <v>13</v>
      </c>
      <c r="H283" s="26" t="n">
        <v>0</v>
      </c>
      <c r="I283" s="16" t="n">
        <f aca="false">0.5*(ABS(D283/A283-Declarations!$B$25)+ABS(E283/A283-Declarations!$B$26)+ABS(F283/A283-Declarations!$B$27)+ABS(G283/A283-Declarations!$B$28)+ABS(H283/A283-Declarations!$B$29))</f>
        <v>0.15</v>
      </c>
      <c r="J283" s="20" t="n">
        <v>0.713021460896897</v>
      </c>
      <c r="K283" s="26" t="n">
        <v>0</v>
      </c>
    </row>
    <row r="284" customFormat="false" ht="15" hidden="false" customHeight="false" outlineLevel="0" collapsed="false">
      <c r="A284" s="14" t="n">
        <v>40</v>
      </c>
      <c r="B284" s="14" t="n">
        <v>68</v>
      </c>
      <c r="C284" s="14" t="n">
        <f aca="false">Declarations!$B$47+1000*A284+B284</f>
        <v>954068</v>
      </c>
      <c r="D284" s="26" t="n">
        <v>1</v>
      </c>
      <c r="E284" s="26" t="n">
        <v>11</v>
      </c>
      <c r="F284" s="26" t="n">
        <v>19</v>
      </c>
      <c r="G284" s="26" t="n">
        <v>9</v>
      </c>
      <c r="H284" s="26" t="n">
        <v>0</v>
      </c>
      <c r="I284" s="16" t="n">
        <f aca="false">0.5*(ABS(D284/A284-Declarations!$B$25)+ABS(E284/A284-Declarations!$B$26)+ABS(F284/A284-Declarations!$B$27)+ABS(G284/A284-Declarations!$B$28)+ABS(H284/A284-Declarations!$B$29))</f>
        <v>0.1</v>
      </c>
      <c r="J284" s="20" t="n">
        <v>0</v>
      </c>
      <c r="K284" s="26" t="n">
        <v>1</v>
      </c>
    </row>
    <row r="285" customFormat="false" ht="15" hidden="false" customHeight="false" outlineLevel="0" collapsed="false">
      <c r="A285" s="14" t="n">
        <v>40</v>
      </c>
      <c r="B285" s="14" t="n">
        <v>69</v>
      </c>
      <c r="C285" s="14" t="n">
        <f aca="false">Declarations!$B$47+1000*A285+B285</f>
        <v>954069</v>
      </c>
      <c r="D285" s="26" t="n">
        <v>3</v>
      </c>
      <c r="E285" s="26" t="n">
        <v>7</v>
      </c>
      <c r="F285" s="26" t="n">
        <v>18</v>
      </c>
      <c r="G285" s="26" t="n">
        <v>10</v>
      </c>
      <c r="H285" s="26" t="n">
        <v>2</v>
      </c>
      <c r="I285" s="16" t="n">
        <f aca="false">0.5*(ABS(D285/A285-Declarations!$B$25)+ABS(E285/A285-Declarations!$B$26)+ABS(F285/A285-Declarations!$B$27)+ABS(G285/A285-Declarations!$B$28)+ABS(H285/A285-Declarations!$B$29))</f>
        <v>0.075</v>
      </c>
      <c r="J285" s="20" t="n">
        <v>0</v>
      </c>
      <c r="K285" s="26" t="n">
        <v>1</v>
      </c>
    </row>
    <row r="286" customFormat="false" ht="15" hidden="false" customHeight="false" outlineLevel="0" collapsed="false">
      <c r="A286" s="14" t="n">
        <v>40</v>
      </c>
      <c r="B286" s="14" t="n">
        <v>70</v>
      </c>
      <c r="C286" s="14" t="n">
        <f aca="false">Declarations!$B$47+1000*A286+B286</f>
        <v>954070</v>
      </c>
      <c r="D286" s="26" t="n">
        <v>1</v>
      </c>
      <c r="E286" s="26" t="n">
        <v>7</v>
      </c>
      <c r="F286" s="26" t="n">
        <v>22</v>
      </c>
      <c r="G286" s="26" t="n">
        <v>8</v>
      </c>
      <c r="H286" s="26" t="n">
        <v>2</v>
      </c>
      <c r="I286" s="16" t="n">
        <f aca="false">0.5*(ABS(D286/A286-Declarations!$B$25)+ABS(E286/A286-Declarations!$B$26)+ABS(F286/A286-Declarations!$B$27)+ABS(G286/A286-Declarations!$B$28)+ABS(H286/A286-Declarations!$B$29))</f>
        <v>0.05</v>
      </c>
      <c r="J286" s="20" t="n">
        <v>0.175883920405738</v>
      </c>
      <c r="K286" s="26" t="n">
        <v>0</v>
      </c>
    </row>
    <row r="287" customFormat="false" ht="15" hidden="false" customHeight="false" outlineLevel="0" collapsed="false">
      <c r="A287" s="14" t="n">
        <v>40</v>
      </c>
      <c r="B287" s="14" t="n">
        <v>71</v>
      </c>
      <c r="C287" s="14" t="n">
        <f aca="false">Declarations!$B$47+1000*A287+B287</f>
        <v>954071</v>
      </c>
      <c r="D287" s="26" t="n">
        <v>0</v>
      </c>
      <c r="E287" s="26" t="n">
        <v>11</v>
      </c>
      <c r="F287" s="26" t="n">
        <v>18</v>
      </c>
      <c r="G287" s="26" t="n">
        <v>9</v>
      </c>
      <c r="H287" s="26" t="n">
        <v>2</v>
      </c>
      <c r="I287" s="16" t="n">
        <f aca="false">0.5*(ABS(D287/A287-Declarations!$B$25)+ABS(E287/A287-Declarations!$B$26)+ABS(F287/A287-Declarations!$B$27)+ABS(G287/A287-Declarations!$B$28)+ABS(H287/A287-Declarations!$B$29))</f>
        <v>0.1</v>
      </c>
      <c r="J287" s="20" t="n">
        <v>0</v>
      </c>
      <c r="K287" s="26" t="n">
        <v>1</v>
      </c>
    </row>
    <row r="288" customFormat="false" ht="15" hidden="false" customHeight="false" outlineLevel="0" collapsed="false">
      <c r="A288" s="14" t="n">
        <v>40</v>
      </c>
      <c r="B288" s="14" t="n">
        <v>72</v>
      </c>
      <c r="C288" s="14" t="n">
        <f aca="false">Declarations!$B$47+1000*A288+B288</f>
        <v>954072</v>
      </c>
      <c r="D288" s="26" t="n">
        <v>1</v>
      </c>
      <c r="E288" s="26" t="n">
        <v>7</v>
      </c>
      <c r="F288" s="26" t="n">
        <v>25</v>
      </c>
      <c r="G288" s="26" t="n">
        <v>6</v>
      </c>
      <c r="H288" s="26" t="n">
        <v>1</v>
      </c>
      <c r="I288" s="16" t="n">
        <f aca="false">0.5*(ABS(D288/A288-Declarations!$B$25)+ABS(E288/A288-Declarations!$B$26)+ABS(F288/A288-Declarations!$B$27)+ABS(G288/A288-Declarations!$B$28)+ABS(H288/A288-Declarations!$B$29))</f>
        <v>0.125</v>
      </c>
      <c r="J288" s="20" t="n">
        <v>0.115817627028463</v>
      </c>
      <c r="K288" s="26" t="n">
        <v>0</v>
      </c>
    </row>
    <row r="289" customFormat="false" ht="15" hidden="false" customHeight="false" outlineLevel="0" collapsed="false">
      <c r="A289" s="14" t="n">
        <v>40</v>
      </c>
      <c r="B289" s="14" t="n">
        <v>73</v>
      </c>
      <c r="C289" s="14" t="n">
        <f aca="false">Declarations!$B$47+1000*A289+B289</f>
        <v>954073</v>
      </c>
      <c r="D289" s="26" t="n">
        <v>1</v>
      </c>
      <c r="E289" s="26" t="n">
        <v>9</v>
      </c>
      <c r="F289" s="26" t="n">
        <v>20</v>
      </c>
      <c r="G289" s="26" t="n">
        <v>8</v>
      </c>
      <c r="H289" s="26" t="n">
        <v>2</v>
      </c>
      <c r="I289" s="16" t="n">
        <f aca="false">0.5*(ABS(D289/A289-Declarations!$B$25)+ABS(E289/A289-Declarations!$B$26)+ABS(F289/A289-Declarations!$B$27)+ABS(G289/A289-Declarations!$B$28)+ABS(H289/A289-Declarations!$B$29))</f>
        <v>0.025</v>
      </c>
      <c r="J289" s="20" t="n">
        <v>0</v>
      </c>
      <c r="K289" s="26" t="n">
        <v>1</v>
      </c>
    </row>
    <row r="290" customFormat="false" ht="15" hidden="false" customHeight="false" outlineLevel="0" collapsed="false">
      <c r="A290" s="14" t="n">
        <v>40</v>
      </c>
      <c r="B290" s="14" t="n">
        <v>74</v>
      </c>
      <c r="C290" s="14" t="n">
        <f aca="false">Declarations!$B$47+1000*A290+B290</f>
        <v>954074</v>
      </c>
      <c r="D290" s="26" t="n">
        <v>3</v>
      </c>
      <c r="E290" s="26" t="n">
        <v>6</v>
      </c>
      <c r="F290" s="26" t="n">
        <v>20</v>
      </c>
      <c r="G290" s="26" t="n">
        <v>11</v>
      </c>
      <c r="H290" s="26" t="n">
        <v>0</v>
      </c>
      <c r="I290" s="16" t="n">
        <f aca="false">0.5*(ABS(D290/A290-Declarations!$B$25)+ABS(E290/A290-Declarations!$B$26)+ABS(F290/A290-Declarations!$B$27)+ABS(G290/A290-Declarations!$B$28)+ABS(H290/A290-Declarations!$B$29))</f>
        <v>0.1</v>
      </c>
      <c r="J290" s="20" t="n">
        <v>0</v>
      </c>
      <c r="K290" s="26" t="n">
        <v>1</v>
      </c>
    </row>
    <row r="291" customFormat="false" ht="15" hidden="false" customHeight="false" outlineLevel="0" collapsed="false">
      <c r="A291" s="14" t="n">
        <v>40</v>
      </c>
      <c r="B291" s="14" t="n">
        <v>75</v>
      </c>
      <c r="C291" s="14" t="n">
        <f aca="false">Declarations!$B$47+1000*A291+B291</f>
        <v>954075</v>
      </c>
      <c r="D291" s="26" t="n">
        <v>1</v>
      </c>
      <c r="E291" s="26" t="n">
        <v>8</v>
      </c>
      <c r="F291" s="26" t="n">
        <v>25</v>
      </c>
      <c r="G291" s="26" t="n">
        <v>3</v>
      </c>
      <c r="H291" s="26" t="n">
        <v>3</v>
      </c>
      <c r="I291" s="16" t="n">
        <f aca="false">0.5*(ABS(D291/A291-Declarations!$B$25)+ABS(E291/A291-Declarations!$B$26)+ABS(F291/A291-Declarations!$B$27)+ABS(G291/A291-Declarations!$B$28)+ABS(H291/A291-Declarations!$B$29))</f>
        <v>0.15</v>
      </c>
      <c r="J291" s="20" t="n">
        <v>0.00281729995887758</v>
      </c>
      <c r="K291" s="26" t="n">
        <v>0</v>
      </c>
    </row>
    <row r="292" customFormat="false" ht="15" hidden="false" customHeight="false" outlineLevel="0" collapsed="false">
      <c r="A292" s="14" t="n">
        <v>40</v>
      </c>
      <c r="B292" s="14" t="n">
        <v>76</v>
      </c>
      <c r="C292" s="14" t="n">
        <f aca="false">Declarations!$B$47+1000*A292+B292</f>
        <v>954076</v>
      </c>
      <c r="D292" s="26" t="n">
        <v>2</v>
      </c>
      <c r="E292" s="26" t="n">
        <v>11</v>
      </c>
      <c r="F292" s="26" t="n">
        <v>17</v>
      </c>
      <c r="G292" s="26" t="n">
        <v>9</v>
      </c>
      <c r="H292" s="26" t="n">
        <v>1</v>
      </c>
      <c r="I292" s="16" t="n">
        <f aca="false">0.5*(ABS(D292/A292-Declarations!$B$25)+ABS(E292/A292-Declarations!$B$26)+ABS(F292/A292-Declarations!$B$27)+ABS(G292/A292-Declarations!$B$28)+ABS(H292/A292-Declarations!$B$29))</f>
        <v>0.1</v>
      </c>
      <c r="J292" s="20" t="n">
        <v>0</v>
      </c>
      <c r="K292" s="26" t="n">
        <v>1</v>
      </c>
    </row>
    <row r="293" customFormat="false" ht="15" hidden="false" customHeight="false" outlineLevel="0" collapsed="false">
      <c r="A293" s="14" t="n">
        <v>40</v>
      </c>
      <c r="B293" s="14" t="n">
        <v>77</v>
      </c>
      <c r="C293" s="14" t="n">
        <f aca="false">Declarations!$B$47+1000*A293+B293</f>
        <v>954077</v>
      </c>
      <c r="D293" s="26" t="n">
        <v>2</v>
      </c>
      <c r="E293" s="26" t="n">
        <v>10</v>
      </c>
      <c r="F293" s="26" t="n">
        <v>19</v>
      </c>
      <c r="G293" s="26" t="n">
        <v>8</v>
      </c>
      <c r="H293" s="26" t="n">
        <v>1</v>
      </c>
      <c r="I293" s="16" t="n">
        <f aca="false">0.5*(ABS(D293/A293-Declarations!$B$25)+ABS(E293/A293-Declarations!$B$26)+ABS(F293/A293-Declarations!$B$27)+ABS(G293/A293-Declarations!$B$28)+ABS(H293/A293-Declarations!$B$29))</f>
        <v>0.05</v>
      </c>
      <c r="J293" s="20" t="n">
        <v>0</v>
      </c>
      <c r="K293" s="26" t="n">
        <v>1</v>
      </c>
    </row>
    <row r="294" customFormat="false" ht="15" hidden="false" customHeight="false" outlineLevel="0" collapsed="false">
      <c r="A294" s="14" t="n">
        <v>40</v>
      </c>
      <c r="B294" s="14" t="n">
        <v>78</v>
      </c>
      <c r="C294" s="14" t="n">
        <f aca="false">Declarations!$B$47+1000*A294+B294</f>
        <v>954078</v>
      </c>
      <c r="D294" s="26" t="n">
        <v>1</v>
      </c>
      <c r="E294" s="26" t="n">
        <v>8</v>
      </c>
      <c r="F294" s="26" t="n">
        <v>20</v>
      </c>
      <c r="G294" s="26" t="n">
        <v>10</v>
      </c>
      <c r="H294" s="26" t="n">
        <v>1</v>
      </c>
      <c r="I294" s="16" t="n">
        <f aca="false">0.5*(ABS(D294/A294-Declarations!$B$25)+ABS(E294/A294-Declarations!$B$26)+ABS(F294/A294-Declarations!$B$27)+ABS(G294/A294-Declarations!$B$28)+ABS(H294/A294-Declarations!$B$29))</f>
        <v>0.05</v>
      </c>
      <c r="J294" s="20" t="n">
        <v>0</v>
      </c>
      <c r="K294" s="26" t="n">
        <v>1</v>
      </c>
    </row>
    <row r="295" customFormat="false" ht="15" hidden="false" customHeight="false" outlineLevel="0" collapsed="false">
      <c r="A295" s="14" t="n">
        <v>40</v>
      </c>
      <c r="B295" s="14" t="n">
        <v>79</v>
      </c>
      <c r="C295" s="14" t="n">
        <f aca="false">Declarations!$B$47+1000*A295+B295</f>
        <v>954079</v>
      </c>
      <c r="D295" s="26" t="n">
        <v>1</v>
      </c>
      <c r="E295" s="26" t="n">
        <v>11</v>
      </c>
      <c r="F295" s="26" t="n">
        <v>18</v>
      </c>
      <c r="G295" s="26" t="n">
        <v>9</v>
      </c>
      <c r="H295" s="26" t="n">
        <v>1</v>
      </c>
      <c r="I295" s="16" t="n">
        <f aca="false">0.5*(ABS(D295/A295-Declarations!$B$25)+ABS(E295/A295-Declarations!$B$26)+ABS(F295/A295-Declarations!$B$27)+ABS(G295/A295-Declarations!$B$28)+ABS(H295/A295-Declarations!$B$29))</f>
        <v>0.1</v>
      </c>
      <c r="J295" s="20" t="n">
        <v>0</v>
      </c>
      <c r="K295" s="26" t="n">
        <v>1</v>
      </c>
    </row>
    <row r="296" customFormat="false" ht="15" hidden="false" customHeight="false" outlineLevel="0" collapsed="false">
      <c r="A296" s="14" t="n">
        <v>40</v>
      </c>
      <c r="B296" s="14" t="n">
        <v>80</v>
      </c>
      <c r="C296" s="14" t="n">
        <f aca="false">Declarations!$B$47+1000*A296+B296</f>
        <v>954080</v>
      </c>
      <c r="D296" s="26" t="n">
        <v>0</v>
      </c>
      <c r="E296" s="26" t="n">
        <v>10</v>
      </c>
      <c r="F296" s="26" t="n">
        <v>19</v>
      </c>
      <c r="G296" s="26" t="n">
        <v>9</v>
      </c>
      <c r="H296" s="26" t="n">
        <v>2</v>
      </c>
      <c r="I296" s="16" t="n">
        <f aca="false">0.5*(ABS(D296/A296-Declarations!$B$25)+ABS(E296/A296-Declarations!$B$26)+ABS(F296/A296-Declarations!$B$27)+ABS(G296/A296-Declarations!$B$28)+ABS(H296/A296-Declarations!$B$29))</f>
        <v>0.075</v>
      </c>
      <c r="J296" s="20" t="n">
        <v>0.00281729995887758</v>
      </c>
      <c r="K296" s="26" t="n">
        <v>0</v>
      </c>
    </row>
    <row r="297" customFormat="false" ht="15" hidden="false" customHeight="false" outlineLevel="0" collapsed="false">
      <c r="A297" s="14" t="n">
        <v>40</v>
      </c>
      <c r="B297" s="14" t="n">
        <v>81</v>
      </c>
      <c r="C297" s="14" t="n">
        <f aca="false">Declarations!$B$47+1000*A297+B297</f>
        <v>954081</v>
      </c>
      <c r="D297" s="26" t="n">
        <v>1</v>
      </c>
      <c r="E297" s="26" t="n">
        <v>10</v>
      </c>
      <c r="F297" s="26" t="n">
        <v>18</v>
      </c>
      <c r="G297" s="26" t="n">
        <v>7</v>
      </c>
      <c r="H297" s="26" t="n">
        <v>4</v>
      </c>
      <c r="I297" s="16" t="n">
        <f aca="false">0.5*(ABS(D297/A297-Declarations!$B$25)+ABS(E297/A297-Declarations!$B$26)+ABS(F297/A297-Declarations!$B$27)+ABS(G297/A297-Declarations!$B$28)+ABS(H297/A297-Declarations!$B$29))</f>
        <v>0.1</v>
      </c>
      <c r="J297" s="20" t="n">
        <v>0</v>
      </c>
      <c r="K297" s="26" t="n">
        <v>1</v>
      </c>
    </row>
    <row r="298" customFormat="false" ht="15" hidden="false" customHeight="false" outlineLevel="0" collapsed="false">
      <c r="A298" s="14" t="n">
        <v>40</v>
      </c>
      <c r="B298" s="14" t="n">
        <v>82</v>
      </c>
      <c r="C298" s="14" t="n">
        <f aca="false">Declarations!$B$47+1000*A298+B298</f>
        <v>954082</v>
      </c>
      <c r="D298" s="26" t="n">
        <v>1</v>
      </c>
      <c r="E298" s="26" t="n">
        <v>8</v>
      </c>
      <c r="F298" s="26" t="n">
        <v>22</v>
      </c>
      <c r="G298" s="26" t="n">
        <v>5</v>
      </c>
      <c r="H298" s="26" t="n">
        <v>4</v>
      </c>
      <c r="I298" s="16" t="n">
        <f aca="false">0.5*(ABS(D298/A298-Declarations!$B$25)+ABS(E298/A298-Declarations!$B$26)+ABS(F298/A298-Declarations!$B$27)+ABS(G298/A298-Declarations!$B$28)+ABS(H298/A298-Declarations!$B$29))</f>
        <v>0.1</v>
      </c>
      <c r="J298" s="20" t="n">
        <v>0.00281729995887758</v>
      </c>
      <c r="K298" s="26" t="n">
        <v>0</v>
      </c>
    </row>
    <row r="299" customFormat="false" ht="15" hidden="false" customHeight="false" outlineLevel="0" collapsed="false">
      <c r="A299" s="14" t="n">
        <v>40</v>
      </c>
      <c r="B299" s="14" t="n">
        <v>83</v>
      </c>
      <c r="C299" s="14" t="n">
        <f aca="false">Declarations!$B$47+1000*A299+B299</f>
        <v>954083</v>
      </c>
      <c r="D299" s="26" t="n">
        <v>1</v>
      </c>
      <c r="E299" s="26" t="n">
        <v>7</v>
      </c>
      <c r="F299" s="26" t="n">
        <v>18</v>
      </c>
      <c r="G299" s="26" t="n">
        <v>11</v>
      </c>
      <c r="H299" s="26" t="n">
        <v>3</v>
      </c>
      <c r="I299" s="16" t="n">
        <f aca="false">0.5*(ABS(D299/A299-Declarations!$B$25)+ABS(E299/A299-Declarations!$B$26)+ABS(F299/A299-Declarations!$B$27)+ABS(G299/A299-Declarations!$B$28)+ABS(H299/A299-Declarations!$B$29))</f>
        <v>0.1</v>
      </c>
      <c r="J299" s="20" t="n">
        <v>0.175883920405738</v>
      </c>
      <c r="K299" s="26" t="n">
        <v>0</v>
      </c>
    </row>
    <row r="300" customFormat="false" ht="15" hidden="false" customHeight="false" outlineLevel="0" collapsed="false">
      <c r="A300" s="14" t="n">
        <v>40</v>
      </c>
      <c r="B300" s="14" t="n">
        <v>84</v>
      </c>
      <c r="C300" s="14" t="n">
        <f aca="false">Declarations!$B$47+1000*A300+B300</f>
        <v>954084</v>
      </c>
      <c r="D300" s="26" t="n">
        <v>0</v>
      </c>
      <c r="E300" s="26" t="n">
        <v>6</v>
      </c>
      <c r="F300" s="26" t="n">
        <v>25</v>
      </c>
      <c r="G300" s="26" t="n">
        <v>8</v>
      </c>
      <c r="H300" s="26" t="n">
        <v>1</v>
      </c>
      <c r="I300" s="16" t="n">
        <f aca="false">0.5*(ABS(D300/A300-Declarations!$B$25)+ABS(E300/A300-Declarations!$B$26)+ABS(F300/A300-Declarations!$B$27)+ABS(G300/A300-Declarations!$B$28)+ABS(H300/A300-Declarations!$B$29))</f>
        <v>0.125</v>
      </c>
      <c r="J300" s="20" t="n">
        <v>0.713021460896897</v>
      </c>
      <c r="K300" s="26" t="n">
        <v>0</v>
      </c>
    </row>
    <row r="301" customFormat="false" ht="15" hidden="false" customHeight="false" outlineLevel="0" collapsed="false">
      <c r="A301" s="14" t="n">
        <v>40</v>
      </c>
      <c r="B301" s="14" t="n">
        <v>85</v>
      </c>
      <c r="C301" s="14" t="n">
        <f aca="false">Declarations!$B$47+1000*A301+B301</f>
        <v>954085</v>
      </c>
      <c r="D301" s="26" t="n">
        <v>0</v>
      </c>
      <c r="E301" s="26" t="n">
        <v>8</v>
      </c>
      <c r="F301" s="26" t="n">
        <v>21</v>
      </c>
      <c r="G301" s="26" t="n">
        <v>7</v>
      </c>
      <c r="H301" s="26" t="n">
        <v>4</v>
      </c>
      <c r="I301" s="16" t="n">
        <f aca="false">0.5*(ABS(D301/A301-Declarations!$B$25)+ABS(E301/A301-Declarations!$B$26)+ABS(F301/A301-Declarations!$B$27)+ABS(G301/A301-Declarations!$B$28)+ABS(H301/A301-Declarations!$B$29))</f>
        <v>0.075</v>
      </c>
      <c r="J301" s="20" t="n">
        <v>0.569063756958229</v>
      </c>
      <c r="K301" s="26" t="n">
        <v>0</v>
      </c>
    </row>
    <row r="302" customFormat="false" ht="15" hidden="false" customHeight="false" outlineLevel="0" collapsed="false">
      <c r="A302" s="14" t="n">
        <v>40</v>
      </c>
      <c r="B302" s="14" t="n">
        <v>86</v>
      </c>
      <c r="C302" s="14" t="n">
        <f aca="false">Declarations!$B$47+1000*A302+B302</f>
        <v>954086</v>
      </c>
      <c r="D302" s="26" t="n">
        <v>2</v>
      </c>
      <c r="E302" s="26" t="n">
        <v>4</v>
      </c>
      <c r="F302" s="26" t="n">
        <v>24</v>
      </c>
      <c r="G302" s="26" t="n">
        <v>9</v>
      </c>
      <c r="H302" s="26" t="n">
        <v>1</v>
      </c>
      <c r="I302" s="16" t="n">
        <f aca="false">0.5*(ABS(D302/A302-Declarations!$B$25)+ABS(E302/A302-Declarations!$B$26)+ABS(F302/A302-Declarations!$B$27)+ABS(G302/A302-Declarations!$B$28)+ABS(H302/A302-Declarations!$B$29))</f>
        <v>0.125</v>
      </c>
      <c r="J302" s="20" t="n">
        <v>0.713021460896897</v>
      </c>
      <c r="K302" s="26" t="n">
        <v>0</v>
      </c>
    </row>
    <row r="303" customFormat="false" ht="15" hidden="false" customHeight="false" outlineLevel="0" collapsed="false">
      <c r="A303" s="14" t="n">
        <v>40</v>
      </c>
      <c r="B303" s="14" t="n">
        <v>87</v>
      </c>
      <c r="C303" s="14" t="n">
        <f aca="false">Declarations!$B$47+1000*A303+B303</f>
        <v>954087</v>
      </c>
      <c r="D303" s="26" t="n">
        <v>4</v>
      </c>
      <c r="E303" s="26" t="n">
        <v>6</v>
      </c>
      <c r="F303" s="26" t="n">
        <v>22</v>
      </c>
      <c r="G303" s="26" t="n">
        <v>7</v>
      </c>
      <c r="H303" s="26" t="n">
        <v>1</v>
      </c>
      <c r="I303" s="16" t="n">
        <f aca="false">0.5*(ABS(D303/A303-Declarations!$B$25)+ABS(E303/A303-Declarations!$B$26)+ABS(F303/A303-Declarations!$B$27)+ABS(G303/A303-Declarations!$B$28)+ABS(H303/A303-Declarations!$B$29))</f>
        <v>0.1</v>
      </c>
      <c r="J303" s="20" t="n">
        <v>0</v>
      </c>
      <c r="K303" s="26" t="n">
        <v>1</v>
      </c>
    </row>
    <row r="304" customFormat="false" ht="15" hidden="false" customHeight="false" outlineLevel="0" collapsed="false">
      <c r="A304" s="14" t="n">
        <v>40</v>
      </c>
      <c r="B304" s="14" t="n">
        <v>88</v>
      </c>
      <c r="C304" s="14" t="n">
        <f aca="false">Declarations!$B$47+1000*A304+B304</f>
        <v>954088</v>
      </c>
      <c r="D304" s="26" t="n">
        <v>1</v>
      </c>
      <c r="E304" s="26" t="n">
        <v>10</v>
      </c>
      <c r="F304" s="26" t="n">
        <v>17</v>
      </c>
      <c r="G304" s="26" t="n">
        <v>10</v>
      </c>
      <c r="H304" s="26" t="n">
        <v>2</v>
      </c>
      <c r="I304" s="16" t="n">
        <f aca="false">0.5*(ABS(D304/A304-Declarations!$B$25)+ABS(E304/A304-Declarations!$B$26)+ABS(F304/A304-Declarations!$B$27)+ABS(G304/A304-Declarations!$B$28)+ABS(H304/A304-Declarations!$B$29))</f>
        <v>0.1</v>
      </c>
      <c r="J304" s="20" t="n">
        <v>0</v>
      </c>
      <c r="K304" s="26" t="n">
        <v>1</v>
      </c>
    </row>
    <row r="305" customFormat="false" ht="15" hidden="false" customHeight="false" outlineLevel="0" collapsed="false">
      <c r="A305" s="14" t="n">
        <v>40</v>
      </c>
      <c r="B305" s="14" t="n">
        <v>89</v>
      </c>
      <c r="C305" s="14" t="n">
        <f aca="false">Declarations!$B$47+1000*A305+B305</f>
        <v>954089</v>
      </c>
      <c r="D305" s="26" t="n">
        <v>1</v>
      </c>
      <c r="E305" s="26" t="n">
        <v>11</v>
      </c>
      <c r="F305" s="26" t="n">
        <v>18</v>
      </c>
      <c r="G305" s="26" t="n">
        <v>9</v>
      </c>
      <c r="H305" s="26" t="n">
        <v>1</v>
      </c>
      <c r="I305" s="16" t="n">
        <f aca="false">0.5*(ABS(D305/A305-Declarations!$B$25)+ABS(E305/A305-Declarations!$B$26)+ABS(F305/A305-Declarations!$B$27)+ABS(G305/A305-Declarations!$B$28)+ABS(H305/A305-Declarations!$B$29))</f>
        <v>0.1</v>
      </c>
      <c r="J305" s="20" t="n">
        <v>0</v>
      </c>
      <c r="K305" s="26" t="n">
        <v>1</v>
      </c>
    </row>
    <row r="306" customFormat="false" ht="15" hidden="false" customHeight="false" outlineLevel="0" collapsed="false">
      <c r="A306" s="14" t="n">
        <v>40</v>
      </c>
      <c r="B306" s="14" t="n">
        <v>90</v>
      </c>
      <c r="C306" s="14" t="n">
        <f aca="false">Declarations!$B$47+1000*A306+B306</f>
        <v>954090</v>
      </c>
      <c r="D306" s="26" t="n">
        <v>7</v>
      </c>
      <c r="E306" s="26" t="n">
        <v>6</v>
      </c>
      <c r="F306" s="26" t="n">
        <v>15</v>
      </c>
      <c r="G306" s="26" t="n">
        <v>12</v>
      </c>
      <c r="H306" s="26" t="n">
        <v>0</v>
      </c>
      <c r="I306" s="16" t="n">
        <f aca="false">0.5*(ABS(D306/A306-Declarations!$B$25)+ABS(E306/A306-Declarations!$B$26)+ABS(F306/A306-Declarations!$B$27)+ABS(G306/A306-Declarations!$B$28)+ABS(H306/A306-Declarations!$B$29))</f>
        <v>0.225</v>
      </c>
      <c r="J306" s="20" t="n">
        <v>3.20098558673061</v>
      </c>
      <c r="K306" s="26" t="n">
        <v>0</v>
      </c>
    </row>
    <row r="307" customFormat="false" ht="15" hidden="false" customHeight="false" outlineLevel="0" collapsed="false">
      <c r="A307" s="14" t="n">
        <v>40</v>
      </c>
      <c r="B307" s="14" t="n">
        <v>91</v>
      </c>
      <c r="C307" s="14" t="n">
        <f aca="false">Declarations!$B$47+1000*A307+B307</f>
        <v>954091</v>
      </c>
      <c r="D307" s="26" t="n">
        <v>3</v>
      </c>
      <c r="E307" s="26" t="n">
        <v>11</v>
      </c>
      <c r="F307" s="26" t="n">
        <v>17</v>
      </c>
      <c r="G307" s="26" t="n">
        <v>5</v>
      </c>
      <c r="H307" s="26" t="n">
        <v>4</v>
      </c>
      <c r="I307" s="16" t="n">
        <f aca="false">0.5*(ABS(D307/A307-Declarations!$B$25)+ABS(E307/A307-Declarations!$B$26)+ABS(F307/A307-Declarations!$B$27)+ABS(G307/A307-Declarations!$B$28)+ABS(H307/A307-Declarations!$B$29))</f>
        <v>0.15</v>
      </c>
      <c r="J307" s="20" t="n">
        <v>0</v>
      </c>
      <c r="K307" s="26" t="n">
        <v>1</v>
      </c>
    </row>
    <row r="308" customFormat="false" ht="15" hidden="false" customHeight="false" outlineLevel="0" collapsed="false">
      <c r="A308" s="14" t="n">
        <v>40</v>
      </c>
      <c r="B308" s="14" t="n">
        <v>92</v>
      </c>
      <c r="C308" s="14" t="n">
        <f aca="false">Declarations!$B$47+1000*A308+B308</f>
        <v>954092</v>
      </c>
      <c r="D308" s="26" t="n">
        <v>2</v>
      </c>
      <c r="E308" s="26" t="n">
        <v>8</v>
      </c>
      <c r="F308" s="26" t="n">
        <v>25</v>
      </c>
      <c r="G308" s="26" t="n">
        <v>4</v>
      </c>
      <c r="H308" s="26" t="n">
        <v>1</v>
      </c>
      <c r="I308" s="16" t="n">
        <f aca="false">0.5*(ABS(D308/A308-Declarations!$B$25)+ABS(E308/A308-Declarations!$B$26)+ABS(F308/A308-Declarations!$B$27)+ABS(G308/A308-Declarations!$B$28)+ABS(H308/A308-Declarations!$B$29))</f>
        <v>0.125</v>
      </c>
      <c r="J308" s="20" t="n">
        <v>0</v>
      </c>
      <c r="K308" s="26" t="n">
        <v>1</v>
      </c>
    </row>
    <row r="309" customFormat="false" ht="15" hidden="false" customHeight="false" outlineLevel="0" collapsed="false">
      <c r="A309" s="14" t="n">
        <v>40</v>
      </c>
      <c r="B309" s="14" t="n">
        <v>93</v>
      </c>
      <c r="C309" s="14" t="n">
        <f aca="false">Declarations!$B$47+1000*A309+B309</f>
        <v>954093</v>
      </c>
      <c r="D309" s="26" t="n">
        <v>1</v>
      </c>
      <c r="E309" s="26" t="n">
        <v>12</v>
      </c>
      <c r="F309" s="26" t="n">
        <v>19</v>
      </c>
      <c r="G309" s="26" t="n">
        <v>8</v>
      </c>
      <c r="H309" s="26" t="n">
        <v>0</v>
      </c>
      <c r="I309" s="16" t="n">
        <f aca="false">0.5*(ABS(D309/A309-Declarations!$B$25)+ABS(E309/A309-Declarations!$B$26)+ABS(F309/A309-Declarations!$B$27)+ABS(G309/A309-Declarations!$B$28)+ABS(H309/A309-Declarations!$B$29))</f>
        <v>0.1</v>
      </c>
      <c r="J309" s="20" t="n">
        <v>0</v>
      </c>
      <c r="K309" s="26" t="n">
        <v>1</v>
      </c>
    </row>
    <row r="310" customFormat="false" ht="15" hidden="false" customHeight="false" outlineLevel="0" collapsed="false">
      <c r="A310" s="14" t="n">
        <v>40</v>
      </c>
      <c r="B310" s="14" t="n">
        <v>94</v>
      </c>
      <c r="C310" s="14" t="n">
        <f aca="false">Declarations!$B$47+1000*A310+B310</f>
        <v>954094</v>
      </c>
      <c r="D310" s="26" t="n">
        <v>2</v>
      </c>
      <c r="E310" s="26" t="n">
        <v>8</v>
      </c>
      <c r="F310" s="26" t="n">
        <v>13</v>
      </c>
      <c r="G310" s="26" t="n">
        <v>14</v>
      </c>
      <c r="H310" s="26" t="n">
        <v>3</v>
      </c>
      <c r="I310" s="16" t="n">
        <f aca="false">0.5*(ABS(D310/A310-Declarations!$B$25)+ABS(E310/A310-Declarations!$B$26)+ABS(F310/A310-Declarations!$B$27)+ABS(G310/A310-Declarations!$B$28)+ABS(H310/A310-Declarations!$B$29))</f>
        <v>0.175</v>
      </c>
      <c r="J310" s="20" t="n">
        <v>0</v>
      </c>
      <c r="K310" s="26" t="n">
        <v>1</v>
      </c>
    </row>
    <row r="311" customFormat="false" ht="15" hidden="false" customHeight="false" outlineLevel="0" collapsed="false">
      <c r="A311" s="14" t="n">
        <v>40</v>
      </c>
      <c r="B311" s="14" t="n">
        <v>95</v>
      </c>
      <c r="C311" s="14" t="n">
        <f aca="false">Declarations!$B$47+1000*A311+B311</f>
        <v>954095</v>
      </c>
      <c r="D311" s="26" t="n">
        <v>3</v>
      </c>
      <c r="E311" s="26" t="n">
        <v>7</v>
      </c>
      <c r="F311" s="26" t="n">
        <v>19</v>
      </c>
      <c r="G311" s="26" t="n">
        <v>11</v>
      </c>
      <c r="H311" s="26" t="n">
        <v>0</v>
      </c>
      <c r="I311" s="16" t="n">
        <f aca="false">0.5*(ABS(D311/A311-Declarations!$B$25)+ABS(E311/A311-Declarations!$B$26)+ABS(F311/A311-Declarations!$B$27)+ABS(G311/A311-Declarations!$B$28)+ABS(H311/A311-Declarations!$B$29))</f>
        <v>0.1</v>
      </c>
      <c r="J311" s="20" t="n">
        <v>0</v>
      </c>
      <c r="K311" s="26" t="n">
        <v>1</v>
      </c>
    </row>
    <row r="312" customFormat="false" ht="15" hidden="false" customHeight="false" outlineLevel="0" collapsed="false">
      <c r="A312" s="14" t="n">
        <v>40</v>
      </c>
      <c r="B312" s="14" t="n">
        <v>96</v>
      </c>
      <c r="C312" s="14" t="n">
        <f aca="false">Declarations!$B$47+1000*A312+B312</f>
        <v>954096</v>
      </c>
      <c r="D312" s="26" t="n">
        <v>3</v>
      </c>
      <c r="E312" s="26" t="n">
        <v>7</v>
      </c>
      <c r="F312" s="26" t="n">
        <v>20</v>
      </c>
      <c r="G312" s="26" t="n">
        <v>6</v>
      </c>
      <c r="H312" s="26" t="n">
        <v>4</v>
      </c>
      <c r="I312" s="16" t="n">
        <f aca="false">0.5*(ABS(D312/A312-Declarations!$B$25)+ABS(E312/A312-Declarations!$B$26)+ABS(F312/A312-Declarations!$B$27)+ABS(G312/A312-Declarations!$B$28)+ABS(H312/A312-Declarations!$B$29))</f>
        <v>0.075</v>
      </c>
      <c r="J312" s="20" t="n">
        <v>0</v>
      </c>
      <c r="K312" s="26" t="n">
        <v>1</v>
      </c>
    </row>
    <row r="313" customFormat="false" ht="15" hidden="false" customHeight="false" outlineLevel="0" collapsed="false">
      <c r="A313" s="14" t="n">
        <v>40</v>
      </c>
      <c r="B313" s="14" t="n">
        <v>97</v>
      </c>
      <c r="C313" s="14" t="n">
        <f aca="false">Declarations!$B$47+1000*A313+B313</f>
        <v>954097</v>
      </c>
      <c r="D313" s="26" t="n">
        <v>3</v>
      </c>
      <c r="E313" s="26" t="n">
        <v>7</v>
      </c>
      <c r="F313" s="26" t="n">
        <v>19</v>
      </c>
      <c r="G313" s="26" t="n">
        <v>10</v>
      </c>
      <c r="H313" s="26" t="n">
        <v>1</v>
      </c>
      <c r="I313" s="16" t="n">
        <f aca="false">0.5*(ABS(D313/A313-Declarations!$B$25)+ABS(E313/A313-Declarations!$B$26)+ABS(F313/A313-Declarations!$B$27)+ABS(G313/A313-Declarations!$B$28)+ABS(H313/A313-Declarations!$B$29))</f>
        <v>0.075</v>
      </c>
      <c r="J313" s="20" t="n">
        <v>0</v>
      </c>
      <c r="K313" s="26" t="n">
        <v>1</v>
      </c>
    </row>
    <row r="314" customFormat="false" ht="15" hidden="false" customHeight="false" outlineLevel="0" collapsed="false">
      <c r="A314" s="14" t="n">
        <v>40</v>
      </c>
      <c r="B314" s="14" t="n">
        <v>98</v>
      </c>
      <c r="C314" s="14" t="n">
        <f aca="false">Declarations!$B$47+1000*A314+B314</f>
        <v>954098</v>
      </c>
      <c r="D314" s="26" t="n">
        <v>4</v>
      </c>
      <c r="E314" s="26" t="n">
        <v>6</v>
      </c>
      <c r="F314" s="26" t="n">
        <v>20</v>
      </c>
      <c r="G314" s="26" t="n">
        <v>9</v>
      </c>
      <c r="H314" s="26" t="n">
        <v>1</v>
      </c>
      <c r="I314" s="16" t="n">
        <f aca="false">0.5*(ABS(D314/A314-Declarations!$B$25)+ABS(E314/A314-Declarations!$B$26)+ABS(F314/A314-Declarations!$B$27)+ABS(G314/A314-Declarations!$B$28)+ABS(H314/A314-Declarations!$B$29))</f>
        <v>0.075</v>
      </c>
      <c r="J314" s="20" t="n">
        <v>0</v>
      </c>
      <c r="K314" s="26" t="n">
        <v>1</v>
      </c>
    </row>
    <row r="315" customFormat="false" ht="15" hidden="false" customHeight="false" outlineLevel="0" collapsed="false">
      <c r="A315" s="14" t="n">
        <v>40</v>
      </c>
      <c r="B315" s="14" t="n">
        <v>99</v>
      </c>
      <c r="C315" s="14" t="n">
        <f aca="false">Declarations!$B$47+1000*A315+B315</f>
        <v>954099</v>
      </c>
      <c r="D315" s="26" t="n">
        <v>6</v>
      </c>
      <c r="E315" s="26" t="n">
        <v>9</v>
      </c>
      <c r="F315" s="26" t="n">
        <v>19</v>
      </c>
      <c r="G315" s="26" t="n">
        <v>4</v>
      </c>
      <c r="H315" s="26" t="n">
        <v>2</v>
      </c>
      <c r="I315" s="16" t="n">
        <f aca="false">0.5*(ABS(D315/A315-Declarations!$B$25)+ABS(E315/A315-Declarations!$B$26)+ABS(F315/A315-Declarations!$B$27)+ABS(G315/A315-Declarations!$B$28)+ABS(H315/A315-Declarations!$B$29))</f>
        <v>0.125</v>
      </c>
      <c r="J315" s="20" t="n">
        <v>2.16178860116244</v>
      </c>
      <c r="K315" s="26" t="n">
        <v>0</v>
      </c>
    </row>
    <row r="316" customFormat="false" ht="15" hidden="false" customHeight="false" outlineLevel="0" collapsed="false">
      <c r="A316" s="14" t="n">
        <v>40</v>
      </c>
      <c r="B316" s="14" t="n">
        <v>100</v>
      </c>
      <c r="C316" s="14" t="n">
        <f aca="false">Declarations!$B$47+1000*A316+B316</f>
        <v>954100</v>
      </c>
      <c r="D316" s="26" t="n">
        <v>1</v>
      </c>
      <c r="E316" s="26" t="n">
        <v>5</v>
      </c>
      <c r="F316" s="26" t="n">
        <v>25</v>
      </c>
      <c r="G316" s="26" t="n">
        <v>6</v>
      </c>
      <c r="H316" s="26" t="n">
        <v>3</v>
      </c>
      <c r="I316" s="16" t="n">
        <f aca="false">0.5*(ABS(D316/A316-Declarations!$B$25)+ABS(E316/A316-Declarations!$B$26)+ABS(F316/A316-Declarations!$B$27)+ABS(G316/A316-Declarations!$B$28)+ABS(H316/A316-Declarations!$B$29))</f>
        <v>0.15</v>
      </c>
      <c r="J316" s="20" t="n">
        <v>0.713021460896897</v>
      </c>
      <c r="K316" s="26" t="n">
        <v>0</v>
      </c>
    </row>
    <row r="317" customFormat="false" ht="15" hidden="false" customHeight="false" outlineLevel="0" collapsed="false">
      <c r="A317" s="14" t="n">
        <v>40</v>
      </c>
      <c r="B317" s="14" t="n">
        <v>101</v>
      </c>
      <c r="C317" s="14" t="n">
        <f aca="false">Declarations!$B$47+1000*A317+B317</f>
        <v>954101</v>
      </c>
      <c r="D317" s="26" t="n">
        <v>0</v>
      </c>
      <c r="E317" s="26" t="n">
        <v>8</v>
      </c>
      <c r="F317" s="26" t="n">
        <v>21</v>
      </c>
      <c r="G317" s="26" t="n">
        <v>9</v>
      </c>
      <c r="H317" s="26" t="n">
        <v>2</v>
      </c>
      <c r="I317" s="16" t="n">
        <f aca="false">0.5*(ABS(D317/A317-Declarations!$B$25)+ABS(E317/A317-Declarations!$B$26)+ABS(F317/A317-Declarations!$B$27)+ABS(G317/A317-Declarations!$B$28)+ABS(H317/A317-Declarations!$B$29))</f>
        <v>0.05</v>
      </c>
      <c r="J317" s="20" t="n">
        <v>0.569063756958229</v>
      </c>
      <c r="K317" s="26" t="n">
        <v>0</v>
      </c>
    </row>
    <row r="318" customFormat="false" ht="15" hidden="false" customHeight="false" outlineLevel="0" collapsed="false">
      <c r="A318" s="14" t="n">
        <v>40</v>
      </c>
      <c r="B318" s="14" t="n">
        <v>102</v>
      </c>
      <c r="C318" s="14" t="n">
        <f aca="false">Declarations!$B$47+1000*A318+B318</f>
        <v>954102</v>
      </c>
      <c r="D318" s="26" t="n">
        <v>4</v>
      </c>
      <c r="E318" s="26" t="n">
        <v>7</v>
      </c>
      <c r="F318" s="26" t="n">
        <v>17</v>
      </c>
      <c r="G318" s="26" t="n">
        <v>10</v>
      </c>
      <c r="H318" s="26" t="n">
        <v>2</v>
      </c>
      <c r="I318" s="16" t="n">
        <f aca="false">0.5*(ABS(D318/A318-Declarations!$B$25)+ABS(E318/A318-Declarations!$B$26)+ABS(F318/A318-Declarations!$B$27)+ABS(G318/A318-Declarations!$B$28)+ABS(H318/A318-Declarations!$B$29))</f>
        <v>0.1</v>
      </c>
      <c r="J318" s="20" t="n">
        <v>0</v>
      </c>
      <c r="K318" s="26" t="n">
        <v>1</v>
      </c>
    </row>
    <row r="319" customFormat="false" ht="15" hidden="false" customHeight="false" outlineLevel="0" collapsed="false">
      <c r="A319" s="14" t="n">
        <v>40</v>
      </c>
      <c r="B319" s="14" t="n">
        <v>103</v>
      </c>
      <c r="C319" s="14" t="n">
        <f aca="false">Declarations!$B$47+1000*A319+B319</f>
        <v>954103</v>
      </c>
      <c r="D319" s="26" t="n">
        <v>2</v>
      </c>
      <c r="E319" s="26" t="n">
        <v>7</v>
      </c>
      <c r="F319" s="26" t="n">
        <v>22</v>
      </c>
      <c r="G319" s="26" t="n">
        <v>8</v>
      </c>
      <c r="H319" s="26" t="n">
        <v>1</v>
      </c>
      <c r="I319" s="16" t="n">
        <f aca="false">0.5*(ABS(D319/A319-Declarations!$B$25)+ABS(E319/A319-Declarations!$B$26)+ABS(F319/A319-Declarations!$B$27)+ABS(G319/A319-Declarations!$B$28)+ABS(H319/A319-Declarations!$B$29))</f>
        <v>0.05</v>
      </c>
      <c r="J319" s="20" t="n">
        <v>0</v>
      </c>
      <c r="K319" s="26" t="n">
        <v>1</v>
      </c>
    </row>
    <row r="320" customFormat="false" ht="15" hidden="false" customHeight="false" outlineLevel="0" collapsed="false">
      <c r="A320" s="14" t="n">
        <v>40</v>
      </c>
      <c r="B320" s="14" t="n">
        <v>104</v>
      </c>
      <c r="C320" s="14" t="n">
        <f aca="false">Declarations!$B$47+1000*A320+B320</f>
        <v>954104</v>
      </c>
      <c r="D320" s="26" t="n">
        <v>0</v>
      </c>
      <c r="E320" s="26" t="n">
        <v>13</v>
      </c>
      <c r="F320" s="26" t="n">
        <v>16</v>
      </c>
      <c r="G320" s="26" t="n">
        <v>9</v>
      </c>
      <c r="H320" s="26" t="n">
        <v>2</v>
      </c>
      <c r="I320" s="16" t="n">
        <f aca="false">0.5*(ABS(D320/A320-Declarations!$B$25)+ABS(E320/A320-Declarations!$B$26)+ABS(F320/A320-Declarations!$B$27)+ABS(G320/A320-Declarations!$B$28)+ABS(H320/A320-Declarations!$B$29))</f>
        <v>0.15</v>
      </c>
      <c r="J320" s="20" t="n">
        <v>0</v>
      </c>
      <c r="K320" s="26" t="n">
        <v>1</v>
      </c>
    </row>
    <row r="321" customFormat="false" ht="15" hidden="false" customHeight="false" outlineLevel="0" collapsed="false">
      <c r="A321" s="14" t="n">
        <v>40</v>
      </c>
      <c r="B321" s="14" t="n">
        <v>105</v>
      </c>
      <c r="C321" s="14" t="n">
        <f aca="false">Declarations!$B$47+1000*A321+B321</f>
        <v>954105</v>
      </c>
      <c r="D321" s="26" t="n">
        <v>3</v>
      </c>
      <c r="E321" s="26" t="n">
        <v>5</v>
      </c>
      <c r="F321" s="26" t="n">
        <v>23</v>
      </c>
      <c r="G321" s="26" t="n">
        <v>6</v>
      </c>
      <c r="H321" s="26" t="n">
        <v>3</v>
      </c>
      <c r="I321" s="16" t="n">
        <f aca="false">0.5*(ABS(D321/A321-Declarations!$B$25)+ABS(E321/A321-Declarations!$B$26)+ABS(F321/A321-Declarations!$B$27)+ABS(G321/A321-Declarations!$B$28)+ABS(H321/A321-Declarations!$B$29))</f>
        <v>0.125</v>
      </c>
      <c r="J321" s="20" t="n">
        <v>0</v>
      </c>
      <c r="K321" s="26" t="n">
        <v>1</v>
      </c>
    </row>
    <row r="322" customFormat="false" ht="15" hidden="false" customHeight="false" outlineLevel="0" collapsed="false">
      <c r="A322" s="14" t="n">
        <v>40</v>
      </c>
      <c r="B322" s="14" t="n">
        <v>106</v>
      </c>
      <c r="C322" s="14" t="n">
        <f aca="false">Declarations!$B$47+1000*A322+B322</f>
        <v>954106</v>
      </c>
      <c r="D322" s="26" t="n">
        <v>5</v>
      </c>
      <c r="E322" s="26" t="n">
        <v>7</v>
      </c>
      <c r="F322" s="26" t="n">
        <v>22</v>
      </c>
      <c r="G322" s="26" t="n">
        <v>6</v>
      </c>
      <c r="H322" s="26" t="n">
        <v>0</v>
      </c>
      <c r="I322" s="16" t="n">
        <f aca="false">0.5*(ABS(D322/A322-Declarations!$B$25)+ABS(E322/A322-Declarations!$B$26)+ABS(F322/A322-Declarations!$B$27)+ABS(G322/A322-Declarations!$B$28)+ABS(H322/A322-Declarations!$B$29))</f>
        <v>0.125</v>
      </c>
      <c r="J322" s="20" t="n">
        <v>2.12010750248993</v>
      </c>
      <c r="K322" s="26" t="n">
        <v>0</v>
      </c>
    </row>
    <row r="323" customFormat="false" ht="15" hidden="false" customHeight="false" outlineLevel="0" collapsed="false">
      <c r="A323" s="14" t="n">
        <v>40</v>
      </c>
      <c r="B323" s="14" t="n">
        <v>107</v>
      </c>
      <c r="C323" s="14" t="n">
        <f aca="false">Declarations!$B$47+1000*A323+B323</f>
        <v>954107</v>
      </c>
      <c r="D323" s="26" t="n">
        <v>2</v>
      </c>
      <c r="E323" s="26" t="n">
        <v>8</v>
      </c>
      <c r="F323" s="26" t="n">
        <v>20</v>
      </c>
      <c r="G323" s="26" t="n">
        <v>10</v>
      </c>
      <c r="H323" s="26" t="n">
        <v>0</v>
      </c>
      <c r="I323" s="16" t="n">
        <f aca="false">0.5*(ABS(D323/A323-Declarations!$B$25)+ABS(E323/A323-Declarations!$B$26)+ABS(F323/A323-Declarations!$B$27)+ABS(G323/A323-Declarations!$B$28)+ABS(H323/A323-Declarations!$B$29))</f>
        <v>0.05</v>
      </c>
      <c r="J323" s="20" t="n">
        <v>0</v>
      </c>
      <c r="K323" s="26" t="n">
        <v>1</v>
      </c>
    </row>
    <row r="324" customFormat="false" ht="15" hidden="false" customHeight="false" outlineLevel="0" collapsed="false">
      <c r="A324" s="14" t="n">
        <v>40</v>
      </c>
      <c r="B324" s="14" t="n">
        <v>108</v>
      </c>
      <c r="C324" s="14" t="n">
        <f aca="false">Declarations!$B$47+1000*A324+B324</f>
        <v>954108</v>
      </c>
      <c r="D324" s="26" t="n">
        <v>2</v>
      </c>
      <c r="E324" s="26" t="n">
        <v>5</v>
      </c>
      <c r="F324" s="26" t="n">
        <v>22</v>
      </c>
      <c r="G324" s="26" t="n">
        <v>9</v>
      </c>
      <c r="H324" s="26" t="n">
        <v>2</v>
      </c>
      <c r="I324" s="16" t="n">
        <f aca="false">0.5*(ABS(D324/A324-Declarations!$B$25)+ABS(E324/A324-Declarations!$B$26)+ABS(F324/A324-Declarations!$B$27)+ABS(G324/A324-Declarations!$B$28)+ABS(H324/A324-Declarations!$B$29))</f>
        <v>0.075</v>
      </c>
      <c r="J324" s="20" t="n">
        <v>0.175883920405738</v>
      </c>
      <c r="K324" s="26" t="n">
        <v>0</v>
      </c>
    </row>
    <row r="325" customFormat="false" ht="15" hidden="false" customHeight="false" outlineLevel="0" collapsed="false">
      <c r="A325" s="14" t="n">
        <v>40</v>
      </c>
      <c r="B325" s="14" t="n">
        <v>109</v>
      </c>
      <c r="C325" s="14" t="n">
        <f aca="false">Declarations!$B$47+1000*A325+B325</f>
        <v>954109</v>
      </c>
      <c r="D325" s="26" t="n">
        <v>2</v>
      </c>
      <c r="E325" s="26" t="n">
        <v>8</v>
      </c>
      <c r="F325" s="26" t="n">
        <v>20</v>
      </c>
      <c r="G325" s="26" t="n">
        <v>7</v>
      </c>
      <c r="H325" s="26" t="n">
        <v>3</v>
      </c>
      <c r="I325" s="16" t="n">
        <f aca="false">0.5*(ABS(D325/A325-Declarations!$B$25)+ABS(E325/A325-Declarations!$B$26)+ABS(F325/A325-Declarations!$B$27)+ABS(G325/A325-Declarations!$B$28)+ABS(H325/A325-Declarations!$B$29))</f>
        <v>0.025</v>
      </c>
      <c r="J325" s="20" t="n">
        <v>0</v>
      </c>
      <c r="K325" s="26" t="n">
        <v>1</v>
      </c>
    </row>
    <row r="326" customFormat="false" ht="15" hidden="false" customHeight="false" outlineLevel="0" collapsed="false">
      <c r="A326" s="14" t="n">
        <v>40</v>
      </c>
      <c r="B326" s="14" t="n">
        <v>110</v>
      </c>
      <c r="C326" s="14" t="n">
        <f aca="false">Declarations!$B$47+1000*A326+B326</f>
        <v>954110</v>
      </c>
      <c r="D326" s="26" t="n">
        <v>1</v>
      </c>
      <c r="E326" s="26" t="n">
        <v>7</v>
      </c>
      <c r="F326" s="26" t="n">
        <v>24</v>
      </c>
      <c r="G326" s="26" t="n">
        <v>8</v>
      </c>
      <c r="H326" s="26" t="n">
        <v>0</v>
      </c>
      <c r="I326" s="16" t="n">
        <f aca="false">0.5*(ABS(D326/A326-Declarations!$B$25)+ABS(E326/A326-Declarations!$B$26)+ABS(F326/A326-Declarations!$B$27)+ABS(G326/A326-Declarations!$B$28)+ABS(H326/A326-Declarations!$B$29))</f>
        <v>0.1</v>
      </c>
      <c r="J326" s="20" t="n">
        <v>0.115817627028463</v>
      </c>
      <c r="K326" s="26" t="n">
        <v>0</v>
      </c>
    </row>
    <row r="327" customFormat="false" ht="15" hidden="false" customHeight="false" outlineLevel="0" collapsed="false">
      <c r="A327" s="14" t="n">
        <v>40</v>
      </c>
      <c r="B327" s="14" t="n">
        <v>111</v>
      </c>
      <c r="C327" s="14" t="n">
        <f aca="false">Declarations!$B$47+1000*A327+B327</f>
        <v>954111</v>
      </c>
      <c r="D327" s="26" t="n">
        <v>2</v>
      </c>
      <c r="E327" s="26" t="n">
        <v>7</v>
      </c>
      <c r="F327" s="26" t="n">
        <v>19</v>
      </c>
      <c r="G327" s="26" t="n">
        <v>12</v>
      </c>
      <c r="H327" s="26" t="n">
        <v>0</v>
      </c>
      <c r="I327" s="16" t="n">
        <f aca="false">0.5*(ABS(D327/A327-Declarations!$B$25)+ABS(E327/A327-Declarations!$B$26)+ABS(F327/A327-Declarations!$B$27)+ABS(G327/A327-Declarations!$B$28)+ABS(H327/A327-Declarations!$B$29))</f>
        <v>0.1</v>
      </c>
      <c r="J327" s="20" t="n">
        <v>0</v>
      </c>
      <c r="K327" s="26" t="n">
        <v>1</v>
      </c>
    </row>
    <row r="328" customFormat="false" ht="15" hidden="false" customHeight="false" outlineLevel="0" collapsed="false">
      <c r="A328" s="14" t="n">
        <v>40</v>
      </c>
      <c r="B328" s="14" t="n">
        <v>112</v>
      </c>
      <c r="C328" s="14" t="n">
        <f aca="false">Declarations!$B$47+1000*A328+B328</f>
        <v>954112</v>
      </c>
      <c r="D328" s="26" t="n">
        <v>3</v>
      </c>
      <c r="E328" s="26" t="n">
        <v>11</v>
      </c>
      <c r="F328" s="26" t="n">
        <v>20</v>
      </c>
      <c r="G328" s="26" t="n">
        <v>5</v>
      </c>
      <c r="H328" s="26" t="n">
        <v>1</v>
      </c>
      <c r="I328" s="16" t="n">
        <f aca="false">0.5*(ABS(D328/A328-Declarations!$B$25)+ABS(E328/A328-Declarations!$B$26)+ABS(F328/A328-Declarations!$B$27)+ABS(G328/A328-Declarations!$B$28)+ABS(H328/A328-Declarations!$B$29))</f>
        <v>0.1</v>
      </c>
      <c r="J328" s="20" t="n">
        <v>0</v>
      </c>
      <c r="K328" s="26" t="n">
        <v>1</v>
      </c>
    </row>
    <row r="329" customFormat="false" ht="15" hidden="false" customHeight="false" outlineLevel="0" collapsed="false">
      <c r="A329" s="14" t="n">
        <v>40</v>
      </c>
      <c r="B329" s="14" t="n">
        <v>113</v>
      </c>
      <c r="C329" s="14" t="n">
        <f aca="false">Declarations!$B$47+1000*A329+B329</f>
        <v>954113</v>
      </c>
      <c r="D329" s="26" t="n">
        <v>2</v>
      </c>
      <c r="E329" s="26" t="n">
        <v>9</v>
      </c>
      <c r="F329" s="26" t="n">
        <v>22</v>
      </c>
      <c r="G329" s="26" t="n">
        <v>4</v>
      </c>
      <c r="H329" s="26" t="n">
        <v>3</v>
      </c>
      <c r="I329" s="16" t="n">
        <f aca="false">0.5*(ABS(D329/A329-Declarations!$B$25)+ABS(E329/A329-Declarations!$B$26)+ABS(F329/A329-Declarations!$B$27)+ABS(G329/A329-Declarations!$B$28)+ABS(H329/A329-Declarations!$B$29))</f>
        <v>0.1</v>
      </c>
      <c r="J329" s="20" t="n">
        <v>0</v>
      </c>
      <c r="K329" s="26" t="n">
        <v>1</v>
      </c>
    </row>
    <row r="330" customFormat="false" ht="15" hidden="false" customHeight="false" outlineLevel="0" collapsed="false">
      <c r="A330" s="14" t="n">
        <v>40</v>
      </c>
      <c r="B330" s="14" t="n">
        <v>114</v>
      </c>
      <c r="C330" s="14" t="n">
        <f aca="false">Declarations!$B$47+1000*A330+B330</f>
        <v>954114</v>
      </c>
      <c r="D330" s="26" t="n">
        <v>3</v>
      </c>
      <c r="E330" s="26" t="n">
        <v>8</v>
      </c>
      <c r="F330" s="26" t="n">
        <v>14</v>
      </c>
      <c r="G330" s="26" t="n">
        <v>12</v>
      </c>
      <c r="H330" s="26" t="n">
        <v>3</v>
      </c>
      <c r="I330" s="16" t="n">
        <f aca="false">0.5*(ABS(D330/A330-Declarations!$B$25)+ABS(E330/A330-Declarations!$B$26)+ABS(F330/A330-Declarations!$B$27)+ABS(G330/A330-Declarations!$B$28)+ABS(H330/A330-Declarations!$B$29))</f>
        <v>0.15</v>
      </c>
      <c r="J330" s="20" t="n">
        <v>0</v>
      </c>
      <c r="K330" s="26" t="n">
        <v>1</v>
      </c>
    </row>
    <row r="331" customFormat="false" ht="15" hidden="false" customHeight="false" outlineLevel="0" collapsed="false">
      <c r="A331" s="14" t="n">
        <v>40</v>
      </c>
      <c r="B331" s="14" t="n">
        <v>115</v>
      </c>
      <c r="C331" s="14" t="n">
        <f aca="false">Declarations!$B$47+1000*A331+B331</f>
        <v>954115</v>
      </c>
      <c r="D331" s="26" t="n">
        <v>2</v>
      </c>
      <c r="E331" s="26" t="n">
        <v>10</v>
      </c>
      <c r="F331" s="26" t="n">
        <v>23</v>
      </c>
      <c r="G331" s="26" t="n">
        <v>4</v>
      </c>
      <c r="H331" s="26" t="n">
        <v>1</v>
      </c>
      <c r="I331" s="16" t="n">
        <f aca="false">0.5*(ABS(D331/A331-Declarations!$B$25)+ABS(E331/A331-Declarations!$B$26)+ABS(F331/A331-Declarations!$B$27)+ABS(G331/A331-Declarations!$B$28)+ABS(H331/A331-Declarations!$B$29))</f>
        <v>0.125</v>
      </c>
      <c r="J331" s="20" t="n">
        <v>0</v>
      </c>
      <c r="K331" s="26" t="n">
        <v>1</v>
      </c>
    </row>
    <row r="332" customFormat="false" ht="15" hidden="false" customHeight="false" outlineLevel="0" collapsed="false">
      <c r="A332" s="14" t="n">
        <v>40</v>
      </c>
      <c r="B332" s="14" t="n">
        <v>116</v>
      </c>
      <c r="C332" s="14" t="n">
        <f aca="false">Declarations!$B$47+1000*A332+B332</f>
        <v>954116</v>
      </c>
      <c r="D332" s="26" t="n">
        <v>1</v>
      </c>
      <c r="E332" s="26" t="n">
        <v>8</v>
      </c>
      <c r="F332" s="26" t="n">
        <v>18</v>
      </c>
      <c r="G332" s="26" t="n">
        <v>10</v>
      </c>
      <c r="H332" s="26" t="n">
        <v>3</v>
      </c>
      <c r="I332" s="16" t="n">
        <f aca="false">0.5*(ABS(D332/A332-Declarations!$B$25)+ABS(E332/A332-Declarations!$B$26)+ABS(F332/A332-Declarations!$B$27)+ABS(G332/A332-Declarations!$B$28)+ABS(H332/A332-Declarations!$B$29))</f>
        <v>0.075</v>
      </c>
      <c r="J332" s="20" t="n">
        <v>0.00281729995887758</v>
      </c>
      <c r="K332" s="26" t="n">
        <v>0</v>
      </c>
    </row>
    <row r="333" customFormat="false" ht="15" hidden="false" customHeight="false" outlineLevel="0" collapsed="false">
      <c r="A333" s="14" t="n">
        <v>40</v>
      </c>
      <c r="B333" s="14" t="n">
        <v>117</v>
      </c>
      <c r="C333" s="14" t="n">
        <f aca="false">Declarations!$B$47+1000*A333+B333</f>
        <v>954117</v>
      </c>
      <c r="D333" s="26" t="n">
        <v>3</v>
      </c>
      <c r="E333" s="26" t="n">
        <v>8</v>
      </c>
      <c r="F333" s="26" t="n">
        <v>20</v>
      </c>
      <c r="G333" s="26" t="n">
        <v>9</v>
      </c>
      <c r="H333" s="26" t="n">
        <v>0</v>
      </c>
      <c r="I333" s="16" t="n">
        <f aca="false">0.5*(ABS(D333/A333-Declarations!$B$25)+ABS(E333/A333-Declarations!$B$26)+ABS(F333/A333-Declarations!$B$27)+ABS(G333/A333-Declarations!$B$28)+ABS(H333/A333-Declarations!$B$29))</f>
        <v>0.05</v>
      </c>
      <c r="J333" s="20" t="n">
        <v>0</v>
      </c>
      <c r="K333" s="26" t="n">
        <v>1</v>
      </c>
    </row>
    <row r="334" customFormat="false" ht="15" hidden="false" customHeight="false" outlineLevel="0" collapsed="false">
      <c r="A334" s="14" t="n">
        <v>40</v>
      </c>
      <c r="B334" s="14" t="n">
        <v>118</v>
      </c>
      <c r="C334" s="14" t="n">
        <f aca="false">Declarations!$B$47+1000*A334+B334</f>
        <v>954118</v>
      </c>
      <c r="D334" s="26" t="n">
        <v>4</v>
      </c>
      <c r="E334" s="26" t="n">
        <v>8</v>
      </c>
      <c r="F334" s="26" t="n">
        <v>17</v>
      </c>
      <c r="G334" s="26" t="n">
        <v>9</v>
      </c>
      <c r="H334" s="26" t="n">
        <v>2</v>
      </c>
      <c r="I334" s="16" t="n">
        <f aca="false">0.5*(ABS(D334/A334-Declarations!$B$25)+ABS(E334/A334-Declarations!$B$26)+ABS(F334/A334-Declarations!$B$27)+ABS(G334/A334-Declarations!$B$28)+ABS(H334/A334-Declarations!$B$29))</f>
        <v>0.075</v>
      </c>
      <c r="J334" s="20" t="n">
        <v>0</v>
      </c>
      <c r="K334" s="26" t="n">
        <v>1</v>
      </c>
    </row>
    <row r="335" customFormat="false" ht="15" hidden="false" customHeight="false" outlineLevel="0" collapsed="false">
      <c r="A335" s="14" t="n">
        <v>40</v>
      </c>
      <c r="B335" s="14" t="n">
        <v>119</v>
      </c>
      <c r="C335" s="14" t="n">
        <f aca="false">Declarations!$B$47+1000*A335+B335</f>
        <v>954119</v>
      </c>
      <c r="D335" s="26" t="n">
        <v>3</v>
      </c>
      <c r="E335" s="26" t="n">
        <v>7</v>
      </c>
      <c r="F335" s="26" t="n">
        <v>16</v>
      </c>
      <c r="G335" s="26" t="n">
        <v>12</v>
      </c>
      <c r="H335" s="26" t="n">
        <v>2</v>
      </c>
      <c r="I335" s="16" t="n">
        <f aca="false">0.5*(ABS(D335/A335-Declarations!$B$25)+ABS(E335/A335-Declarations!$B$26)+ABS(F335/A335-Declarations!$B$27)+ABS(G335/A335-Declarations!$B$28)+ABS(H335/A335-Declarations!$B$29))</f>
        <v>0.125</v>
      </c>
      <c r="J335" s="20" t="n">
        <v>0</v>
      </c>
      <c r="K335" s="26" t="n">
        <v>1</v>
      </c>
    </row>
    <row r="336" customFormat="false" ht="15" hidden="false" customHeight="false" outlineLevel="0" collapsed="false">
      <c r="A336" s="14" t="n">
        <v>40</v>
      </c>
      <c r="B336" s="14" t="n">
        <v>120</v>
      </c>
      <c r="C336" s="14" t="n">
        <f aca="false">Declarations!$B$47+1000*A336+B336</f>
        <v>954120</v>
      </c>
      <c r="D336" s="26" t="n">
        <v>5</v>
      </c>
      <c r="E336" s="26" t="n">
        <v>2</v>
      </c>
      <c r="F336" s="26" t="n">
        <v>16</v>
      </c>
      <c r="G336" s="26" t="n">
        <v>13</v>
      </c>
      <c r="H336" s="26" t="n">
        <v>4</v>
      </c>
      <c r="I336" s="16" t="n">
        <f aca="false">0.5*(ABS(D336/A336-Declarations!$B$25)+ABS(E336/A336-Declarations!$B$26)+ABS(F336/A336-Declarations!$B$27)+ABS(G336/A336-Declarations!$B$28)+ABS(H336/A336-Declarations!$B$29))</f>
        <v>0.25</v>
      </c>
      <c r="J336" s="20" t="n">
        <v>2.12010750248993</v>
      </c>
      <c r="K336" s="26" t="n">
        <v>0</v>
      </c>
    </row>
    <row r="337" customFormat="false" ht="15" hidden="false" customHeight="false" outlineLevel="0" collapsed="false">
      <c r="A337" s="14" t="n">
        <v>40</v>
      </c>
      <c r="B337" s="14" t="n">
        <v>121</v>
      </c>
      <c r="C337" s="14" t="n">
        <f aca="false">Declarations!$B$47+1000*A337+B337</f>
        <v>954121</v>
      </c>
      <c r="D337" s="26" t="n">
        <v>0</v>
      </c>
      <c r="E337" s="26" t="n">
        <v>8</v>
      </c>
      <c r="F337" s="26" t="n">
        <v>21</v>
      </c>
      <c r="G337" s="26" t="n">
        <v>6</v>
      </c>
      <c r="H337" s="26" t="n">
        <v>5</v>
      </c>
      <c r="I337" s="16" t="n">
        <f aca="false">0.5*(ABS(D337/A337-Declarations!$B$25)+ABS(E337/A337-Declarations!$B$26)+ABS(F337/A337-Declarations!$B$27)+ABS(G337/A337-Declarations!$B$28)+ABS(H337/A337-Declarations!$B$29))</f>
        <v>0.1</v>
      </c>
      <c r="J337" s="20" t="n">
        <v>0.569063756958229</v>
      </c>
      <c r="K337" s="26" t="n">
        <v>0</v>
      </c>
    </row>
    <row r="338" customFormat="false" ht="15" hidden="false" customHeight="false" outlineLevel="0" collapsed="false">
      <c r="A338" s="14" t="n">
        <v>40</v>
      </c>
      <c r="B338" s="14" t="n">
        <v>122</v>
      </c>
      <c r="C338" s="14" t="n">
        <f aca="false">Declarations!$B$47+1000*A338+B338</f>
        <v>954122</v>
      </c>
      <c r="D338" s="26" t="n">
        <v>1</v>
      </c>
      <c r="E338" s="26" t="n">
        <v>9</v>
      </c>
      <c r="F338" s="26" t="n">
        <v>24</v>
      </c>
      <c r="G338" s="26" t="n">
        <v>5</v>
      </c>
      <c r="H338" s="26" t="n">
        <v>1</v>
      </c>
      <c r="I338" s="16" t="n">
        <f aca="false">0.5*(ABS(D338/A338-Declarations!$B$25)+ABS(E338/A338-Declarations!$B$26)+ABS(F338/A338-Declarations!$B$27)+ABS(G338/A338-Declarations!$B$28)+ABS(H338/A338-Declarations!$B$29))</f>
        <v>0.125</v>
      </c>
      <c r="J338" s="20" t="n">
        <v>0</v>
      </c>
      <c r="K338" s="26" t="n">
        <v>1</v>
      </c>
    </row>
    <row r="339" customFormat="false" ht="15" hidden="false" customHeight="false" outlineLevel="0" collapsed="false">
      <c r="A339" s="14" t="n">
        <v>40</v>
      </c>
      <c r="B339" s="14" t="n">
        <v>123</v>
      </c>
      <c r="C339" s="14" t="n">
        <f aca="false">Declarations!$B$47+1000*A339+B339</f>
        <v>954123</v>
      </c>
      <c r="D339" s="26" t="n">
        <v>1</v>
      </c>
      <c r="E339" s="26" t="n">
        <v>5</v>
      </c>
      <c r="F339" s="26" t="n">
        <v>26</v>
      </c>
      <c r="G339" s="26" t="n">
        <v>5</v>
      </c>
      <c r="H339" s="26" t="n">
        <v>3</v>
      </c>
      <c r="I339" s="16" t="n">
        <f aca="false">0.5*(ABS(D339/A339-Declarations!$B$25)+ABS(E339/A339-Declarations!$B$26)+ABS(F339/A339-Declarations!$B$27)+ABS(G339/A339-Declarations!$B$28)+ABS(H339/A339-Declarations!$B$29))</f>
        <v>0.175</v>
      </c>
      <c r="J339" s="20" t="n">
        <v>0.713021460896897</v>
      </c>
      <c r="K339" s="26" t="n">
        <v>0</v>
      </c>
    </row>
    <row r="340" customFormat="false" ht="15" hidden="false" customHeight="false" outlineLevel="0" collapsed="false">
      <c r="A340" s="14" t="n">
        <v>40</v>
      </c>
      <c r="B340" s="14" t="n">
        <v>124</v>
      </c>
      <c r="C340" s="14" t="n">
        <f aca="false">Declarations!$B$47+1000*A340+B340</f>
        <v>954124</v>
      </c>
      <c r="D340" s="26" t="n">
        <v>1</v>
      </c>
      <c r="E340" s="26" t="n">
        <v>11</v>
      </c>
      <c r="F340" s="26" t="n">
        <v>23</v>
      </c>
      <c r="G340" s="26" t="n">
        <v>4</v>
      </c>
      <c r="H340" s="26" t="n">
        <v>1</v>
      </c>
      <c r="I340" s="16" t="n">
        <f aca="false">0.5*(ABS(D340/A340-Declarations!$B$25)+ABS(E340/A340-Declarations!$B$26)+ABS(F340/A340-Declarations!$B$27)+ABS(G340/A340-Declarations!$B$28)+ABS(H340/A340-Declarations!$B$29))</f>
        <v>0.15</v>
      </c>
      <c r="J340" s="20" t="n">
        <v>0</v>
      </c>
      <c r="K340" s="26" t="n">
        <v>1</v>
      </c>
    </row>
    <row r="341" customFormat="false" ht="15" hidden="false" customHeight="false" outlineLevel="0" collapsed="false">
      <c r="A341" s="14" t="n">
        <v>40</v>
      </c>
      <c r="B341" s="14" t="n">
        <v>125</v>
      </c>
      <c r="C341" s="14" t="n">
        <f aca="false">Declarations!$B$47+1000*A341+B341</f>
        <v>954125</v>
      </c>
      <c r="D341" s="26" t="n">
        <v>1</v>
      </c>
      <c r="E341" s="26" t="n">
        <v>6</v>
      </c>
      <c r="F341" s="26" t="n">
        <v>26</v>
      </c>
      <c r="G341" s="26" t="n">
        <v>5</v>
      </c>
      <c r="H341" s="26" t="n">
        <v>2</v>
      </c>
      <c r="I341" s="16" t="n">
        <f aca="false">0.5*(ABS(D341/A341-Declarations!$B$25)+ABS(E341/A341-Declarations!$B$26)+ABS(F341/A341-Declarations!$B$27)+ABS(G341/A341-Declarations!$B$28)+ABS(H341/A341-Declarations!$B$29))</f>
        <v>0.15</v>
      </c>
      <c r="J341" s="20" t="n">
        <v>0.675229613732086</v>
      </c>
      <c r="K341" s="26" t="n">
        <v>0</v>
      </c>
    </row>
    <row r="342" customFormat="false" ht="15" hidden="false" customHeight="false" outlineLevel="0" collapsed="false">
      <c r="A342" s="14" t="n">
        <v>40</v>
      </c>
      <c r="B342" s="14" t="n">
        <v>126</v>
      </c>
      <c r="C342" s="14" t="n">
        <f aca="false">Declarations!$B$47+1000*A342+B342</f>
        <v>954126</v>
      </c>
      <c r="D342" s="26" t="n">
        <v>1</v>
      </c>
      <c r="E342" s="26" t="n">
        <v>10</v>
      </c>
      <c r="F342" s="26" t="n">
        <v>23</v>
      </c>
      <c r="G342" s="26" t="n">
        <v>6</v>
      </c>
      <c r="H342" s="26" t="n">
        <v>0</v>
      </c>
      <c r="I342" s="16" t="n">
        <f aca="false">0.5*(ABS(D342/A342-Declarations!$B$25)+ABS(E342/A342-Declarations!$B$26)+ABS(F342/A342-Declarations!$B$27)+ABS(G342/A342-Declarations!$B$28)+ABS(H342/A342-Declarations!$B$29))</f>
        <v>0.125</v>
      </c>
      <c r="J342" s="20" t="n">
        <v>0</v>
      </c>
      <c r="K342" s="26" t="n">
        <v>1</v>
      </c>
    </row>
    <row r="343" customFormat="false" ht="15" hidden="false" customHeight="false" outlineLevel="0" collapsed="false">
      <c r="A343" s="14" t="n">
        <v>40</v>
      </c>
      <c r="B343" s="14" t="n">
        <v>127</v>
      </c>
      <c r="C343" s="14" t="n">
        <f aca="false">Declarations!$B$47+1000*A343+B343</f>
        <v>954127</v>
      </c>
      <c r="D343" s="26" t="n">
        <v>3</v>
      </c>
      <c r="E343" s="26" t="n">
        <v>10</v>
      </c>
      <c r="F343" s="26" t="n">
        <v>20</v>
      </c>
      <c r="G343" s="26" t="n">
        <v>5</v>
      </c>
      <c r="H343" s="26" t="n">
        <v>2</v>
      </c>
      <c r="I343" s="16" t="n">
        <f aca="false">0.5*(ABS(D343/A343-Declarations!$B$25)+ABS(E343/A343-Declarations!$B$26)+ABS(F343/A343-Declarations!$B$27)+ABS(G343/A343-Declarations!$B$28)+ABS(H343/A343-Declarations!$B$29))</f>
        <v>0.075</v>
      </c>
      <c r="J343" s="20" t="n">
        <v>0</v>
      </c>
      <c r="K343" s="26" t="n">
        <v>1</v>
      </c>
    </row>
    <row r="344" customFormat="false" ht="15" hidden="false" customHeight="false" outlineLevel="0" collapsed="false">
      <c r="A344" s="14" t="n">
        <v>40</v>
      </c>
      <c r="B344" s="14" t="n">
        <v>128</v>
      </c>
      <c r="C344" s="14" t="n">
        <f aca="false">Declarations!$B$47+1000*A344+B344</f>
        <v>954128</v>
      </c>
      <c r="D344" s="26" t="n">
        <v>1</v>
      </c>
      <c r="E344" s="26" t="n">
        <v>6</v>
      </c>
      <c r="F344" s="26" t="n">
        <v>23</v>
      </c>
      <c r="G344" s="26" t="n">
        <v>10</v>
      </c>
      <c r="H344" s="26" t="n">
        <v>0</v>
      </c>
      <c r="I344" s="16" t="n">
        <f aca="false">0.5*(ABS(D344/A344-Declarations!$B$25)+ABS(E344/A344-Declarations!$B$26)+ABS(F344/A344-Declarations!$B$27)+ABS(G344/A344-Declarations!$B$28)+ABS(H344/A344-Declarations!$B$29))</f>
        <v>0.125</v>
      </c>
      <c r="J344" s="20" t="n">
        <v>0.569063756958229</v>
      </c>
      <c r="K344" s="26" t="n">
        <v>0</v>
      </c>
    </row>
    <row r="345" customFormat="false" ht="15" hidden="false" customHeight="false" outlineLevel="0" collapsed="false">
      <c r="A345" s="14" t="n">
        <v>40</v>
      </c>
      <c r="B345" s="14" t="n">
        <v>129</v>
      </c>
      <c r="C345" s="14" t="n">
        <f aca="false">Declarations!$B$47+1000*A345+B345</f>
        <v>954129</v>
      </c>
      <c r="D345" s="26" t="n">
        <v>3</v>
      </c>
      <c r="E345" s="26" t="n">
        <v>8</v>
      </c>
      <c r="F345" s="26" t="n">
        <v>17</v>
      </c>
      <c r="G345" s="26" t="n">
        <v>10</v>
      </c>
      <c r="H345" s="26" t="n">
        <v>2</v>
      </c>
      <c r="I345" s="16" t="n">
        <f aca="false">0.5*(ABS(D345/A345-Declarations!$B$25)+ABS(E345/A345-Declarations!$B$26)+ABS(F345/A345-Declarations!$B$27)+ABS(G345/A345-Declarations!$B$28)+ABS(H345/A345-Declarations!$B$29))</f>
        <v>0.075</v>
      </c>
      <c r="J345" s="20" t="n">
        <v>0</v>
      </c>
      <c r="K345" s="26" t="n">
        <v>1</v>
      </c>
    </row>
    <row r="346" customFormat="false" ht="15" hidden="false" customHeight="false" outlineLevel="0" collapsed="false">
      <c r="A346" s="14" t="n">
        <v>40</v>
      </c>
      <c r="B346" s="14" t="n">
        <v>130</v>
      </c>
      <c r="C346" s="14" t="n">
        <f aca="false">Declarations!$B$47+1000*A346+B346</f>
        <v>954130</v>
      </c>
      <c r="D346" s="26" t="n">
        <v>0</v>
      </c>
      <c r="E346" s="26" t="n">
        <v>4</v>
      </c>
      <c r="F346" s="26" t="n">
        <v>26</v>
      </c>
      <c r="G346" s="26" t="n">
        <v>8</v>
      </c>
      <c r="H346" s="26" t="n">
        <v>2</v>
      </c>
      <c r="I346" s="16" t="n">
        <f aca="false">0.5*(ABS(D346/A346-Declarations!$B$25)+ABS(E346/A346-Declarations!$B$26)+ABS(F346/A346-Declarations!$B$27)+ABS(G346/A346-Declarations!$B$28)+ABS(H346/A346-Declarations!$B$29))</f>
        <v>0.15</v>
      </c>
      <c r="J346" s="20" t="n">
        <v>5.03615287384906</v>
      </c>
      <c r="K346" s="26" t="n">
        <v>0</v>
      </c>
    </row>
    <row r="347" customFormat="false" ht="15" hidden="false" customHeight="false" outlineLevel="0" collapsed="false">
      <c r="A347" s="14" t="n">
        <v>40</v>
      </c>
      <c r="B347" s="14" t="n">
        <v>131</v>
      </c>
      <c r="C347" s="14" t="n">
        <f aca="false">Declarations!$B$47+1000*A347+B347</f>
        <v>954131</v>
      </c>
      <c r="D347" s="26" t="n">
        <v>3</v>
      </c>
      <c r="E347" s="26" t="n">
        <v>3</v>
      </c>
      <c r="F347" s="26" t="n">
        <v>23</v>
      </c>
      <c r="G347" s="26" t="n">
        <v>11</v>
      </c>
      <c r="H347" s="26" t="n">
        <v>0</v>
      </c>
      <c r="I347" s="16" t="n">
        <f aca="false">0.5*(ABS(D347/A347-Declarations!$B$25)+ABS(E347/A347-Declarations!$B$26)+ABS(F347/A347-Declarations!$B$27)+ABS(G347/A347-Declarations!$B$28)+ABS(H347/A347-Declarations!$B$29))</f>
        <v>0.175</v>
      </c>
      <c r="J347" s="20" t="n">
        <v>0.43736025479447</v>
      </c>
      <c r="K347" s="26" t="n">
        <v>0</v>
      </c>
    </row>
    <row r="348" customFormat="false" ht="15" hidden="false" customHeight="false" outlineLevel="0" collapsed="false">
      <c r="A348" s="14" t="n">
        <v>40</v>
      </c>
      <c r="B348" s="14" t="n">
        <v>132</v>
      </c>
      <c r="C348" s="14" t="n">
        <f aca="false">Declarations!$B$47+1000*A348+B348</f>
        <v>954132</v>
      </c>
      <c r="D348" s="26" t="n">
        <v>1</v>
      </c>
      <c r="E348" s="26" t="n">
        <v>7</v>
      </c>
      <c r="F348" s="26" t="n">
        <v>26</v>
      </c>
      <c r="G348" s="26" t="n">
        <v>6</v>
      </c>
      <c r="H348" s="26" t="n">
        <v>0</v>
      </c>
      <c r="I348" s="16" t="n">
        <f aca="false">0.5*(ABS(D348/A348-Declarations!$B$25)+ABS(E348/A348-Declarations!$B$26)+ABS(F348/A348-Declarations!$B$27)+ABS(G348/A348-Declarations!$B$28)+ABS(H348/A348-Declarations!$B$29))</f>
        <v>0.15</v>
      </c>
      <c r="J348" s="20" t="n">
        <v>0.115817627028463</v>
      </c>
      <c r="K348" s="26" t="n">
        <v>0</v>
      </c>
    </row>
    <row r="349" customFormat="false" ht="15" hidden="false" customHeight="false" outlineLevel="0" collapsed="false">
      <c r="A349" s="14" t="n">
        <v>40</v>
      </c>
      <c r="B349" s="14" t="n">
        <v>133</v>
      </c>
      <c r="C349" s="14" t="n">
        <f aca="false">Declarations!$B$47+1000*A349+B349</f>
        <v>954133</v>
      </c>
      <c r="D349" s="26" t="n">
        <v>2</v>
      </c>
      <c r="E349" s="26" t="n">
        <v>8</v>
      </c>
      <c r="F349" s="26" t="n">
        <v>20</v>
      </c>
      <c r="G349" s="26" t="n">
        <v>6</v>
      </c>
      <c r="H349" s="26" t="n">
        <v>4</v>
      </c>
      <c r="I349" s="16" t="n">
        <f aca="false">0.5*(ABS(D349/A349-Declarations!$B$25)+ABS(E349/A349-Declarations!$B$26)+ABS(F349/A349-Declarations!$B$27)+ABS(G349/A349-Declarations!$B$28)+ABS(H349/A349-Declarations!$B$29))</f>
        <v>0.05</v>
      </c>
      <c r="J349" s="20" t="n">
        <v>0</v>
      </c>
      <c r="K349" s="26" t="n">
        <v>1</v>
      </c>
    </row>
    <row r="350" customFormat="false" ht="15" hidden="false" customHeight="false" outlineLevel="0" collapsed="false">
      <c r="A350" s="14" t="n">
        <v>40</v>
      </c>
      <c r="B350" s="14" t="n">
        <v>134</v>
      </c>
      <c r="C350" s="14" t="n">
        <f aca="false">Declarations!$B$47+1000*A350+B350</f>
        <v>954134</v>
      </c>
      <c r="D350" s="26" t="n">
        <v>1</v>
      </c>
      <c r="E350" s="26" t="n">
        <v>9</v>
      </c>
      <c r="F350" s="26" t="n">
        <v>21</v>
      </c>
      <c r="G350" s="26" t="n">
        <v>6</v>
      </c>
      <c r="H350" s="26" t="n">
        <v>3</v>
      </c>
      <c r="I350" s="16" t="n">
        <f aca="false">0.5*(ABS(D350/A350-Declarations!$B$25)+ABS(E350/A350-Declarations!$B$26)+ABS(F350/A350-Declarations!$B$27)+ABS(G350/A350-Declarations!$B$28)+ABS(H350/A350-Declarations!$B$29))</f>
        <v>0.075</v>
      </c>
      <c r="J350" s="20" t="n">
        <v>0</v>
      </c>
      <c r="K350" s="26" t="n">
        <v>1</v>
      </c>
    </row>
    <row r="351" customFormat="false" ht="15" hidden="false" customHeight="false" outlineLevel="0" collapsed="false">
      <c r="A351" s="14" t="n">
        <v>40</v>
      </c>
      <c r="B351" s="14" t="n">
        <v>135</v>
      </c>
      <c r="C351" s="14" t="n">
        <f aca="false">Declarations!$B$47+1000*A351+B351</f>
        <v>954135</v>
      </c>
      <c r="D351" s="26" t="n">
        <v>1</v>
      </c>
      <c r="E351" s="26" t="n">
        <v>11</v>
      </c>
      <c r="F351" s="26" t="n">
        <v>20</v>
      </c>
      <c r="G351" s="26" t="n">
        <v>4</v>
      </c>
      <c r="H351" s="26" t="n">
        <v>4</v>
      </c>
      <c r="I351" s="16" t="n">
        <f aca="false">0.5*(ABS(D351/A351-Declarations!$B$25)+ABS(E351/A351-Declarations!$B$26)+ABS(F351/A351-Declarations!$B$27)+ABS(G351/A351-Declarations!$B$28)+ABS(H351/A351-Declarations!$B$29))</f>
        <v>0.125</v>
      </c>
      <c r="J351" s="20" t="n">
        <v>0</v>
      </c>
      <c r="K351" s="26" t="n">
        <v>1</v>
      </c>
    </row>
    <row r="352" customFormat="false" ht="15" hidden="false" customHeight="false" outlineLevel="0" collapsed="false">
      <c r="A352" s="14" t="n">
        <v>40</v>
      </c>
      <c r="B352" s="14" t="n">
        <v>136</v>
      </c>
      <c r="C352" s="14" t="n">
        <f aca="false">Declarations!$B$47+1000*A352+B352</f>
        <v>954136</v>
      </c>
      <c r="D352" s="26" t="n">
        <v>4</v>
      </c>
      <c r="E352" s="26" t="n">
        <v>6</v>
      </c>
      <c r="F352" s="26" t="n">
        <v>16</v>
      </c>
      <c r="G352" s="26" t="n">
        <v>13</v>
      </c>
      <c r="H352" s="26" t="n">
        <v>1</v>
      </c>
      <c r="I352" s="16" t="n">
        <f aca="false">0.5*(ABS(D352/A352-Declarations!$B$25)+ABS(E352/A352-Declarations!$B$26)+ABS(F352/A352-Declarations!$B$27)+ABS(G352/A352-Declarations!$B$28)+ABS(H352/A352-Declarations!$B$29))</f>
        <v>0.175</v>
      </c>
      <c r="J352" s="20" t="n">
        <v>0</v>
      </c>
      <c r="K352" s="26" t="n">
        <v>1</v>
      </c>
    </row>
    <row r="353" customFormat="false" ht="15" hidden="false" customHeight="false" outlineLevel="0" collapsed="false">
      <c r="A353" s="14" t="n">
        <v>40</v>
      </c>
      <c r="B353" s="14" t="n">
        <v>137</v>
      </c>
      <c r="C353" s="14" t="n">
        <f aca="false">Declarations!$B$47+1000*A353+B353</f>
        <v>954137</v>
      </c>
      <c r="D353" s="26" t="n">
        <v>2</v>
      </c>
      <c r="E353" s="26" t="n">
        <v>11</v>
      </c>
      <c r="F353" s="26" t="n">
        <v>11</v>
      </c>
      <c r="G353" s="26" t="n">
        <v>15</v>
      </c>
      <c r="H353" s="26" t="n">
        <v>1</v>
      </c>
      <c r="I353" s="16" t="n">
        <f aca="false">0.5*(ABS(D353/A353-Declarations!$B$25)+ABS(E353/A353-Declarations!$B$26)+ABS(F353/A353-Declarations!$B$27)+ABS(G353/A353-Declarations!$B$28)+ABS(H353/A353-Declarations!$B$29))</f>
        <v>0.25</v>
      </c>
      <c r="J353" s="20" t="n">
        <v>0</v>
      </c>
      <c r="K353" s="26" t="n">
        <v>1</v>
      </c>
    </row>
    <row r="354" customFormat="false" ht="15" hidden="false" customHeight="false" outlineLevel="0" collapsed="false">
      <c r="A354" s="14" t="n">
        <v>40</v>
      </c>
      <c r="B354" s="14" t="n">
        <v>138</v>
      </c>
      <c r="C354" s="14" t="n">
        <f aca="false">Declarations!$B$47+1000*A354+B354</f>
        <v>954138</v>
      </c>
      <c r="D354" s="26" t="n">
        <v>1</v>
      </c>
      <c r="E354" s="26" t="n">
        <v>7</v>
      </c>
      <c r="F354" s="26" t="n">
        <v>22</v>
      </c>
      <c r="G354" s="26" t="n">
        <v>7</v>
      </c>
      <c r="H354" s="26" t="n">
        <v>3</v>
      </c>
      <c r="I354" s="16" t="n">
        <f aca="false">0.5*(ABS(D354/A354-Declarations!$B$25)+ABS(E354/A354-Declarations!$B$26)+ABS(F354/A354-Declarations!$B$27)+ABS(G354/A354-Declarations!$B$28)+ABS(H354/A354-Declarations!$B$29))</f>
        <v>0.075</v>
      </c>
      <c r="J354" s="20" t="n">
        <v>0.175883920405738</v>
      </c>
      <c r="K354" s="26" t="n">
        <v>0</v>
      </c>
    </row>
    <row r="355" customFormat="false" ht="15" hidden="false" customHeight="false" outlineLevel="0" collapsed="false">
      <c r="A355" s="14" t="n">
        <v>40</v>
      </c>
      <c r="B355" s="14" t="n">
        <v>139</v>
      </c>
      <c r="C355" s="14" t="n">
        <f aca="false">Declarations!$B$47+1000*A355+B355</f>
        <v>954139</v>
      </c>
      <c r="D355" s="26" t="n">
        <v>3</v>
      </c>
      <c r="E355" s="26" t="n">
        <v>10</v>
      </c>
      <c r="F355" s="26" t="n">
        <v>20</v>
      </c>
      <c r="G355" s="26" t="n">
        <v>5</v>
      </c>
      <c r="H355" s="26" t="n">
        <v>2</v>
      </c>
      <c r="I355" s="16" t="n">
        <f aca="false">0.5*(ABS(D355/A355-Declarations!$B$25)+ABS(E355/A355-Declarations!$B$26)+ABS(F355/A355-Declarations!$B$27)+ABS(G355/A355-Declarations!$B$28)+ABS(H355/A355-Declarations!$B$29))</f>
        <v>0.075</v>
      </c>
      <c r="J355" s="20" t="n">
        <v>0</v>
      </c>
      <c r="K355" s="26" t="n">
        <v>1</v>
      </c>
    </row>
    <row r="356" customFormat="false" ht="15" hidden="false" customHeight="false" outlineLevel="0" collapsed="false">
      <c r="A356" s="14" t="n">
        <v>40</v>
      </c>
      <c r="B356" s="14" t="n">
        <v>140</v>
      </c>
      <c r="C356" s="14" t="n">
        <f aca="false">Declarations!$B$47+1000*A356+B356</f>
        <v>954140</v>
      </c>
      <c r="D356" s="26" t="n">
        <v>0</v>
      </c>
      <c r="E356" s="26" t="n">
        <v>10</v>
      </c>
      <c r="F356" s="26" t="n">
        <v>16</v>
      </c>
      <c r="G356" s="26" t="n">
        <v>9</v>
      </c>
      <c r="H356" s="26" t="n">
        <v>5</v>
      </c>
      <c r="I356" s="16" t="n">
        <f aca="false">0.5*(ABS(D356/A356-Declarations!$B$25)+ABS(E356/A356-Declarations!$B$26)+ABS(F356/A356-Declarations!$B$27)+ABS(G356/A356-Declarations!$B$28)+ABS(H356/A356-Declarations!$B$29))</f>
        <v>0.15</v>
      </c>
      <c r="J356" s="20" t="n">
        <v>0.0703309017642937</v>
      </c>
      <c r="K356" s="26" t="n">
        <v>0</v>
      </c>
    </row>
    <row r="357" customFormat="false" ht="15" hidden="false" customHeight="false" outlineLevel="0" collapsed="false">
      <c r="A357" s="14" t="n">
        <v>40</v>
      </c>
      <c r="B357" s="14" t="n">
        <v>141</v>
      </c>
      <c r="C357" s="14" t="n">
        <f aca="false">Declarations!$B$47+1000*A357+B357</f>
        <v>954141</v>
      </c>
      <c r="D357" s="26" t="n">
        <v>3</v>
      </c>
      <c r="E357" s="26" t="n">
        <v>9</v>
      </c>
      <c r="F357" s="26" t="n">
        <v>18</v>
      </c>
      <c r="G357" s="26" t="n">
        <v>7</v>
      </c>
      <c r="H357" s="26" t="n">
        <v>3</v>
      </c>
      <c r="I357" s="16" t="n">
        <f aca="false">0.5*(ABS(D357/A357-Declarations!$B$25)+ABS(E357/A357-Declarations!$B$26)+ABS(F357/A357-Declarations!$B$27)+ABS(G357/A357-Declarations!$B$28)+ABS(H357/A357-Declarations!$B$29))</f>
        <v>0.075</v>
      </c>
      <c r="J357" s="20" t="n">
        <v>0</v>
      </c>
      <c r="K357" s="26" t="n">
        <v>1</v>
      </c>
    </row>
    <row r="358" customFormat="false" ht="15" hidden="false" customHeight="false" outlineLevel="0" collapsed="false">
      <c r="A358" s="14" t="n">
        <v>40</v>
      </c>
      <c r="B358" s="14" t="n">
        <v>142</v>
      </c>
      <c r="C358" s="14" t="n">
        <f aca="false">Declarations!$B$47+1000*A358+B358</f>
        <v>954142</v>
      </c>
      <c r="D358" s="26" t="n">
        <v>2</v>
      </c>
      <c r="E358" s="26" t="n">
        <v>8</v>
      </c>
      <c r="F358" s="26" t="n">
        <v>23</v>
      </c>
      <c r="G358" s="26" t="n">
        <v>7</v>
      </c>
      <c r="H358" s="26" t="n">
        <v>0</v>
      </c>
      <c r="I358" s="16" t="n">
        <f aca="false">0.5*(ABS(D358/A358-Declarations!$B$25)+ABS(E358/A358-Declarations!$B$26)+ABS(F358/A358-Declarations!$B$27)+ABS(G358/A358-Declarations!$B$28)+ABS(H358/A358-Declarations!$B$29))</f>
        <v>0.075</v>
      </c>
      <c r="J358" s="20" t="n">
        <v>0</v>
      </c>
      <c r="K358" s="26" t="n">
        <v>1</v>
      </c>
    </row>
    <row r="359" customFormat="false" ht="15" hidden="false" customHeight="false" outlineLevel="0" collapsed="false">
      <c r="A359" s="14" t="n">
        <v>40</v>
      </c>
      <c r="B359" s="14" t="n">
        <v>143</v>
      </c>
      <c r="C359" s="14" t="n">
        <f aca="false">Declarations!$B$47+1000*A359+B359</f>
        <v>954143</v>
      </c>
      <c r="D359" s="26" t="n">
        <v>2</v>
      </c>
      <c r="E359" s="26" t="n">
        <v>10</v>
      </c>
      <c r="F359" s="26" t="n">
        <v>18</v>
      </c>
      <c r="G359" s="26" t="n">
        <v>9</v>
      </c>
      <c r="H359" s="26" t="n">
        <v>1</v>
      </c>
      <c r="I359" s="16" t="n">
        <f aca="false">0.5*(ABS(D359/A359-Declarations!$B$25)+ABS(E359/A359-Declarations!$B$26)+ABS(F359/A359-Declarations!$B$27)+ABS(G359/A359-Declarations!$B$28)+ABS(H359/A359-Declarations!$B$29))</f>
        <v>0.075</v>
      </c>
      <c r="J359" s="20" t="n">
        <v>0</v>
      </c>
      <c r="K359" s="26" t="n">
        <v>1</v>
      </c>
    </row>
    <row r="360" customFormat="false" ht="15" hidden="false" customHeight="false" outlineLevel="0" collapsed="false">
      <c r="A360" s="14" t="n">
        <v>40</v>
      </c>
      <c r="B360" s="14" t="n">
        <v>144</v>
      </c>
      <c r="C360" s="14" t="n">
        <f aca="false">Declarations!$B$47+1000*A360+B360</f>
        <v>954144</v>
      </c>
      <c r="D360" s="26" t="n">
        <v>0</v>
      </c>
      <c r="E360" s="26" t="n">
        <v>6</v>
      </c>
      <c r="F360" s="26" t="n">
        <v>25</v>
      </c>
      <c r="G360" s="26" t="n">
        <v>7</v>
      </c>
      <c r="H360" s="26" t="n">
        <v>2</v>
      </c>
      <c r="I360" s="16" t="n">
        <f aca="false">0.5*(ABS(D360/A360-Declarations!$B$25)+ABS(E360/A360-Declarations!$B$26)+ABS(F360/A360-Declarations!$B$27)+ABS(G360/A360-Declarations!$B$28)+ABS(H360/A360-Declarations!$B$29))</f>
        <v>0.125</v>
      </c>
      <c r="J360" s="20" t="n">
        <v>0.713021460896897</v>
      </c>
      <c r="K360" s="26" t="n">
        <v>0</v>
      </c>
    </row>
    <row r="361" customFormat="false" ht="15" hidden="false" customHeight="false" outlineLevel="0" collapsed="false">
      <c r="A361" s="14" t="n">
        <v>40</v>
      </c>
      <c r="B361" s="14" t="n">
        <v>145</v>
      </c>
      <c r="C361" s="14" t="n">
        <f aca="false">Declarations!$B$47+1000*A361+B361</f>
        <v>954145</v>
      </c>
      <c r="D361" s="26" t="n">
        <v>3</v>
      </c>
      <c r="E361" s="26" t="n">
        <v>9</v>
      </c>
      <c r="F361" s="26" t="n">
        <v>18</v>
      </c>
      <c r="G361" s="26" t="n">
        <v>6</v>
      </c>
      <c r="H361" s="26" t="n">
        <v>4</v>
      </c>
      <c r="I361" s="16" t="n">
        <f aca="false">0.5*(ABS(D361/A361-Declarations!$B$25)+ABS(E361/A361-Declarations!$B$26)+ABS(F361/A361-Declarations!$B$27)+ABS(G361/A361-Declarations!$B$28)+ABS(H361/A361-Declarations!$B$29))</f>
        <v>0.1</v>
      </c>
      <c r="J361" s="20" t="n">
        <v>0</v>
      </c>
      <c r="K361" s="26" t="n">
        <v>1</v>
      </c>
    </row>
    <row r="362" customFormat="false" ht="15" hidden="false" customHeight="false" outlineLevel="0" collapsed="false">
      <c r="A362" s="14" t="n">
        <v>40</v>
      </c>
      <c r="B362" s="14" t="n">
        <v>146</v>
      </c>
      <c r="C362" s="14" t="n">
        <f aca="false">Declarations!$B$47+1000*A362+B362</f>
        <v>954146</v>
      </c>
      <c r="D362" s="26" t="n">
        <v>1</v>
      </c>
      <c r="E362" s="26" t="n">
        <v>9</v>
      </c>
      <c r="F362" s="26" t="n">
        <v>21</v>
      </c>
      <c r="G362" s="26" t="n">
        <v>7</v>
      </c>
      <c r="H362" s="26" t="n">
        <v>2</v>
      </c>
      <c r="I362" s="16" t="n">
        <f aca="false">0.5*(ABS(D362/A362-Declarations!$B$25)+ABS(E362/A362-Declarations!$B$26)+ABS(F362/A362-Declarations!$B$27)+ABS(G362/A362-Declarations!$B$28)+ABS(H362/A362-Declarations!$B$29))</f>
        <v>0.05</v>
      </c>
      <c r="J362" s="20" t="n">
        <v>0</v>
      </c>
      <c r="K362" s="26" t="n">
        <v>1</v>
      </c>
    </row>
    <row r="363" customFormat="false" ht="15" hidden="false" customHeight="false" outlineLevel="0" collapsed="false">
      <c r="A363" s="14" t="n">
        <v>40</v>
      </c>
      <c r="B363" s="14" t="n">
        <v>147</v>
      </c>
      <c r="C363" s="14" t="n">
        <f aca="false">Declarations!$B$47+1000*A363+B363</f>
        <v>954147</v>
      </c>
      <c r="D363" s="26" t="n">
        <v>2</v>
      </c>
      <c r="E363" s="26" t="n">
        <v>7</v>
      </c>
      <c r="F363" s="26" t="n">
        <v>27</v>
      </c>
      <c r="G363" s="26" t="n">
        <v>4</v>
      </c>
      <c r="H363" s="26" t="n">
        <v>0</v>
      </c>
      <c r="I363" s="16" t="n">
        <f aca="false">0.5*(ABS(D363/A363-Declarations!$B$25)+ABS(E363/A363-Declarations!$B$26)+ABS(F363/A363-Declarations!$B$27)+ABS(G363/A363-Declarations!$B$28)+ABS(H363/A363-Declarations!$B$29))</f>
        <v>0.175</v>
      </c>
      <c r="J363" s="20" t="n">
        <v>0</v>
      </c>
      <c r="K363" s="26" t="n">
        <v>1</v>
      </c>
    </row>
    <row r="364" customFormat="false" ht="15" hidden="false" customHeight="false" outlineLevel="0" collapsed="false">
      <c r="A364" s="14" t="n">
        <v>40</v>
      </c>
      <c r="B364" s="14" t="n">
        <v>148</v>
      </c>
      <c r="C364" s="14" t="n">
        <f aca="false">Declarations!$B$47+1000*A364+B364</f>
        <v>954148</v>
      </c>
      <c r="D364" s="26" t="n">
        <v>1</v>
      </c>
      <c r="E364" s="26" t="n">
        <v>7</v>
      </c>
      <c r="F364" s="26" t="n">
        <v>24</v>
      </c>
      <c r="G364" s="26" t="n">
        <v>7</v>
      </c>
      <c r="H364" s="26" t="n">
        <v>1</v>
      </c>
      <c r="I364" s="16" t="n">
        <f aca="false">0.5*(ABS(D364/A364-Declarations!$B$25)+ABS(E364/A364-Declarations!$B$26)+ABS(F364/A364-Declarations!$B$27)+ABS(G364/A364-Declarations!$B$28)+ABS(H364/A364-Declarations!$B$29))</f>
        <v>0.1</v>
      </c>
      <c r="J364" s="20" t="n">
        <v>0.115817627028463</v>
      </c>
      <c r="K364" s="26" t="n">
        <v>0</v>
      </c>
    </row>
    <row r="365" customFormat="false" ht="15" hidden="false" customHeight="false" outlineLevel="0" collapsed="false">
      <c r="A365" s="14" t="n">
        <v>40</v>
      </c>
      <c r="B365" s="14" t="n">
        <v>149</v>
      </c>
      <c r="C365" s="14" t="n">
        <f aca="false">Declarations!$B$47+1000*A365+B365</f>
        <v>954149</v>
      </c>
      <c r="D365" s="26" t="n">
        <v>3</v>
      </c>
      <c r="E365" s="26" t="n">
        <v>4</v>
      </c>
      <c r="F365" s="26" t="n">
        <v>22</v>
      </c>
      <c r="G365" s="26" t="n">
        <v>9</v>
      </c>
      <c r="H365" s="26" t="n">
        <v>2</v>
      </c>
      <c r="I365" s="16" t="n">
        <f aca="false">0.5*(ABS(D365/A365-Declarations!$B$25)+ABS(E365/A365-Declarations!$B$26)+ABS(F365/A365-Declarations!$B$27)+ABS(G365/A365-Declarations!$B$28)+ABS(H365/A365-Declarations!$B$29))</f>
        <v>0.1</v>
      </c>
      <c r="J365" s="20" t="n">
        <v>0</v>
      </c>
      <c r="K365" s="26" t="n">
        <v>1</v>
      </c>
    </row>
    <row r="366" customFormat="false" ht="15" hidden="false" customHeight="false" outlineLevel="0" collapsed="false">
      <c r="A366" s="14" t="n">
        <v>40</v>
      </c>
      <c r="B366" s="14" t="n">
        <v>150</v>
      </c>
      <c r="C366" s="14" t="n">
        <f aca="false">Declarations!$B$47+1000*A366+B366</f>
        <v>954150</v>
      </c>
      <c r="D366" s="26" t="n">
        <v>1</v>
      </c>
      <c r="E366" s="26" t="n">
        <v>10</v>
      </c>
      <c r="F366" s="26" t="n">
        <v>18</v>
      </c>
      <c r="G366" s="26" t="n">
        <v>9</v>
      </c>
      <c r="H366" s="26" t="n">
        <v>2</v>
      </c>
      <c r="I366" s="16" t="n">
        <f aca="false">0.5*(ABS(D366/A366-Declarations!$B$25)+ABS(E366/A366-Declarations!$B$26)+ABS(F366/A366-Declarations!$B$27)+ABS(G366/A366-Declarations!$B$28)+ABS(H366/A366-Declarations!$B$29))</f>
        <v>0.075</v>
      </c>
      <c r="J366" s="20" t="n">
        <v>0</v>
      </c>
      <c r="K366" s="26" t="n">
        <v>1</v>
      </c>
    </row>
    <row r="367" customFormat="false" ht="15" hidden="false" customHeight="false" outlineLevel="0" collapsed="false">
      <c r="A367" s="14" t="n">
        <v>40</v>
      </c>
      <c r="B367" s="14" t="n">
        <v>151</v>
      </c>
      <c r="C367" s="14" t="n">
        <f aca="false">Declarations!$B$47+1000*A367+B367</f>
        <v>954151</v>
      </c>
      <c r="D367" s="26" t="n">
        <v>2</v>
      </c>
      <c r="E367" s="26" t="n">
        <v>6</v>
      </c>
      <c r="F367" s="26" t="n">
        <v>20</v>
      </c>
      <c r="G367" s="26" t="n">
        <v>8</v>
      </c>
      <c r="H367" s="26" t="n">
        <v>4</v>
      </c>
      <c r="I367" s="16" t="n">
        <f aca="false">0.5*(ABS(D367/A367-Declarations!$B$25)+ABS(E367/A367-Declarations!$B$26)+ABS(F367/A367-Declarations!$B$27)+ABS(G367/A367-Declarations!$B$28)+ABS(H367/A367-Declarations!$B$29))</f>
        <v>0.05</v>
      </c>
      <c r="J367" s="20" t="n">
        <v>0</v>
      </c>
      <c r="K367" s="26" t="n">
        <v>1</v>
      </c>
    </row>
    <row r="368" customFormat="false" ht="15" hidden="false" customHeight="false" outlineLevel="0" collapsed="false">
      <c r="A368" s="14" t="n">
        <v>40</v>
      </c>
      <c r="B368" s="14" t="n">
        <v>152</v>
      </c>
      <c r="C368" s="14" t="n">
        <f aca="false">Declarations!$B$47+1000*A368+B368</f>
        <v>954152</v>
      </c>
      <c r="D368" s="26" t="n">
        <v>1</v>
      </c>
      <c r="E368" s="26" t="n">
        <v>4</v>
      </c>
      <c r="F368" s="26" t="n">
        <v>28</v>
      </c>
      <c r="G368" s="26" t="n">
        <v>5</v>
      </c>
      <c r="H368" s="26" t="n">
        <v>2</v>
      </c>
      <c r="I368" s="16" t="n">
        <f aca="false">0.5*(ABS(D368/A368-Declarations!$B$25)+ABS(E368/A368-Declarations!$B$26)+ABS(F368/A368-Declarations!$B$27)+ABS(G368/A368-Declarations!$B$28)+ABS(H368/A368-Declarations!$B$29))</f>
        <v>0.2</v>
      </c>
      <c r="J368" s="20" t="n">
        <v>0.713021460896897</v>
      </c>
      <c r="K368" s="26" t="n">
        <v>0</v>
      </c>
    </row>
    <row r="369" customFormat="false" ht="15" hidden="false" customHeight="false" outlineLevel="0" collapsed="false">
      <c r="A369" s="14" t="n">
        <v>40</v>
      </c>
      <c r="B369" s="14" t="n">
        <v>153</v>
      </c>
      <c r="C369" s="14" t="n">
        <f aca="false">Declarations!$B$47+1000*A369+B369</f>
        <v>954153</v>
      </c>
      <c r="D369" s="26" t="n">
        <v>4</v>
      </c>
      <c r="E369" s="26" t="n">
        <v>11</v>
      </c>
      <c r="F369" s="26" t="n">
        <v>16</v>
      </c>
      <c r="G369" s="26" t="n">
        <v>7</v>
      </c>
      <c r="H369" s="26" t="n">
        <v>2</v>
      </c>
      <c r="I369" s="16" t="n">
        <f aca="false">0.5*(ABS(D369/A369-Declarations!$B$25)+ABS(E369/A369-Declarations!$B$26)+ABS(F369/A369-Declarations!$B$27)+ABS(G369/A369-Declarations!$B$28)+ABS(H369/A369-Declarations!$B$29))</f>
        <v>0.125</v>
      </c>
      <c r="J369" s="20" t="n">
        <v>0.317486583715066</v>
      </c>
      <c r="K369" s="26" t="n">
        <v>0</v>
      </c>
    </row>
    <row r="370" customFormat="false" ht="15" hidden="false" customHeight="false" outlineLevel="0" collapsed="false">
      <c r="A370" s="14" t="n">
        <v>40</v>
      </c>
      <c r="B370" s="14" t="n">
        <v>154</v>
      </c>
      <c r="C370" s="14" t="n">
        <f aca="false">Declarations!$B$47+1000*A370+B370</f>
        <v>954154</v>
      </c>
      <c r="D370" s="26" t="n">
        <v>4</v>
      </c>
      <c r="E370" s="26" t="n">
        <v>8</v>
      </c>
      <c r="F370" s="26" t="n">
        <v>18</v>
      </c>
      <c r="G370" s="26" t="n">
        <v>9</v>
      </c>
      <c r="H370" s="26" t="n">
        <v>1</v>
      </c>
      <c r="I370" s="16" t="n">
        <f aca="false">0.5*(ABS(D370/A370-Declarations!$B$25)+ABS(E370/A370-Declarations!$B$26)+ABS(F370/A370-Declarations!$B$27)+ABS(G370/A370-Declarations!$B$28)+ABS(H370/A370-Declarations!$B$29))</f>
        <v>0.075</v>
      </c>
      <c r="J370" s="20" t="n">
        <v>0</v>
      </c>
      <c r="K370" s="26" t="n">
        <v>1</v>
      </c>
    </row>
    <row r="371" customFormat="false" ht="15" hidden="false" customHeight="false" outlineLevel="0" collapsed="false">
      <c r="A371" s="14" t="n">
        <v>40</v>
      </c>
      <c r="B371" s="14" t="n">
        <v>155</v>
      </c>
      <c r="C371" s="14" t="n">
        <f aca="false">Declarations!$B$47+1000*A371+B371</f>
        <v>954155</v>
      </c>
      <c r="D371" s="26" t="n">
        <v>0</v>
      </c>
      <c r="E371" s="26" t="n">
        <v>6</v>
      </c>
      <c r="F371" s="26" t="n">
        <v>22</v>
      </c>
      <c r="G371" s="26" t="n">
        <v>9</v>
      </c>
      <c r="H371" s="26" t="n">
        <v>3</v>
      </c>
      <c r="I371" s="16" t="n">
        <f aca="false">0.5*(ABS(D371/A371-Declarations!$B$25)+ABS(E371/A371-Declarations!$B$26)+ABS(F371/A371-Declarations!$B$27)+ABS(G371/A371-Declarations!$B$28)+ABS(H371/A371-Declarations!$B$29))</f>
        <v>0.1</v>
      </c>
      <c r="J371" s="20" t="n">
        <v>0.713021460896897</v>
      </c>
      <c r="K371" s="26" t="n">
        <v>0</v>
      </c>
    </row>
    <row r="372" customFormat="false" ht="15" hidden="false" customHeight="false" outlineLevel="0" collapsed="false">
      <c r="A372" s="14" t="n">
        <v>40</v>
      </c>
      <c r="B372" s="14" t="n">
        <v>156</v>
      </c>
      <c r="C372" s="14" t="n">
        <f aca="false">Declarations!$B$47+1000*A372+B372</f>
        <v>954156</v>
      </c>
      <c r="D372" s="26" t="n">
        <v>3</v>
      </c>
      <c r="E372" s="26" t="n">
        <v>12</v>
      </c>
      <c r="F372" s="26" t="n">
        <v>14</v>
      </c>
      <c r="G372" s="26" t="n">
        <v>7</v>
      </c>
      <c r="H372" s="26" t="n">
        <v>4</v>
      </c>
      <c r="I372" s="16" t="n">
        <f aca="false">0.5*(ABS(D372/A372-Declarations!$B$25)+ABS(E372/A372-Declarations!$B$26)+ABS(F372/A372-Declarations!$B$27)+ABS(G372/A372-Declarations!$B$28)+ABS(H372/A372-Declarations!$B$29))</f>
        <v>0.175</v>
      </c>
      <c r="J372" s="20" t="n">
        <v>0</v>
      </c>
      <c r="K372" s="26" t="n">
        <v>1</v>
      </c>
    </row>
    <row r="373" customFormat="false" ht="15" hidden="false" customHeight="false" outlineLevel="0" collapsed="false">
      <c r="A373" s="14" t="n">
        <v>40</v>
      </c>
      <c r="B373" s="14" t="n">
        <v>157</v>
      </c>
      <c r="C373" s="14" t="n">
        <f aca="false">Declarations!$B$47+1000*A373+B373</f>
        <v>954157</v>
      </c>
      <c r="D373" s="26" t="n">
        <v>3</v>
      </c>
      <c r="E373" s="26" t="n">
        <v>10</v>
      </c>
      <c r="F373" s="26" t="n">
        <v>17</v>
      </c>
      <c r="G373" s="26" t="n">
        <v>7</v>
      </c>
      <c r="H373" s="26" t="n">
        <v>3</v>
      </c>
      <c r="I373" s="16" t="n">
        <f aca="false">0.5*(ABS(D373/A373-Declarations!$B$25)+ABS(E373/A373-Declarations!$B$26)+ABS(F373/A373-Declarations!$B$27)+ABS(G373/A373-Declarations!$B$28)+ABS(H373/A373-Declarations!$B$29))</f>
        <v>0.1</v>
      </c>
      <c r="J373" s="20" t="n">
        <v>0</v>
      </c>
      <c r="K373" s="26" t="n">
        <v>1</v>
      </c>
    </row>
    <row r="374" customFormat="false" ht="15" hidden="false" customHeight="false" outlineLevel="0" collapsed="false">
      <c r="A374" s="14" t="n">
        <v>40</v>
      </c>
      <c r="B374" s="14" t="n">
        <v>158</v>
      </c>
      <c r="C374" s="14" t="n">
        <f aca="false">Declarations!$B$47+1000*A374+B374</f>
        <v>954158</v>
      </c>
      <c r="D374" s="26" t="n">
        <v>1</v>
      </c>
      <c r="E374" s="26" t="n">
        <v>9</v>
      </c>
      <c r="F374" s="26" t="n">
        <v>21</v>
      </c>
      <c r="G374" s="26" t="n">
        <v>9</v>
      </c>
      <c r="H374" s="26" t="n">
        <v>0</v>
      </c>
      <c r="I374" s="16" t="n">
        <f aca="false">0.5*(ABS(D374/A374-Declarations!$B$25)+ABS(E374/A374-Declarations!$B$26)+ABS(F374/A374-Declarations!$B$27)+ABS(G374/A374-Declarations!$B$28)+ABS(H374/A374-Declarations!$B$29))</f>
        <v>0.075</v>
      </c>
      <c r="J374" s="20" t="n">
        <v>0</v>
      </c>
      <c r="K374" s="26" t="n">
        <v>1</v>
      </c>
    </row>
    <row r="375" customFormat="false" ht="15" hidden="false" customHeight="false" outlineLevel="0" collapsed="false">
      <c r="A375" s="14" t="n">
        <v>40</v>
      </c>
      <c r="B375" s="14" t="n">
        <v>159</v>
      </c>
      <c r="C375" s="14" t="n">
        <f aca="false">Declarations!$B$47+1000*A375+B375</f>
        <v>954159</v>
      </c>
      <c r="D375" s="26" t="n">
        <v>3</v>
      </c>
      <c r="E375" s="26" t="n">
        <v>3</v>
      </c>
      <c r="F375" s="26" t="n">
        <v>23</v>
      </c>
      <c r="G375" s="26" t="n">
        <v>8</v>
      </c>
      <c r="H375" s="26" t="n">
        <v>3</v>
      </c>
      <c r="I375" s="16" t="n">
        <f aca="false">0.5*(ABS(D375/A375-Declarations!$B$25)+ABS(E375/A375-Declarations!$B$26)+ABS(F375/A375-Declarations!$B$27)+ABS(G375/A375-Declarations!$B$28)+ABS(H375/A375-Declarations!$B$29))</f>
        <v>0.125</v>
      </c>
      <c r="J375" s="20" t="n">
        <v>0.488582070127848</v>
      </c>
      <c r="K375" s="26" t="n">
        <v>0</v>
      </c>
    </row>
    <row r="376" customFormat="false" ht="15" hidden="false" customHeight="false" outlineLevel="0" collapsed="false">
      <c r="A376" s="14" t="n">
        <v>40</v>
      </c>
      <c r="B376" s="14" t="n">
        <v>160</v>
      </c>
      <c r="C376" s="14" t="n">
        <f aca="false">Declarations!$B$47+1000*A376+B376</f>
        <v>954160</v>
      </c>
      <c r="D376" s="26" t="n">
        <v>1</v>
      </c>
      <c r="E376" s="26" t="n">
        <v>13</v>
      </c>
      <c r="F376" s="26" t="n">
        <v>15</v>
      </c>
      <c r="G376" s="26" t="n">
        <v>9</v>
      </c>
      <c r="H376" s="26" t="n">
        <v>2</v>
      </c>
      <c r="I376" s="16" t="n">
        <f aca="false">0.5*(ABS(D376/A376-Declarations!$B$25)+ABS(E376/A376-Declarations!$B$26)+ABS(F376/A376-Declarations!$B$27)+ABS(G376/A376-Declarations!$B$28)+ABS(H376/A376-Declarations!$B$29))</f>
        <v>0.15</v>
      </c>
      <c r="J376" s="20" t="n">
        <v>0</v>
      </c>
      <c r="K376" s="26" t="n">
        <v>1</v>
      </c>
    </row>
    <row r="377" customFormat="false" ht="15" hidden="false" customHeight="false" outlineLevel="0" collapsed="false">
      <c r="A377" s="14" t="n">
        <v>40</v>
      </c>
      <c r="B377" s="14" t="n">
        <v>161</v>
      </c>
      <c r="C377" s="14" t="n">
        <f aca="false">Declarations!$B$47+1000*A377+B377</f>
        <v>954161</v>
      </c>
      <c r="D377" s="26" t="n">
        <v>3</v>
      </c>
      <c r="E377" s="26" t="n">
        <v>5</v>
      </c>
      <c r="F377" s="26" t="n">
        <v>23</v>
      </c>
      <c r="G377" s="26" t="n">
        <v>8</v>
      </c>
      <c r="H377" s="26" t="n">
        <v>1</v>
      </c>
      <c r="I377" s="16" t="n">
        <f aca="false">0.5*(ABS(D377/A377-Declarations!$B$25)+ABS(E377/A377-Declarations!$B$26)+ABS(F377/A377-Declarations!$B$27)+ABS(G377/A377-Declarations!$B$28)+ABS(H377/A377-Declarations!$B$29))</f>
        <v>0.1</v>
      </c>
      <c r="J377" s="20" t="n">
        <v>0</v>
      </c>
      <c r="K377" s="26" t="n">
        <v>1</v>
      </c>
    </row>
    <row r="378" customFormat="false" ht="15" hidden="false" customHeight="false" outlineLevel="0" collapsed="false">
      <c r="A378" s="14" t="n">
        <v>40</v>
      </c>
      <c r="B378" s="14" t="n">
        <v>162</v>
      </c>
      <c r="C378" s="14" t="n">
        <f aca="false">Declarations!$B$47+1000*A378+B378</f>
        <v>954162</v>
      </c>
      <c r="D378" s="26" t="n">
        <v>1</v>
      </c>
      <c r="E378" s="26" t="n">
        <v>6</v>
      </c>
      <c r="F378" s="26" t="n">
        <v>25</v>
      </c>
      <c r="G378" s="26" t="n">
        <v>8</v>
      </c>
      <c r="H378" s="26" t="n">
        <v>0</v>
      </c>
      <c r="I378" s="16" t="n">
        <f aca="false">0.5*(ABS(D378/A378-Declarations!$B$25)+ABS(E378/A378-Declarations!$B$26)+ABS(F378/A378-Declarations!$B$27)+ABS(G378/A378-Declarations!$B$28)+ABS(H378/A378-Declarations!$B$29))</f>
        <v>0.125</v>
      </c>
      <c r="J378" s="20" t="n">
        <v>0.569063756958229</v>
      </c>
      <c r="K378" s="26" t="n">
        <v>0</v>
      </c>
    </row>
    <row r="379" customFormat="false" ht="15" hidden="false" customHeight="false" outlineLevel="0" collapsed="false">
      <c r="A379" s="14" t="n">
        <v>40</v>
      </c>
      <c r="B379" s="14" t="n">
        <v>163</v>
      </c>
      <c r="C379" s="14" t="n">
        <f aca="false">Declarations!$B$47+1000*A379+B379</f>
        <v>954163</v>
      </c>
      <c r="D379" s="26" t="n">
        <v>2</v>
      </c>
      <c r="E379" s="26" t="n">
        <v>10</v>
      </c>
      <c r="F379" s="26" t="n">
        <v>15</v>
      </c>
      <c r="G379" s="26" t="n">
        <v>11</v>
      </c>
      <c r="H379" s="26" t="n">
        <v>2</v>
      </c>
      <c r="I379" s="16" t="n">
        <f aca="false">0.5*(ABS(D379/A379-Declarations!$B$25)+ABS(E379/A379-Declarations!$B$26)+ABS(F379/A379-Declarations!$B$27)+ABS(G379/A379-Declarations!$B$28)+ABS(H379/A379-Declarations!$B$29))</f>
        <v>0.125</v>
      </c>
      <c r="J379" s="20" t="n">
        <v>0</v>
      </c>
      <c r="K379" s="26" t="n">
        <v>1</v>
      </c>
    </row>
    <row r="380" customFormat="false" ht="15" hidden="false" customHeight="false" outlineLevel="0" collapsed="false">
      <c r="A380" s="14" t="n">
        <v>40</v>
      </c>
      <c r="B380" s="14" t="n">
        <v>164</v>
      </c>
      <c r="C380" s="14" t="n">
        <f aca="false">Declarations!$B$47+1000*A380+B380</f>
        <v>954164</v>
      </c>
      <c r="D380" s="26" t="n">
        <v>3</v>
      </c>
      <c r="E380" s="26" t="n">
        <v>9</v>
      </c>
      <c r="F380" s="26" t="n">
        <v>19</v>
      </c>
      <c r="G380" s="26" t="n">
        <v>7</v>
      </c>
      <c r="H380" s="26" t="n">
        <v>2</v>
      </c>
      <c r="I380" s="16" t="n">
        <f aca="false">0.5*(ABS(D380/A380-Declarations!$B$25)+ABS(E380/A380-Declarations!$B$26)+ABS(F380/A380-Declarations!$B$27)+ABS(G380/A380-Declarations!$B$28)+ABS(H380/A380-Declarations!$B$29))</f>
        <v>0.05</v>
      </c>
      <c r="J380" s="20" t="n">
        <v>0</v>
      </c>
      <c r="K380" s="26" t="n">
        <v>1</v>
      </c>
    </row>
    <row r="381" customFormat="false" ht="15" hidden="false" customHeight="false" outlineLevel="0" collapsed="false">
      <c r="A381" s="14" t="n">
        <v>40</v>
      </c>
      <c r="B381" s="14" t="n">
        <v>165</v>
      </c>
      <c r="C381" s="14" t="n">
        <f aca="false">Declarations!$B$47+1000*A381+B381</f>
        <v>954165</v>
      </c>
      <c r="D381" s="26" t="n">
        <v>3</v>
      </c>
      <c r="E381" s="26" t="n">
        <v>8</v>
      </c>
      <c r="F381" s="26" t="n">
        <v>17</v>
      </c>
      <c r="G381" s="26" t="n">
        <v>10</v>
      </c>
      <c r="H381" s="26" t="n">
        <v>2</v>
      </c>
      <c r="I381" s="16" t="n">
        <f aca="false">0.5*(ABS(D381/A381-Declarations!$B$25)+ABS(E381/A381-Declarations!$B$26)+ABS(F381/A381-Declarations!$B$27)+ABS(G381/A381-Declarations!$B$28)+ABS(H381/A381-Declarations!$B$29))</f>
        <v>0.075</v>
      </c>
      <c r="J381" s="20" t="n">
        <v>0</v>
      </c>
      <c r="K381" s="26" t="n">
        <v>1</v>
      </c>
    </row>
    <row r="382" customFormat="false" ht="15" hidden="false" customHeight="false" outlineLevel="0" collapsed="false">
      <c r="A382" s="14" t="n">
        <v>40</v>
      </c>
      <c r="B382" s="14" t="n">
        <v>166</v>
      </c>
      <c r="C382" s="14" t="n">
        <f aca="false">Declarations!$B$47+1000*A382+B382</f>
        <v>954166</v>
      </c>
      <c r="D382" s="26" t="n">
        <v>4</v>
      </c>
      <c r="E382" s="26" t="n">
        <v>12</v>
      </c>
      <c r="F382" s="26" t="n">
        <v>12</v>
      </c>
      <c r="G382" s="26" t="n">
        <v>9</v>
      </c>
      <c r="H382" s="26" t="n">
        <v>3</v>
      </c>
      <c r="I382" s="16" t="n">
        <f aca="false">0.5*(ABS(D382/A382-Declarations!$B$25)+ABS(E382/A382-Declarations!$B$26)+ABS(F382/A382-Declarations!$B$27)+ABS(G382/A382-Declarations!$B$28)+ABS(H382/A382-Declarations!$B$29))</f>
        <v>0.2</v>
      </c>
      <c r="J382" s="20" t="n">
        <v>1.02019421213248</v>
      </c>
      <c r="K382" s="26" t="n">
        <v>0</v>
      </c>
    </row>
    <row r="383" customFormat="false" ht="15" hidden="false" customHeight="false" outlineLevel="0" collapsed="false">
      <c r="A383" s="14" t="n">
        <v>40</v>
      </c>
      <c r="B383" s="14" t="n">
        <v>167</v>
      </c>
      <c r="C383" s="14" t="n">
        <f aca="false">Declarations!$B$47+1000*A383+B383</f>
        <v>954167</v>
      </c>
      <c r="D383" s="26" t="n">
        <v>2</v>
      </c>
      <c r="E383" s="26" t="n">
        <v>2</v>
      </c>
      <c r="F383" s="26" t="n">
        <v>24</v>
      </c>
      <c r="G383" s="26" t="n">
        <v>10</v>
      </c>
      <c r="H383" s="26" t="n">
        <v>2</v>
      </c>
      <c r="I383" s="16" t="n">
        <f aca="false">0.5*(ABS(D383/A383-Declarations!$B$25)+ABS(E383/A383-Declarations!$B$26)+ABS(F383/A383-Declarations!$B$27)+ABS(G383/A383-Declarations!$B$28)+ABS(H383/A383-Declarations!$B$29))</f>
        <v>0.15</v>
      </c>
      <c r="J383" s="20" t="n">
        <v>5.03615287384906</v>
      </c>
      <c r="K383" s="26" t="n">
        <v>0</v>
      </c>
    </row>
    <row r="384" customFormat="false" ht="15" hidden="false" customHeight="false" outlineLevel="0" collapsed="false">
      <c r="A384" s="14" t="n">
        <v>40</v>
      </c>
      <c r="B384" s="14" t="n">
        <v>168</v>
      </c>
      <c r="C384" s="14" t="n">
        <f aca="false">Declarations!$B$47+1000*A384+B384</f>
        <v>954168</v>
      </c>
      <c r="D384" s="26" t="n">
        <v>3</v>
      </c>
      <c r="E384" s="26" t="n">
        <v>4</v>
      </c>
      <c r="F384" s="26" t="n">
        <v>22</v>
      </c>
      <c r="G384" s="26" t="n">
        <v>9</v>
      </c>
      <c r="H384" s="26" t="n">
        <v>2</v>
      </c>
      <c r="I384" s="16" t="n">
        <f aca="false">0.5*(ABS(D384/A384-Declarations!$B$25)+ABS(E384/A384-Declarations!$B$26)+ABS(F384/A384-Declarations!$B$27)+ABS(G384/A384-Declarations!$B$28)+ABS(H384/A384-Declarations!$B$29))</f>
        <v>0.1</v>
      </c>
      <c r="J384" s="20" t="n">
        <v>0</v>
      </c>
      <c r="K384" s="26" t="n">
        <v>1</v>
      </c>
    </row>
    <row r="385" customFormat="false" ht="15" hidden="false" customHeight="false" outlineLevel="0" collapsed="false">
      <c r="A385" s="14" t="n">
        <v>40</v>
      </c>
      <c r="B385" s="14" t="n">
        <v>169</v>
      </c>
      <c r="C385" s="14" t="n">
        <f aca="false">Declarations!$B$47+1000*A385+B385</f>
        <v>954169</v>
      </c>
      <c r="D385" s="26" t="n">
        <v>1</v>
      </c>
      <c r="E385" s="26" t="n">
        <v>4</v>
      </c>
      <c r="F385" s="26" t="n">
        <v>25</v>
      </c>
      <c r="G385" s="26" t="n">
        <v>5</v>
      </c>
      <c r="H385" s="26" t="n">
        <v>5</v>
      </c>
      <c r="I385" s="16" t="n">
        <f aca="false">0.5*(ABS(D385/A385-Declarations!$B$25)+ABS(E385/A385-Declarations!$B$26)+ABS(F385/A385-Declarations!$B$27)+ABS(G385/A385-Declarations!$B$28)+ABS(H385/A385-Declarations!$B$29))</f>
        <v>0.2</v>
      </c>
      <c r="J385" s="20" t="n">
        <v>0.713021460896897</v>
      </c>
      <c r="K385" s="26" t="n">
        <v>0</v>
      </c>
    </row>
    <row r="386" customFormat="false" ht="15" hidden="false" customHeight="false" outlineLevel="0" collapsed="false">
      <c r="A386" s="14" t="n">
        <v>40</v>
      </c>
      <c r="B386" s="14" t="n">
        <v>170</v>
      </c>
      <c r="C386" s="14" t="n">
        <f aca="false">Declarations!$B$47+1000*A386+B386</f>
        <v>954170</v>
      </c>
      <c r="D386" s="26" t="n">
        <v>2</v>
      </c>
      <c r="E386" s="26" t="n">
        <v>6</v>
      </c>
      <c r="F386" s="26" t="n">
        <v>19</v>
      </c>
      <c r="G386" s="26" t="n">
        <v>11</v>
      </c>
      <c r="H386" s="26" t="n">
        <v>2</v>
      </c>
      <c r="I386" s="16" t="n">
        <f aca="false">0.5*(ABS(D386/A386-Declarations!$B$25)+ABS(E386/A386-Declarations!$B$26)+ABS(F386/A386-Declarations!$B$27)+ABS(G386/A386-Declarations!$B$28)+ABS(H386/A386-Declarations!$B$29))</f>
        <v>0.075</v>
      </c>
      <c r="J386" s="20" t="n">
        <v>0</v>
      </c>
      <c r="K386" s="26" t="n">
        <v>1</v>
      </c>
    </row>
    <row r="387" customFormat="false" ht="15" hidden="false" customHeight="false" outlineLevel="0" collapsed="false">
      <c r="A387" s="14" t="n">
        <v>40</v>
      </c>
      <c r="B387" s="14" t="n">
        <v>171</v>
      </c>
      <c r="C387" s="14" t="n">
        <f aca="false">Declarations!$B$47+1000*A387+B387</f>
        <v>954171</v>
      </c>
      <c r="D387" s="26" t="n">
        <v>4</v>
      </c>
      <c r="E387" s="26" t="n">
        <v>7</v>
      </c>
      <c r="F387" s="26" t="n">
        <v>20</v>
      </c>
      <c r="G387" s="26" t="n">
        <v>7</v>
      </c>
      <c r="H387" s="26" t="n">
        <v>2</v>
      </c>
      <c r="I387" s="16" t="n">
        <f aca="false">0.5*(ABS(D387/A387-Declarations!$B$25)+ABS(E387/A387-Declarations!$B$26)+ABS(F387/A387-Declarations!$B$27)+ABS(G387/A387-Declarations!$B$28)+ABS(H387/A387-Declarations!$B$29))</f>
        <v>0.05</v>
      </c>
      <c r="J387" s="20" t="n">
        <v>0</v>
      </c>
      <c r="K387" s="26" t="n">
        <v>1</v>
      </c>
    </row>
    <row r="388" customFormat="false" ht="15" hidden="false" customHeight="false" outlineLevel="0" collapsed="false">
      <c r="A388" s="14" t="n">
        <v>40</v>
      </c>
      <c r="B388" s="14" t="n">
        <v>172</v>
      </c>
      <c r="C388" s="14" t="n">
        <f aca="false">Declarations!$B$47+1000*A388+B388</f>
        <v>954172</v>
      </c>
      <c r="D388" s="26" t="n">
        <v>3</v>
      </c>
      <c r="E388" s="26" t="n">
        <v>5</v>
      </c>
      <c r="F388" s="26" t="n">
        <v>20</v>
      </c>
      <c r="G388" s="26" t="n">
        <v>12</v>
      </c>
      <c r="H388" s="26" t="n">
        <v>0</v>
      </c>
      <c r="I388" s="16" t="n">
        <f aca="false">0.5*(ABS(D388/A388-Declarations!$B$25)+ABS(E388/A388-Declarations!$B$26)+ABS(F388/A388-Declarations!$B$27)+ABS(G388/A388-Declarations!$B$28)+ABS(H388/A388-Declarations!$B$29))</f>
        <v>0.125</v>
      </c>
      <c r="J388" s="20" t="n">
        <v>0</v>
      </c>
      <c r="K388" s="26" t="n">
        <v>1</v>
      </c>
    </row>
    <row r="389" customFormat="false" ht="15" hidden="false" customHeight="false" outlineLevel="0" collapsed="false">
      <c r="A389" s="14" t="n">
        <v>40</v>
      </c>
      <c r="B389" s="14" t="n">
        <v>173</v>
      </c>
      <c r="C389" s="14" t="n">
        <f aca="false">Declarations!$B$47+1000*A389+B389</f>
        <v>954173</v>
      </c>
      <c r="D389" s="26" t="n">
        <v>2</v>
      </c>
      <c r="E389" s="26" t="n">
        <v>8</v>
      </c>
      <c r="F389" s="26" t="n">
        <v>17</v>
      </c>
      <c r="G389" s="26" t="n">
        <v>11</v>
      </c>
      <c r="H389" s="26" t="n">
        <v>2</v>
      </c>
      <c r="I389" s="16" t="n">
        <f aca="false">0.5*(ABS(D389/A389-Declarations!$B$25)+ABS(E389/A389-Declarations!$B$26)+ABS(F389/A389-Declarations!$B$27)+ABS(G389/A389-Declarations!$B$28)+ABS(H389/A389-Declarations!$B$29))</f>
        <v>0.075</v>
      </c>
      <c r="J389" s="20" t="n">
        <v>0</v>
      </c>
      <c r="K389" s="26" t="n">
        <v>1</v>
      </c>
    </row>
    <row r="390" customFormat="false" ht="15" hidden="false" customHeight="false" outlineLevel="0" collapsed="false">
      <c r="A390" s="14" t="n">
        <v>40</v>
      </c>
      <c r="B390" s="14" t="n">
        <v>174</v>
      </c>
      <c r="C390" s="14" t="n">
        <f aca="false">Declarations!$B$47+1000*A390+B390</f>
        <v>954174</v>
      </c>
      <c r="D390" s="26" t="n">
        <v>3</v>
      </c>
      <c r="E390" s="26" t="n">
        <v>10</v>
      </c>
      <c r="F390" s="26" t="n">
        <v>16</v>
      </c>
      <c r="G390" s="26" t="n">
        <v>8</v>
      </c>
      <c r="H390" s="26" t="n">
        <v>3</v>
      </c>
      <c r="I390" s="16" t="n">
        <f aca="false">0.5*(ABS(D390/A390-Declarations!$B$25)+ABS(E390/A390-Declarations!$B$26)+ABS(F390/A390-Declarations!$B$27)+ABS(G390/A390-Declarations!$B$28)+ABS(H390/A390-Declarations!$B$29))</f>
        <v>0.1</v>
      </c>
      <c r="J390" s="20" t="n">
        <v>0</v>
      </c>
      <c r="K390" s="26" t="n">
        <v>1</v>
      </c>
    </row>
    <row r="391" customFormat="false" ht="15" hidden="false" customHeight="false" outlineLevel="0" collapsed="false">
      <c r="A391" s="14" t="n">
        <v>40</v>
      </c>
      <c r="B391" s="14" t="n">
        <v>175</v>
      </c>
      <c r="C391" s="14" t="n">
        <f aca="false">Declarations!$B$47+1000*A391+B391</f>
        <v>954175</v>
      </c>
      <c r="D391" s="26" t="n">
        <v>5</v>
      </c>
      <c r="E391" s="26" t="n">
        <v>10</v>
      </c>
      <c r="F391" s="26" t="n">
        <v>13</v>
      </c>
      <c r="G391" s="26" t="n">
        <v>9</v>
      </c>
      <c r="H391" s="26" t="n">
        <v>3</v>
      </c>
      <c r="I391" s="16" t="n">
        <f aca="false">0.5*(ABS(D391/A391-Declarations!$B$25)+ABS(E391/A391-Declarations!$B$26)+ABS(F391/A391-Declarations!$B$27)+ABS(G391/A391-Declarations!$B$28)+ABS(H391/A391-Declarations!$B$29))</f>
        <v>0.175</v>
      </c>
      <c r="J391" s="20" t="n">
        <v>2.12010750248993</v>
      </c>
      <c r="K391" s="26" t="n">
        <v>0</v>
      </c>
    </row>
    <row r="392" customFormat="false" ht="15" hidden="false" customHeight="false" outlineLevel="0" collapsed="false">
      <c r="A392" s="14" t="n">
        <v>40</v>
      </c>
      <c r="B392" s="14" t="n">
        <v>176</v>
      </c>
      <c r="C392" s="14" t="n">
        <f aca="false">Declarations!$B$47+1000*A392+B392</f>
        <v>954176</v>
      </c>
      <c r="D392" s="26" t="n">
        <v>0</v>
      </c>
      <c r="E392" s="26" t="n">
        <v>8</v>
      </c>
      <c r="F392" s="26" t="n">
        <v>19</v>
      </c>
      <c r="G392" s="26" t="n">
        <v>11</v>
      </c>
      <c r="H392" s="26" t="n">
        <v>2</v>
      </c>
      <c r="I392" s="16" t="n">
        <f aca="false">0.5*(ABS(D392/A392-Declarations!$B$25)+ABS(E392/A392-Declarations!$B$26)+ABS(F392/A392-Declarations!$B$27)+ABS(G392/A392-Declarations!$B$28)+ABS(H392/A392-Declarations!$B$29))</f>
        <v>0.075</v>
      </c>
      <c r="J392" s="20" t="n">
        <v>0.569063756958229</v>
      </c>
      <c r="K392" s="26" t="n">
        <v>0</v>
      </c>
    </row>
    <row r="393" customFormat="false" ht="15" hidden="false" customHeight="false" outlineLevel="0" collapsed="false">
      <c r="A393" s="14" t="n">
        <v>40</v>
      </c>
      <c r="B393" s="14" t="n">
        <v>177</v>
      </c>
      <c r="C393" s="14" t="n">
        <f aca="false">Declarations!$B$47+1000*A393+B393</f>
        <v>954177</v>
      </c>
      <c r="D393" s="26" t="n">
        <v>3</v>
      </c>
      <c r="E393" s="26" t="n">
        <v>9</v>
      </c>
      <c r="F393" s="26" t="n">
        <v>17</v>
      </c>
      <c r="G393" s="26" t="n">
        <v>11</v>
      </c>
      <c r="H393" s="26" t="n">
        <v>0</v>
      </c>
      <c r="I393" s="16" t="n">
        <f aca="false">0.5*(ABS(D393/A393-Declarations!$B$25)+ABS(E393/A393-Declarations!$B$26)+ABS(F393/A393-Declarations!$B$27)+ABS(G393/A393-Declarations!$B$28)+ABS(H393/A393-Declarations!$B$29))</f>
        <v>0.125</v>
      </c>
      <c r="J393" s="20" t="n">
        <v>0</v>
      </c>
      <c r="K393" s="26" t="n">
        <v>1</v>
      </c>
    </row>
    <row r="394" customFormat="false" ht="15" hidden="false" customHeight="false" outlineLevel="0" collapsed="false">
      <c r="A394" s="14" t="n">
        <v>40</v>
      </c>
      <c r="B394" s="14" t="n">
        <v>178</v>
      </c>
      <c r="C394" s="14" t="n">
        <f aca="false">Declarations!$B$47+1000*A394+B394</f>
        <v>954178</v>
      </c>
      <c r="D394" s="26" t="n">
        <v>3</v>
      </c>
      <c r="E394" s="26" t="n">
        <v>6</v>
      </c>
      <c r="F394" s="26" t="n">
        <v>21</v>
      </c>
      <c r="G394" s="26" t="n">
        <v>9</v>
      </c>
      <c r="H394" s="26" t="n">
        <v>1</v>
      </c>
      <c r="I394" s="16" t="n">
        <f aca="false">0.5*(ABS(D394/A394-Declarations!$B$25)+ABS(E394/A394-Declarations!$B$26)+ABS(F394/A394-Declarations!$B$27)+ABS(G394/A394-Declarations!$B$28)+ABS(H394/A394-Declarations!$B$29))</f>
        <v>0.075</v>
      </c>
      <c r="J394" s="20" t="n">
        <v>0</v>
      </c>
      <c r="K394" s="26" t="n">
        <v>1</v>
      </c>
    </row>
    <row r="395" customFormat="false" ht="15" hidden="false" customHeight="false" outlineLevel="0" collapsed="false">
      <c r="A395" s="14" t="n">
        <v>40</v>
      </c>
      <c r="B395" s="14" t="n">
        <v>179</v>
      </c>
      <c r="C395" s="14" t="n">
        <f aca="false">Declarations!$B$47+1000*A395+B395</f>
        <v>954179</v>
      </c>
      <c r="D395" s="26" t="n">
        <v>3</v>
      </c>
      <c r="E395" s="26" t="n">
        <v>8</v>
      </c>
      <c r="F395" s="26" t="n">
        <v>24</v>
      </c>
      <c r="G395" s="26" t="n">
        <v>3</v>
      </c>
      <c r="H395" s="26" t="n">
        <v>2</v>
      </c>
      <c r="I395" s="16" t="n">
        <f aca="false">0.5*(ABS(D395/A395-Declarations!$B$25)+ABS(E395/A395-Declarations!$B$26)+ABS(F395/A395-Declarations!$B$27)+ABS(G395/A395-Declarations!$B$28)+ABS(H395/A395-Declarations!$B$29))</f>
        <v>0.125</v>
      </c>
      <c r="J395" s="20" t="n">
        <v>0</v>
      </c>
      <c r="K395" s="26" t="n">
        <v>1</v>
      </c>
    </row>
    <row r="396" customFormat="false" ht="15" hidden="false" customHeight="false" outlineLevel="0" collapsed="false">
      <c r="A396" s="14" t="n">
        <v>40</v>
      </c>
      <c r="B396" s="14" t="n">
        <v>180</v>
      </c>
      <c r="C396" s="14" t="n">
        <f aca="false">Declarations!$B$47+1000*A396+B396</f>
        <v>954180</v>
      </c>
      <c r="D396" s="26" t="n">
        <v>4</v>
      </c>
      <c r="E396" s="26" t="n">
        <v>11</v>
      </c>
      <c r="F396" s="26" t="n">
        <v>17</v>
      </c>
      <c r="G396" s="26" t="n">
        <v>6</v>
      </c>
      <c r="H396" s="26" t="n">
        <v>2</v>
      </c>
      <c r="I396" s="16" t="n">
        <f aca="false">0.5*(ABS(D396/A396-Declarations!$B$25)+ABS(E396/A396-Declarations!$B$26)+ABS(F396/A396-Declarations!$B$27)+ABS(G396/A396-Declarations!$B$28)+ABS(H396/A396-Declarations!$B$29))</f>
        <v>0.125</v>
      </c>
      <c r="J396" s="20" t="n">
        <v>0.689848164660134</v>
      </c>
      <c r="K396" s="26" t="n">
        <v>0</v>
      </c>
    </row>
    <row r="397" customFormat="false" ht="15" hidden="false" customHeight="false" outlineLevel="0" collapsed="false">
      <c r="A397" s="14" t="n">
        <v>40</v>
      </c>
      <c r="B397" s="14" t="n">
        <v>181</v>
      </c>
      <c r="C397" s="14" t="n">
        <f aca="false">Declarations!$B$47+1000*A397+B397</f>
        <v>954181</v>
      </c>
      <c r="D397" s="26" t="n">
        <v>4</v>
      </c>
      <c r="E397" s="26" t="n">
        <v>6</v>
      </c>
      <c r="F397" s="26" t="n">
        <v>21</v>
      </c>
      <c r="G397" s="26" t="n">
        <v>8</v>
      </c>
      <c r="H397" s="26" t="n">
        <v>1</v>
      </c>
      <c r="I397" s="16" t="n">
        <f aca="false">0.5*(ABS(D397/A397-Declarations!$B$25)+ABS(E397/A397-Declarations!$B$26)+ABS(F397/A397-Declarations!$B$27)+ABS(G397/A397-Declarations!$B$28)+ABS(H397/A397-Declarations!$B$29))</f>
        <v>0.075</v>
      </c>
      <c r="J397" s="20" t="n">
        <v>0</v>
      </c>
      <c r="K397" s="26" t="n">
        <v>1</v>
      </c>
    </row>
    <row r="398" customFormat="false" ht="15" hidden="false" customHeight="false" outlineLevel="0" collapsed="false">
      <c r="A398" s="14" t="n">
        <v>40</v>
      </c>
      <c r="B398" s="14" t="n">
        <v>182</v>
      </c>
      <c r="C398" s="14" t="n">
        <f aca="false">Declarations!$B$47+1000*A398+B398</f>
        <v>954182</v>
      </c>
      <c r="D398" s="26" t="n">
        <v>2</v>
      </c>
      <c r="E398" s="26" t="n">
        <v>7</v>
      </c>
      <c r="F398" s="26" t="n">
        <v>23</v>
      </c>
      <c r="G398" s="26" t="n">
        <v>3</v>
      </c>
      <c r="H398" s="26" t="n">
        <v>5</v>
      </c>
      <c r="I398" s="16" t="n">
        <f aca="false">0.5*(ABS(D398/A398-Declarations!$B$25)+ABS(E398/A398-Declarations!$B$26)+ABS(F398/A398-Declarations!$B$27)+ABS(G398/A398-Declarations!$B$28)+ABS(H398/A398-Declarations!$B$29))</f>
        <v>0.15</v>
      </c>
      <c r="J398" s="20" t="n">
        <v>0</v>
      </c>
      <c r="K398" s="26" t="n">
        <v>1</v>
      </c>
    </row>
    <row r="399" customFormat="false" ht="15" hidden="false" customHeight="false" outlineLevel="0" collapsed="false">
      <c r="A399" s="14" t="n">
        <v>40</v>
      </c>
      <c r="B399" s="14" t="n">
        <v>183</v>
      </c>
      <c r="C399" s="14" t="n">
        <f aca="false">Declarations!$B$47+1000*A399+B399</f>
        <v>954183</v>
      </c>
      <c r="D399" s="26" t="n">
        <v>2</v>
      </c>
      <c r="E399" s="26" t="n">
        <v>7</v>
      </c>
      <c r="F399" s="26" t="n">
        <v>22</v>
      </c>
      <c r="G399" s="26" t="n">
        <v>8</v>
      </c>
      <c r="H399" s="26" t="n">
        <v>1</v>
      </c>
      <c r="I399" s="16" t="n">
        <f aca="false">0.5*(ABS(D399/A399-Declarations!$B$25)+ABS(E399/A399-Declarations!$B$26)+ABS(F399/A399-Declarations!$B$27)+ABS(G399/A399-Declarations!$B$28)+ABS(H399/A399-Declarations!$B$29))</f>
        <v>0.05</v>
      </c>
      <c r="J399" s="20" t="n">
        <v>0</v>
      </c>
      <c r="K399" s="26" t="n">
        <v>1</v>
      </c>
    </row>
    <row r="400" customFormat="false" ht="15" hidden="false" customHeight="false" outlineLevel="0" collapsed="false">
      <c r="A400" s="14" t="n">
        <v>40</v>
      </c>
      <c r="B400" s="14" t="n">
        <v>184</v>
      </c>
      <c r="C400" s="14" t="n">
        <f aca="false">Declarations!$B$47+1000*A400+B400</f>
        <v>954184</v>
      </c>
      <c r="D400" s="26" t="n">
        <v>3</v>
      </c>
      <c r="E400" s="26" t="n">
        <v>7</v>
      </c>
      <c r="F400" s="26" t="n">
        <v>16</v>
      </c>
      <c r="G400" s="26" t="n">
        <v>11</v>
      </c>
      <c r="H400" s="26" t="n">
        <v>3</v>
      </c>
      <c r="I400" s="16" t="n">
        <f aca="false">0.5*(ABS(D400/A400-Declarations!$B$25)+ABS(E400/A400-Declarations!$B$26)+ABS(F400/A400-Declarations!$B$27)+ABS(G400/A400-Declarations!$B$28)+ABS(H400/A400-Declarations!$B$29))</f>
        <v>0.125</v>
      </c>
      <c r="J400" s="20" t="n">
        <v>0</v>
      </c>
      <c r="K400" s="26" t="n">
        <v>1</v>
      </c>
    </row>
    <row r="401" customFormat="false" ht="15" hidden="false" customHeight="false" outlineLevel="0" collapsed="false">
      <c r="A401" s="14" t="n">
        <v>40</v>
      </c>
      <c r="B401" s="14" t="n">
        <v>185</v>
      </c>
      <c r="C401" s="14" t="n">
        <f aca="false">Declarations!$B$47+1000*A401+B401</f>
        <v>954185</v>
      </c>
      <c r="D401" s="26" t="n">
        <v>1</v>
      </c>
      <c r="E401" s="26" t="n">
        <v>9</v>
      </c>
      <c r="F401" s="26" t="n">
        <v>20</v>
      </c>
      <c r="G401" s="26" t="n">
        <v>8</v>
      </c>
      <c r="H401" s="26" t="n">
        <v>2</v>
      </c>
      <c r="I401" s="16" t="n">
        <f aca="false">0.5*(ABS(D401/A401-Declarations!$B$25)+ABS(E401/A401-Declarations!$B$26)+ABS(F401/A401-Declarations!$B$27)+ABS(G401/A401-Declarations!$B$28)+ABS(H401/A401-Declarations!$B$29))</f>
        <v>0.025</v>
      </c>
      <c r="J401" s="20" t="n">
        <v>0</v>
      </c>
      <c r="K401" s="26" t="n">
        <v>1</v>
      </c>
    </row>
    <row r="402" customFormat="false" ht="15" hidden="false" customHeight="false" outlineLevel="0" collapsed="false">
      <c r="A402" s="14" t="n">
        <v>40</v>
      </c>
      <c r="B402" s="14" t="n">
        <v>186</v>
      </c>
      <c r="C402" s="14" t="n">
        <f aca="false">Declarations!$B$47+1000*A402+B402</f>
        <v>954186</v>
      </c>
      <c r="D402" s="26" t="n">
        <v>0</v>
      </c>
      <c r="E402" s="26" t="n">
        <v>6</v>
      </c>
      <c r="F402" s="26" t="n">
        <v>24</v>
      </c>
      <c r="G402" s="26" t="n">
        <v>9</v>
      </c>
      <c r="H402" s="26" t="n">
        <v>1</v>
      </c>
      <c r="I402" s="16" t="n">
        <f aca="false">0.5*(ABS(D402/A402-Declarations!$B$25)+ABS(E402/A402-Declarations!$B$26)+ABS(F402/A402-Declarations!$B$27)+ABS(G402/A402-Declarations!$B$28)+ABS(H402/A402-Declarations!$B$29))</f>
        <v>0.125</v>
      </c>
      <c r="J402" s="20" t="n">
        <v>0.713021460896897</v>
      </c>
      <c r="K402" s="26" t="n">
        <v>0</v>
      </c>
    </row>
    <row r="403" customFormat="false" ht="15" hidden="false" customHeight="false" outlineLevel="0" collapsed="false">
      <c r="A403" s="14" t="n">
        <v>40</v>
      </c>
      <c r="B403" s="14" t="n">
        <v>187</v>
      </c>
      <c r="C403" s="14" t="n">
        <f aca="false">Declarations!$B$47+1000*A403+B403</f>
        <v>954187</v>
      </c>
      <c r="D403" s="26" t="n">
        <v>1</v>
      </c>
      <c r="E403" s="26" t="n">
        <v>6</v>
      </c>
      <c r="F403" s="26" t="n">
        <v>18</v>
      </c>
      <c r="G403" s="26" t="n">
        <v>13</v>
      </c>
      <c r="H403" s="26" t="n">
        <v>2</v>
      </c>
      <c r="I403" s="16" t="n">
        <f aca="false">0.5*(ABS(D403/A403-Declarations!$B$25)+ABS(E403/A403-Declarations!$B$26)+ABS(F403/A403-Declarations!$B$27)+ABS(G403/A403-Declarations!$B$28)+ABS(H403/A403-Declarations!$B$29))</f>
        <v>0.125</v>
      </c>
      <c r="J403" s="20" t="n">
        <v>0.675229613732086</v>
      </c>
      <c r="K403" s="26" t="n">
        <v>0</v>
      </c>
    </row>
    <row r="404" customFormat="false" ht="15" hidden="false" customHeight="false" outlineLevel="0" collapsed="false">
      <c r="A404" s="14" t="n">
        <v>40</v>
      </c>
      <c r="B404" s="14" t="n">
        <v>188</v>
      </c>
      <c r="C404" s="14" t="n">
        <f aca="false">Declarations!$B$47+1000*A404+B404</f>
        <v>954188</v>
      </c>
      <c r="D404" s="26" t="n">
        <v>1</v>
      </c>
      <c r="E404" s="26" t="n">
        <v>11</v>
      </c>
      <c r="F404" s="26" t="n">
        <v>20</v>
      </c>
      <c r="G404" s="26" t="n">
        <v>6</v>
      </c>
      <c r="H404" s="26" t="n">
        <v>2</v>
      </c>
      <c r="I404" s="16" t="n">
        <f aca="false">0.5*(ABS(D404/A404-Declarations!$B$25)+ABS(E404/A404-Declarations!$B$26)+ABS(F404/A404-Declarations!$B$27)+ABS(G404/A404-Declarations!$B$28)+ABS(H404/A404-Declarations!$B$29))</f>
        <v>0.075</v>
      </c>
      <c r="J404" s="20" t="n">
        <v>0</v>
      </c>
      <c r="K404" s="26" t="n">
        <v>1</v>
      </c>
    </row>
    <row r="405" customFormat="false" ht="15" hidden="false" customHeight="false" outlineLevel="0" collapsed="false">
      <c r="A405" s="14" t="n">
        <v>40</v>
      </c>
      <c r="B405" s="14" t="n">
        <v>189</v>
      </c>
      <c r="C405" s="14" t="n">
        <f aca="false">Declarations!$B$47+1000*A405+B405</f>
        <v>954189</v>
      </c>
      <c r="D405" s="26" t="n">
        <v>2</v>
      </c>
      <c r="E405" s="26" t="n">
        <v>7</v>
      </c>
      <c r="F405" s="26" t="n">
        <v>23</v>
      </c>
      <c r="G405" s="26" t="n">
        <v>7</v>
      </c>
      <c r="H405" s="26" t="n">
        <v>1</v>
      </c>
      <c r="I405" s="16" t="n">
        <f aca="false">0.5*(ABS(D405/A405-Declarations!$B$25)+ABS(E405/A405-Declarations!$B$26)+ABS(F405/A405-Declarations!$B$27)+ABS(G405/A405-Declarations!$B$28)+ABS(H405/A405-Declarations!$B$29))</f>
        <v>0.075</v>
      </c>
      <c r="J405" s="20" t="n">
        <v>0</v>
      </c>
      <c r="K405" s="26" t="n">
        <v>1</v>
      </c>
    </row>
    <row r="406" customFormat="false" ht="15" hidden="false" customHeight="false" outlineLevel="0" collapsed="false">
      <c r="A406" s="14" t="n">
        <v>40</v>
      </c>
      <c r="B406" s="14" t="n">
        <v>190</v>
      </c>
      <c r="C406" s="14" t="n">
        <f aca="false">Declarations!$B$47+1000*A406+B406</f>
        <v>954190</v>
      </c>
      <c r="D406" s="26" t="n">
        <v>3</v>
      </c>
      <c r="E406" s="26" t="n">
        <v>6</v>
      </c>
      <c r="F406" s="26" t="n">
        <v>20</v>
      </c>
      <c r="G406" s="26" t="n">
        <v>9</v>
      </c>
      <c r="H406" s="26" t="n">
        <v>2</v>
      </c>
      <c r="I406" s="16" t="n">
        <f aca="false">0.5*(ABS(D406/A406-Declarations!$B$25)+ABS(E406/A406-Declarations!$B$26)+ABS(F406/A406-Declarations!$B$27)+ABS(G406/A406-Declarations!$B$28)+ABS(H406/A406-Declarations!$B$29))</f>
        <v>0.05</v>
      </c>
      <c r="J406" s="20" t="n">
        <v>0</v>
      </c>
      <c r="K406" s="26" t="n">
        <v>1</v>
      </c>
    </row>
    <row r="407" customFormat="false" ht="15" hidden="false" customHeight="false" outlineLevel="0" collapsed="false">
      <c r="A407" s="14" t="n">
        <v>40</v>
      </c>
      <c r="B407" s="14" t="n">
        <v>191</v>
      </c>
      <c r="C407" s="14" t="n">
        <f aca="false">Declarations!$B$47+1000*A407+B407</f>
        <v>954191</v>
      </c>
      <c r="D407" s="26" t="n">
        <v>4</v>
      </c>
      <c r="E407" s="26" t="n">
        <v>11</v>
      </c>
      <c r="F407" s="26" t="n">
        <v>16</v>
      </c>
      <c r="G407" s="26" t="n">
        <v>6</v>
      </c>
      <c r="H407" s="26" t="n">
        <v>3</v>
      </c>
      <c r="I407" s="16" t="n">
        <f aca="false">0.5*(ABS(D407/A407-Declarations!$B$25)+ABS(E407/A407-Declarations!$B$26)+ABS(F407/A407-Declarations!$B$27)+ABS(G407/A407-Declarations!$B$28)+ABS(H407/A407-Declarations!$B$29))</f>
        <v>0.15</v>
      </c>
      <c r="J407" s="20" t="n">
        <v>0.317486583715066</v>
      </c>
      <c r="K407" s="26" t="n">
        <v>0</v>
      </c>
    </row>
    <row r="408" customFormat="false" ht="15" hidden="false" customHeight="false" outlineLevel="0" collapsed="false">
      <c r="A408" s="14" t="n">
        <v>40</v>
      </c>
      <c r="B408" s="14" t="n">
        <v>192</v>
      </c>
      <c r="C408" s="14" t="n">
        <f aca="false">Declarations!$B$47+1000*A408+B408</f>
        <v>954192</v>
      </c>
      <c r="D408" s="26" t="n">
        <v>2</v>
      </c>
      <c r="E408" s="26" t="n">
        <v>8</v>
      </c>
      <c r="F408" s="26" t="n">
        <v>22</v>
      </c>
      <c r="G408" s="26" t="n">
        <v>6</v>
      </c>
      <c r="H408" s="26" t="n">
        <v>2</v>
      </c>
      <c r="I408" s="16" t="n">
        <f aca="false">0.5*(ABS(D408/A408-Declarations!$B$25)+ABS(E408/A408-Declarations!$B$26)+ABS(F408/A408-Declarations!$B$27)+ABS(G408/A408-Declarations!$B$28)+ABS(H408/A408-Declarations!$B$29))</f>
        <v>0.05</v>
      </c>
      <c r="J408" s="20" t="n">
        <v>0</v>
      </c>
      <c r="K408" s="26" t="n">
        <v>1</v>
      </c>
    </row>
    <row r="409" customFormat="false" ht="15" hidden="false" customHeight="false" outlineLevel="0" collapsed="false">
      <c r="A409" s="14" t="n">
        <v>40</v>
      </c>
      <c r="B409" s="14" t="n">
        <v>193</v>
      </c>
      <c r="C409" s="14" t="n">
        <f aca="false">Declarations!$B$47+1000*A409+B409</f>
        <v>954193</v>
      </c>
      <c r="D409" s="26" t="n">
        <v>0</v>
      </c>
      <c r="E409" s="26" t="n">
        <v>12</v>
      </c>
      <c r="F409" s="26" t="n">
        <v>14</v>
      </c>
      <c r="G409" s="26" t="n">
        <v>12</v>
      </c>
      <c r="H409" s="26" t="n">
        <v>2</v>
      </c>
      <c r="I409" s="16" t="n">
        <f aca="false">0.5*(ABS(D409/A409-Declarations!$B$25)+ABS(E409/A409-Declarations!$B$26)+ABS(F409/A409-Declarations!$B$27)+ABS(G409/A409-Declarations!$B$28)+ABS(H409/A409-Declarations!$B$29))</f>
        <v>0.2</v>
      </c>
      <c r="J409" s="20" t="n">
        <v>0</v>
      </c>
      <c r="K409" s="26" t="n">
        <v>1</v>
      </c>
    </row>
    <row r="410" customFormat="false" ht="15" hidden="false" customHeight="false" outlineLevel="0" collapsed="false">
      <c r="A410" s="14" t="n">
        <v>40</v>
      </c>
      <c r="B410" s="14" t="n">
        <v>194</v>
      </c>
      <c r="C410" s="14" t="n">
        <f aca="false">Declarations!$B$47+1000*A410+B410</f>
        <v>954194</v>
      </c>
      <c r="D410" s="26" t="n">
        <v>4</v>
      </c>
      <c r="E410" s="26" t="n">
        <v>10</v>
      </c>
      <c r="F410" s="26" t="n">
        <v>16</v>
      </c>
      <c r="G410" s="26" t="n">
        <v>9</v>
      </c>
      <c r="H410" s="26" t="n">
        <v>1</v>
      </c>
      <c r="I410" s="16" t="n">
        <f aca="false">0.5*(ABS(D410/A410-Declarations!$B$25)+ABS(E410/A410-Declarations!$B$26)+ABS(F410/A410-Declarations!$B$27)+ABS(G410/A410-Declarations!$B$28)+ABS(H410/A410-Declarations!$B$29))</f>
        <v>0.125</v>
      </c>
      <c r="J410" s="20" t="n">
        <v>0</v>
      </c>
      <c r="K410" s="26" t="n">
        <v>1</v>
      </c>
    </row>
    <row r="411" customFormat="false" ht="15" hidden="false" customHeight="false" outlineLevel="0" collapsed="false">
      <c r="A411" s="14" t="n">
        <v>40</v>
      </c>
      <c r="B411" s="14" t="n">
        <v>195</v>
      </c>
      <c r="C411" s="14" t="n">
        <f aca="false">Declarations!$B$47+1000*A411+B411</f>
        <v>954195</v>
      </c>
      <c r="D411" s="26" t="n">
        <v>2</v>
      </c>
      <c r="E411" s="26" t="n">
        <v>9</v>
      </c>
      <c r="F411" s="26" t="n">
        <v>18</v>
      </c>
      <c r="G411" s="26" t="n">
        <v>9</v>
      </c>
      <c r="H411" s="26" t="n">
        <v>2</v>
      </c>
      <c r="I411" s="16" t="n">
        <f aca="false">0.5*(ABS(D411/A411-Declarations!$B$25)+ABS(E411/A411-Declarations!$B$26)+ABS(F411/A411-Declarations!$B$27)+ABS(G411/A411-Declarations!$B$28)+ABS(H411/A411-Declarations!$B$29))</f>
        <v>0.05</v>
      </c>
      <c r="J411" s="20" t="n">
        <v>0</v>
      </c>
      <c r="K411" s="26" t="n">
        <v>1</v>
      </c>
    </row>
    <row r="412" customFormat="false" ht="15" hidden="false" customHeight="false" outlineLevel="0" collapsed="false">
      <c r="A412" s="14" t="n">
        <v>40</v>
      </c>
      <c r="B412" s="14" t="n">
        <v>196</v>
      </c>
      <c r="C412" s="14" t="n">
        <f aca="false">Declarations!$B$47+1000*A412+B412</f>
        <v>954196</v>
      </c>
      <c r="D412" s="26" t="n">
        <v>1</v>
      </c>
      <c r="E412" s="26" t="n">
        <v>13</v>
      </c>
      <c r="F412" s="26" t="n">
        <v>22</v>
      </c>
      <c r="G412" s="26" t="n">
        <v>3</v>
      </c>
      <c r="H412" s="26" t="n">
        <v>1</v>
      </c>
      <c r="I412" s="16" t="n">
        <f aca="false">0.5*(ABS(D412/A412-Declarations!$B$25)+ABS(E412/A412-Declarations!$B$26)+ABS(F412/A412-Declarations!$B$27)+ABS(G412/A412-Declarations!$B$28)+ABS(H412/A412-Declarations!$B$29))</f>
        <v>0.175</v>
      </c>
      <c r="J412" s="20" t="n">
        <v>0</v>
      </c>
      <c r="K412" s="26" t="n">
        <v>1</v>
      </c>
    </row>
    <row r="413" customFormat="false" ht="15" hidden="false" customHeight="false" outlineLevel="0" collapsed="false">
      <c r="A413" s="14" t="n">
        <v>40</v>
      </c>
      <c r="B413" s="14" t="n">
        <v>197</v>
      </c>
      <c r="C413" s="14" t="n">
        <f aca="false">Declarations!$B$47+1000*A413+B413</f>
        <v>954197</v>
      </c>
      <c r="D413" s="26" t="n">
        <v>3</v>
      </c>
      <c r="E413" s="26" t="n">
        <v>5</v>
      </c>
      <c r="F413" s="26" t="n">
        <v>17</v>
      </c>
      <c r="G413" s="26" t="n">
        <v>11</v>
      </c>
      <c r="H413" s="26" t="n">
        <v>4</v>
      </c>
      <c r="I413" s="16" t="n">
        <f aca="false">0.5*(ABS(D413/A413-Declarations!$B$25)+ABS(E413/A413-Declarations!$B$26)+ABS(F413/A413-Declarations!$B$27)+ABS(G413/A413-Declarations!$B$28)+ABS(H413/A413-Declarations!$B$29))</f>
        <v>0.15</v>
      </c>
      <c r="J413" s="20" t="n">
        <v>0</v>
      </c>
      <c r="K413" s="26" t="n">
        <v>1</v>
      </c>
    </row>
    <row r="414" customFormat="false" ht="15" hidden="false" customHeight="false" outlineLevel="0" collapsed="false">
      <c r="A414" s="14" t="n">
        <v>40</v>
      </c>
      <c r="B414" s="14" t="n">
        <v>198</v>
      </c>
      <c r="C414" s="14" t="n">
        <f aca="false">Declarations!$B$47+1000*A414+B414</f>
        <v>954198</v>
      </c>
      <c r="D414" s="26" t="n">
        <v>2</v>
      </c>
      <c r="E414" s="26" t="n">
        <v>4</v>
      </c>
      <c r="F414" s="26" t="n">
        <v>24</v>
      </c>
      <c r="G414" s="26" t="n">
        <v>7</v>
      </c>
      <c r="H414" s="26" t="n">
        <v>3</v>
      </c>
      <c r="I414" s="16" t="n">
        <f aca="false">0.5*(ABS(D414/A414-Declarations!$B$25)+ABS(E414/A414-Declarations!$B$26)+ABS(F414/A414-Declarations!$B$27)+ABS(G414/A414-Declarations!$B$28)+ABS(H414/A414-Declarations!$B$29))</f>
        <v>0.125</v>
      </c>
      <c r="J414" s="20" t="n">
        <v>0.713021460896897</v>
      </c>
      <c r="K414" s="26" t="n">
        <v>0</v>
      </c>
    </row>
    <row r="415" customFormat="false" ht="15" hidden="false" customHeight="false" outlineLevel="0" collapsed="false">
      <c r="A415" s="14" t="n">
        <v>40</v>
      </c>
      <c r="B415" s="14" t="n">
        <v>199</v>
      </c>
      <c r="C415" s="14" t="n">
        <f aca="false">Declarations!$B$47+1000*A415+B415</f>
        <v>954199</v>
      </c>
      <c r="D415" s="26" t="n">
        <v>0</v>
      </c>
      <c r="E415" s="26" t="n">
        <v>4</v>
      </c>
      <c r="F415" s="26" t="n">
        <v>19</v>
      </c>
      <c r="G415" s="26" t="n">
        <v>16</v>
      </c>
      <c r="H415" s="26" t="n">
        <v>1</v>
      </c>
      <c r="I415" s="16" t="n">
        <f aca="false">0.5*(ABS(D415/A415-Declarations!$B$25)+ABS(E415/A415-Declarations!$B$26)+ABS(F415/A415-Declarations!$B$27)+ABS(G415/A415-Declarations!$B$28)+ABS(H415/A415-Declarations!$B$29))</f>
        <v>0.2</v>
      </c>
      <c r="J415" s="20" t="n">
        <v>5.03615287384906</v>
      </c>
      <c r="K415" s="26" t="n">
        <v>0</v>
      </c>
    </row>
    <row r="416" customFormat="false" ht="15" hidden="false" customHeight="false" outlineLevel="0" collapsed="false">
      <c r="A416" s="14" t="n">
        <v>120</v>
      </c>
      <c r="B416" s="14" t="n">
        <v>0</v>
      </c>
      <c r="C416" s="14" t="n">
        <f aca="false">Declarations!$B$47+1000*A416+B416</f>
        <v>1034000</v>
      </c>
      <c r="D416" s="26" t="n">
        <v>6</v>
      </c>
      <c r="E416" s="26" t="n">
        <v>32</v>
      </c>
      <c r="F416" s="26" t="n">
        <v>56</v>
      </c>
      <c r="G416" s="26" t="n">
        <v>19</v>
      </c>
      <c r="H416" s="26" t="n">
        <v>7</v>
      </c>
      <c r="I416" s="16" t="n">
        <f aca="false">0.5*(ABS(D416/A416-Declarations!$B$25)+ABS(E416/A416-Declarations!$B$26)+ABS(F416/A416-Declarations!$B$27)+ABS(G416/A416-Declarations!$B$28)+ABS(H416/A416-Declarations!$B$29))</f>
        <v>0.075</v>
      </c>
      <c r="J416" s="20" t="n">
        <v>0</v>
      </c>
      <c r="K416" s="26" t="n">
        <v>1</v>
      </c>
    </row>
    <row r="417" customFormat="false" ht="15" hidden="false" customHeight="false" outlineLevel="0" collapsed="false">
      <c r="A417" s="14" t="n">
        <v>120</v>
      </c>
      <c r="B417" s="14" t="n">
        <v>1</v>
      </c>
      <c r="C417" s="14" t="n">
        <f aca="false">Declarations!$B$47+1000*A417+B417</f>
        <v>1034001</v>
      </c>
      <c r="D417" s="26" t="n">
        <v>9</v>
      </c>
      <c r="E417" s="26" t="n">
        <v>19</v>
      </c>
      <c r="F417" s="26" t="n">
        <v>66</v>
      </c>
      <c r="G417" s="26" t="n">
        <v>19</v>
      </c>
      <c r="H417" s="26" t="n">
        <v>7</v>
      </c>
      <c r="I417" s="16" t="n">
        <f aca="false">0.5*(ABS(D417/A417-Declarations!$B$25)+ABS(E417/A417-Declarations!$B$26)+ABS(F417/A417-Declarations!$B$27)+ABS(G417/A417-Declarations!$B$28)+ABS(H417/A417-Declarations!$B$29))</f>
        <v>0.0833333333333334</v>
      </c>
      <c r="J417" s="20" t="n">
        <v>0</v>
      </c>
      <c r="K417" s="26" t="n">
        <v>1</v>
      </c>
    </row>
    <row r="418" customFormat="false" ht="15" hidden="false" customHeight="false" outlineLevel="0" collapsed="false">
      <c r="A418" s="14" t="n">
        <v>120</v>
      </c>
      <c r="B418" s="14" t="n">
        <v>2</v>
      </c>
      <c r="C418" s="14" t="n">
        <f aca="false">Declarations!$B$47+1000*A418+B418</f>
        <v>1034002</v>
      </c>
      <c r="D418" s="26" t="n">
        <v>4</v>
      </c>
      <c r="E418" s="26" t="n">
        <v>18</v>
      </c>
      <c r="F418" s="26" t="n">
        <v>74</v>
      </c>
      <c r="G418" s="26" t="n">
        <v>20</v>
      </c>
      <c r="H418" s="26" t="n">
        <v>4</v>
      </c>
      <c r="I418" s="16" t="n">
        <f aca="false">0.5*(ABS(D418/A418-Declarations!$B$25)+ABS(E418/A418-Declarations!$B$26)+ABS(F418/A418-Declarations!$B$27)+ABS(G418/A418-Declarations!$B$28)+ABS(H418/A418-Declarations!$B$29))</f>
        <v>0.116666666666667</v>
      </c>
      <c r="J418" s="20" t="n">
        <v>0.43736025479447</v>
      </c>
      <c r="K418" s="26" t="n">
        <v>0</v>
      </c>
    </row>
    <row r="419" customFormat="false" ht="15" hidden="false" customHeight="false" outlineLevel="0" collapsed="false">
      <c r="A419" s="14" t="n">
        <v>120</v>
      </c>
      <c r="B419" s="14" t="n">
        <v>3</v>
      </c>
      <c r="C419" s="14" t="n">
        <f aca="false">Declarations!$B$47+1000*A419+B419</f>
        <v>1034003</v>
      </c>
      <c r="D419" s="26" t="n">
        <v>5</v>
      </c>
      <c r="E419" s="26" t="n">
        <v>22</v>
      </c>
      <c r="F419" s="26" t="n">
        <v>65</v>
      </c>
      <c r="G419" s="26" t="n">
        <v>24</v>
      </c>
      <c r="H419" s="26" t="n">
        <v>4</v>
      </c>
      <c r="I419" s="16" t="n">
        <f aca="false">0.5*(ABS(D419/A419-Declarations!$B$25)+ABS(E419/A419-Declarations!$B$26)+ABS(F419/A419-Declarations!$B$27)+ABS(G419/A419-Declarations!$B$28)+ABS(H419/A419-Declarations!$B$29))</f>
        <v>0.0416666666666667</v>
      </c>
      <c r="J419" s="20" t="n">
        <v>0</v>
      </c>
      <c r="K419" s="26" t="n">
        <v>1</v>
      </c>
    </row>
    <row r="420" customFormat="false" ht="15" hidden="false" customHeight="false" outlineLevel="0" collapsed="false">
      <c r="A420" s="14" t="n">
        <v>120</v>
      </c>
      <c r="B420" s="14" t="n">
        <v>4</v>
      </c>
      <c r="C420" s="14" t="n">
        <f aca="false">Declarations!$B$47+1000*A420+B420</f>
        <v>1034004</v>
      </c>
      <c r="D420" s="26" t="n">
        <v>5</v>
      </c>
      <c r="E420" s="26" t="n">
        <v>29</v>
      </c>
      <c r="F420" s="26" t="n">
        <v>55</v>
      </c>
      <c r="G420" s="26" t="n">
        <v>21</v>
      </c>
      <c r="H420" s="26" t="n">
        <v>10</v>
      </c>
      <c r="I420" s="16" t="n">
        <f aca="false">0.5*(ABS(D420/A420-Declarations!$B$25)+ABS(E420/A420-Declarations!$B$26)+ABS(F420/A420-Declarations!$B$27)+ABS(G420/A420-Declarations!$B$28)+ABS(H420/A420-Declarations!$B$29))</f>
        <v>0.075</v>
      </c>
      <c r="J420" s="20" t="n">
        <v>0</v>
      </c>
      <c r="K420" s="26" t="n">
        <v>1</v>
      </c>
    </row>
    <row r="421" customFormat="false" ht="15" hidden="false" customHeight="false" outlineLevel="0" collapsed="false">
      <c r="A421" s="14" t="n">
        <v>120</v>
      </c>
      <c r="B421" s="14" t="n">
        <v>5</v>
      </c>
      <c r="C421" s="14" t="n">
        <f aca="false">Declarations!$B$47+1000*A421+B421</f>
        <v>1034005</v>
      </c>
      <c r="D421" s="26" t="n">
        <v>3</v>
      </c>
      <c r="E421" s="26" t="n">
        <v>27</v>
      </c>
      <c r="F421" s="26" t="n">
        <v>64</v>
      </c>
      <c r="G421" s="26" t="n">
        <v>22</v>
      </c>
      <c r="H421" s="26" t="n">
        <v>4</v>
      </c>
      <c r="I421" s="16" t="n">
        <f aca="false">0.5*(ABS(D421/A421-Declarations!$B$25)+ABS(E421/A421-Declarations!$B$26)+ABS(F421/A421-Declarations!$B$27)+ABS(G421/A421-Declarations!$B$28)+ABS(H421/A421-Declarations!$B$29))</f>
        <v>0.0583333333333333</v>
      </c>
      <c r="J421" s="20" t="n">
        <v>0</v>
      </c>
      <c r="K421" s="26" t="n">
        <v>1</v>
      </c>
    </row>
    <row r="422" customFormat="false" ht="15" hidden="false" customHeight="false" outlineLevel="0" collapsed="false">
      <c r="A422" s="14" t="n">
        <v>120</v>
      </c>
      <c r="B422" s="14" t="n">
        <v>6</v>
      </c>
      <c r="C422" s="14" t="n">
        <f aca="false">Declarations!$B$47+1000*A422+B422</f>
        <v>1034006</v>
      </c>
      <c r="D422" s="26" t="n">
        <v>4</v>
      </c>
      <c r="E422" s="26" t="n">
        <v>21</v>
      </c>
      <c r="F422" s="26" t="n">
        <v>66</v>
      </c>
      <c r="G422" s="26" t="n">
        <v>24</v>
      </c>
      <c r="H422" s="26" t="n">
        <v>5</v>
      </c>
      <c r="I422" s="16" t="n">
        <f aca="false">0.5*(ABS(D422/A422-Declarations!$B$25)+ABS(E422/A422-Declarations!$B$26)+ABS(F422/A422-Declarations!$B$27)+ABS(G422/A422-Declarations!$B$28)+ABS(H422/A422-Declarations!$B$29))</f>
        <v>0.05</v>
      </c>
      <c r="J422" s="20" t="n">
        <v>0.00281729995887758</v>
      </c>
      <c r="K422" s="26" t="n">
        <v>0</v>
      </c>
    </row>
    <row r="423" customFormat="false" ht="15" hidden="false" customHeight="false" outlineLevel="0" collapsed="false">
      <c r="A423" s="14" t="n">
        <v>120</v>
      </c>
      <c r="B423" s="14" t="n">
        <v>7</v>
      </c>
      <c r="C423" s="14" t="n">
        <f aca="false">Declarations!$B$47+1000*A423+B423</f>
        <v>1034007</v>
      </c>
      <c r="D423" s="26" t="n">
        <v>5</v>
      </c>
      <c r="E423" s="26" t="n">
        <v>23</v>
      </c>
      <c r="F423" s="26" t="n">
        <v>62</v>
      </c>
      <c r="G423" s="26" t="n">
        <v>22</v>
      </c>
      <c r="H423" s="26" t="n">
        <v>8</v>
      </c>
      <c r="I423" s="16" t="n">
        <f aca="false">0.5*(ABS(D423/A423-Declarations!$B$25)+ABS(E423/A423-Declarations!$B$26)+ABS(F423/A423-Declarations!$B$27)+ABS(G423/A423-Declarations!$B$28)+ABS(H423/A423-Declarations!$B$29))</f>
        <v>0.0333333333333334</v>
      </c>
      <c r="J423" s="20" t="n">
        <v>0</v>
      </c>
      <c r="K423" s="26" t="n">
        <v>1</v>
      </c>
    </row>
    <row r="424" customFormat="false" ht="15" hidden="false" customHeight="false" outlineLevel="0" collapsed="false">
      <c r="A424" s="14" t="n">
        <v>120</v>
      </c>
      <c r="B424" s="14" t="n">
        <v>8</v>
      </c>
      <c r="C424" s="14" t="n">
        <f aca="false">Declarations!$B$47+1000*A424+B424</f>
        <v>1034008</v>
      </c>
      <c r="D424" s="26" t="n">
        <v>5</v>
      </c>
      <c r="E424" s="26" t="n">
        <v>19</v>
      </c>
      <c r="F424" s="26" t="n">
        <v>59</v>
      </c>
      <c r="G424" s="26" t="n">
        <v>30</v>
      </c>
      <c r="H424" s="26" t="n">
        <v>7</v>
      </c>
      <c r="I424" s="16" t="n">
        <f aca="false">0.5*(ABS(D424/A424-Declarations!$B$25)+ABS(E424/A424-Declarations!$B$26)+ABS(F424/A424-Declarations!$B$27)+ABS(G424/A424-Declarations!$B$28)+ABS(H424/A424-Declarations!$B$29))</f>
        <v>0.0583333333333334</v>
      </c>
      <c r="J424" s="20" t="n">
        <v>0.00281729995887758</v>
      </c>
      <c r="K424" s="26" t="n">
        <v>0</v>
      </c>
    </row>
    <row r="425" customFormat="false" ht="15" hidden="false" customHeight="false" outlineLevel="0" collapsed="false">
      <c r="A425" s="14" t="n">
        <v>120</v>
      </c>
      <c r="B425" s="14" t="n">
        <v>9</v>
      </c>
      <c r="C425" s="14" t="n">
        <f aca="false">Declarations!$B$47+1000*A425+B425</f>
        <v>1034009</v>
      </c>
      <c r="D425" s="26" t="n">
        <v>12</v>
      </c>
      <c r="E425" s="26" t="n">
        <v>19</v>
      </c>
      <c r="F425" s="26" t="n">
        <v>53</v>
      </c>
      <c r="G425" s="26" t="n">
        <v>25</v>
      </c>
      <c r="H425" s="26" t="n">
        <v>11</v>
      </c>
      <c r="I425" s="16" t="n">
        <f aca="false">0.5*(ABS(D425/A425-Declarations!$B$25)+ABS(E425/A425-Declarations!$B$26)+ABS(F425/A425-Declarations!$B$27)+ABS(G425/A425-Declarations!$B$28)+ABS(H425/A425-Declarations!$B$29))</f>
        <v>0.1</v>
      </c>
      <c r="J425" s="20" t="n">
        <v>0</v>
      </c>
      <c r="K425" s="26" t="n">
        <v>1</v>
      </c>
    </row>
    <row r="426" customFormat="false" ht="15" hidden="false" customHeight="false" outlineLevel="0" collapsed="false">
      <c r="A426" s="14" t="n">
        <v>120</v>
      </c>
      <c r="B426" s="14" t="n">
        <v>10</v>
      </c>
      <c r="C426" s="14" t="n">
        <f aca="false">Declarations!$B$47+1000*A426+B426</f>
        <v>1034010</v>
      </c>
      <c r="D426" s="26" t="n">
        <v>5</v>
      </c>
      <c r="E426" s="26" t="n">
        <v>36</v>
      </c>
      <c r="F426" s="26" t="n">
        <v>58</v>
      </c>
      <c r="G426" s="26" t="n">
        <v>17</v>
      </c>
      <c r="H426" s="26" t="n">
        <v>4</v>
      </c>
      <c r="I426" s="16" t="n">
        <f aca="false">0.5*(ABS(D426/A426-Declarations!$B$25)+ABS(E426/A426-Declarations!$B$26)+ABS(F426/A426-Declarations!$B$27)+ABS(G426/A426-Declarations!$B$28)+ABS(H426/A426-Declarations!$B$29))</f>
        <v>0.1</v>
      </c>
      <c r="J426" s="20" t="n">
        <v>0</v>
      </c>
      <c r="K426" s="26" t="n">
        <v>1</v>
      </c>
    </row>
    <row r="427" customFormat="false" ht="15" hidden="false" customHeight="false" outlineLevel="0" collapsed="false">
      <c r="A427" s="14" t="n">
        <v>120</v>
      </c>
      <c r="B427" s="14" t="n">
        <v>11</v>
      </c>
      <c r="C427" s="14" t="n">
        <f aca="false">Declarations!$B$47+1000*A427+B427</f>
        <v>1034011</v>
      </c>
      <c r="D427" s="26" t="n">
        <v>3</v>
      </c>
      <c r="E427" s="26" t="n">
        <v>28</v>
      </c>
      <c r="F427" s="26" t="n">
        <v>48</v>
      </c>
      <c r="G427" s="26" t="n">
        <v>33</v>
      </c>
      <c r="H427" s="26" t="n">
        <v>8</v>
      </c>
      <c r="I427" s="16" t="n">
        <f aca="false">0.5*(ABS(D427/A427-Declarations!$B$25)+ABS(E427/A427-Declarations!$B$26)+ABS(F427/A427-Declarations!$B$27)+ABS(G427/A427-Declarations!$B$28)+ABS(H427/A427-Declarations!$B$29))</f>
        <v>0.125</v>
      </c>
      <c r="J427" s="20" t="n">
        <v>0</v>
      </c>
      <c r="K427" s="26" t="n">
        <v>1</v>
      </c>
    </row>
    <row r="428" customFormat="false" ht="15" hidden="false" customHeight="false" outlineLevel="0" collapsed="false">
      <c r="A428" s="14" t="n">
        <v>120</v>
      </c>
      <c r="B428" s="14" t="n">
        <v>12</v>
      </c>
      <c r="C428" s="14" t="n">
        <f aca="false">Declarations!$B$47+1000*A428+B428</f>
        <v>1034012</v>
      </c>
      <c r="D428" s="26" t="n">
        <v>4</v>
      </c>
      <c r="E428" s="26" t="n">
        <v>33</v>
      </c>
      <c r="F428" s="26" t="n">
        <v>57</v>
      </c>
      <c r="G428" s="26" t="n">
        <v>23</v>
      </c>
      <c r="H428" s="26" t="n">
        <v>3</v>
      </c>
      <c r="I428" s="16" t="n">
        <f aca="false">0.5*(ABS(D428/A428-Declarations!$B$25)+ABS(E428/A428-Declarations!$B$26)+ABS(F428/A428-Declarations!$B$27)+ABS(G428/A428-Declarations!$B$28)+ABS(H428/A428-Declarations!$B$29))</f>
        <v>0.075</v>
      </c>
      <c r="J428" s="20" t="n">
        <v>0</v>
      </c>
      <c r="K428" s="26" t="n">
        <v>1</v>
      </c>
    </row>
    <row r="429" customFormat="false" ht="15" hidden="false" customHeight="false" outlineLevel="0" collapsed="false">
      <c r="A429" s="14" t="n">
        <v>120</v>
      </c>
      <c r="B429" s="14" t="n">
        <v>13</v>
      </c>
      <c r="C429" s="14" t="n">
        <f aca="false">Declarations!$B$47+1000*A429+B429</f>
        <v>1034013</v>
      </c>
      <c r="D429" s="26" t="n">
        <v>4</v>
      </c>
      <c r="E429" s="26" t="n">
        <v>30</v>
      </c>
      <c r="F429" s="26" t="n">
        <v>59</v>
      </c>
      <c r="G429" s="26" t="n">
        <v>22</v>
      </c>
      <c r="H429" s="26" t="n">
        <v>5</v>
      </c>
      <c r="I429" s="16" t="n">
        <f aca="false">0.5*(ABS(D429/A429-Declarations!$B$25)+ABS(E429/A429-Declarations!$B$26)+ABS(F429/A429-Declarations!$B$27)+ABS(G429/A429-Declarations!$B$28)+ABS(H429/A429-Declarations!$B$29))</f>
        <v>0.05</v>
      </c>
      <c r="J429" s="20" t="n">
        <v>0</v>
      </c>
      <c r="K429" s="26" t="n">
        <v>1</v>
      </c>
    </row>
    <row r="430" customFormat="false" ht="15" hidden="false" customHeight="false" outlineLevel="0" collapsed="false">
      <c r="A430" s="14" t="n">
        <v>120</v>
      </c>
      <c r="B430" s="14" t="n">
        <v>14</v>
      </c>
      <c r="C430" s="14" t="n">
        <f aca="false">Declarations!$B$47+1000*A430+B430</f>
        <v>1034014</v>
      </c>
      <c r="D430" s="26" t="n">
        <v>11</v>
      </c>
      <c r="E430" s="26" t="n">
        <v>25</v>
      </c>
      <c r="F430" s="26" t="n">
        <v>55</v>
      </c>
      <c r="G430" s="26" t="n">
        <v>27</v>
      </c>
      <c r="H430" s="26" t="n">
        <v>2</v>
      </c>
      <c r="I430" s="16" t="n">
        <f aca="false">0.5*(ABS(D430/A430-Declarations!$B$25)+ABS(E430/A430-Declarations!$B$26)+ABS(F430/A430-Declarations!$B$27)+ABS(G430/A430-Declarations!$B$28)+ABS(H430/A430-Declarations!$B$29))</f>
        <v>0.075</v>
      </c>
      <c r="J430" s="20" t="n">
        <v>0</v>
      </c>
      <c r="K430" s="26" t="n">
        <v>1</v>
      </c>
    </row>
    <row r="431" customFormat="false" ht="15" hidden="false" customHeight="false" outlineLevel="0" collapsed="false">
      <c r="A431" s="14" t="n">
        <v>120</v>
      </c>
      <c r="B431" s="14" t="n">
        <v>15</v>
      </c>
      <c r="C431" s="14" t="n">
        <f aca="false">Declarations!$B$47+1000*A431+B431</f>
        <v>1034015</v>
      </c>
      <c r="D431" s="26" t="n">
        <v>6</v>
      </c>
      <c r="E431" s="26" t="n">
        <v>22</v>
      </c>
      <c r="F431" s="26" t="n">
        <v>62</v>
      </c>
      <c r="G431" s="26" t="n">
        <v>25</v>
      </c>
      <c r="H431" s="26" t="n">
        <v>5</v>
      </c>
      <c r="I431" s="16" t="n">
        <f aca="false">0.5*(ABS(D431/A431-Declarations!$B$25)+ABS(E431/A431-Declarations!$B$26)+ABS(F431/A431-Declarations!$B$27)+ABS(G431/A431-Declarations!$B$28)+ABS(H431/A431-Declarations!$B$29))</f>
        <v>0.025</v>
      </c>
      <c r="J431" s="20" t="n">
        <v>0</v>
      </c>
      <c r="K431" s="26" t="n">
        <v>1</v>
      </c>
    </row>
    <row r="432" customFormat="false" ht="15" hidden="false" customHeight="false" outlineLevel="0" collapsed="false">
      <c r="A432" s="14" t="n">
        <v>120</v>
      </c>
      <c r="B432" s="14" t="n">
        <v>16</v>
      </c>
      <c r="C432" s="14" t="n">
        <f aca="false">Declarations!$B$47+1000*A432+B432</f>
        <v>1034016</v>
      </c>
      <c r="D432" s="26" t="n">
        <v>9</v>
      </c>
      <c r="E432" s="26" t="n">
        <v>28</v>
      </c>
      <c r="F432" s="26" t="n">
        <v>48</v>
      </c>
      <c r="G432" s="26" t="n">
        <v>24</v>
      </c>
      <c r="H432" s="26" t="n">
        <v>11</v>
      </c>
      <c r="I432" s="16" t="n">
        <f aca="false">0.5*(ABS(D432/A432-Declarations!$B$25)+ABS(E432/A432-Declarations!$B$26)+ABS(F432/A432-Declarations!$B$27)+ABS(G432/A432-Declarations!$B$28)+ABS(H432/A432-Declarations!$B$29))</f>
        <v>0.1</v>
      </c>
      <c r="J432" s="20" t="n">
        <v>0</v>
      </c>
      <c r="K432" s="26" t="n">
        <v>1</v>
      </c>
    </row>
    <row r="433" customFormat="false" ht="15" hidden="false" customHeight="false" outlineLevel="0" collapsed="false">
      <c r="A433" s="14" t="n">
        <v>120</v>
      </c>
      <c r="B433" s="14" t="n">
        <v>17</v>
      </c>
      <c r="C433" s="14" t="n">
        <f aca="false">Declarations!$B$47+1000*A433+B433</f>
        <v>1034017</v>
      </c>
      <c r="D433" s="26" t="n">
        <v>9</v>
      </c>
      <c r="E433" s="26" t="n">
        <v>18</v>
      </c>
      <c r="F433" s="26" t="n">
        <v>62</v>
      </c>
      <c r="G433" s="26" t="n">
        <v>27</v>
      </c>
      <c r="H433" s="26" t="n">
        <v>4</v>
      </c>
      <c r="I433" s="16" t="n">
        <f aca="false">0.5*(ABS(D433/A433-Declarations!$B$25)+ABS(E433/A433-Declarations!$B$26)+ABS(F433/A433-Declarations!$B$27)+ABS(G433/A433-Declarations!$B$28)+ABS(H433/A433-Declarations!$B$29))</f>
        <v>0.0666666666666667</v>
      </c>
      <c r="J433" s="20" t="n">
        <v>0</v>
      </c>
      <c r="K433" s="26" t="n">
        <v>1</v>
      </c>
    </row>
    <row r="434" customFormat="false" ht="15" hidden="false" customHeight="false" outlineLevel="0" collapsed="false">
      <c r="A434" s="14" t="n">
        <v>120</v>
      </c>
      <c r="B434" s="14" t="n">
        <v>18</v>
      </c>
      <c r="C434" s="14" t="n">
        <f aca="false">Declarations!$B$47+1000*A434+B434</f>
        <v>1034018</v>
      </c>
      <c r="D434" s="26" t="n">
        <v>9</v>
      </c>
      <c r="E434" s="26" t="n">
        <v>23</v>
      </c>
      <c r="F434" s="26" t="n">
        <v>56</v>
      </c>
      <c r="G434" s="26" t="n">
        <v>27</v>
      </c>
      <c r="H434" s="26" t="n">
        <v>5</v>
      </c>
      <c r="I434" s="16" t="n">
        <f aca="false">0.5*(ABS(D434/A434-Declarations!$B$25)+ABS(E434/A434-Declarations!$B$26)+ABS(F434/A434-Declarations!$B$27)+ABS(G434/A434-Declarations!$B$28)+ABS(H434/A434-Declarations!$B$29))</f>
        <v>0.05</v>
      </c>
      <c r="J434" s="20" t="n">
        <v>0</v>
      </c>
      <c r="K434" s="26" t="n">
        <v>1</v>
      </c>
    </row>
    <row r="435" customFormat="false" ht="15" hidden="false" customHeight="false" outlineLevel="0" collapsed="false">
      <c r="A435" s="14" t="n">
        <v>120</v>
      </c>
      <c r="B435" s="14" t="n">
        <v>19</v>
      </c>
      <c r="C435" s="14" t="n">
        <f aca="false">Declarations!$B$47+1000*A435+B435</f>
        <v>1034019</v>
      </c>
      <c r="D435" s="26" t="n">
        <v>3</v>
      </c>
      <c r="E435" s="26" t="n">
        <v>13</v>
      </c>
      <c r="F435" s="26" t="n">
        <v>68</v>
      </c>
      <c r="G435" s="26" t="n">
        <v>28</v>
      </c>
      <c r="H435" s="26" t="n">
        <v>8</v>
      </c>
      <c r="I435" s="16" t="n">
        <f aca="false">0.5*(ABS(D435/A435-Declarations!$B$25)+ABS(E435/A435-Declarations!$B$26)+ABS(F435/A435-Declarations!$B$27)+ABS(G435/A435-Declarations!$B$28)+ABS(H435/A435-Declarations!$B$29))</f>
        <v>0.116666666666667</v>
      </c>
      <c r="J435" s="20" t="n">
        <v>0.713021460896897</v>
      </c>
      <c r="K435" s="26" t="n">
        <v>0</v>
      </c>
    </row>
    <row r="436" customFormat="false" ht="15" hidden="false" customHeight="false" outlineLevel="0" collapsed="false">
      <c r="A436" s="14" t="n">
        <v>120</v>
      </c>
      <c r="B436" s="14" t="n">
        <v>20</v>
      </c>
      <c r="C436" s="14" t="n">
        <f aca="false">Declarations!$B$47+1000*A436+B436</f>
        <v>1034020</v>
      </c>
      <c r="D436" s="26" t="n">
        <v>3</v>
      </c>
      <c r="E436" s="26" t="n">
        <v>21</v>
      </c>
      <c r="F436" s="26" t="n">
        <v>69</v>
      </c>
      <c r="G436" s="26" t="n">
        <v>20</v>
      </c>
      <c r="H436" s="26" t="n">
        <v>7</v>
      </c>
      <c r="I436" s="16" t="n">
        <f aca="false">0.5*(ABS(D436/A436-Declarations!$B$25)+ABS(E436/A436-Declarations!$B$26)+ABS(F436/A436-Declarations!$B$27)+ABS(G436/A436-Declarations!$B$28)+ABS(H436/A436-Declarations!$B$29))</f>
        <v>0.0833333333333333</v>
      </c>
      <c r="J436" s="20" t="n">
        <v>0.175883920405738</v>
      </c>
      <c r="K436" s="26" t="n">
        <v>0</v>
      </c>
    </row>
    <row r="437" customFormat="false" ht="15" hidden="false" customHeight="false" outlineLevel="0" collapsed="false">
      <c r="A437" s="14" t="n">
        <v>120</v>
      </c>
      <c r="B437" s="14" t="n">
        <v>21</v>
      </c>
      <c r="C437" s="14" t="n">
        <f aca="false">Declarations!$B$47+1000*A437+B437</f>
        <v>1034021</v>
      </c>
      <c r="D437" s="26" t="n">
        <v>8</v>
      </c>
      <c r="E437" s="26" t="n">
        <v>27</v>
      </c>
      <c r="F437" s="26" t="n">
        <v>57</v>
      </c>
      <c r="G437" s="26" t="n">
        <v>23</v>
      </c>
      <c r="H437" s="26" t="n">
        <v>5</v>
      </c>
      <c r="I437" s="16" t="n">
        <f aca="false">0.5*(ABS(D437/A437-Declarations!$B$25)+ABS(E437/A437-Declarations!$B$26)+ABS(F437/A437-Declarations!$B$27)+ABS(G437/A437-Declarations!$B$28)+ABS(H437/A437-Declarations!$B$29))</f>
        <v>0.0416666666666667</v>
      </c>
      <c r="J437" s="20" t="n">
        <v>0</v>
      </c>
      <c r="K437" s="26" t="n">
        <v>1</v>
      </c>
    </row>
    <row r="438" customFormat="false" ht="15" hidden="false" customHeight="false" outlineLevel="0" collapsed="false">
      <c r="A438" s="14" t="n">
        <v>120</v>
      </c>
      <c r="B438" s="14" t="n">
        <v>22</v>
      </c>
      <c r="C438" s="14" t="n">
        <f aca="false">Declarations!$B$47+1000*A438+B438</f>
        <v>1034022</v>
      </c>
      <c r="D438" s="26" t="n">
        <v>8</v>
      </c>
      <c r="E438" s="26" t="n">
        <v>16</v>
      </c>
      <c r="F438" s="26" t="n">
        <v>70</v>
      </c>
      <c r="G438" s="26" t="n">
        <v>19</v>
      </c>
      <c r="H438" s="26" t="n">
        <v>7</v>
      </c>
      <c r="I438" s="16" t="n">
        <f aca="false">0.5*(ABS(D438/A438-Declarations!$B$25)+ABS(E438/A438-Declarations!$B$26)+ABS(F438/A438-Declarations!$B$27)+ABS(G438/A438-Declarations!$B$28)+ABS(H438/A438-Declarations!$B$29))</f>
        <v>0.108333333333333</v>
      </c>
      <c r="J438" s="20" t="n">
        <v>0</v>
      </c>
      <c r="K438" s="26" t="n">
        <v>1</v>
      </c>
    </row>
    <row r="439" customFormat="false" ht="15" hidden="false" customHeight="false" outlineLevel="0" collapsed="false">
      <c r="A439" s="14" t="n">
        <v>120</v>
      </c>
      <c r="B439" s="14" t="n">
        <v>23</v>
      </c>
      <c r="C439" s="14" t="n">
        <f aca="false">Declarations!$B$47+1000*A439+B439</f>
        <v>1034023</v>
      </c>
      <c r="D439" s="26" t="n">
        <v>8</v>
      </c>
      <c r="E439" s="26" t="n">
        <v>26</v>
      </c>
      <c r="F439" s="26" t="n">
        <v>61</v>
      </c>
      <c r="G439" s="26" t="n">
        <v>18</v>
      </c>
      <c r="H439" s="26" t="n">
        <v>7</v>
      </c>
      <c r="I439" s="16" t="n">
        <f aca="false">0.5*(ABS(D439/A439-Declarations!$B$25)+ABS(E439/A439-Declarations!$B$26)+ABS(F439/A439-Declarations!$B$27)+ABS(G439/A439-Declarations!$B$28)+ABS(H439/A439-Declarations!$B$29))</f>
        <v>0.05</v>
      </c>
      <c r="J439" s="20" t="n">
        <v>0</v>
      </c>
      <c r="K439" s="26" t="n">
        <v>1</v>
      </c>
    </row>
    <row r="440" customFormat="false" ht="15" hidden="false" customHeight="false" outlineLevel="0" collapsed="false">
      <c r="A440" s="14" t="n">
        <v>120</v>
      </c>
      <c r="B440" s="14" t="n">
        <v>24</v>
      </c>
      <c r="C440" s="14" t="n">
        <f aca="false">Declarations!$B$47+1000*A440+B440</f>
        <v>1034024</v>
      </c>
      <c r="D440" s="26" t="n">
        <v>11</v>
      </c>
      <c r="E440" s="26" t="n">
        <v>22</v>
      </c>
      <c r="F440" s="26" t="n">
        <v>68</v>
      </c>
      <c r="G440" s="26" t="n">
        <v>14</v>
      </c>
      <c r="H440" s="26" t="n">
        <v>5</v>
      </c>
      <c r="I440" s="16" t="n">
        <f aca="false">0.5*(ABS(D440/A440-Declarations!$B$25)+ABS(E440/A440-Declarations!$B$26)+ABS(F440/A440-Declarations!$B$27)+ABS(G440/A440-Declarations!$B$28)+ABS(H440/A440-Declarations!$B$29))</f>
        <v>0.108333333333333</v>
      </c>
      <c r="J440" s="20" t="n">
        <v>0</v>
      </c>
      <c r="K440" s="26" t="n">
        <v>1</v>
      </c>
    </row>
    <row r="441" customFormat="false" ht="15" hidden="false" customHeight="false" outlineLevel="0" collapsed="false">
      <c r="A441" s="14" t="n">
        <v>120</v>
      </c>
      <c r="B441" s="14" t="n">
        <v>25</v>
      </c>
      <c r="C441" s="14" t="n">
        <f aca="false">Declarations!$B$47+1000*A441+B441</f>
        <v>1034025</v>
      </c>
      <c r="D441" s="26" t="n">
        <v>4</v>
      </c>
      <c r="E441" s="26" t="n">
        <v>12</v>
      </c>
      <c r="F441" s="26" t="n">
        <v>65</v>
      </c>
      <c r="G441" s="26" t="n">
        <v>32</v>
      </c>
      <c r="H441" s="26" t="n">
        <v>7</v>
      </c>
      <c r="I441" s="16" t="n">
        <f aca="false">0.5*(ABS(D441/A441-Declarations!$B$25)+ABS(E441/A441-Declarations!$B$26)+ABS(F441/A441-Declarations!$B$27)+ABS(G441/A441-Declarations!$B$28)+ABS(H441/A441-Declarations!$B$29))</f>
        <v>0.116666666666667</v>
      </c>
      <c r="J441" s="20" t="n">
        <v>0.713021460896897</v>
      </c>
      <c r="K441" s="26" t="n">
        <v>0</v>
      </c>
    </row>
    <row r="442" customFormat="false" ht="15" hidden="false" customHeight="false" outlineLevel="0" collapsed="false">
      <c r="A442" s="14" t="n">
        <v>120</v>
      </c>
      <c r="B442" s="14" t="n">
        <v>26</v>
      </c>
      <c r="C442" s="14" t="n">
        <f aca="false">Declarations!$B$47+1000*A442+B442</f>
        <v>1034026</v>
      </c>
      <c r="D442" s="26" t="n">
        <v>4</v>
      </c>
      <c r="E442" s="26" t="n">
        <v>24</v>
      </c>
      <c r="F442" s="26" t="n">
        <v>64</v>
      </c>
      <c r="G442" s="26" t="n">
        <v>23</v>
      </c>
      <c r="H442" s="26" t="n">
        <v>5</v>
      </c>
      <c r="I442" s="16" t="n">
        <f aca="false">0.5*(ABS(D442/A442-Declarations!$B$25)+ABS(E442/A442-Declarations!$B$26)+ABS(F442/A442-Declarations!$B$27)+ABS(G442/A442-Declarations!$B$28)+ABS(H442/A442-Declarations!$B$29))</f>
        <v>0.0333333333333333</v>
      </c>
      <c r="J442" s="20" t="n">
        <v>0</v>
      </c>
      <c r="K442" s="26" t="n">
        <v>1</v>
      </c>
    </row>
    <row r="443" customFormat="false" ht="15" hidden="false" customHeight="false" outlineLevel="0" collapsed="false">
      <c r="A443" s="14" t="n">
        <v>120</v>
      </c>
      <c r="B443" s="14" t="n">
        <v>27</v>
      </c>
      <c r="C443" s="14" t="n">
        <f aca="false">Declarations!$B$47+1000*A443+B443</f>
        <v>1034027</v>
      </c>
      <c r="D443" s="26" t="n">
        <v>7</v>
      </c>
      <c r="E443" s="26" t="n">
        <v>24</v>
      </c>
      <c r="F443" s="26" t="n">
        <v>71</v>
      </c>
      <c r="G443" s="26" t="n">
        <v>14</v>
      </c>
      <c r="H443" s="26" t="n">
        <v>4</v>
      </c>
      <c r="I443" s="16" t="n">
        <f aca="false">0.5*(ABS(D443/A443-Declarations!$B$25)+ABS(E443/A443-Declarations!$B$26)+ABS(F443/A443-Declarations!$B$27)+ABS(G443/A443-Declarations!$B$28)+ABS(H443/A443-Declarations!$B$29))</f>
        <v>0.1</v>
      </c>
      <c r="J443" s="20" t="n">
        <v>0</v>
      </c>
      <c r="K443" s="26" t="n">
        <v>1</v>
      </c>
    </row>
    <row r="444" customFormat="false" ht="15" hidden="false" customHeight="false" outlineLevel="0" collapsed="false">
      <c r="A444" s="14" t="n">
        <v>120</v>
      </c>
      <c r="B444" s="14" t="n">
        <v>28</v>
      </c>
      <c r="C444" s="14" t="n">
        <f aca="false">Declarations!$B$47+1000*A444+B444</f>
        <v>1034028</v>
      </c>
      <c r="D444" s="26" t="n">
        <v>6</v>
      </c>
      <c r="E444" s="26" t="n">
        <v>28</v>
      </c>
      <c r="F444" s="26" t="n">
        <v>53</v>
      </c>
      <c r="G444" s="26" t="n">
        <v>23</v>
      </c>
      <c r="H444" s="26" t="n">
        <v>10</v>
      </c>
      <c r="I444" s="16" t="n">
        <f aca="false">0.5*(ABS(D444/A444-Declarations!$B$25)+ABS(E444/A444-Declarations!$B$26)+ABS(F444/A444-Declarations!$B$27)+ABS(G444/A444-Declarations!$B$28)+ABS(H444/A444-Declarations!$B$29))</f>
        <v>0.0666666666666667</v>
      </c>
      <c r="J444" s="20" t="n">
        <v>0</v>
      </c>
      <c r="K444" s="26" t="n">
        <v>1</v>
      </c>
    </row>
    <row r="445" customFormat="false" ht="15" hidden="false" customHeight="false" outlineLevel="0" collapsed="false">
      <c r="A445" s="14" t="n">
        <v>120</v>
      </c>
      <c r="B445" s="14" t="n">
        <v>29</v>
      </c>
      <c r="C445" s="14" t="n">
        <f aca="false">Declarations!$B$47+1000*A445+B445</f>
        <v>1034029</v>
      </c>
      <c r="D445" s="26" t="n">
        <v>8</v>
      </c>
      <c r="E445" s="26" t="n">
        <v>20</v>
      </c>
      <c r="F445" s="26" t="n">
        <v>69</v>
      </c>
      <c r="G445" s="26" t="n">
        <v>22</v>
      </c>
      <c r="H445" s="26" t="n">
        <v>1</v>
      </c>
      <c r="I445" s="16" t="n">
        <f aca="false">0.5*(ABS(D445/A445-Declarations!$B$25)+ABS(E445/A445-Declarations!$B$26)+ABS(F445/A445-Declarations!$B$27)+ABS(G445/A445-Declarations!$B$28)+ABS(H445/A445-Declarations!$B$29))</f>
        <v>0.0916666666666667</v>
      </c>
      <c r="J445" s="20" t="n">
        <v>0</v>
      </c>
      <c r="K445" s="26" t="n">
        <v>1</v>
      </c>
    </row>
    <row r="446" customFormat="false" ht="15" hidden="false" customHeight="false" outlineLevel="0" collapsed="false">
      <c r="A446" s="14" t="n">
        <v>120</v>
      </c>
      <c r="B446" s="14" t="n">
        <v>30</v>
      </c>
      <c r="C446" s="14" t="n">
        <f aca="false">Declarations!$B$47+1000*A446+B446</f>
        <v>1034030</v>
      </c>
      <c r="D446" s="26" t="n">
        <v>2</v>
      </c>
      <c r="E446" s="26" t="n">
        <v>25</v>
      </c>
      <c r="F446" s="26" t="n">
        <v>60</v>
      </c>
      <c r="G446" s="26" t="n">
        <v>22</v>
      </c>
      <c r="H446" s="26" t="n">
        <v>11</v>
      </c>
      <c r="I446" s="16" t="n">
        <f aca="false">0.5*(ABS(D446/A446-Declarations!$B$25)+ABS(E446/A446-Declarations!$B$26)+ABS(F446/A446-Declarations!$B$27)+ABS(G446/A446-Declarations!$B$28)+ABS(H446/A446-Declarations!$B$29))</f>
        <v>0.05</v>
      </c>
      <c r="J446" s="20" t="n">
        <v>0.0703309017642937</v>
      </c>
      <c r="K446" s="26" t="n">
        <v>0</v>
      </c>
    </row>
    <row r="447" customFormat="false" ht="15" hidden="false" customHeight="false" outlineLevel="0" collapsed="false">
      <c r="A447" s="14" t="n">
        <v>120</v>
      </c>
      <c r="B447" s="14" t="n">
        <v>31</v>
      </c>
      <c r="C447" s="14" t="n">
        <f aca="false">Declarations!$B$47+1000*A447+B447</f>
        <v>1034031</v>
      </c>
      <c r="D447" s="26" t="n">
        <v>6</v>
      </c>
      <c r="E447" s="26" t="n">
        <v>28</v>
      </c>
      <c r="F447" s="26" t="n">
        <v>64</v>
      </c>
      <c r="G447" s="26" t="n">
        <v>19</v>
      </c>
      <c r="H447" s="26" t="n">
        <v>3</v>
      </c>
      <c r="I447" s="16" t="n">
        <f aca="false">0.5*(ABS(D447/A447-Declarations!$B$25)+ABS(E447/A447-Declarations!$B$26)+ABS(F447/A447-Declarations!$B$27)+ABS(G447/A447-Declarations!$B$28)+ABS(H447/A447-Declarations!$B$29))</f>
        <v>0.0666666666666667</v>
      </c>
      <c r="J447" s="20" t="n">
        <v>0</v>
      </c>
      <c r="K447" s="26" t="n">
        <v>1</v>
      </c>
    </row>
    <row r="448" customFormat="false" ht="15" hidden="false" customHeight="false" outlineLevel="0" collapsed="false">
      <c r="A448" s="14" t="n">
        <v>120</v>
      </c>
      <c r="B448" s="14" t="n">
        <v>32</v>
      </c>
      <c r="C448" s="14" t="n">
        <f aca="false">Declarations!$B$47+1000*A448+B448</f>
        <v>1034032</v>
      </c>
      <c r="D448" s="26" t="n">
        <v>4</v>
      </c>
      <c r="E448" s="26" t="n">
        <v>26</v>
      </c>
      <c r="F448" s="26" t="n">
        <v>63</v>
      </c>
      <c r="G448" s="26" t="n">
        <v>16</v>
      </c>
      <c r="H448" s="26" t="n">
        <v>11</v>
      </c>
      <c r="I448" s="16" t="n">
        <f aca="false">0.5*(ABS(D448/A448-Declarations!$B$25)+ABS(E448/A448-Declarations!$B$26)+ABS(F448/A448-Declarations!$B$27)+ABS(G448/A448-Declarations!$B$28)+ABS(H448/A448-Declarations!$B$29))</f>
        <v>0.0833333333333333</v>
      </c>
      <c r="J448" s="20" t="n">
        <v>0</v>
      </c>
      <c r="K448" s="26" t="n">
        <v>1</v>
      </c>
    </row>
    <row r="449" customFormat="false" ht="15" hidden="false" customHeight="false" outlineLevel="0" collapsed="false">
      <c r="A449" s="14" t="n">
        <v>120</v>
      </c>
      <c r="B449" s="14" t="n">
        <v>33</v>
      </c>
      <c r="C449" s="14" t="n">
        <f aca="false">Declarations!$B$47+1000*A449+B449</f>
        <v>1034033</v>
      </c>
      <c r="D449" s="26" t="n">
        <v>7</v>
      </c>
      <c r="E449" s="26" t="n">
        <v>22</v>
      </c>
      <c r="F449" s="26" t="n">
        <v>53</v>
      </c>
      <c r="G449" s="26" t="n">
        <v>32</v>
      </c>
      <c r="H449" s="26" t="n">
        <v>6</v>
      </c>
      <c r="I449" s="16" t="n">
        <f aca="false">0.5*(ABS(D449/A449-Declarations!$B$25)+ABS(E449/A449-Declarations!$B$26)+ABS(F449/A449-Declarations!$B$27)+ABS(G449/A449-Declarations!$B$28)+ABS(H449/A449-Declarations!$B$29))</f>
        <v>0.075</v>
      </c>
      <c r="J449" s="20" t="n">
        <v>0</v>
      </c>
      <c r="K449" s="26" t="n">
        <v>1</v>
      </c>
    </row>
    <row r="450" customFormat="false" ht="15" hidden="false" customHeight="false" outlineLevel="0" collapsed="false">
      <c r="A450" s="14" t="n">
        <v>120</v>
      </c>
      <c r="B450" s="14" t="n">
        <v>34</v>
      </c>
      <c r="C450" s="14" t="n">
        <f aca="false">Declarations!$B$47+1000*A450+B450</f>
        <v>1034034</v>
      </c>
      <c r="D450" s="26" t="n">
        <v>6</v>
      </c>
      <c r="E450" s="26" t="n">
        <v>18</v>
      </c>
      <c r="F450" s="26" t="n">
        <v>65</v>
      </c>
      <c r="G450" s="26" t="n">
        <v>26</v>
      </c>
      <c r="H450" s="26" t="n">
        <v>5</v>
      </c>
      <c r="I450" s="16" t="n">
        <f aca="false">0.5*(ABS(D450/A450-Declarations!$B$25)+ABS(E450/A450-Declarations!$B$26)+ABS(F450/A450-Declarations!$B$27)+ABS(G450/A450-Declarations!$B$28)+ABS(H450/A450-Declarations!$B$29))</f>
        <v>0.0583333333333333</v>
      </c>
      <c r="J450" s="20" t="n">
        <v>0</v>
      </c>
      <c r="K450" s="26" t="n">
        <v>1</v>
      </c>
    </row>
    <row r="451" customFormat="false" ht="15" hidden="false" customHeight="false" outlineLevel="0" collapsed="false">
      <c r="A451" s="14" t="n">
        <v>120</v>
      </c>
      <c r="B451" s="14" t="n">
        <v>35</v>
      </c>
      <c r="C451" s="14" t="n">
        <f aca="false">Declarations!$B$47+1000*A451+B451</f>
        <v>1034035</v>
      </c>
      <c r="D451" s="26" t="n">
        <v>9</v>
      </c>
      <c r="E451" s="26" t="n">
        <v>13</v>
      </c>
      <c r="F451" s="26" t="n">
        <v>64</v>
      </c>
      <c r="G451" s="26" t="n">
        <v>26</v>
      </c>
      <c r="H451" s="26" t="n">
        <v>8</v>
      </c>
      <c r="I451" s="16" t="n">
        <f aca="false">0.5*(ABS(D451/A451-Declarations!$B$25)+ABS(E451/A451-Declarations!$B$26)+ABS(F451/A451-Declarations!$B$27)+ABS(G451/A451-Declarations!$B$28)+ABS(H451/A451-Declarations!$B$29))</f>
        <v>0.0916666666666667</v>
      </c>
      <c r="J451" s="20" t="n">
        <v>0</v>
      </c>
      <c r="K451" s="26" t="n">
        <v>1</v>
      </c>
    </row>
    <row r="452" customFormat="false" ht="15" hidden="false" customHeight="false" outlineLevel="0" collapsed="false">
      <c r="A452" s="14" t="n">
        <v>120</v>
      </c>
      <c r="B452" s="14" t="n">
        <v>36</v>
      </c>
      <c r="C452" s="14" t="n">
        <f aca="false">Declarations!$B$47+1000*A452+B452</f>
        <v>1034036</v>
      </c>
      <c r="D452" s="26" t="n">
        <v>5</v>
      </c>
      <c r="E452" s="26" t="n">
        <v>28</v>
      </c>
      <c r="F452" s="26" t="n">
        <v>54</v>
      </c>
      <c r="G452" s="26" t="n">
        <v>20</v>
      </c>
      <c r="H452" s="26" t="n">
        <v>13</v>
      </c>
      <c r="I452" s="16" t="n">
        <f aca="false">0.5*(ABS(D452/A452-Declarations!$B$25)+ABS(E452/A452-Declarations!$B$26)+ABS(F452/A452-Declarations!$B$27)+ABS(G452/A452-Declarations!$B$28)+ABS(H452/A452-Declarations!$B$29))</f>
        <v>0.0916666666666667</v>
      </c>
      <c r="J452" s="20" t="n">
        <v>0</v>
      </c>
      <c r="K452" s="26" t="n">
        <v>1</v>
      </c>
    </row>
    <row r="453" customFormat="false" ht="15" hidden="false" customHeight="false" outlineLevel="0" collapsed="false">
      <c r="A453" s="14" t="n">
        <v>120</v>
      </c>
      <c r="B453" s="14" t="n">
        <v>37</v>
      </c>
      <c r="C453" s="14" t="n">
        <f aca="false">Declarations!$B$47+1000*A453+B453</f>
        <v>1034037</v>
      </c>
      <c r="D453" s="26" t="n">
        <v>9</v>
      </c>
      <c r="E453" s="26" t="n">
        <v>23</v>
      </c>
      <c r="F453" s="26" t="n">
        <v>56</v>
      </c>
      <c r="G453" s="26" t="n">
        <v>25</v>
      </c>
      <c r="H453" s="26" t="n">
        <v>7</v>
      </c>
      <c r="I453" s="16" t="n">
        <f aca="false">0.5*(ABS(D453/A453-Declarations!$B$25)+ABS(E453/A453-Declarations!$B$26)+ABS(F453/A453-Declarations!$B$27)+ABS(G453/A453-Declarations!$B$28)+ABS(H453/A453-Declarations!$B$29))</f>
        <v>0.0416666666666667</v>
      </c>
      <c r="J453" s="20" t="n">
        <v>0</v>
      </c>
      <c r="K453" s="26" t="n">
        <v>1</v>
      </c>
    </row>
    <row r="454" customFormat="false" ht="15" hidden="false" customHeight="false" outlineLevel="0" collapsed="false">
      <c r="A454" s="14" t="n">
        <v>120</v>
      </c>
      <c r="B454" s="14" t="n">
        <v>38</v>
      </c>
      <c r="C454" s="14" t="n">
        <f aca="false">Declarations!$B$47+1000*A454+B454</f>
        <v>1034038</v>
      </c>
      <c r="D454" s="26" t="n">
        <v>5</v>
      </c>
      <c r="E454" s="26" t="n">
        <v>20</v>
      </c>
      <c r="F454" s="26" t="n">
        <v>63</v>
      </c>
      <c r="G454" s="26" t="n">
        <v>26</v>
      </c>
      <c r="H454" s="26" t="n">
        <v>6</v>
      </c>
      <c r="I454" s="16" t="n">
        <f aca="false">0.5*(ABS(D454/A454-Declarations!$B$25)+ABS(E454/A454-Declarations!$B$26)+ABS(F454/A454-Declarations!$B$27)+ABS(G454/A454-Declarations!$B$28)+ABS(H454/A454-Declarations!$B$29))</f>
        <v>0.0416666666666667</v>
      </c>
      <c r="J454" s="20" t="n">
        <v>0</v>
      </c>
      <c r="K454" s="26" t="n">
        <v>1</v>
      </c>
    </row>
    <row r="455" customFormat="false" ht="15" hidden="false" customHeight="false" outlineLevel="0" collapsed="false">
      <c r="A455" s="14" t="n">
        <v>120</v>
      </c>
      <c r="B455" s="14" t="n">
        <v>39</v>
      </c>
      <c r="C455" s="14" t="n">
        <f aca="false">Declarations!$B$47+1000*A455+B455</f>
        <v>1034039</v>
      </c>
      <c r="D455" s="26" t="n">
        <v>6</v>
      </c>
      <c r="E455" s="26" t="n">
        <v>31</v>
      </c>
      <c r="F455" s="26" t="n">
        <v>55</v>
      </c>
      <c r="G455" s="26" t="n">
        <v>26</v>
      </c>
      <c r="H455" s="26" t="n">
        <v>2</v>
      </c>
      <c r="I455" s="16" t="n">
        <f aca="false">0.5*(ABS(D455/A455-Declarations!$B$25)+ABS(E455/A455-Declarations!$B$26)+ABS(F455/A455-Declarations!$B$27)+ABS(G455/A455-Declarations!$B$28)+ABS(H455/A455-Declarations!$B$29))</f>
        <v>0.075</v>
      </c>
      <c r="J455" s="20" t="n">
        <v>0</v>
      </c>
      <c r="K455" s="26" t="n">
        <v>1</v>
      </c>
    </row>
    <row r="456" customFormat="false" ht="15" hidden="false" customHeight="false" outlineLevel="0" collapsed="false">
      <c r="A456" s="14" t="n">
        <v>120</v>
      </c>
      <c r="B456" s="14" t="n">
        <v>40</v>
      </c>
      <c r="C456" s="14" t="n">
        <f aca="false">Declarations!$B$47+1000*A456+B456</f>
        <v>1034040</v>
      </c>
      <c r="D456" s="26" t="n">
        <v>4</v>
      </c>
      <c r="E456" s="26" t="n">
        <v>27</v>
      </c>
      <c r="F456" s="26" t="n">
        <v>61</v>
      </c>
      <c r="G456" s="26" t="n">
        <v>24</v>
      </c>
      <c r="H456" s="26" t="n">
        <v>4</v>
      </c>
      <c r="I456" s="16" t="n">
        <f aca="false">0.5*(ABS(D456/A456-Declarations!$B$25)+ABS(E456/A456-Declarations!$B$26)+ABS(F456/A456-Declarations!$B$27)+ABS(G456/A456-Declarations!$B$28)+ABS(H456/A456-Declarations!$B$29))</f>
        <v>0.0333333333333333</v>
      </c>
      <c r="J456" s="20" t="n">
        <v>0</v>
      </c>
      <c r="K456" s="26" t="n">
        <v>1</v>
      </c>
    </row>
    <row r="457" customFormat="false" ht="15" hidden="false" customHeight="false" outlineLevel="0" collapsed="false">
      <c r="A457" s="14" t="n">
        <v>120</v>
      </c>
      <c r="B457" s="14" t="n">
        <v>41</v>
      </c>
      <c r="C457" s="14" t="n">
        <f aca="false">Declarations!$B$47+1000*A457+B457</f>
        <v>1034041</v>
      </c>
      <c r="D457" s="26" t="n">
        <v>6</v>
      </c>
      <c r="E457" s="26" t="n">
        <v>34</v>
      </c>
      <c r="F457" s="26" t="n">
        <v>53</v>
      </c>
      <c r="G457" s="26" t="n">
        <v>24</v>
      </c>
      <c r="H457" s="26" t="n">
        <v>3</v>
      </c>
      <c r="I457" s="16" t="n">
        <f aca="false">0.5*(ABS(D457/A457-Declarations!$B$25)+ABS(E457/A457-Declarations!$B$26)+ABS(F457/A457-Declarations!$B$27)+ABS(G457/A457-Declarations!$B$28)+ABS(H457/A457-Declarations!$B$29))</f>
        <v>0.0833333333333333</v>
      </c>
      <c r="J457" s="20" t="n">
        <v>0</v>
      </c>
      <c r="K457" s="26" t="n">
        <v>1</v>
      </c>
    </row>
    <row r="458" customFormat="false" ht="15" hidden="false" customHeight="false" outlineLevel="0" collapsed="false">
      <c r="A458" s="14" t="n">
        <v>120</v>
      </c>
      <c r="B458" s="14" t="n">
        <v>42</v>
      </c>
      <c r="C458" s="14" t="n">
        <f aca="false">Declarations!$B$47+1000*A458+B458</f>
        <v>1034042</v>
      </c>
      <c r="D458" s="26" t="n">
        <v>6</v>
      </c>
      <c r="E458" s="26" t="n">
        <v>24</v>
      </c>
      <c r="F458" s="26" t="n">
        <v>62</v>
      </c>
      <c r="G458" s="26" t="n">
        <v>18</v>
      </c>
      <c r="H458" s="26" t="n">
        <v>10</v>
      </c>
      <c r="I458" s="16" t="n">
        <f aca="false">0.5*(ABS(D458/A458-Declarations!$B$25)+ABS(E458/A458-Declarations!$B$26)+ABS(F458/A458-Declarations!$B$27)+ABS(G458/A458-Declarations!$B$28)+ABS(H458/A458-Declarations!$B$29))</f>
        <v>0.05</v>
      </c>
      <c r="J458" s="20" t="n">
        <v>0</v>
      </c>
      <c r="K458" s="26" t="n">
        <v>1</v>
      </c>
    </row>
    <row r="459" customFormat="false" ht="15" hidden="false" customHeight="false" outlineLevel="0" collapsed="false">
      <c r="A459" s="14" t="n">
        <v>120</v>
      </c>
      <c r="B459" s="14" t="n">
        <v>43</v>
      </c>
      <c r="C459" s="14" t="n">
        <f aca="false">Declarations!$B$47+1000*A459+B459</f>
        <v>1034043</v>
      </c>
      <c r="D459" s="26" t="n">
        <v>6</v>
      </c>
      <c r="E459" s="26" t="n">
        <v>15</v>
      </c>
      <c r="F459" s="26" t="n">
        <v>63</v>
      </c>
      <c r="G459" s="26" t="n">
        <v>22</v>
      </c>
      <c r="H459" s="26" t="n">
        <v>14</v>
      </c>
      <c r="I459" s="16" t="n">
        <f aca="false">0.5*(ABS(D459/A459-Declarations!$B$25)+ABS(E459/A459-Declarations!$B$26)+ABS(F459/A459-Declarations!$B$27)+ABS(G459/A459-Declarations!$B$28)+ABS(H459/A459-Declarations!$B$29))</f>
        <v>0.0916666666666667</v>
      </c>
      <c r="J459" s="20" t="n">
        <v>0.43736025479447</v>
      </c>
      <c r="K459" s="26" t="n">
        <v>0</v>
      </c>
    </row>
    <row r="460" customFormat="false" ht="15" hidden="false" customHeight="false" outlineLevel="0" collapsed="false">
      <c r="A460" s="14" t="n">
        <v>120</v>
      </c>
      <c r="B460" s="14" t="n">
        <v>44</v>
      </c>
      <c r="C460" s="14" t="n">
        <f aca="false">Declarations!$B$47+1000*A460+B460</f>
        <v>1034044</v>
      </c>
      <c r="D460" s="26" t="n">
        <v>7</v>
      </c>
      <c r="E460" s="26" t="n">
        <v>18</v>
      </c>
      <c r="F460" s="26" t="n">
        <v>69</v>
      </c>
      <c r="G460" s="26" t="n">
        <v>20</v>
      </c>
      <c r="H460" s="26" t="n">
        <v>6</v>
      </c>
      <c r="I460" s="16" t="n">
        <f aca="false">0.5*(ABS(D460/A460-Declarations!$B$25)+ABS(E460/A460-Declarations!$B$26)+ABS(F460/A460-Declarations!$B$27)+ABS(G460/A460-Declarations!$B$28)+ABS(H460/A460-Declarations!$B$29))</f>
        <v>0.0833333333333333</v>
      </c>
      <c r="J460" s="20" t="n">
        <v>0</v>
      </c>
      <c r="K460" s="26" t="n">
        <v>1</v>
      </c>
    </row>
    <row r="461" customFormat="false" ht="15" hidden="false" customHeight="false" outlineLevel="0" collapsed="false">
      <c r="A461" s="14" t="n">
        <v>120</v>
      </c>
      <c r="B461" s="14" t="n">
        <v>45</v>
      </c>
      <c r="C461" s="14" t="n">
        <f aca="false">Declarations!$B$47+1000*A461+B461</f>
        <v>1034045</v>
      </c>
      <c r="D461" s="26" t="n">
        <v>3</v>
      </c>
      <c r="E461" s="26" t="n">
        <v>22</v>
      </c>
      <c r="F461" s="26" t="n">
        <v>63</v>
      </c>
      <c r="G461" s="26" t="n">
        <v>22</v>
      </c>
      <c r="H461" s="26" t="n">
        <v>10</v>
      </c>
      <c r="I461" s="16" t="n">
        <f aca="false">0.5*(ABS(D461/A461-Declarations!$B$25)+ABS(E461/A461-Declarations!$B$26)+ABS(F461/A461-Declarations!$B$27)+ABS(G461/A461-Declarations!$B$28)+ABS(H461/A461-Declarations!$B$29))</f>
        <v>0.0583333333333334</v>
      </c>
      <c r="J461" s="20" t="n">
        <v>0.115817627028463</v>
      </c>
      <c r="K461" s="26" t="n">
        <v>0</v>
      </c>
    </row>
    <row r="462" customFormat="false" ht="15" hidden="false" customHeight="false" outlineLevel="0" collapsed="false">
      <c r="A462" s="14" t="n">
        <v>120</v>
      </c>
      <c r="B462" s="14" t="n">
        <v>46</v>
      </c>
      <c r="C462" s="14" t="n">
        <f aca="false">Declarations!$B$47+1000*A462+B462</f>
        <v>1034046</v>
      </c>
      <c r="D462" s="26" t="n">
        <v>8</v>
      </c>
      <c r="E462" s="26" t="n">
        <v>28</v>
      </c>
      <c r="F462" s="26" t="n">
        <v>56</v>
      </c>
      <c r="G462" s="26" t="n">
        <v>25</v>
      </c>
      <c r="H462" s="26" t="n">
        <v>3</v>
      </c>
      <c r="I462" s="16" t="n">
        <f aca="false">0.5*(ABS(D462/A462-Declarations!$B$25)+ABS(E462/A462-Declarations!$B$26)+ABS(F462/A462-Declarations!$B$27)+ABS(G462/A462-Declarations!$B$28)+ABS(H462/A462-Declarations!$B$29))</f>
        <v>0.0583333333333333</v>
      </c>
      <c r="J462" s="20" t="n">
        <v>0</v>
      </c>
      <c r="K462" s="26" t="n">
        <v>1</v>
      </c>
    </row>
    <row r="463" customFormat="false" ht="15" hidden="false" customHeight="false" outlineLevel="0" collapsed="false">
      <c r="A463" s="14" t="n">
        <v>120</v>
      </c>
      <c r="B463" s="14" t="n">
        <v>47</v>
      </c>
      <c r="C463" s="14" t="n">
        <f aca="false">Declarations!$B$47+1000*A463+B463</f>
        <v>1034047</v>
      </c>
      <c r="D463" s="26" t="n">
        <v>4</v>
      </c>
      <c r="E463" s="26" t="n">
        <v>22</v>
      </c>
      <c r="F463" s="26" t="n">
        <v>60</v>
      </c>
      <c r="G463" s="26" t="n">
        <v>26</v>
      </c>
      <c r="H463" s="26" t="n">
        <v>8</v>
      </c>
      <c r="I463" s="16" t="n">
        <f aca="false">0.5*(ABS(D463/A463-Declarations!$B$25)+ABS(E463/A463-Declarations!$B$26)+ABS(F463/A463-Declarations!$B$27)+ABS(G463/A463-Declarations!$B$28)+ABS(H463/A463-Declarations!$B$29))</f>
        <v>0.0333333333333333</v>
      </c>
      <c r="J463" s="20" t="n">
        <v>0</v>
      </c>
      <c r="K463" s="26" t="n">
        <v>1</v>
      </c>
    </row>
    <row r="464" customFormat="false" ht="15" hidden="false" customHeight="false" outlineLevel="0" collapsed="false">
      <c r="A464" s="14" t="n">
        <v>120</v>
      </c>
      <c r="B464" s="14" t="n">
        <v>48</v>
      </c>
      <c r="C464" s="14" t="n">
        <f aca="false">Declarations!$B$47+1000*A464+B464</f>
        <v>1034048</v>
      </c>
      <c r="D464" s="26" t="n">
        <v>9</v>
      </c>
      <c r="E464" s="26" t="n">
        <v>18</v>
      </c>
      <c r="F464" s="26" t="n">
        <v>66</v>
      </c>
      <c r="G464" s="26" t="n">
        <v>23</v>
      </c>
      <c r="H464" s="26" t="n">
        <v>4</v>
      </c>
      <c r="I464" s="16" t="n">
        <f aca="false">0.5*(ABS(D464/A464-Declarations!$B$25)+ABS(E464/A464-Declarations!$B$26)+ABS(F464/A464-Declarations!$B$27)+ABS(G464/A464-Declarations!$B$28)+ABS(H464/A464-Declarations!$B$29))</f>
        <v>0.075</v>
      </c>
      <c r="J464" s="20" t="n">
        <v>0</v>
      </c>
      <c r="K464" s="26" t="n">
        <v>1</v>
      </c>
    </row>
    <row r="465" customFormat="false" ht="15" hidden="false" customHeight="false" outlineLevel="0" collapsed="false">
      <c r="A465" s="14" t="n">
        <v>120</v>
      </c>
      <c r="B465" s="14" t="n">
        <v>49</v>
      </c>
      <c r="C465" s="14" t="n">
        <f aca="false">Declarations!$B$47+1000*A465+B465</f>
        <v>1034049</v>
      </c>
      <c r="D465" s="26" t="n">
        <v>9</v>
      </c>
      <c r="E465" s="26" t="n">
        <v>24</v>
      </c>
      <c r="F465" s="26" t="n">
        <v>57</v>
      </c>
      <c r="G465" s="26" t="n">
        <v>27</v>
      </c>
      <c r="H465" s="26" t="n">
        <v>3</v>
      </c>
      <c r="I465" s="16" t="n">
        <f aca="false">0.5*(ABS(D465/A465-Declarations!$B$25)+ABS(E465/A465-Declarations!$B$26)+ABS(F465/A465-Declarations!$B$27)+ABS(G465/A465-Declarations!$B$28)+ABS(H465/A465-Declarations!$B$29))</f>
        <v>0.05</v>
      </c>
      <c r="J465" s="20" t="n">
        <v>0</v>
      </c>
      <c r="K465" s="26" t="n">
        <v>1</v>
      </c>
    </row>
    <row r="466" customFormat="false" ht="15" hidden="false" customHeight="false" outlineLevel="0" collapsed="false">
      <c r="A466" s="14" t="n">
        <v>120</v>
      </c>
      <c r="B466" s="14" t="n">
        <v>50</v>
      </c>
      <c r="C466" s="14" t="n">
        <f aca="false">Declarations!$B$47+1000*A466+B466</f>
        <v>1034050</v>
      </c>
      <c r="D466" s="26" t="n">
        <v>5</v>
      </c>
      <c r="E466" s="26" t="n">
        <v>20</v>
      </c>
      <c r="F466" s="26" t="n">
        <v>63</v>
      </c>
      <c r="G466" s="26" t="n">
        <v>26</v>
      </c>
      <c r="H466" s="26" t="n">
        <v>6</v>
      </c>
      <c r="I466" s="16" t="n">
        <f aca="false">0.5*(ABS(D466/A466-Declarations!$B$25)+ABS(E466/A466-Declarations!$B$26)+ABS(F466/A466-Declarations!$B$27)+ABS(G466/A466-Declarations!$B$28)+ABS(H466/A466-Declarations!$B$29))</f>
        <v>0.0416666666666667</v>
      </c>
      <c r="J466" s="20" t="n">
        <v>0</v>
      </c>
      <c r="K466" s="26" t="n">
        <v>1</v>
      </c>
    </row>
    <row r="467" customFormat="false" ht="15" hidden="false" customHeight="false" outlineLevel="0" collapsed="false">
      <c r="A467" s="14" t="n">
        <v>120</v>
      </c>
      <c r="B467" s="14" t="n">
        <v>51</v>
      </c>
      <c r="C467" s="14" t="n">
        <f aca="false">Declarations!$B$47+1000*A467+B467</f>
        <v>1034051</v>
      </c>
      <c r="D467" s="26" t="n">
        <v>7</v>
      </c>
      <c r="E467" s="26" t="n">
        <v>26</v>
      </c>
      <c r="F467" s="26" t="n">
        <v>52</v>
      </c>
      <c r="G467" s="26" t="n">
        <v>33</v>
      </c>
      <c r="H467" s="26" t="n">
        <v>2</v>
      </c>
      <c r="I467" s="16" t="n">
        <f aca="false">0.5*(ABS(D467/A467-Declarations!$B$25)+ABS(E467/A467-Declarations!$B$26)+ABS(F467/A467-Declarations!$B$27)+ABS(G467/A467-Declarations!$B$28)+ABS(H467/A467-Declarations!$B$29))</f>
        <v>0.1</v>
      </c>
      <c r="J467" s="20" t="n">
        <v>0</v>
      </c>
      <c r="K467" s="26" t="n">
        <v>1</v>
      </c>
    </row>
    <row r="468" customFormat="false" ht="15" hidden="false" customHeight="false" outlineLevel="0" collapsed="false">
      <c r="A468" s="14" t="n">
        <v>120</v>
      </c>
      <c r="B468" s="14" t="n">
        <v>52</v>
      </c>
      <c r="C468" s="14" t="n">
        <f aca="false">Declarations!$B$47+1000*A468+B468</f>
        <v>1034052</v>
      </c>
      <c r="D468" s="26" t="n">
        <v>6</v>
      </c>
      <c r="E468" s="26" t="n">
        <v>23</v>
      </c>
      <c r="F468" s="26" t="n">
        <v>56</v>
      </c>
      <c r="G468" s="26" t="n">
        <v>29</v>
      </c>
      <c r="H468" s="26" t="n">
        <v>6</v>
      </c>
      <c r="I468" s="16" t="n">
        <f aca="false">0.5*(ABS(D468/A468-Declarations!$B$25)+ABS(E468/A468-Declarations!$B$26)+ABS(F468/A468-Declarations!$B$27)+ABS(G468/A468-Declarations!$B$28)+ABS(H468/A468-Declarations!$B$29))</f>
        <v>0.0416666666666667</v>
      </c>
      <c r="J468" s="20" t="n">
        <v>0</v>
      </c>
      <c r="K468" s="26" t="n">
        <v>1</v>
      </c>
    </row>
    <row r="469" customFormat="false" ht="15" hidden="false" customHeight="false" outlineLevel="0" collapsed="false">
      <c r="A469" s="14" t="n">
        <v>120</v>
      </c>
      <c r="B469" s="14" t="n">
        <v>53</v>
      </c>
      <c r="C469" s="14" t="n">
        <f aca="false">Declarations!$B$47+1000*A469+B469</f>
        <v>1034053</v>
      </c>
      <c r="D469" s="26" t="n">
        <v>2</v>
      </c>
      <c r="E469" s="26" t="n">
        <v>19</v>
      </c>
      <c r="F469" s="26" t="n">
        <v>70</v>
      </c>
      <c r="G469" s="26" t="n">
        <v>16</v>
      </c>
      <c r="H469" s="26" t="n">
        <v>13</v>
      </c>
      <c r="I469" s="16" t="n">
        <f aca="false">0.5*(ABS(D469/A469-Declarations!$B$25)+ABS(E469/A469-Declarations!$B$26)+ABS(F469/A469-Declarations!$B$27)+ABS(G469/A469-Declarations!$B$28)+ABS(H469/A469-Declarations!$B$29))</f>
        <v>0.141666666666667</v>
      </c>
      <c r="J469" s="20" t="n">
        <v>0.683019168813217</v>
      </c>
      <c r="K469" s="26" t="n">
        <v>0</v>
      </c>
    </row>
    <row r="470" customFormat="false" ht="15" hidden="false" customHeight="false" outlineLevel="0" collapsed="false">
      <c r="A470" s="14" t="n">
        <v>120</v>
      </c>
      <c r="B470" s="14" t="n">
        <v>54</v>
      </c>
      <c r="C470" s="14" t="n">
        <f aca="false">Declarations!$B$47+1000*A470+B470</f>
        <v>1034054</v>
      </c>
      <c r="D470" s="26" t="n">
        <v>6</v>
      </c>
      <c r="E470" s="26" t="n">
        <v>30</v>
      </c>
      <c r="F470" s="26" t="n">
        <v>60</v>
      </c>
      <c r="G470" s="26" t="n">
        <v>18</v>
      </c>
      <c r="H470" s="26" t="n">
        <v>6</v>
      </c>
      <c r="I470" s="16" t="n">
        <f aca="false">0.5*(ABS(D470/A470-Declarations!$B$25)+ABS(E470/A470-Declarations!$B$26)+ABS(F470/A470-Declarations!$B$27)+ABS(G470/A470-Declarations!$B$28)+ABS(H470/A470-Declarations!$B$29))</f>
        <v>0.05</v>
      </c>
      <c r="J470" s="20" t="n">
        <v>0</v>
      </c>
      <c r="K470" s="26" t="n">
        <v>1</v>
      </c>
    </row>
    <row r="471" customFormat="false" ht="15" hidden="false" customHeight="false" outlineLevel="0" collapsed="false">
      <c r="A471" s="14" t="n">
        <v>120</v>
      </c>
      <c r="B471" s="14" t="n">
        <v>55</v>
      </c>
      <c r="C471" s="14" t="n">
        <f aca="false">Declarations!$B$47+1000*A471+B471</f>
        <v>1034055</v>
      </c>
      <c r="D471" s="26" t="n">
        <v>5</v>
      </c>
      <c r="E471" s="26" t="n">
        <v>17</v>
      </c>
      <c r="F471" s="26" t="n">
        <v>63</v>
      </c>
      <c r="G471" s="26" t="n">
        <v>25</v>
      </c>
      <c r="H471" s="26" t="n">
        <v>10</v>
      </c>
      <c r="I471" s="16" t="n">
        <f aca="false">0.5*(ABS(D471/A471-Declarations!$B$25)+ABS(E471/A471-Declarations!$B$26)+ABS(F471/A471-Declarations!$B$27)+ABS(G471/A471-Declarations!$B$28)+ABS(H471/A471-Declarations!$B$29))</f>
        <v>0.0666666666666667</v>
      </c>
      <c r="J471" s="20" t="n">
        <v>0.175883920405738</v>
      </c>
      <c r="K471" s="26" t="n">
        <v>0</v>
      </c>
    </row>
    <row r="472" customFormat="false" ht="15" hidden="false" customHeight="false" outlineLevel="0" collapsed="false">
      <c r="A472" s="14" t="n">
        <v>120</v>
      </c>
      <c r="B472" s="14" t="n">
        <v>56</v>
      </c>
      <c r="C472" s="14" t="n">
        <f aca="false">Declarations!$B$47+1000*A472+B472</f>
        <v>1034056</v>
      </c>
      <c r="D472" s="26" t="n">
        <v>5</v>
      </c>
      <c r="E472" s="26" t="n">
        <v>21</v>
      </c>
      <c r="F472" s="26" t="n">
        <v>70</v>
      </c>
      <c r="G472" s="26" t="n">
        <v>19</v>
      </c>
      <c r="H472" s="26" t="n">
        <v>5</v>
      </c>
      <c r="I472" s="16" t="n">
        <f aca="false">0.5*(ABS(D472/A472-Declarations!$B$25)+ABS(E472/A472-Declarations!$B$26)+ABS(F472/A472-Declarations!$B$27)+ABS(G472/A472-Declarations!$B$28)+ABS(H472/A472-Declarations!$B$29))</f>
        <v>0.0833333333333334</v>
      </c>
      <c r="J472" s="20" t="n">
        <v>0</v>
      </c>
      <c r="K472" s="26" t="n">
        <v>1</v>
      </c>
    </row>
    <row r="473" customFormat="false" ht="15" hidden="false" customHeight="false" outlineLevel="0" collapsed="false">
      <c r="A473" s="14" t="n">
        <v>120</v>
      </c>
      <c r="B473" s="14" t="n">
        <v>57</v>
      </c>
      <c r="C473" s="14" t="n">
        <f aca="false">Declarations!$B$47+1000*A473+B473</f>
        <v>1034057</v>
      </c>
      <c r="D473" s="26" t="n">
        <v>3</v>
      </c>
      <c r="E473" s="26" t="n">
        <v>27</v>
      </c>
      <c r="F473" s="26" t="n">
        <v>55</v>
      </c>
      <c r="G473" s="26" t="n">
        <v>31</v>
      </c>
      <c r="H473" s="26" t="n">
        <v>4</v>
      </c>
      <c r="I473" s="16" t="n">
        <f aca="false">0.5*(ABS(D473/A473-Declarations!$B$25)+ABS(E473/A473-Declarations!$B$26)+ABS(F473/A473-Declarations!$B$27)+ABS(G473/A473-Declarations!$B$28)+ABS(H473/A473-Declarations!$B$29))</f>
        <v>0.0833333333333333</v>
      </c>
      <c r="J473" s="20" t="n">
        <v>0</v>
      </c>
      <c r="K473" s="26" t="n">
        <v>1</v>
      </c>
    </row>
    <row r="474" customFormat="false" ht="15" hidden="false" customHeight="false" outlineLevel="0" collapsed="false">
      <c r="A474" s="14" t="n">
        <v>120</v>
      </c>
      <c r="B474" s="14" t="n">
        <v>58</v>
      </c>
      <c r="C474" s="14" t="n">
        <f aca="false">Declarations!$B$47+1000*A474+B474</f>
        <v>1034058</v>
      </c>
      <c r="D474" s="26" t="n">
        <v>9</v>
      </c>
      <c r="E474" s="26" t="n">
        <v>19</v>
      </c>
      <c r="F474" s="26" t="n">
        <v>57</v>
      </c>
      <c r="G474" s="26" t="n">
        <v>33</v>
      </c>
      <c r="H474" s="26" t="n">
        <v>2</v>
      </c>
      <c r="I474" s="16" t="n">
        <f aca="false">0.5*(ABS(D474/A474-Declarations!$B$25)+ABS(E474/A474-Declarations!$B$26)+ABS(F474/A474-Declarations!$B$27)+ABS(G474/A474-Declarations!$B$28)+ABS(H474/A474-Declarations!$B$29))</f>
        <v>0.1</v>
      </c>
      <c r="J474" s="20" t="n">
        <v>0</v>
      </c>
      <c r="K474" s="26" t="n">
        <v>1</v>
      </c>
    </row>
    <row r="475" customFormat="false" ht="15" hidden="false" customHeight="false" outlineLevel="0" collapsed="false">
      <c r="A475" s="14" t="n">
        <v>120</v>
      </c>
      <c r="B475" s="14" t="n">
        <v>59</v>
      </c>
      <c r="C475" s="14" t="n">
        <f aca="false">Declarations!$B$47+1000*A475+B475</f>
        <v>1034059</v>
      </c>
      <c r="D475" s="26" t="n">
        <v>5</v>
      </c>
      <c r="E475" s="26" t="n">
        <v>25</v>
      </c>
      <c r="F475" s="26" t="n">
        <v>60</v>
      </c>
      <c r="G475" s="26" t="n">
        <v>27</v>
      </c>
      <c r="H475" s="26" t="n">
        <v>3</v>
      </c>
      <c r="I475" s="16" t="n">
        <f aca="false">0.5*(ABS(D475/A475-Declarations!$B$25)+ABS(E475/A475-Declarations!$B$26)+ABS(F475/A475-Declarations!$B$27)+ABS(G475/A475-Declarations!$B$28)+ABS(H475/A475-Declarations!$B$29))</f>
        <v>0.0333333333333333</v>
      </c>
      <c r="J475" s="20" t="n">
        <v>0</v>
      </c>
      <c r="K475" s="26" t="n">
        <v>1</v>
      </c>
    </row>
    <row r="476" customFormat="false" ht="15" hidden="false" customHeight="false" outlineLevel="0" collapsed="false">
      <c r="A476" s="14" t="n">
        <v>120</v>
      </c>
      <c r="B476" s="14" t="n">
        <v>60</v>
      </c>
      <c r="C476" s="14" t="n">
        <f aca="false">Declarations!$B$47+1000*A476+B476</f>
        <v>1034060</v>
      </c>
      <c r="D476" s="26" t="n">
        <v>5</v>
      </c>
      <c r="E476" s="26" t="n">
        <v>17</v>
      </c>
      <c r="F476" s="26" t="n">
        <v>70</v>
      </c>
      <c r="G476" s="26" t="n">
        <v>25</v>
      </c>
      <c r="H476" s="26" t="n">
        <v>3</v>
      </c>
      <c r="I476" s="16" t="n">
        <f aca="false">0.5*(ABS(D476/A476-Declarations!$B$25)+ABS(E476/A476-Declarations!$B$26)+ABS(F476/A476-Declarations!$B$27)+ABS(G476/A476-Declarations!$B$28)+ABS(H476/A476-Declarations!$B$29))</f>
        <v>0.0916666666666667</v>
      </c>
      <c r="J476" s="20" t="n">
        <v>0.115817627028463</v>
      </c>
      <c r="K476" s="26" t="n">
        <v>0</v>
      </c>
    </row>
    <row r="477" customFormat="false" ht="15" hidden="false" customHeight="false" outlineLevel="0" collapsed="false">
      <c r="A477" s="14" t="n">
        <v>120</v>
      </c>
      <c r="B477" s="14" t="n">
        <v>61</v>
      </c>
      <c r="C477" s="14" t="n">
        <f aca="false">Declarations!$B$47+1000*A477+B477</f>
        <v>1034061</v>
      </c>
      <c r="D477" s="26" t="n">
        <v>5</v>
      </c>
      <c r="E477" s="26" t="n">
        <v>26</v>
      </c>
      <c r="F477" s="26" t="n">
        <v>57</v>
      </c>
      <c r="G477" s="26" t="n">
        <v>25</v>
      </c>
      <c r="H477" s="26" t="n">
        <v>7</v>
      </c>
      <c r="I477" s="16" t="n">
        <f aca="false">0.5*(ABS(D477/A477-Declarations!$B$25)+ABS(E477/A477-Declarations!$B$26)+ABS(F477/A477-Declarations!$B$27)+ABS(G477/A477-Declarations!$B$28)+ABS(H477/A477-Declarations!$B$29))</f>
        <v>0.0333333333333333</v>
      </c>
      <c r="J477" s="20" t="n">
        <v>0</v>
      </c>
      <c r="K477" s="26" t="n">
        <v>1</v>
      </c>
    </row>
    <row r="478" customFormat="false" ht="15" hidden="false" customHeight="false" outlineLevel="0" collapsed="false">
      <c r="A478" s="14" t="n">
        <v>120</v>
      </c>
      <c r="B478" s="14" t="n">
        <v>62</v>
      </c>
      <c r="C478" s="14" t="n">
        <f aca="false">Declarations!$B$47+1000*A478+B478</f>
        <v>1034062</v>
      </c>
      <c r="D478" s="26" t="n">
        <v>4</v>
      </c>
      <c r="E478" s="26" t="n">
        <v>21</v>
      </c>
      <c r="F478" s="26" t="n">
        <v>66</v>
      </c>
      <c r="G478" s="26" t="n">
        <v>23</v>
      </c>
      <c r="H478" s="26" t="n">
        <v>6</v>
      </c>
      <c r="I478" s="16" t="n">
        <f aca="false">0.5*(ABS(D478/A478-Declarations!$B$25)+ABS(E478/A478-Declarations!$B$26)+ABS(F478/A478-Declarations!$B$27)+ABS(G478/A478-Declarations!$B$28)+ABS(H478/A478-Declarations!$B$29))</f>
        <v>0.05</v>
      </c>
      <c r="J478" s="20" t="n">
        <v>0.00281729995887758</v>
      </c>
      <c r="K478" s="26" t="n">
        <v>0</v>
      </c>
    </row>
    <row r="479" customFormat="false" ht="15" hidden="false" customHeight="false" outlineLevel="0" collapsed="false">
      <c r="A479" s="14" t="n">
        <v>120</v>
      </c>
      <c r="B479" s="14" t="n">
        <v>63</v>
      </c>
      <c r="C479" s="14" t="n">
        <f aca="false">Declarations!$B$47+1000*A479+B479</f>
        <v>1034063</v>
      </c>
      <c r="D479" s="26" t="n">
        <v>10</v>
      </c>
      <c r="E479" s="26" t="n">
        <v>32</v>
      </c>
      <c r="F479" s="26" t="n">
        <v>47</v>
      </c>
      <c r="G479" s="26" t="n">
        <v>27</v>
      </c>
      <c r="H479" s="26" t="n">
        <v>4</v>
      </c>
      <c r="I479" s="16" t="n">
        <f aca="false">0.5*(ABS(D479/A479-Declarations!$B$25)+ABS(E479/A479-Declarations!$B$26)+ABS(F479/A479-Declarations!$B$27)+ABS(G479/A479-Declarations!$B$28)+ABS(H479/A479-Declarations!$B$29))</f>
        <v>0.125</v>
      </c>
      <c r="J479" s="20" t="n">
        <v>0</v>
      </c>
      <c r="K479" s="26" t="n">
        <v>1</v>
      </c>
    </row>
    <row r="480" customFormat="false" ht="15" hidden="false" customHeight="false" outlineLevel="0" collapsed="false">
      <c r="A480" s="14" t="n">
        <v>120</v>
      </c>
      <c r="B480" s="14" t="n">
        <v>64</v>
      </c>
      <c r="C480" s="14" t="n">
        <f aca="false">Declarations!$B$47+1000*A480+B480</f>
        <v>1034064</v>
      </c>
      <c r="D480" s="26" t="n">
        <v>9</v>
      </c>
      <c r="E480" s="26" t="n">
        <v>26</v>
      </c>
      <c r="F480" s="26" t="n">
        <v>64</v>
      </c>
      <c r="G480" s="26" t="n">
        <v>16</v>
      </c>
      <c r="H480" s="26" t="n">
        <v>5</v>
      </c>
      <c r="I480" s="16" t="n">
        <f aca="false">0.5*(ABS(D480/A480-Declarations!$B$25)+ABS(E480/A480-Declarations!$B$26)+ABS(F480/A480-Declarations!$B$27)+ABS(G480/A480-Declarations!$B$28)+ABS(H480/A480-Declarations!$B$29))</f>
        <v>0.075</v>
      </c>
      <c r="J480" s="20" t="n">
        <v>0</v>
      </c>
      <c r="K480" s="26" t="n">
        <v>1</v>
      </c>
    </row>
    <row r="481" customFormat="false" ht="15" hidden="false" customHeight="false" outlineLevel="0" collapsed="false">
      <c r="A481" s="14" t="n">
        <v>120</v>
      </c>
      <c r="B481" s="14" t="n">
        <v>65</v>
      </c>
      <c r="C481" s="14" t="n">
        <f aca="false">Declarations!$B$47+1000*A481+B481</f>
        <v>1034065</v>
      </c>
      <c r="D481" s="26" t="n">
        <v>7</v>
      </c>
      <c r="E481" s="26" t="n">
        <v>23</v>
      </c>
      <c r="F481" s="26" t="n">
        <v>62</v>
      </c>
      <c r="G481" s="26" t="n">
        <v>26</v>
      </c>
      <c r="H481" s="26" t="n">
        <v>2</v>
      </c>
      <c r="I481" s="16" t="n">
        <f aca="false">0.5*(ABS(D481/A481-Declarations!$B$25)+ABS(E481/A481-Declarations!$B$26)+ABS(F481/A481-Declarations!$B$27)+ABS(G481/A481-Declarations!$B$28)+ABS(H481/A481-Declarations!$B$29))</f>
        <v>0.0416666666666667</v>
      </c>
      <c r="J481" s="20" t="n">
        <v>0</v>
      </c>
      <c r="K481" s="26" t="n">
        <v>1</v>
      </c>
    </row>
    <row r="482" customFormat="false" ht="15" hidden="false" customHeight="false" outlineLevel="0" collapsed="false">
      <c r="A482" s="14" t="n">
        <v>120</v>
      </c>
      <c r="B482" s="14" t="n">
        <v>66</v>
      </c>
      <c r="C482" s="14" t="n">
        <f aca="false">Declarations!$B$47+1000*A482+B482</f>
        <v>1034066</v>
      </c>
      <c r="D482" s="26" t="n">
        <v>4</v>
      </c>
      <c r="E482" s="26" t="n">
        <v>27</v>
      </c>
      <c r="F482" s="26" t="n">
        <v>59</v>
      </c>
      <c r="G482" s="26" t="n">
        <v>25</v>
      </c>
      <c r="H482" s="26" t="n">
        <v>5</v>
      </c>
      <c r="I482" s="16" t="n">
        <f aca="false">0.5*(ABS(D482/A482-Declarations!$B$25)+ABS(E482/A482-Declarations!$B$26)+ABS(F482/A482-Declarations!$B$27)+ABS(G482/A482-Declarations!$B$28)+ABS(H482/A482-Declarations!$B$29))</f>
        <v>0.0333333333333334</v>
      </c>
      <c r="J482" s="20" t="n">
        <v>0</v>
      </c>
      <c r="K482" s="26" t="n">
        <v>1</v>
      </c>
    </row>
    <row r="483" customFormat="false" ht="15" hidden="false" customHeight="false" outlineLevel="0" collapsed="false">
      <c r="A483" s="14" t="n">
        <v>120</v>
      </c>
      <c r="B483" s="14" t="n">
        <v>67</v>
      </c>
      <c r="C483" s="14" t="n">
        <f aca="false">Declarations!$B$47+1000*A483+B483</f>
        <v>1034067</v>
      </c>
      <c r="D483" s="26" t="n">
        <v>9</v>
      </c>
      <c r="E483" s="26" t="n">
        <v>29</v>
      </c>
      <c r="F483" s="26" t="n">
        <v>60</v>
      </c>
      <c r="G483" s="26" t="n">
        <v>19</v>
      </c>
      <c r="H483" s="26" t="n">
        <v>3</v>
      </c>
      <c r="I483" s="16" t="n">
        <f aca="false">0.5*(ABS(D483/A483-Declarations!$B$25)+ABS(E483/A483-Declarations!$B$26)+ABS(F483/A483-Declarations!$B$27)+ABS(G483/A483-Declarations!$B$28)+ABS(H483/A483-Declarations!$B$29))</f>
        <v>0.0666666666666667</v>
      </c>
      <c r="J483" s="20" t="n">
        <v>0</v>
      </c>
      <c r="K483" s="26" t="n">
        <v>1</v>
      </c>
    </row>
    <row r="484" customFormat="false" ht="15" hidden="false" customHeight="false" outlineLevel="0" collapsed="false">
      <c r="A484" s="14" t="n">
        <v>120</v>
      </c>
      <c r="B484" s="14" t="n">
        <v>68</v>
      </c>
      <c r="C484" s="14" t="n">
        <f aca="false">Declarations!$B$47+1000*A484+B484</f>
        <v>1034068</v>
      </c>
      <c r="D484" s="26" t="n">
        <v>6</v>
      </c>
      <c r="E484" s="26" t="n">
        <v>25</v>
      </c>
      <c r="F484" s="26" t="n">
        <v>62</v>
      </c>
      <c r="G484" s="26" t="n">
        <v>22</v>
      </c>
      <c r="H484" s="26" t="n">
        <v>5</v>
      </c>
      <c r="I484" s="16" t="n">
        <f aca="false">0.5*(ABS(D484/A484-Declarations!$B$25)+ABS(E484/A484-Declarations!$B$26)+ABS(F484/A484-Declarations!$B$27)+ABS(G484/A484-Declarations!$B$28)+ABS(H484/A484-Declarations!$B$29))</f>
        <v>0.025</v>
      </c>
      <c r="J484" s="20" t="n">
        <v>0</v>
      </c>
      <c r="K484" s="26" t="n">
        <v>1</v>
      </c>
    </row>
    <row r="485" customFormat="false" ht="15" hidden="false" customHeight="false" outlineLevel="0" collapsed="false">
      <c r="A485" s="14" t="n">
        <v>120</v>
      </c>
      <c r="B485" s="14" t="n">
        <v>69</v>
      </c>
      <c r="C485" s="14" t="n">
        <f aca="false">Declarations!$B$47+1000*A485+B485</f>
        <v>1034069</v>
      </c>
      <c r="D485" s="26" t="n">
        <v>5</v>
      </c>
      <c r="E485" s="26" t="n">
        <v>25</v>
      </c>
      <c r="F485" s="26" t="n">
        <v>56</v>
      </c>
      <c r="G485" s="26" t="n">
        <v>27</v>
      </c>
      <c r="H485" s="26" t="n">
        <v>7</v>
      </c>
      <c r="I485" s="16" t="n">
        <f aca="false">0.5*(ABS(D485/A485-Declarations!$B$25)+ABS(E485/A485-Declarations!$B$26)+ABS(F485/A485-Declarations!$B$27)+ABS(G485/A485-Declarations!$B$28)+ABS(H485/A485-Declarations!$B$29))</f>
        <v>0.0416666666666667</v>
      </c>
      <c r="J485" s="20" t="n">
        <v>0</v>
      </c>
      <c r="K485" s="26" t="n">
        <v>1</v>
      </c>
    </row>
    <row r="486" customFormat="false" ht="15" hidden="false" customHeight="false" outlineLevel="0" collapsed="false">
      <c r="A486" s="14" t="n">
        <v>120</v>
      </c>
      <c r="B486" s="14" t="n">
        <v>70</v>
      </c>
      <c r="C486" s="14" t="n">
        <f aca="false">Declarations!$B$47+1000*A486+B486</f>
        <v>1034070</v>
      </c>
      <c r="D486" s="26" t="n">
        <v>4</v>
      </c>
      <c r="E486" s="26" t="n">
        <v>18</v>
      </c>
      <c r="F486" s="26" t="n">
        <v>61</v>
      </c>
      <c r="G486" s="26" t="n">
        <v>33</v>
      </c>
      <c r="H486" s="26" t="n">
        <v>4</v>
      </c>
      <c r="I486" s="16" t="n">
        <f aca="false">0.5*(ABS(D486/A486-Declarations!$B$25)+ABS(E486/A486-Declarations!$B$26)+ABS(F486/A486-Declarations!$B$27)+ABS(G486/A486-Declarations!$B$28)+ABS(H486/A486-Declarations!$B$29))</f>
        <v>0.0833333333333333</v>
      </c>
      <c r="J486" s="20" t="n">
        <v>0.43736025479447</v>
      </c>
      <c r="K486" s="26" t="n">
        <v>0</v>
      </c>
    </row>
    <row r="487" customFormat="false" ht="15" hidden="false" customHeight="false" outlineLevel="0" collapsed="false">
      <c r="A487" s="14" t="n">
        <v>120</v>
      </c>
      <c r="B487" s="14" t="n">
        <v>71</v>
      </c>
      <c r="C487" s="14" t="n">
        <f aca="false">Declarations!$B$47+1000*A487+B487</f>
        <v>1034071</v>
      </c>
      <c r="D487" s="26" t="n">
        <v>6</v>
      </c>
      <c r="E487" s="26" t="n">
        <v>26</v>
      </c>
      <c r="F487" s="26" t="n">
        <v>52</v>
      </c>
      <c r="G487" s="26" t="n">
        <v>30</v>
      </c>
      <c r="H487" s="26" t="n">
        <v>6</v>
      </c>
      <c r="I487" s="16" t="n">
        <f aca="false">0.5*(ABS(D487/A487-Declarations!$B$25)+ABS(E487/A487-Declarations!$B$26)+ABS(F487/A487-Declarations!$B$27)+ABS(G487/A487-Declarations!$B$28)+ABS(H487/A487-Declarations!$B$29))</f>
        <v>0.0666666666666667</v>
      </c>
      <c r="J487" s="20" t="n">
        <v>0</v>
      </c>
      <c r="K487" s="26" t="n">
        <v>1</v>
      </c>
    </row>
    <row r="488" customFormat="false" ht="15" hidden="false" customHeight="false" outlineLevel="0" collapsed="false">
      <c r="A488" s="14" t="n">
        <v>120</v>
      </c>
      <c r="B488" s="14" t="n">
        <v>72</v>
      </c>
      <c r="C488" s="14" t="n">
        <f aca="false">Declarations!$B$47+1000*A488+B488</f>
        <v>1034072</v>
      </c>
      <c r="D488" s="26" t="n">
        <v>3</v>
      </c>
      <c r="E488" s="26" t="n">
        <v>25</v>
      </c>
      <c r="F488" s="26" t="n">
        <v>55</v>
      </c>
      <c r="G488" s="26" t="n">
        <v>28</v>
      </c>
      <c r="H488" s="26" t="n">
        <v>9</v>
      </c>
      <c r="I488" s="16" t="n">
        <f aca="false">0.5*(ABS(D488/A488-Declarations!$B$25)+ABS(E488/A488-Declarations!$B$26)+ABS(F488/A488-Declarations!$B$27)+ABS(G488/A488-Declarations!$B$28)+ABS(H488/A488-Declarations!$B$29))</f>
        <v>0.0666666666666667</v>
      </c>
      <c r="J488" s="20" t="n">
        <v>0</v>
      </c>
      <c r="K488" s="26" t="n">
        <v>1</v>
      </c>
    </row>
    <row r="489" customFormat="false" ht="15" hidden="false" customHeight="false" outlineLevel="0" collapsed="false">
      <c r="A489" s="14" t="n">
        <v>120</v>
      </c>
      <c r="B489" s="14" t="n">
        <v>73</v>
      </c>
      <c r="C489" s="14" t="n">
        <f aca="false">Declarations!$B$47+1000*A489+B489</f>
        <v>1034073</v>
      </c>
      <c r="D489" s="26" t="n">
        <v>4</v>
      </c>
      <c r="E489" s="26" t="n">
        <v>24</v>
      </c>
      <c r="F489" s="26" t="n">
        <v>64</v>
      </c>
      <c r="G489" s="26" t="n">
        <v>24</v>
      </c>
      <c r="H489" s="26" t="n">
        <v>4</v>
      </c>
      <c r="I489" s="16" t="n">
        <f aca="false">0.5*(ABS(D489/A489-Declarations!$B$25)+ABS(E489/A489-Declarations!$B$26)+ABS(F489/A489-Declarations!$B$27)+ABS(G489/A489-Declarations!$B$28)+ABS(H489/A489-Declarations!$B$29))</f>
        <v>0.0333333333333333</v>
      </c>
      <c r="J489" s="20" t="n">
        <v>0</v>
      </c>
      <c r="K489" s="26" t="n">
        <v>1</v>
      </c>
    </row>
    <row r="490" customFormat="false" ht="15" hidden="false" customHeight="false" outlineLevel="0" collapsed="false">
      <c r="A490" s="14" t="n">
        <v>120</v>
      </c>
      <c r="B490" s="14" t="n">
        <v>74</v>
      </c>
      <c r="C490" s="14" t="n">
        <f aca="false">Declarations!$B$47+1000*A490+B490</f>
        <v>1034074</v>
      </c>
      <c r="D490" s="26" t="n">
        <v>7</v>
      </c>
      <c r="E490" s="26" t="n">
        <v>29</v>
      </c>
      <c r="F490" s="26" t="n">
        <v>48</v>
      </c>
      <c r="G490" s="26" t="n">
        <v>28</v>
      </c>
      <c r="H490" s="26" t="n">
        <v>8</v>
      </c>
      <c r="I490" s="16" t="n">
        <f aca="false">0.5*(ABS(D490/A490-Declarations!$B$25)+ABS(E490/A490-Declarations!$B$26)+ABS(F490/A490-Declarations!$B$27)+ABS(G490/A490-Declarations!$B$28)+ABS(H490/A490-Declarations!$B$29))</f>
        <v>0.1</v>
      </c>
      <c r="J490" s="20" t="n">
        <v>0</v>
      </c>
      <c r="K490" s="26" t="n">
        <v>1</v>
      </c>
    </row>
    <row r="491" customFormat="false" ht="15" hidden="false" customHeight="false" outlineLevel="0" collapsed="false">
      <c r="A491" s="14" t="n">
        <v>120</v>
      </c>
      <c r="B491" s="14" t="n">
        <v>75</v>
      </c>
      <c r="C491" s="14" t="n">
        <f aca="false">Declarations!$B$47+1000*A491+B491</f>
        <v>1034075</v>
      </c>
      <c r="D491" s="26" t="n">
        <v>5</v>
      </c>
      <c r="E491" s="26" t="n">
        <v>29</v>
      </c>
      <c r="F491" s="26" t="n">
        <v>58</v>
      </c>
      <c r="G491" s="26" t="n">
        <v>24</v>
      </c>
      <c r="H491" s="26" t="n">
        <v>4</v>
      </c>
      <c r="I491" s="16" t="n">
        <f aca="false">0.5*(ABS(D491/A491-Declarations!$B$25)+ABS(E491/A491-Declarations!$B$26)+ABS(F491/A491-Declarations!$B$27)+ABS(G491/A491-Declarations!$B$28)+ABS(H491/A491-Declarations!$B$29))</f>
        <v>0.0416666666666667</v>
      </c>
      <c r="J491" s="20" t="n">
        <v>0</v>
      </c>
      <c r="K491" s="26" t="n">
        <v>1</v>
      </c>
    </row>
    <row r="492" customFormat="false" ht="15" hidden="false" customHeight="false" outlineLevel="0" collapsed="false">
      <c r="A492" s="14" t="n">
        <v>120</v>
      </c>
      <c r="B492" s="14" t="n">
        <v>76</v>
      </c>
      <c r="C492" s="14" t="n">
        <f aca="false">Declarations!$B$47+1000*A492+B492</f>
        <v>1034076</v>
      </c>
      <c r="D492" s="26" t="n">
        <v>10</v>
      </c>
      <c r="E492" s="26" t="n">
        <v>22</v>
      </c>
      <c r="F492" s="26" t="n">
        <v>56</v>
      </c>
      <c r="G492" s="26" t="n">
        <v>25</v>
      </c>
      <c r="H492" s="26" t="n">
        <v>7</v>
      </c>
      <c r="I492" s="16" t="n">
        <f aca="false">0.5*(ABS(D492/A492-Declarations!$B$25)+ABS(E492/A492-Declarations!$B$26)+ABS(F492/A492-Declarations!$B$27)+ABS(G492/A492-Declarations!$B$28)+ABS(H492/A492-Declarations!$B$29))</f>
        <v>0.05</v>
      </c>
      <c r="J492" s="20" t="n">
        <v>0</v>
      </c>
      <c r="K492" s="26" t="n">
        <v>1</v>
      </c>
    </row>
    <row r="493" customFormat="false" ht="15" hidden="false" customHeight="false" outlineLevel="0" collapsed="false">
      <c r="A493" s="14" t="n">
        <v>120</v>
      </c>
      <c r="B493" s="14" t="n">
        <v>77</v>
      </c>
      <c r="C493" s="14" t="n">
        <f aca="false">Declarations!$B$47+1000*A493+B493</f>
        <v>1034077</v>
      </c>
      <c r="D493" s="26" t="n">
        <v>6</v>
      </c>
      <c r="E493" s="26" t="n">
        <v>25</v>
      </c>
      <c r="F493" s="26" t="n">
        <v>57</v>
      </c>
      <c r="G493" s="26" t="n">
        <v>29</v>
      </c>
      <c r="H493" s="26" t="n">
        <v>3</v>
      </c>
      <c r="I493" s="16" t="n">
        <f aca="false">0.5*(ABS(D493/A493-Declarations!$B$25)+ABS(E493/A493-Declarations!$B$26)+ABS(F493/A493-Declarations!$B$27)+ABS(G493/A493-Declarations!$B$28)+ABS(H493/A493-Declarations!$B$29))</f>
        <v>0.05</v>
      </c>
      <c r="J493" s="20" t="n">
        <v>0</v>
      </c>
      <c r="K493" s="26" t="n">
        <v>1</v>
      </c>
    </row>
    <row r="494" customFormat="false" ht="15" hidden="false" customHeight="false" outlineLevel="0" collapsed="false">
      <c r="A494" s="14" t="n">
        <v>120</v>
      </c>
      <c r="B494" s="14" t="n">
        <v>78</v>
      </c>
      <c r="C494" s="14" t="n">
        <f aca="false">Declarations!$B$47+1000*A494+B494</f>
        <v>1034078</v>
      </c>
      <c r="D494" s="26" t="n">
        <v>7</v>
      </c>
      <c r="E494" s="26" t="n">
        <v>25</v>
      </c>
      <c r="F494" s="26" t="n">
        <v>62</v>
      </c>
      <c r="G494" s="26" t="n">
        <v>24</v>
      </c>
      <c r="H494" s="26" t="n">
        <v>2</v>
      </c>
      <c r="I494" s="16" t="n">
        <f aca="false">0.5*(ABS(D494/A494-Declarations!$B$25)+ABS(E494/A494-Declarations!$B$26)+ABS(F494/A494-Declarations!$B$27)+ABS(G494/A494-Declarations!$B$28)+ABS(H494/A494-Declarations!$B$29))</f>
        <v>0.0333333333333334</v>
      </c>
      <c r="J494" s="20" t="n">
        <v>0</v>
      </c>
      <c r="K494" s="26" t="n">
        <v>1</v>
      </c>
    </row>
    <row r="495" customFormat="false" ht="15" hidden="false" customHeight="false" outlineLevel="0" collapsed="false">
      <c r="A495" s="14" t="n">
        <v>120</v>
      </c>
      <c r="B495" s="14" t="n">
        <v>79</v>
      </c>
      <c r="C495" s="14" t="n">
        <f aca="false">Declarations!$B$47+1000*A495+B495</f>
        <v>1034079</v>
      </c>
      <c r="D495" s="26" t="n">
        <v>5</v>
      </c>
      <c r="E495" s="26" t="n">
        <v>30</v>
      </c>
      <c r="F495" s="26" t="n">
        <v>52</v>
      </c>
      <c r="G495" s="26" t="n">
        <v>23</v>
      </c>
      <c r="H495" s="26" t="n">
        <v>10</v>
      </c>
      <c r="I495" s="16" t="n">
        <f aca="false">0.5*(ABS(D495/A495-Declarations!$B$25)+ABS(E495/A495-Declarations!$B$26)+ABS(F495/A495-Declarations!$B$27)+ABS(G495/A495-Declarations!$B$28)+ABS(H495/A495-Declarations!$B$29))</f>
        <v>0.0833333333333333</v>
      </c>
      <c r="J495" s="20" t="n">
        <v>0</v>
      </c>
      <c r="K495" s="26" t="n">
        <v>1</v>
      </c>
    </row>
    <row r="496" customFormat="false" ht="15" hidden="false" customHeight="false" outlineLevel="0" collapsed="false">
      <c r="A496" s="14" t="n">
        <v>120</v>
      </c>
      <c r="B496" s="14" t="n">
        <v>80</v>
      </c>
      <c r="C496" s="14" t="n">
        <f aca="false">Declarations!$B$47+1000*A496+B496</f>
        <v>1034080</v>
      </c>
      <c r="D496" s="26" t="n">
        <v>7</v>
      </c>
      <c r="E496" s="26" t="n">
        <v>22</v>
      </c>
      <c r="F496" s="26" t="n">
        <v>62</v>
      </c>
      <c r="G496" s="26" t="n">
        <v>22</v>
      </c>
      <c r="H496" s="26" t="n">
        <v>7</v>
      </c>
      <c r="I496" s="16" t="n">
        <f aca="false">0.5*(ABS(D496/A496-Declarations!$B$25)+ABS(E496/A496-Declarations!$B$26)+ABS(F496/A496-Declarations!$B$27)+ABS(G496/A496-Declarations!$B$28)+ABS(H496/A496-Declarations!$B$29))</f>
        <v>0.0333333333333334</v>
      </c>
      <c r="J496" s="20" t="n">
        <v>0</v>
      </c>
      <c r="K496" s="26" t="n">
        <v>1</v>
      </c>
    </row>
    <row r="497" customFormat="false" ht="15" hidden="false" customHeight="false" outlineLevel="0" collapsed="false">
      <c r="A497" s="14" t="n">
        <v>120</v>
      </c>
      <c r="B497" s="14" t="n">
        <v>81</v>
      </c>
      <c r="C497" s="14" t="n">
        <f aca="false">Declarations!$B$47+1000*A497+B497</f>
        <v>1034081</v>
      </c>
      <c r="D497" s="26" t="n">
        <v>6</v>
      </c>
      <c r="E497" s="26" t="n">
        <v>25</v>
      </c>
      <c r="F497" s="26" t="n">
        <v>59</v>
      </c>
      <c r="G497" s="26" t="n">
        <v>25</v>
      </c>
      <c r="H497" s="26" t="n">
        <v>5</v>
      </c>
      <c r="I497" s="16" t="n">
        <f aca="false">0.5*(ABS(D497/A497-Declarations!$B$25)+ABS(E497/A497-Declarations!$B$26)+ABS(F497/A497-Declarations!$B$27)+ABS(G497/A497-Declarations!$B$28)+ABS(H497/A497-Declarations!$B$29))</f>
        <v>0.0166666666666667</v>
      </c>
      <c r="J497" s="20" t="n">
        <v>0</v>
      </c>
      <c r="K497" s="26" t="n">
        <v>1</v>
      </c>
    </row>
    <row r="498" customFormat="false" ht="15" hidden="false" customHeight="false" outlineLevel="0" collapsed="false">
      <c r="A498" s="14" t="n">
        <v>120</v>
      </c>
      <c r="B498" s="14" t="n">
        <v>82</v>
      </c>
      <c r="C498" s="14" t="n">
        <f aca="false">Declarations!$B$47+1000*A498+B498</f>
        <v>1034082</v>
      </c>
      <c r="D498" s="26" t="n">
        <v>9</v>
      </c>
      <c r="E498" s="26" t="n">
        <v>25</v>
      </c>
      <c r="F498" s="26" t="n">
        <v>56</v>
      </c>
      <c r="G498" s="26" t="n">
        <v>24</v>
      </c>
      <c r="H498" s="26" t="n">
        <v>6</v>
      </c>
      <c r="I498" s="16" t="n">
        <f aca="false">0.5*(ABS(D498/A498-Declarations!$B$25)+ABS(E498/A498-Declarations!$B$26)+ABS(F498/A498-Declarations!$B$27)+ABS(G498/A498-Declarations!$B$28)+ABS(H498/A498-Declarations!$B$29))</f>
        <v>0.0333333333333333</v>
      </c>
      <c r="J498" s="20" t="n">
        <v>0</v>
      </c>
      <c r="K498" s="26" t="n">
        <v>1</v>
      </c>
    </row>
    <row r="499" customFormat="false" ht="15" hidden="false" customHeight="false" outlineLevel="0" collapsed="false">
      <c r="A499" s="14" t="n">
        <v>120</v>
      </c>
      <c r="B499" s="14" t="n">
        <v>83</v>
      </c>
      <c r="C499" s="14" t="n">
        <f aca="false">Declarations!$B$47+1000*A499+B499</f>
        <v>1034083</v>
      </c>
      <c r="D499" s="26" t="n">
        <v>8</v>
      </c>
      <c r="E499" s="26" t="n">
        <v>25</v>
      </c>
      <c r="F499" s="26" t="n">
        <v>53</v>
      </c>
      <c r="G499" s="26" t="n">
        <v>26</v>
      </c>
      <c r="H499" s="26" t="n">
        <v>8</v>
      </c>
      <c r="I499" s="16" t="n">
        <f aca="false">0.5*(ABS(D499/A499-Declarations!$B$25)+ABS(E499/A499-Declarations!$B$26)+ABS(F499/A499-Declarations!$B$27)+ABS(G499/A499-Declarations!$B$28)+ABS(H499/A499-Declarations!$B$29))</f>
        <v>0.0583333333333333</v>
      </c>
      <c r="J499" s="20" t="n">
        <v>0</v>
      </c>
      <c r="K499" s="26" t="n">
        <v>1</v>
      </c>
    </row>
    <row r="500" customFormat="false" ht="15" hidden="false" customHeight="false" outlineLevel="0" collapsed="false">
      <c r="A500" s="14" t="n">
        <v>120</v>
      </c>
      <c r="B500" s="14" t="n">
        <v>84</v>
      </c>
      <c r="C500" s="14" t="n">
        <f aca="false">Declarations!$B$47+1000*A500+B500</f>
        <v>1034084</v>
      </c>
      <c r="D500" s="26" t="n">
        <v>5</v>
      </c>
      <c r="E500" s="26" t="n">
        <v>26</v>
      </c>
      <c r="F500" s="26" t="n">
        <v>59</v>
      </c>
      <c r="G500" s="26" t="n">
        <v>24</v>
      </c>
      <c r="H500" s="26" t="n">
        <v>6</v>
      </c>
      <c r="I500" s="16" t="n">
        <f aca="false">0.5*(ABS(D500/A500-Declarations!$B$25)+ABS(E500/A500-Declarations!$B$26)+ABS(F500/A500-Declarations!$B$27)+ABS(G500/A500-Declarations!$B$28)+ABS(H500/A500-Declarations!$B$29))</f>
        <v>0.0166666666666667</v>
      </c>
      <c r="J500" s="20" t="n">
        <v>0</v>
      </c>
      <c r="K500" s="26" t="n">
        <v>1</v>
      </c>
    </row>
    <row r="501" customFormat="false" ht="15" hidden="false" customHeight="false" outlineLevel="0" collapsed="false">
      <c r="A501" s="14" t="n">
        <v>120</v>
      </c>
      <c r="B501" s="14" t="n">
        <v>85</v>
      </c>
      <c r="C501" s="14" t="n">
        <f aca="false">Declarations!$B$47+1000*A501+B501</f>
        <v>1034085</v>
      </c>
      <c r="D501" s="26" t="n">
        <v>5</v>
      </c>
      <c r="E501" s="26" t="n">
        <v>22</v>
      </c>
      <c r="F501" s="26" t="n">
        <v>60</v>
      </c>
      <c r="G501" s="26" t="n">
        <v>28</v>
      </c>
      <c r="H501" s="26" t="n">
        <v>5</v>
      </c>
      <c r="I501" s="16" t="n">
        <f aca="false">0.5*(ABS(D501/A501-Declarations!$B$25)+ABS(E501/A501-Declarations!$B$26)+ABS(F501/A501-Declarations!$B$27)+ABS(G501/A501-Declarations!$B$28)+ABS(H501/A501-Declarations!$B$29))</f>
        <v>0.0333333333333334</v>
      </c>
      <c r="J501" s="20" t="n">
        <v>0</v>
      </c>
      <c r="K501" s="26" t="n">
        <v>1</v>
      </c>
    </row>
    <row r="502" customFormat="false" ht="15" hidden="false" customHeight="false" outlineLevel="0" collapsed="false">
      <c r="A502" s="14" t="n">
        <v>120</v>
      </c>
      <c r="B502" s="14" t="n">
        <v>86</v>
      </c>
      <c r="C502" s="14" t="n">
        <f aca="false">Declarations!$B$47+1000*A502+B502</f>
        <v>1034086</v>
      </c>
      <c r="D502" s="26" t="n">
        <v>3</v>
      </c>
      <c r="E502" s="26" t="n">
        <v>26</v>
      </c>
      <c r="F502" s="26" t="n">
        <v>57</v>
      </c>
      <c r="G502" s="26" t="n">
        <v>27</v>
      </c>
      <c r="H502" s="26" t="n">
        <v>7</v>
      </c>
      <c r="I502" s="16" t="n">
        <f aca="false">0.5*(ABS(D502/A502-Declarations!$B$25)+ABS(E502/A502-Declarations!$B$26)+ABS(F502/A502-Declarations!$B$27)+ABS(G502/A502-Declarations!$B$28)+ABS(H502/A502-Declarations!$B$29))</f>
        <v>0.05</v>
      </c>
      <c r="J502" s="20" t="n">
        <v>0</v>
      </c>
      <c r="K502" s="26" t="n">
        <v>1</v>
      </c>
    </row>
    <row r="503" customFormat="false" ht="15" hidden="false" customHeight="false" outlineLevel="0" collapsed="false">
      <c r="A503" s="14" t="n">
        <v>120</v>
      </c>
      <c r="B503" s="14" t="n">
        <v>87</v>
      </c>
      <c r="C503" s="14" t="n">
        <f aca="false">Declarations!$B$47+1000*A503+B503</f>
        <v>1034087</v>
      </c>
      <c r="D503" s="26" t="n">
        <v>4</v>
      </c>
      <c r="E503" s="26" t="n">
        <v>27</v>
      </c>
      <c r="F503" s="26" t="n">
        <v>57</v>
      </c>
      <c r="G503" s="26" t="n">
        <v>26</v>
      </c>
      <c r="H503" s="26" t="n">
        <v>6</v>
      </c>
      <c r="I503" s="16" t="n">
        <f aca="false">0.5*(ABS(D503/A503-Declarations!$B$25)+ABS(E503/A503-Declarations!$B$26)+ABS(F503/A503-Declarations!$B$27)+ABS(G503/A503-Declarations!$B$28)+ABS(H503/A503-Declarations!$B$29))</f>
        <v>0.0416666666666667</v>
      </c>
      <c r="J503" s="20" t="n">
        <v>0</v>
      </c>
      <c r="K503" s="26" t="n">
        <v>1</v>
      </c>
    </row>
    <row r="504" customFormat="false" ht="15" hidden="false" customHeight="false" outlineLevel="0" collapsed="false">
      <c r="A504" s="14" t="n">
        <v>120</v>
      </c>
      <c r="B504" s="14" t="n">
        <v>88</v>
      </c>
      <c r="C504" s="14" t="n">
        <f aca="false">Declarations!$B$47+1000*A504+B504</f>
        <v>1034088</v>
      </c>
      <c r="D504" s="26" t="n">
        <v>4</v>
      </c>
      <c r="E504" s="26" t="n">
        <v>24</v>
      </c>
      <c r="F504" s="26" t="n">
        <v>60</v>
      </c>
      <c r="G504" s="26" t="n">
        <v>25</v>
      </c>
      <c r="H504" s="26" t="n">
        <v>7</v>
      </c>
      <c r="I504" s="16" t="n">
        <f aca="false">0.5*(ABS(D504/A504-Declarations!$B$25)+ABS(E504/A504-Declarations!$B$26)+ABS(F504/A504-Declarations!$B$27)+ABS(G504/A504-Declarations!$B$28)+ABS(H504/A504-Declarations!$B$29))</f>
        <v>0.0166666666666667</v>
      </c>
      <c r="J504" s="20" t="n">
        <v>0</v>
      </c>
      <c r="K504" s="26" t="n">
        <v>1</v>
      </c>
    </row>
    <row r="505" customFormat="false" ht="15" hidden="false" customHeight="false" outlineLevel="0" collapsed="false">
      <c r="A505" s="14" t="n">
        <v>120</v>
      </c>
      <c r="B505" s="14" t="n">
        <v>89</v>
      </c>
      <c r="C505" s="14" t="n">
        <f aca="false">Declarations!$B$47+1000*A505+B505</f>
        <v>1034089</v>
      </c>
      <c r="D505" s="26" t="n">
        <v>5</v>
      </c>
      <c r="E505" s="26" t="n">
        <v>26</v>
      </c>
      <c r="F505" s="26" t="n">
        <v>65</v>
      </c>
      <c r="G505" s="26" t="n">
        <v>19</v>
      </c>
      <c r="H505" s="26" t="n">
        <v>5</v>
      </c>
      <c r="I505" s="16" t="n">
        <f aca="false">0.5*(ABS(D505/A505-Declarations!$B$25)+ABS(E505/A505-Declarations!$B$26)+ABS(F505/A505-Declarations!$B$27)+ABS(G505/A505-Declarations!$B$28)+ABS(H505/A505-Declarations!$B$29))</f>
        <v>0.0583333333333333</v>
      </c>
      <c r="J505" s="20" t="n">
        <v>0</v>
      </c>
      <c r="K505" s="26" t="n">
        <v>1</v>
      </c>
    </row>
    <row r="506" customFormat="false" ht="15" hidden="false" customHeight="false" outlineLevel="0" collapsed="false">
      <c r="A506" s="14" t="n">
        <v>120</v>
      </c>
      <c r="B506" s="14" t="n">
        <v>90</v>
      </c>
      <c r="C506" s="14" t="n">
        <f aca="false">Declarations!$B$47+1000*A506+B506</f>
        <v>1034090</v>
      </c>
      <c r="D506" s="26" t="n">
        <v>7</v>
      </c>
      <c r="E506" s="26" t="n">
        <v>27</v>
      </c>
      <c r="F506" s="26" t="n">
        <v>57</v>
      </c>
      <c r="G506" s="26" t="n">
        <v>22</v>
      </c>
      <c r="H506" s="26" t="n">
        <v>7</v>
      </c>
      <c r="I506" s="16" t="n">
        <f aca="false">0.5*(ABS(D506/A506-Declarations!$B$25)+ABS(E506/A506-Declarations!$B$26)+ABS(F506/A506-Declarations!$B$27)+ABS(G506/A506-Declarations!$B$28)+ABS(H506/A506-Declarations!$B$29))</f>
        <v>0.0416666666666667</v>
      </c>
      <c r="J506" s="20" t="n">
        <v>0</v>
      </c>
      <c r="K506" s="26" t="n">
        <v>1</v>
      </c>
    </row>
    <row r="507" customFormat="false" ht="15" hidden="false" customHeight="false" outlineLevel="0" collapsed="false">
      <c r="A507" s="14" t="n">
        <v>120</v>
      </c>
      <c r="B507" s="14" t="n">
        <v>91</v>
      </c>
      <c r="C507" s="14" t="n">
        <f aca="false">Declarations!$B$47+1000*A507+B507</f>
        <v>1034091</v>
      </c>
      <c r="D507" s="26" t="n">
        <v>3</v>
      </c>
      <c r="E507" s="26" t="n">
        <v>28</v>
      </c>
      <c r="F507" s="26" t="n">
        <v>49</v>
      </c>
      <c r="G507" s="26" t="n">
        <v>37</v>
      </c>
      <c r="H507" s="26" t="n">
        <v>3</v>
      </c>
      <c r="I507" s="16" t="n">
        <f aca="false">0.5*(ABS(D507/A507-Declarations!$B$25)+ABS(E507/A507-Declarations!$B$26)+ABS(F507/A507-Declarations!$B$27)+ABS(G507/A507-Declarations!$B$28)+ABS(H507/A507-Declarations!$B$29))</f>
        <v>0.141666666666667</v>
      </c>
      <c r="J507" s="20" t="n">
        <v>0</v>
      </c>
      <c r="K507" s="26" t="n">
        <v>1</v>
      </c>
    </row>
    <row r="508" customFormat="false" ht="15" hidden="false" customHeight="false" outlineLevel="0" collapsed="false">
      <c r="A508" s="14" t="n">
        <v>120</v>
      </c>
      <c r="B508" s="14" t="n">
        <v>92</v>
      </c>
      <c r="C508" s="14" t="n">
        <f aca="false">Declarations!$B$47+1000*A508+B508</f>
        <v>1034092</v>
      </c>
      <c r="D508" s="26" t="n">
        <v>5</v>
      </c>
      <c r="E508" s="26" t="n">
        <v>12</v>
      </c>
      <c r="F508" s="26" t="n">
        <v>71</v>
      </c>
      <c r="G508" s="26" t="n">
        <v>26</v>
      </c>
      <c r="H508" s="26" t="n">
        <v>6</v>
      </c>
      <c r="I508" s="16" t="n">
        <f aca="false">0.5*(ABS(D508/A508-Declarations!$B$25)+ABS(E508/A508-Declarations!$B$26)+ABS(F508/A508-Declarations!$B$27)+ABS(G508/A508-Declarations!$B$28)+ABS(H508/A508-Declarations!$B$29))</f>
        <v>0.108333333333333</v>
      </c>
      <c r="J508" s="20" t="n">
        <v>0.713021460896897</v>
      </c>
      <c r="K508" s="26" t="n">
        <v>0</v>
      </c>
    </row>
    <row r="509" customFormat="false" ht="15" hidden="false" customHeight="false" outlineLevel="0" collapsed="false">
      <c r="A509" s="14" t="n">
        <v>120</v>
      </c>
      <c r="B509" s="14" t="n">
        <v>93</v>
      </c>
      <c r="C509" s="14" t="n">
        <f aca="false">Declarations!$B$47+1000*A509+B509</f>
        <v>1034093</v>
      </c>
      <c r="D509" s="26" t="n">
        <v>7</v>
      </c>
      <c r="E509" s="26" t="n">
        <v>19</v>
      </c>
      <c r="F509" s="26" t="n">
        <v>61</v>
      </c>
      <c r="G509" s="26" t="n">
        <v>22</v>
      </c>
      <c r="H509" s="26" t="n">
        <v>11</v>
      </c>
      <c r="I509" s="16" t="n">
        <f aca="false">0.5*(ABS(D509/A509-Declarations!$B$25)+ABS(E509/A509-Declarations!$B$26)+ABS(F509/A509-Declarations!$B$27)+ABS(G509/A509-Declarations!$B$28)+ABS(H509/A509-Declarations!$B$29))</f>
        <v>0.0583333333333333</v>
      </c>
      <c r="J509" s="20" t="n">
        <v>0</v>
      </c>
      <c r="K509" s="26" t="n">
        <v>1</v>
      </c>
    </row>
    <row r="510" customFormat="false" ht="15" hidden="false" customHeight="false" outlineLevel="0" collapsed="false">
      <c r="A510" s="14" t="n">
        <v>120</v>
      </c>
      <c r="B510" s="14" t="n">
        <v>94</v>
      </c>
      <c r="C510" s="14" t="n">
        <f aca="false">Declarations!$B$47+1000*A510+B510</f>
        <v>1034094</v>
      </c>
      <c r="D510" s="26" t="n">
        <v>7</v>
      </c>
      <c r="E510" s="26" t="n">
        <v>22</v>
      </c>
      <c r="F510" s="26" t="n">
        <v>71</v>
      </c>
      <c r="G510" s="26" t="n">
        <v>16</v>
      </c>
      <c r="H510" s="26" t="n">
        <v>4</v>
      </c>
      <c r="I510" s="16" t="n">
        <f aca="false">0.5*(ABS(D510/A510-Declarations!$B$25)+ABS(E510/A510-Declarations!$B$26)+ABS(F510/A510-Declarations!$B$27)+ABS(G510/A510-Declarations!$B$28)+ABS(H510/A510-Declarations!$B$29))</f>
        <v>0.1</v>
      </c>
      <c r="J510" s="20" t="n">
        <v>0</v>
      </c>
      <c r="K510" s="26" t="n">
        <v>1</v>
      </c>
    </row>
    <row r="511" customFormat="false" ht="15" hidden="false" customHeight="false" outlineLevel="0" collapsed="false">
      <c r="A511" s="14" t="n">
        <v>120</v>
      </c>
      <c r="B511" s="14" t="n">
        <v>95</v>
      </c>
      <c r="C511" s="14" t="n">
        <f aca="false">Declarations!$B$47+1000*A511+B511</f>
        <v>1034095</v>
      </c>
      <c r="D511" s="26" t="n">
        <v>7</v>
      </c>
      <c r="E511" s="26" t="n">
        <v>16</v>
      </c>
      <c r="F511" s="26" t="n">
        <v>64</v>
      </c>
      <c r="G511" s="26" t="n">
        <v>28</v>
      </c>
      <c r="H511" s="26" t="n">
        <v>5</v>
      </c>
      <c r="I511" s="16" t="n">
        <f aca="false">0.5*(ABS(D511/A511-Declarations!$B$25)+ABS(E511/A511-Declarations!$B$26)+ABS(F511/A511-Declarations!$B$27)+ABS(G511/A511-Declarations!$B$28)+ABS(H511/A511-Declarations!$B$29))</f>
        <v>0.075</v>
      </c>
      <c r="J511" s="20" t="n">
        <v>0</v>
      </c>
      <c r="K511" s="26" t="n">
        <v>1</v>
      </c>
    </row>
    <row r="512" customFormat="false" ht="15" hidden="false" customHeight="false" outlineLevel="0" collapsed="false">
      <c r="A512" s="14" t="n">
        <v>120</v>
      </c>
      <c r="B512" s="14" t="n">
        <v>96</v>
      </c>
      <c r="C512" s="14" t="n">
        <f aca="false">Declarations!$B$47+1000*A512+B512</f>
        <v>1034096</v>
      </c>
      <c r="D512" s="26" t="n">
        <v>5</v>
      </c>
      <c r="E512" s="26" t="n">
        <v>24</v>
      </c>
      <c r="F512" s="26" t="n">
        <v>63</v>
      </c>
      <c r="G512" s="26" t="n">
        <v>23</v>
      </c>
      <c r="H512" s="26" t="n">
        <v>5</v>
      </c>
      <c r="I512" s="16" t="n">
        <f aca="false">0.5*(ABS(D512/A512-Declarations!$B$25)+ABS(E512/A512-Declarations!$B$26)+ABS(F512/A512-Declarations!$B$27)+ABS(G512/A512-Declarations!$B$28)+ABS(H512/A512-Declarations!$B$29))</f>
        <v>0.025</v>
      </c>
      <c r="J512" s="20" t="n">
        <v>0</v>
      </c>
      <c r="K512" s="26" t="n">
        <v>1</v>
      </c>
    </row>
    <row r="513" customFormat="false" ht="15" hidden="false" customHeight="false" outlineLevel="0" collapsed="false">
      <c r="A513" s="14" t="n">
        <v>120</v>
      </c>
      <c r="B513" s="14" t="n">
        <v>97</v>
      </c>
      <c r="C513" s="14" t="n">
        <f aca="false">Declarations!$B$47+1000*A513+B513</f>
        <v>1034097</v>
      </c>
      <c r="D513" s="26" t="n">
        <v>9</v>
      </c>
      <c r="E513" s="26" t="n">
        <v>22</v>
      </c>
      <c r="F513" s="26" t="n">
        <v>57</v>
      </c>
      <c r="G513" s="26" t="n">
        <v>21</v>
      </c>
      <c r="H513" s="26" t="n">
        <v>11</v>
      </c>
      <c r="I513" s="16" t="n">
        <f aca="false">0.5*(ABS(D513/A513-Declarations!$B$25)+ABS(E513/A513-Declarations!$B$26)+ABS(F513/A513-Declarations!$B$27)+ABS(G513/A513-Declarations!$B$28)+ABS(H513/A513-Declarations!$B$29))</f>
        <v>0.0666666666666667</v>
      </c>
      <c r="J513" s="20" t="n">
        <v>0</v>
      </c>
      <c r="K513" s="26" t="n">
        <v>1</v>
      </c>
    </row>
    <row r="514" customFormat="false" ht="15" hidden="false" customHeight="false" outlineLevel="0" collapsed="false">
      <c r="A514" s="14" t="n">
        <v>120</v>
      </c>
      <c r="B514" s="14" t="n">
        <v>98</v>
      </c>
      <c r="C514" s="14" t="n">
        <f aca="false">Declarations!$B$47+1000*A514+B514</f>
        <v>1034098</v>
      </c>
      <c r="D514" s="26" t="n">
        <v>3</v>
      </c>
      <c r="E514" s="26" t="n">
        <v>30</v>
      </c>
      <c r="F514" s="26" t="n">
        <v>50</v>
      </c>
      <c r="G514" s="26" t="n">
        <v>32</v>
      </c>
      <c r="H514" s="26" t="n">
        <v>5</v>
      </c>
      <c r="I514" s="16" t="n">
        <f aca="false">0.5*(ABS(D514/A514-Declarations!$B$25)+ABS(E514/A514-Declarations!$B$26)+ABS(F514/A514-Declarations!$B$27)+ABS(G514/A514-Declarations!$B$28)+ABS(H514/A514-Declarations!$B$29))</f>
        <v>0.116666666666667</v>
      </c>
      <c r="J514" s="20" t="n">
        <v>0</v>
      </c>
      <c r="K514" s="26" t="n">
        <v>1</v>
      </c>
    </row>
    <row r="515" customFormat="false" ht="15" hidden="false" customHeight="false" outlineLevel="0" collapsed="false">
      <c r="A515" s="14" t="n">
        <v>120</v>
      </c>
      <c r="B515" s="14" t="n">
        <v>99</v>
      </c>
      <c r="C515" s="14" t="n">
        <f aca="false">Declarations!$B$47+1000*A515+B515</f>
        <v>1034099</v>
      </c>
      <c r="D515" s="26" t="n">
        <v>5</v>
      </c>
      <c r="E515" s="26" t="n">
        <v>25</v>
      </c>
      <c r="F515" s="26" t="n">
        <v>62</v>
      </c>
      <c r="G515" s="26" t="n">
        <v>24</v>
      </c>
      <c r="H515" s="26" t="n">
        <v>4</v>
      </c>
      <c r="I515" s="16" t="n">
        <f aca="false">0.5*(ABS(D515/A515-Declarations!$B$25)+ABS(E515/A515-Declarations!$B$26)+ABS(F515/A515-Declarations!$B$27)+ABS(G515/A515-Declarations!$B$28)+ABS(H515/A515-Declarations!$B$29))</f>
        <v>0.025</v>
      </c>
      <c r="J515" s="20" t="n">
        <v>0</v>
      </c>
      <c r="K515" s="26" t="n">
        <v>1</v>
      </c>
    </row>
    <row r="516" customFormat="false" ht="15" hidden="false" customHeight="false" outlineLevel="0" collapsed="false">
      <c r="A516" s="14" t="n">
        <v>120</v>
      </c>
      <c r="B516" s="14" t="n">
        <v>100</v>
      </c>
      <c r="C516" s="14" t="n">
        <f aca="false">Declarations!$B$47+1000*A516+B516</f>
        <v>1034100</v>
      </c>
      <c r="D516" s="26" t="n">
        <v>2</v>
      </c>
      <c r="E516" s="26" t="n">
        <v>28</v>
      </c>
      <c r="F516" s="26" t="n">
        <v>61</v>
      </c>
      <c r="G516" s="26" t="n">
        <v>23</v>
      </c>
      <c r="H516" s="26" t="n">
        <v>6</v>
      </c>
      <c r="I516" s="16" t="n">
        <f aca="false">0.5*(ABS(D516/A516-Declarations!$B$25)+ABS(E516/A516-Declarations!$B$26)+ABS(F516/A516-Declarations!$B$27)+ABS(G516/A516-Declarations!$B$28)+ABS(H516/A516-Declarations!$B$29))</f>
        <v>0.0416666666666667</v>
      </c>
      <c r="J516" s="20" t="n">
        <v>0</v>
      </c>
      <c r="K516" s="26" t="n">
        <v>1</v>
      </c>
    </row>
    <row r="517" customFormat="false" ht="15" hidden="false" customHeight="false" outlineLevel="0" collapsed="false">
      <c r="A517" s="14" t="n">
        <v>120</v>
      </c>
      <c r="B517" s="14" t="n">
        <v>101</v>
      </c>
      <c r="C517" s="14" t="n">
        <f aca="false">Declarations!$B$47+1000*A517+B517</f>
        <v>1034101</v>
      </c>
      <c r="D517" s="26" t="n">
        <v>2</v>
      </c>
      <c r="E517" s="26" t="n">
        <v>21</v>
      </c>
      <c r="F517" s="26" t="n">
        <v>74</v>
      </c>
      <c r="G517" s="26" t="n">
        <v>18</v>
      </c>
      <c r="H517" s="26" t="n">
        <v>5</v>
      </c>
      <c r="I517" s="16" t="n">
        <f aca="false">0.5*(ABS(D517/A517-Declarations!$B$25)+ABS(E517/A517-Declarations!$B$26)+ABS(F517/A517-Declarations!$B$27)+ABS(G517/A517-Declarations!$B$28)+ABS(H517/A517-Declarations!$B$29))</f>
        <v>0.116666666666667</v>
      </c>
      <c r="J517" s="20" t="n">
        <v>0.488582070127848</v>
      </c>
      <c r="K517" s="26" t="n">
        <v>0</v>
      </c>
    </row>
    <row r="518" customFormat="false" ht="15" hidden="false" customHeight="false" outlineLevel="0" collapsed="false">
      <c r="A518" s="14" t="n">
        <v>120</v>
      </c>
      <c r="B518" s="14" t="n">
        <v>102</v>
      </c>
      <c r="C518" s="14" t="n">
        <f aca="false">Declarations!$B$47+1000*A518+B518</f>
        <v>1034102</v>
      </c>
      <c r="D518" s="26" t="n">
        <v>1</v>
      </c>
      <c r="E518" s="26" t="n">
        <v>24</v>
      </c>
      <c r="F518" s="26" t="n">
        <v>64</v>
      </c>
      <c r="G518" s="26" t="n">
        <v>27</v>
      </c>
      <c r="H518" s="26" t="n">
        <v>4</v>
      </c>
      <c r="I518" s="16" t="n">
        <f aca="false">0.5*(ABS(D518/A518-Declarations!$B$25)+ABS(E518/A518-Declarations!$B$26)+ABS(F518/A518-Declarations!$B$27)+ABS(G518/A518-Declarations!$B$28)+ABS(H518/A518-Declarations!$B$29))</f>
        <v>0.0583333333333333</v>
      </c>
      <c r="J518" s="20" t="n">
        <v>0.43736025479447</v>
      </c>
      <c r="K518" s="26" t="n">
        <v>0</v>
      </c>
    </row>
    <row r="519" customFormat="false" ht="15" hidden="false" customHeight="false" outlineLevel="0" collapsed="false">
      <c r="A519" s="14" t="n">
        <v>120</v>
      </c>
      <c r="B519" s="14" t="n">
        <v>103</v>
      </c>
      <c r="C519" s="14" t="n">
        <f aca="false">Declarations!$B$47+1000*A519+B519</f>
        <v>1034103</v>
      </c>
      <c r="D519" s="26" t="n">
        <v>6</v>
      </c>
      <c r="E519" s="26" t="n">
        <v>20</v>
      </c>
      <c r="F519" s="26" t="n">
        <v>64</v>
      </c>
      <c r="G519" s="26" t="n">
        <v>24</v>
      </c>
      <c r="H519" s="26" t="n">
        <v>6</v>
      </c>
      <c r="I519" s="16" t="n">
        <f aca="false">0.5*(ABS(D519/A519-Declarations!$B$25)+ABS(E519/A519-Declarations!$B$26)+ABS(F519/A519-Declarations!$B$27)+ABS(G519/A519-Declarations!$B$28)+ABS(H519/A519-Declarations!$B$29))</f>
        <v>0.0333333333333333</v>
      </c>
      <c r="J519" s="20" t="n">
        <v>0</v>
      </c>
      <c r="K519" s="26" t="n">
        <v>1</v>
      </c>
    </row>
    <row r="520" customFormat="false" ht="15" hidden="false" customHeight="false" outlineLevel="0" collapsed="false">
      <c r="A520" s="14" t="n">
        <v>120</v>
      </c>
      <c r="B520" s="14" t="n">
        <v>104</v>
      </c>
      <c r="C520" s="14" t="n">
        <f aca="false">Declarations!$B$47+1000*A520+B520</f>
        <v>1034104</v>
      </c>
      <c r="D520" s="26" t="n">
        <v>6</v>
      </c>
      <c r="E520" s="26" t="n">
        <v>19</v>
      </c>
      <c r="F520" s="26" t="n">
        <v>64</v>
      </c>
      <c r="G520" s="26" t="n">
        <v>29</v>
      </c>
      <c r="H520" s="26" t="n">
        <v>2</v>
      </c>
      <c r="I520" s="16" t="n">
        <f aca="false">0.5*(ABS(D520/A520-Declarations!$B$25)+ABS(E520/A520-Declarations!$B$26)+ABS(F520/A520-Declarations!$B$27)+ABS(G520/A520-Declarations!$B$28)+ABS(H520/A520-Declarations!$B$29))</f>
        <v>0.075</v>
      </c>
      <c r="J520" s="20" t="n">
        <v>0</v>
      </c>
      <c r="K520" s="26" t="n">
        <v>1</v>
      </c>
    </row>
    <row r="521" customFormat="false" ht="15" hidden="false" customHeight="false" outlineLevel="0" collapsed="false">
      <c r="A521" s="14" t="n">
        <v>120</v>
      </c>
      <c r="B521" s="14" t="n">
        <v>105</v>
      </c>
      <c r="C521" s="14" t="n">
        <f aca="false">Declarations!$B$47+1000*A521+B521</f>
        <v>1034105</v>
      </c>
      <c r="D521" s="26" t="n">
        <v>3</v>
      </c>
      <c r="E521" s="26" t="n">
        <v>29</v>
      </c>
      <c r="F521" s="26" t="n">
        <v>56</v>
      </c>
      <c r="G521" s="26" t="n">
        <v>23</v>
      </c>
      <c r="H521" s="26" t="n">
        <v>9</v>
      </c>
      <c r="I521" s="16" t="n">
        <f aca="false">0.5*(ABS(D521/A521-Declarations!$B$25)+ABS(E521/A521-Declarations!$B$26)+ABS(F521/A521-Declarations!$B$27)+ABS(G521/A521-Declarations!$B$28)+ABS(H521/A521-Declarations!$B$29))</f>
        <v>0.0666666666666667</v>
      </c>
      <c r="J521" s="20" t="n">
        <v>0</v>
      </c>
      <c r="K521" s="26" t="n">
        <v>1</v>
      </c>
    </row>
    <row r="522" customFormat="false" ht="15" hidden="false" customHeight="false" outlineLevel="0" collapsed="false">
      <c r="A522" s="14" t="n">
        <v>120</v>
      </c>
      <c r="B522" s="14" t="n">
        <v>106</v>
      </c>
      <c r="C522" s="14" t="n">
        <f aca="false">Declarations!$B$47+1000*A522+B522</f>
        <v>1034106</v>
      </c>
      <c r="D522" s="26" t="n">
        <v>2</v>
      </c>
      <c r="E522" s="26" t="n">
        <v>24</v>
      </c>
      <c r="F522" s="26" t="n">
        <v>54</v>
      </c>
      <c r="G522" s="26" t="n">
        <v>33</v>
      </c>
      <c r="H522" s="26" t="n">
        <v>7</v>
      </c>
      <c r="I522" s="16" t="n">
        <f aca="false">0.5*(ABS(D522/A522-Declarations!$B$25)+ABS(E522/A522-Declarations!$B$26)+ABS(F522/A522-Declarations!$B$27)+ABS(G522/A522-Declarations!$B$28)+ABS(H522/A522-Declarations!$B$29))</f>
        <v>0.0833333333333333</v>
      </c>
      <c r="J522" s="20" t="n">
        <v>0.115817627028463</v>
      </c>
      <c r="K522" s="26" t="n">
        <v>0</v>
      </c>
    </row>
    <row r="523" customFormat="false" ht="15" hidden="false" customHeight="false" outlineLevel="0" collapsed="false">
      <c r="A523" s="14" t="n">
        <v>120</v>
      </c>
      <c r="B523" s="14" t="n">
        <v>107</v>
      </c>
      <c r="C523" s="14" t="n">
        <f aca="false">Declarations!$B$47+1000*A523+B523</f>
        <v>1034107</v>
      </c>
      <c r="D523" s="26" t="n">
        <v>7</v>
      </c>
      <c r="E523" s="26" t="n">
        <v>26</v>
      </c>
      <c r="F523" s="26" t="n">
        <v>52</v>
      </c>
      <c r="G523" s="26" t="n">
        <v>29</v>
      </c>
      <c r="H523" s="26" t="n">
        <v>6</v>
      </c>
      <c r="I523" s="16" t="n">
        <f aca="false">0.5*(ABS(D523/A523-Declarations!$B$25)+ABS(E523/A523-Declarations!$B$26)+ABS(F523/A523-Declarations!$B$27)+ABS(G523/A523-Declarations!$B$28)+ABS(H523/A523-Declarations!$B$29))</f>
        <v>0.0666666666666667</v>
      </c>
      <c r="J523" s="20" t="n">
        <v>0</v>
      </c>
      <c r="K523" s="26" t="n">
        <v>1</v>
      </c>
    </row>
    <row r="524" customFormat="false" ht="15" hidden="false" customHeight="false" outlineLevel="0" collapsed="false">
      <c r="A524" s="14" t="n">
        <v>120</v>
      </c>
      <c r="B524" s="14" t="n">
        <v>108</v>
      </c>
      <c r="C524" s="14" t="n">
        <f aca="false">Declarations!$B$47+1000*A524+B524</f>
        <v>1034108</v>
      </c>
      <c r="D524" s="26" t="n">
        <v>4</v>
      </c>
      <c r="E524" s="26" t="n">
        <v>23</v>
      </c>
      <c r="F524" s="26" t="n">
        <v>59</v>
      </c>
      <c r="G524" s="26" t="n">
        <v>26</v>
      </c>
      <c r="H524" s="26" t="n">
        <v>8</v>
      </c>
      <c r="I524" s="16" t="n">
        <f aca="false">0.5*(ABS(D524/A524-Declarations!$B$25)+ABS(E524/A524-Declarations!$B$26)+ABS(F524/A524-Declarations!$B$27)+ABS(G524/A524-Declarations!$B$28)+ABS(H524/A524-Declarations!$B$29))</f>
        <v>0.0333333333333333</v>
      </c>
      <c r="J524" s="20" t="n">
        <v>0</v>
      </c>
      <c r="K524" s="26" t="n">
        <v>1</v>
      </c>
    </row>
    <row r="525" customFormat="false" ht="15" hidden="false" customHeight="false" outlineLevel="0" collapsed="false">
      <c r="A525" s="14" t="n">
        <v>120</v>
      </c>
      <c r="B525" s="14" t="n">
        <v>109</v>
      </c>
      <c r="C525" s="14" t="n">
        <f aca="false">Declarations!$B$47+1000*A525+B525</f>
        <v>1034109</v>
      </c>
      <c r="D525" s="26" t="n">
        <v>3</v>
      </c>
      <c r="E525" s="26" t="n">
        <v>31</v>
      </c>
      <c r="F525" s="26" t="n">
        <v>56</v>
      </c>
      <c r="G525" s="26" t="n">
        <v>22</v>
      </c>
      <c r="H525" s="26" t="n">
        <v>8</v>
      </c>
      <c r="I525" s="16" t="n">
        <f aca="false">0.5*(ABS(D525/A525-Declarations!$B$25)+ABS(E525/A525-Declarations!$B$26)+ABS(F525/A525-Declarations!$B$27)+ABS(G525/A525-Declarations!$B$28)+ABS(H525/A525-Declarations!$B$29))</f>
        <v>0.075</v>
      </c>
      <c r="J525" s="20" t="n">
        <v>0</v>
      </c>
      <c r="K525" s="26" t="n">
        <v>1</v>
      </c>
    </row>
    <row r="526" customFormat="false" ht="15" hidden="false" customHeight="false" outlineLevel="0" collapsed="false">
      <c r="A526" s="14" t="n">
        <v>120</v>
      </c>
      <c r="B526" s="14" t="n">
        <v>110</v>
      </c>
      <c r="C526" s="14" t="n">
        <f aca="false">Declarations!$B$47+1000*A526+B526</f>
        <v>1034110</v>
      </c>
      <c r="D526" s="26" t="n">
        <v>7</v>
      </c>
      <c r="E526" s="26" t="n">
        <v>15</v>
      </c>
      <c r="F526" s="26" t="n">
        <v>56</v>
      </c>
      <c r="G526" s="26" t="n">
        <v>32</v>
      </c>
      <c r="H526" s="26" t="n">
        <v>10</v>
      </c>
      <c r="I526" s="16" t="n">
        <f aca="false">0.5*(ABS(D526/A526-Declarations!$B$25)+ABS(E526/A526-Declarations!$B$26)+ABS(F526/A526-Declarations!$B$27)+ABS(G526/A526-Declarations!$B$28)+ABS(H526/A526-Declarations!$B$29))</f>
        <v>0.108333333333333</v>
      </c>
      <c r="J526" s="20" t="n">
        <v>0.00281729995887758</v>
      </c>
      <c r="K526" s="26" t="n">
        <v>0</v>
      </c>
    </row>
    <row r="527" customFormat="false" ht="15" hidden="false" customHeight="false" outlineLevel="0" collapsed="false">
      <c r="A527" s="14" t="n">
        <v>120</v>
      </c>
      <c r="B527" s="14" t="n">
        <v>111</v>
      </c>
      <c r="C527" s="14" t="n">
        <f aca="false">Declarations!$B$47+1000*A527+B527</f>
        <v>1034111</v>
      </c>
      <c r="D527" s="26" t="n">
        <v>15</v>
      </c>
      <c r="E527" s="26" t="n">
        <v>22</v>
      </c>
      <c r="F527" s="26" t="n">
        <v>51</v>
      </c>
      <c r="G527" s="26" t="n">
        <v>25</v>
      </c>
      <c r="H527" s="26" t="n">
        <v>7</v>
      </c>
      <c r="I527" s="16" t="n">
        <f aca="false">0.5*(ABS(D527/A527-Declarations!$B$25)+ABS(E527/A527-Declarations!$B$26)+ABS(F527/A527-Declarations!$B$27)+ABS(G527/A527-Declarations!$B$28)+ABS(H527/A527-Declarations!$B$29))</f>
        <v>0.0916666666666667</v>
      </c>
      <c r="J527" s="20" t="n">
        <v>2.12010750248993</v>
      </c>
      <c r="K527" s="26" t="n">
        <v>0</v>
      </c>
    </row>
    <row r="528" customFormat="false" ht="15" hidden="false" customHeight="false" outlineLevel="0" collapsed="false">
      <c r="A528" s="14" t="n">
        <v>120</v>
      </c>
      <c r="B528" s="14" t="n">
        <v>112</v>
      </c>
      <c r="C528" s="14" t="n">
        <f aca="false">Declarations!$B$47+1000*A528+B528</f>
        <v>1034112</v>
      </c>
      <c r="D528" s="26" t="n">
        <v>9</v>
      </c>
      <c r="E528" s="26" t="n">
        <v>36</v>
      </c>
      <c r="F528" s="26" t="n">
        <v>53</v>
      </c>
      <c r="G528" s="26" t="n">
        <v>20</v>
      </c>
      <c r="H528" s="26" t="n">
        <v>2</v>
      </c>
      <c r="I528" s="16" t="n">
        <f aca="false">0.5*(ABS(D528/A528-Declarations!$B$25)+ABS(E528/A528-Declarations!$B$26)+ABS(F528/A528-Declarations!$B$27)+ABS(G528/A528-Declarations!$B$28)+ABS(H528/A528-Declarations!$B$29))</f>
        <v>0.125</v>
      </c>
      <c r="J528" s="20" t="n">
        <v>0</v>
      </c>
      <c r="K528" s="26" t="n">
        <v>1</v>
      </c>
    </row>
    <row r="529" customFormat="false" ht="15" hidden="false" customHeight="false" outlineLevel="0" collapsed="false">
      <c r="A529" s="14" t="n">
        <v>120</v>
      </c>
      <c r="B529" s="14" t="n">
        <v>113</v>
      </c>
      <c r="C529" s="14" t="n">
        <f aca="false">Declarations!$B$47+1000*A529+B529</f>
        <v>1034113</v>
      </c>
      <c r="D529" s="26" t="n">
        <v>8</v>
      </c>
      <c r="E529" s="26" t="n">
        <v>20</v>
      </c>
      <c r="F529" s="26" t="n">
        <v>62</v>
      </c>
      <c r="G529" s="26" t="n">
        <v>29</v>
      </c>
      <c r="H529" s="26" t="n">
        <v>1</v>
      </c>
      <c r="I529" s="16" t="n">
        <f aca="false">0.5*(ABS(D529/A529-Declarations!$B$25)+ABS(E529/A529-Declarations!$B$26)+ABS(F529/A529-Declarations!$B$27)+ABS(G529/A529-Declarations!$B$28)+ABS(H529/A529-Declarations!$B$29))</f>
        <v>0.075</v>
      </c>
      <c r="J529" s="20" t="n">
        <v>0</v>
      </c>
      <c r="K529" s="26" t="n">
        <v>1</v>
      </c>
    </row>
    <row r="530" customFormat="false" ht="15" hidden="false" customHeight="false" outlineLevel="0" collapsed="false">
      <c r="A530" s="14" t="n">
        <v>120</v>
      </c>
      <c r="B530" s="14" t="n">
        <v>114</v>
      </c>
      <c r="C530" s="14" t="n">
        <f aca="false">Declarations!$B$47+1000*A530+B530</f>
        <v>1034114</v>
      </c>
      <c r="D530" s="26" t="n">
        <v>2</v>
      </c>
      <c r="E530" s="26" t="n">
        <v>33</v>
      </c>
      <c r="F530" s="26" t="n">
        <v>55</v>
      </c>
      <c r="G530" s="26" t="n">
        <v>26</v>
      </c>
      <c r="H530" s="26" t="n">
        <v>4</v>
      </c>
      <c r="I530" s="16" t="n">
        <f aca="false">0.5*(ABS(D530/A530-Declarations!$B$25)+ABS(E530/A530-Declarations!$B$26)+ABS(F530/A530-Declarations!$B$27)+ABS(G530/A530-Declarations!$B$28)+ABS(H530/A530-Declarations!$B$29))</f>
        <v>0.0916666666666667</v>
      </c>
      <c r="J530" s="20" t="n">
        <v>0</v>
      </c>
      <c r="K530" s="26" t="n">
        <v>1</v>
      </c>
    </row>
    <row r="531" customFormat="false" ht="15" hidden="false" customHeight="false" outlineLevel="0" collapsed="false">
      <c r="A531" s="14" t="n">
        <v>120</v>
      </c>
      <c r="B531" s="14" t="n">
        <v>115</v>
      </c>
      <c r="C531" s="14" t="n">
        <f aca="false">Declarations!$B$47+1000*A531+B531</f>
        <v>1034115</v>
      </c>
      <c r="D531" s="26" t="n">
        <v>8</v>
      </c>
      <c r="E531" s="26" t="n">
        <v>25</v>
      </c>
      <c r="F531" s="26" t="n">
        <v>53</v>
      </c>
      <c r="G531" s="26" t="n">
        <v>26</v>
      </c>
      <c r="H531" s="26" t="n">
        <v>8</v>
      </c>
      <c r="I531" s="16" t="n">
        <f aca="false">0.5*(ABS(D531/A531-Declarations!$B$25)+ABS(E531/A531-Declarations!$B$26)+ABS(F531/A531-Declarations!$B$27)+ABS(G531/A531-Declarations!$B$28)+ABS(H531/A531-Declarations!$B$29))</f>
        <v>0.0583333333333333</v>
      </c>
      <c r="J531" s="20" t="n">
        <v>0</v>
      </c>
      <c r="K531" s="26" t="n">
        <v>1</v>
      </c>
    </row>
    <row r="532" customFormat="false" ht="15" hidden="false" customHeight="false" outlineLevel="0" collapsed="false">
      <c r="A532" s="14" t="n">
        <v>120</v>
      </c>
      <c r="B532" s="14" t="n">
        <v>116</v>
      </c>
      <c r="C532" s="14" t="n">
        <f aca="false">Declarations!$B$47+1000*A532+B532</f>
        <v>1034116</v>
      </c>
      <c r="D532" s="26" t="n">
        <v>4</v>
      </c>
      <c r="E532" s="26" t="n">
        <v>23</v>
      </c>
      <c r="F532" s="26" t="n">
        <v>60</v>
      </c>
      <c r="G532" s="26" t="n">
        <v>31</v>
      </c>
      <c r="H532" s="26" t="n">
        <v>2</v>
      </c>
      <c r="I532" s="16" t="n">
        <f aca="false">0.5*(ABS(D532/A532-Declarations!$B$25)+ABS(E532/A532-Declarations!$B$26)+ABS(F532/A532-Declarations!$B$27)+ABS(G532/A532-Declarations!$B$28)+ABS(H532/A532-Declarations!$B$29))</f>
        <v>0.0583333333333333</v>
      </c>
      <c r="J532" s="20" t="n">
        <v>0</v>
      </c>
      <c r="K532" s="26" t="n">
        <v>1</v>
      </c>
    </row>
    <row r="533" customFormat="false" ht="15" hidden="false" customHeight="false" outlineLevel="0" collapsed="false">
      <c r="A533" s="14" t="n">
        <v>120</v>
      </c>
      <c r="B533" s="14" t="n">
        <v>117</v>
      </c>
      <c r="C533" s="14" t="n">
        <f aca="false">Declarations!$B$47+1000*A533+B533</f>
        <v>1034117</v>
      </c>
      <c r="D533" s="26" t="n">
        <v>4</v>
      </c>
      <c r="E533" s="26" t="n">
        <v>21</v>
      </c>
      <c r="F533" s="26" t="n">
        <v>69</v>
      </c>
      <c r="G533" s="26" t="n">
        <v>22</v>
      </c>
      <c r="H533" s="26" t="n">
        <v>4</v>
      </c>
      <c r="I533" s="16" t="n">
        <f aca="false">0.5*(ABS(D533/A533-Declarations!$B$25)+ABS(E533/A533-Declarations!$B$26)+ABS(F533/A533-Declarations!$B$27)+ABS(G533/A533-Declarations!$B$28)+ABS(H533/A533-Declarations!$B$29))</f>
        <v>0.075</v>
      </c>
      <c r="J533" s="20" t="n">
        <v>0.00281729995887758</v>
      </c>
      <c r="K533" s="26" t="n">
        <v>0</v>
      </c>
    </row>
    <row r="534" customFormat="false" ht="15" hidden="false" customHeight="false" outlineLevel="0" collapsed="false">
      <c r="A534" s="14" t="n">
        <v>120</v>
      </c>
      <c r="B534" s="14" t="n">
        <v>118</v>
      </c>
      <c r="C534" s="14" t="n">
        <f aca="false">Declarations!$B$47+1000*A534+B534</f>
        <v>1034118</v>
      </c>
      <c r="D534" s="26" t="n">
        <v>6</v>
      </c>
      <c r="E534" s="26" t="n">
        <v>30</v>
      </c>
      <c r="F534" s="26" t="n">
        <v>58</v>
      </c>
      <c r="G534" s="26" t="n">
        <v>21</v>
      </c>
      <c r="H534" s="26" t="n">
        <v>5</v>
      </c>
      <c r="I534" s="16" t="n">
        <f aca="false">0.5*(ABS(D534/A534-Declarations!$B$25)+ABS(E534/A534-Declarations!$B$26)+ABS(F534/A534-Declarations!$B$27)+ABS(G534/A534-Declarations!$B$28)+ABS(H534/A534-Declarations!$B$29))</f>
        <v>0.05</v>
      </c>
      <c r="J534" s="20" t="n">
        <v>0</v>
      </c>
      <c r="K534" s="26" t="n">
        <v>1</v>
      </c>
    </row>
    <row r="535" customFormat="false" ht="15" hidden="false" customHeight="false" outlineLevel="0" collapsed="false">
      <c r="A535" s="14" t="n">
        <v>120</v>
      </c>
      <c r="B535" s="14" t="n">
        <v>119</v>
      </c>
      <c r="C535" s="14" t="n">
        <f aca="false">Declarations!$B$47+1000*A535+B535</f>
        <v>1034119</v>
      </c>
      <c r="D535" s="26" t="n">
        <v>4</v>
      </c>
      <c r="E535" s="26" t="n">
        <v>22</v>
      </c>
      <c r="F535" s="26" t="n">
        <v>67</v>
      </c>
      <c r="G535" s="26" t="n">
        <v>21</v>
      </c>
      <c r="H535" s="26" t="n">
        <v>6</v>
      </c>
      <c r="I535" s="16" t="n">
        <f aca="false">0.5*(ABS(D535/A535-Declarations!$B$25)+ABS(E535/A535-Declarations!$B$26)+ABS(F535/A535-Declarations!$B$27)+ABS(G535/A535-Declarations!$B$28)+ABS(H535/A535-Declarations!$B$29))</f>
        <v>0.0583333333333334</v>
      </c>
      <c r="J535" s="20" t="n">
        <v>0</v>
      </c>
      <c r="K535" s="26" t="n">
        <v>1</v>
      </c>
    </row>
    <row r="536" customFormat="false" ht="15" hidden="false" customHeight="false" outlineLevel="0" collapsed="false">
      <c r="A536" s="14" t="n">
        <v>120</v>
      </c>
      <c r="B536" s="14" t="n">
        <v>120</v>
      </c>
      <c r="C536" s="14" t="n">
        <f aca="false">Declarations!$B$47+1000*A536+B536</f>
        <v>1034120</v>
      </c>
      <c r="D536" s="26" t="n">
        <v>5</v>
      </c>
      <c r="E536" s="26" t="n">
        <v>28</v>
      </c>
      <c r="F536" s="26" t="n">
        <v>46</v>
      </c>
      <c r="G536" s="26" t="n">
        <v>33</v>
      </c>
      <c r="H536" s="26" t="n">
        <v>8</v>
      </c>
      <c r="I536" s="16" t="n">
        <f aca="false">0.5*(ABS(D536/A536-Declarations!$B$25)+ABS(E536/A536-Declarations!$B$26)+ABS(F536/A536-Declarations!$B$27)+ABS(G536/A536-Declarations!$B$28)+ABS(H536/A536-Declarations!$B$29))</f>
        <v>0.125</v>
      </c>
      <c r="J536" s="20" t="n">
        <v>0</v>
      </c>
      <c r="K536" s="26" t="n">
        <v>1</v>
      </c>
    </row>
    <row r="537" customFormat="false" ht="15" hidden="false" customHeight="false" outlineLevel="0" collapsed="false">
      <c r="A537" s="14" t="n">
        <v>120</v>
      </c>
      <c r="B537" s="14" t="n">
        <v>121</v>
      </c>
      <c r="C537" s="14" t="n">
        <f aca="false">Declarations!$B$47+1000*A537+B537</f>
        <v>1034121</v>
      </c>
      <c r="D537" s="26" t="n">
        <v>5</v>
      </c>
      <c r="E537" s="26" t="n">
        <v>24</v>
      </c>
      <c r="F537" s="26" t="n">
        <v>69</v>
      </c>
      <c r="G537" s="26" t="n">
        <v>14</v>
      </c>
      <c r="H537" s="26" t="n">
        <v>8</v>
      </c>
      <c r="I537" s="16" t="n">
        <f aca="false">0.5*(ABS(D537/A537-Declarations!$B$25)+ABS(E537/A537-Declarations!$B$26)+ABS(F537/A537-Declarations!$B$27)+ABS(G537/A537-Declarations!$B$28)+ABS(H537/A537-Declarations!$B$29))</f>
        <v>0.0916666666666667</v>
      </c>
      <c r="J537" s="20" t="n">
        <v>0</v>
      </c>
      <c r="K537" s="26" t="n">
        <v>1</v>
      </c>
    </row>
    <row r="538" customFormat="false" ht="15" hidden="false" customHeight="false" outlineLevel="0" collapsed="false">
      <c r="A538" s="14" t="n">
        <v>120</v>
      </c>
      <c r="B538" s="14" t="n">
        <v>122</v>
      </c>
      <c r="C538" s="14" t="n">
        <f aca="false">Declarations!$B$47+1000*A538+B538</f>
        <v>1034122</v>
      </c>
      <c r="D538" s="26" t="n">
        <v>11</v>
      </c>
      <c r="E538" s="26" t="n">
        <v>27</v>
      </c>
      <c r="F538" s="26" t="n">
        <v>56</v>
      </c>
      <c r="G538" s="26" t="n">
        <v>22</v>
      </c>
      <c r="H538" s="26" t="n">
        <v>4</v>
      </c>
      <c r="I538" s="16" t="n">
        <f aca="false">0.5*(ABS(D538/A538-Declarations!$B$25)+ABS(E538/A538-Declarations!$B$26)+ABS(F538/A538-Declarations!$B$27)+ABS(G538/A538-Declarations!$B$28)+ABS(H538/A538-Declarations!$B$29))</f>
        <v>0.0666666666666667</v>
      </c>
      <c r="J538" s="20" t="n">
        <v>0</v>
      </c>
      <c r="K538" s="26" t="n">
        <v>1</v>
      </c>
    </row>
    <row r="539" customFormat="false" ht="15" hidden="false" customHeight="false" outlineLevel="0" collapsed="false">
      <c r="A539" s="14" t="n">
        <v>120</v>
      </c>
      <c r="B539" s="14" t="n">
        <v>123</v>
      </c>
      <c r="C539" s="14" t="n">
        <f aca="false">Declarations!$B$47+1000*A539+B539</f>
        <v>1034123</v>
      </c>
      <c r="D539" s="26" t="n">
        <v>4</v>
      </c>
      <c r="E539" s="26" t="n">
        <v>22</v>
      </c>
      <c r="F539" s="26" t="n">
        <v>61</v>
      </c>
      <c r="G539" s="26" t="n">
        <v>26</v>
      </c>
      <c r="H539" s="26" t="n">
        <v>7</v>
      </c>
      <c r="I539" s="16" t="n">
        <f aca="false">0.5*(ABS(D539/A539-Declarations!$B$25)+ABS(E539/A539-Declarations!$B$26)+ABS(F539/A539-Declarations!$B$27)+ABS(G539/A539-Declarations!$B$28)+ABS(H539/A539-Declarations!$B$29))</f>
        <v>0.0333333333333333</v>
      </c>
      <c r="J539" s="20" t="n">
        <v>0</v>
      </c>
      <c r="K539" s="26" t="n">
        <v>1</v>
      </c>
    </row>
    <row r="540" customFormat="false" ht="15" hidden="false" customHeight="false" outlineLevel="0" collapsed="false">
      <c r="A540" s="14" t="n">
        <v>120</v>
      </c>
      <c r="B540" s="14" t="n">
        <v>124</v>
      </c>
      <c r="C540" s="14" t="n">
        <f aca="false">Declarations!$B$47+1000*A540+B540</f>
        <v>1034124</v>
      </c>
      <c r="D540" s="26" t="n">
        <v>4</v>
      </c>
      <c r="E540" s="26" t="n">
        <v>23</v>
      </c>
      <c r="F540" s="26" t="n">
        <v>68</v>
      </c>
      <c r="G540" s="26" t="n">
        <v>18</v>
      </c>
      <c r="H540" s="26" t="n">
        <v>7</v>
      </c>
      <c r="I540" s="16" t="n">
        <f aca="false">0.5*(ABS(D540/A540-Declarations!$B$25)+ABS(E540/A540-Declarations!$B$26)+ABS(F540/A540-Declarations!$B$27)+ABS(G540/A540-Declarations!$B$28)+ABS(H540/A540-Declarations!$B$29))</f>
        <v>0.075</v>
      </c>
      <c r="J540" s="20" t="n">
        <v>0</v>
      </c>
      <c r="K540" s="26" t="n">
        <v>1</v>
      </c>
    </row>
    <row r="541" customFormat="false" ht="15" hidden="false" customHeight="false" outlineLevel="0" collapsed="false">
      <c r="A541" s="14" t="n">
        <v>120</v>
      </c>
      <c r="B541" s="14" t="n">
        <v>125</v>
      </c>
      <c r="C541" s="14" t="n">
        <f aca="false">Declarations!$B$47+1000*A541+B541</f>
        <v>1034125</v>
      </c>
      <c r="D541" s="26" t="n">
        <v>9</v>
      </c>
      <c r="E541" s="26" t="n">
        <v>28</v>
      </c>
      <c r="F541" s="26" t="n">
        <v>61</v>
      </c>
      <c r="G541" s="26" t="n">
        <v>19</v>
      </c>
      <c r="H541" s="26" t="n">
        <v>3</v>
      </c>
      <c r="I541" s="16" t="n">
        <f aca="false">0.5*(ABS(D541/A541-Declarations!$B$25)+ABS(E541/A541-Declarations!$B$26)+ABS(F541/A541-Declarations!$B$27)+ABS(G541/A541-Declarations!$B$28)+ABS(H541/A541-Declarations!$B$29))</f>
        <v>0.0666666666666667</v>
      </c>
      <c r="J541" s="20" t="n">
        <v>0</v>
      </c>
      <c r="K541" s="26" t="n">
        <v>1</v>
      </c>
    </row>
    <row r="542" customFormat="false" ht="15" hidden="false" customHeight="false" outlineLevel="0" collapsed="false">
      <c r="A542" s="14" t="n">
        <v>120</v>
      </c>
      <c r="B542" s="14" t="n">
        <v>126</v>
      </c>
      <c r="C542" s="14" t="n">
        <f aca="false">Declarations!$B$47+1000*A542+B542</f>
        <v>1034126</v>
      </c>
      <c r="D542" s="26" t="n">
        <v>6</v>
      </c>
      <c r="E542" s="26" t="n">
        <v>24</v>
      </c>
      <c r="F542" s="26" t="n">
        <v>59</v>
      </c>
      <c r="G542" s="26" t="n">
        <v>22</v>
      </c>
      <c r="H542" s="26" t="n">
        <v>9</v>
      </c>
      <c r="I542" s="16" t="n">
        <f aca="false">0.5*(ABS(D542/A542-Declarations!$B$25)+ABS(E542/A542-Declarations!$B$26)+ABS(F542/A542-Declarations!$B$27)+ABS(G542/A542-Declarations!$B$28)+ABS(H542/A542-Declarations!$B$29))</f>
        <v>0.025</v>
      </c>
      <c r="J542" s="20" t="n">
        <v>0</v>
      </c>
      <c r="K542" s="26" t="n">
        <v>1</v>
      </c>
    </row>
    <row r="543" customFormat="false" ht="15" hidden="false" customHeight="false" outlineLevel="0" collapsed="false">
      <c r="A543" s="14" t="n">
        <v>120</v>
      </c>
      <c r="B543" s="14" t="n">
        <v>127</v>
      </c>
      <c r="C543" s="14" t="n">
        <f aca="false">Declarations!$B$47+1000*A543+B543</f>
        <v>1034127</v>
      </c>
      <c r="D543" s="26" t="n">
        <v>5</v>
      </c>
      <c r="E543" s="26" t="n">
        <v>21</v>
      </c>
      <c r="F543" s="26" t="n">
        <v>66</v>
      </c>
      <c r="G543" s="26" t="n">
        <v>18</v>
      </c>
      <c r="H543" s="26" t="n">
        <v>10</v>
      </c>
      <c r="I543" s="16" t="n">
        <f aca="false">0.5*(ABS(D543/A543-Declarations!$B$25)+ABS(E543/A543-Declarations!$B$26)+ABS(F543/A543-Declarations!$B$27)+ABS(G543/A543-Declarations!$B$28)+ABS(H543/A543-Declarations!$B$29))</f>
        <v>0.0833333333333334</v>
      </c>
      <c r="J543" s="20" t="n">
        <v>0</v>
      </c>
      <c r="K543" s="26" t="n">
        <v>1</v>
      </c>
    </row>
    <row r="544" customFormat="false" ht="15" hidden="false" customHeight="false" outlineLevel="0" collapsed="false">
      <c r="A544" s="14" t="n">
        <v>120</v>
      </c>
      <c r="B544" s="14" t="n">
        <v>128</v>
      </c>
      <c r="C544" s="14" t="n">
        <f aca="false">Declarations!$B$47+1000*A544+B544</f>
        <v>1034128</v>
      </c>
      <c r="D544" s="26" t="n">
        <v>6</v>
      </c>
      <c r="E544" s="26" t="n">
        <v>25</v>
      </c>
      <c r="F544" s="26" t="n">
        <v>55</v>
      </c>
      <c r="G544" s="26" t="n">
        <v>28</v>
      </c>
      <c r="H544" s="26" t="n">
        <v>6</v>
      </c>
      <c r="I544" s="16" t="n">
        <f aca="false">0.5*(ABS(D544/A544-Declarations!$B$25)+ABS(E544/A544-Declarations!$B$26)+ABS(F544/A544-Declarations!$B$27)+ABS(G544/A544-Declarations!$B$28)+ABS(H544/A544-Declarations!$B$29))</f>
        <v>0.0416666666666667</v>
      </c>
      <c r="J544" s="20" t="n">
        <v>0</v>
      </c>
      <c r="K544" s="26" t="n">
        <v>1</v>
      </c>
    </row>
    <row r="545" customFormat="false" ht="15" hidden="false" customHeight="false" outlineLevel="0" collapsed="false">
      <c r="A545" s="14" t="n">
        <v>120</v>
      </c>
      <c r="B545" s="14" t="n">
        <v>129</v>
      </c>
      <c r="C545" s="14" t="n">
        <f aca="false">Declarations!$B$47+1000*A545+B545</f>
        <v>1034129</v>
      </c>
      <c r="D545" s="26" t="n">
        <v>1</v>
      </c>
      <c r="E545" s="26" t="n">
        <v>16</v>
      </c>
      <c r="F545" s="26" t="n">
        <v>69</v>
      </c>
      <c r="G545" s="26" t="n">
        <v>26</v>
      </c>
      <c r="H545" s="26" t="n">
        <v>8</v>
      </c>
      <c r="I545" s="16" t="n">
        <f aca="false">0.5*(ABS(D545/A545-Declarations!$B$25)+ABS(E545/A545-Declarations!$B$26)+ABS(F545/A545-Declarations!$B$27)+ABS(G545/A545-Declarations!$B$28)+ABS(H545/A545-Declarations!$B$29))</f>
        <v>0.108333333333333</v>
      </c>
      <c r="J545" s="20" t="n">
        <v>0.713021460896897</v>
      </c>
      <c r="K545" s="26" t="n">
        <v>0</v>
      </c>
    </row>
    <row r="546" customFormat="false" ht="15" hidden="false" customHeight="false" outlineLevel="0" collapsed="false">
      <c r="A546" s="14" t="n">
        <v>120</v>
      </c>
      <c r="B546" s="14" t="n">
        <v>130</v>
      </c>
      <c r="C546" s="14" t="n">
        <f aca="false">Declarations!$B$47+1000*A546+B546</f>
        <v>1034130</v>
      </c>
      <c r="D546" s="26" t="n">
        <v>6</v>
      </c>
      <c r="E546" s="26" t="n">
        <v>25</v>
      </c>
      <c r="F546" s="26" t="n">
        <v>50</v>
      </c>
      <c r="G546" s="26" t="n">
        <v>30</v>
      </c>
      <c r="H546" s="26" t="n">
        <v>9</v>
      </c>
      <c r="I546" s="16" t="n">
        <f aca="false">0.5*(ABS(D546/A546-Declarations!$B$25)+ABS(E546/A546-Declarations!$B$26)+ABS(F546/A546-Declarations!$B$27)+ABS(G546/A546-Declarations!$B$28)+ABS(H546/A546-Declarations!$B$29))</f>
        <v>0.0833333333333333</v>
      </c>
      <c r="J546" s="20" t="n">
        <v>0</v>
      </c>
      <c r="K546" s="26" t="n">
        <v>1</v>
      </c>
    </row>
    <row r="547" customFormat="false" ht="15" hidden="false" customHeight="false" outlineLevel="0" collapsed="false">
      <c r="A547" s="14" t="n">
        <v>120</v>
      </c>
      <c r="B547" s="14" t="n">
        <v>131</v>
      </c>
      <c r="C547" s="14" t="n">
        <f aca="false">Declarations!$B$47+1000*A547+B547</f>
        <v>1034131</v>
      </c>
      <c r="D547" s="26" t="n">
        <v>4</v>
      </c>
      <c r="E547" s="26" t="n">
        <v>19</v>
      </c>
      <c r="F547" s="26" t="n">
        <v>63</v>
      </c>
      <c r="G547" s="26" t="n">
        <v>29</v>
      </c>
      <c r="H547" s="26" t="n">
        <v>5</v>
      </c>
      <c r="I547" s="16" t="n">
        <f aca="false">0.5*(ABS(D547/A547-Declarations!$B$25)+ABS(E547/A547-Declarations!$B$26)+ABS(F547/A547-Declarations!$B$27)+ABS(G547/A547-Declarations!$B$28)+ABS(H547/A547-Declarations!$B$29))</f>
        <v>0.0666666666666667</v>
      </c>
      <c r="J547" s="20" t="n">
        <v>0.115817627028463</v>
      </c>
      <c r="K547" s="26" t="n">
        <v>0</v>
      </c>
    </row>
    <row r="548" customFormat="false" ht="15" hidden="false" customHeight="false" outlineLevel="0" collapsed="false">
      <c r="A548" s="14" t="n">
        <v>120</v>
      </c>
      <c r="B548" s="14" t="n">
        <v>132</v>
      </c>
      <c r="C548" s="14" t="n">
        <f aca="false">Declarations!$B$47+1000*A548+B548</f>
        <v>1034132</v>
      </c>
      <c r="D548" s="26" t="n">
        <v>4</v>
      </c>
      <c r="E548" s="26" t="n">
        <v>33</v>
      </c>
      <c r="F548" s="26" t="n">
        <v>61</v>
      </c>
      <c r="G548" s="26" t="n">
        <v>15</v>
      </c>
      <c r="H548" s="26" t="n">
        <v>7</v>
      </c>
      <c r="I548" s="16" t="n">
        <f aca="false">0.5*(ABS(D548/A548-Declarations!$B$25)+ABS(E548/A548-Declarations!$B$26)+ABS(F548/A548-Declarations!$B$27)+ABS(G548/A548-Declarations!$B$28)+ABS(H548/A548-Declarations!$B$29))</f>
        <v>0.0916666666666667</v>
      </c>
      <c r="J548" s="20" t="n">
        <v>0</v>
      </c>
      <c r="K548" s="26" t="n">
        <v>1</v>
      </c>
    </row>
    <row r="549" customFormat="false" ht="15" hidden="false" customHeight="false" outlineLevel="0" collapsed="false">
      <c r="A549" s="14" t="n">
        <v>120</v>
      </c>
      <c r="B549" s="14" t="n">
        <v>133</v>
      </c>
      <c r="C549" s="14" t="n">
        <f aca="false">Declarations!$B$47+1000*A549+B549</f>
        <v>1034133</v>
      </c>
      <c r="D549" s="26" t="n">
        <v>3</v>
      </c>
      <c r="E549" s="26" t="n">
        <v>24</v>
      </c>
      <c r="F549" s="26" t="n">
        <v>64</v>
      </c>
      <c r="G549" s="26" t="n">
        <v>24</v>
      </c>
      <c r="H549" s="26" t="n">
        <v>5</v>
      </c>
      <c r="I549" s="16" t="n">
        <f aca="false">0.5*(ABS(D549/A549-Declarations!$B$25)+ABS(E549/A549-Declarations!$B$26)+ABS(F549/A549-Declarations!$B$27)+ABS(G549/A549-Declarations!$B$28)+ABS(H549/A549-Declarations!$B$29))</f>
        <v>0.0333333333333333</v>
      </c>
      <c r="J549" s="20" t="n">
        <v>0</v>
      </c>
      <c r="K549" s="26" t="n">
        <v>1</v>
      </c>
    </row>
    <row r="550" customFormat="false" ht="15" hidden="false" customHeight="false" outlineLevel="0" collapsed="false">
      <c r="A550" s="14" t="n">
        <v>120</v>
      </c>
      <c r="B550" s="14" t="n">
        <v>134</v>
      </c>
      <c r="C550" s="14" t="n">
        <f aca="false">Declarations!$B$47+1000*A550+B550</f>
        <v>1034134</v>
      </c>
      <c r="D550" s="26" t="n">
        <v>7</v>
      </c>
      <c r="E550" s="26" t="n">
        <v>22</v>
      </c>
      <c r="F550" s="26" t="n">
        <v>57</v>
      </c>
      <c r="G550" s="26" t="n">
        <v>28</v>
      </c>
      <c r="H550" s="26" t="n">
        <v>6</v>
      </c>
      <c r="I550" s="16" t="n">
        <f aca="false">0.5*(ABS(D550/A550-Declarations!$B$25)+ABS(E550/A550-Declarations!$B$26)+ABS(F550/A550-Declarations!$B$27)+ABS(G550/A550-Declarations!$B$28)+ABS(H550/A550-Declarations!$B$29))</f>
        <v>0.0416666666666667</v>
      </c>
      <c r="J550" s="20" t="n">
        <v>0</v>
      </c>
      <c r="K550" s="26" t="n">
        <v>1</v>
      </c>
    </row>
    <row r="551" customFormat="false" ht="15" hidden="false" customHeight="false" outlineLevel="0" collapsed="false">
      <c r="A551" s="14" t="n">
        <v>120</v>
      </c>
      <c r="B551" s="14" t="n">
        <v>135</v>
      </c>
      <c r="C551" s="14" t="n">
        <f aca="false">Declarations!$B$47+1000*A551+B551</f>
        <v>1034135</v>
      </c>
      <c r="D551" s="26" t="n">
        <v>8</v>
      </c>
      <c r="E551" s="26" t="n">
        <v>28</v>
      </c>
      <c r="F551" s="26" t="n">
        <v>64</v>
      </c>
      <c r="G551" s="26" t="n">
        <v>11</v>
      </c>
      <c r="H551" s="26" t="n">
        <v>9</v>
      </c>
      <c r="I551" s="16" t="n">
        <f aca="false">0.5*(ABS(D551/A551-Declarations!$B$25)+ABS(E551/A551-Declarations!$B$26)+ABS(F551/A551-Declarations!$B$27)+ABS(G551/A551-Declarations!$B$28)+ABS(H551/A551-Declarations!$B$29))</f>
        <v>0.108333333333333</v>
      </c>
      <c r="J551" s="20" t="n">
        <v>0</v>
      </c>
      <c r="K551" s="26" t="n">
        <v>1</v>
      </c>
    </row>
    <row r="552" customFormat="false" ht="15" hidden="false" customHeight="false" outlineLevel="0" collapsed="false">
      <c r="A552" s="14" t="n">
        <v>120</v>
      </c>
      <c r="B552" s="14" t="n">
        <v>136</v>
      </c>
      <c r="C552" s="14" t="n">
        <f aca="false">Declarations!$B$47+1000*A552+B552</f>
        <v>1034136</v>
      </c>
      <c r="D552" s="26" t="n">
        <v>5</v>
      </c>
      <c r="E552" s="26" t="n">
        <v>28</v>
      </c>
      <c r="F552" s="26" t="n">
        <v>61</v>
      </c>
      <c r="G552" s="26" t="n">
        <v>23</v>
      </c>
      <c r="H552" s="26" t="n">
        <v>3</v>
      </c>
      <c r="I552" s="16" t="n">
        <f aca="false">0.5*(ABS(D552/A552-Declarations!$B$25)+ABS(E552/A552-Declarations!$B$26)+ABS(F552/A552-Declarations!$B$27)+ABS(G552/A552-Declarations!$B$28)+ABS(H552/A552-Declarations!$B$29))</f>
        <v>0.0416666666666667</v>
      </c>
      <c r="J552" s="20" t="n">
        <v>0</v>
      </c>
      <c r="K552" s="26" t="n">
        <v>1</v>
      </c>
    </row>
    <row r="553" customFormat="false" ht="15" hidden="false" customHeight="false" outlineLevel="0" collapsed="false">
      <c r="A553" s="14" t="n">
        <v>120</v>
      </c>
      <c r="B553" s="14" t="n">
        <v>137</v>
      </c>
      <c r="C553" s="14" t="n">
        <f aca="false">Declarations!$B$47+1000*A553+B553</f>
        <v>1034137</v>
      </c>
      <c r="D553" s="26" t="n">
        <v>7</v>
      </c>
      <c r="E553" s="26" t="n">
        <v>28</v>
      </c>
      <c r="F553" s="26" t="n">
        <v>62</v>
      </c>
      <c r="G553" s="26" t="n">
        <v>20</v>
      </c>
      <c r="H553" s="26" t="n">
        <v>3</v>
      </c>
      <c r="I553" s="16" t="n">
        <f aca="false">0.5*(ABS(D553/A553-Declarations!$B$25)+ABS(E553/A553-Declarations!$B$26)+ABS(F553/A553-Declarations!$B$27)+ABS(G553/A553-Declarations!$B$28)+ABS(H553/A553-Declarations!$B$29))</f>
        <v>0.0583333333333334</v>
      </c>
      <c r="J553" s="20" t="n">
        <v>0</v>
      </c>
      <c r="K553" s="26" t="n">
        <v>1</v>
      </c>
    </row>
    <row r="554" customFormat="false" ht="15" hidden="false" customHeight="false" outlineLevel="0" collapsed="false">
      <c r="A554" s="14" t="n">
        <v>120</v>
      </c>
      <c r="B554" s="14" t="n">
        <v>138</v>
      </c>
      <c r="C554" s="14" t="n">
        <f aca="false">Declarations!$B$47+1000*A554+B554</f>
        <v>1034138</v>
      </c>
      <c r="D554" s="26" t="n">
        <v>3</v>
      </c>
      <c r="E554" s="26" t="n">
        <v>28</v>
      </c>
      <c r="F554" s="26" t="n">
        <v>54</v>
      </c>
      <c r="G554" s="26" t="n">
        <v>27</v>
      </c>
      <c r="H554" s="26" t="n">
        <v>8</v>
      </c>
      <c r="I554" s="16" t="n">
        <f aca="false">0.5*(ABS(D554/A554-Declarations!$B$25)+ABS(E554/A554-Declarations!$B$26)+ABS(F554/A554-Declarations!$B$27)+ABS(G554/A554-Declarations!$B$28)+ABS(H554/A554-Declarations!$B$29))</f>
        <v>0.075</v>
      </c>
      <c r="J554" s="20" t="n">
        <v>0</v>
      </c>
      <c r="K554" s="26" t="n">
        <v>1</v>
      </c>
    </row>
    <row r="555" customFormat="false" ht="15" hidden="false" customHeight="false" outlineLevel="0" collapsed="false">
      <c r="A555" s="14" t="n">
        <v>120</v>
      </c>
      <c r="B555" s="14" t="n">
        <v>139</v>
      </c>
      <c r="C555" s="14" t="n">
        <f aca="false">Declarations!$B$47+1000*A555+B555</f>
        <v>1034139</v>
      </c>
      <c r="D555" s="26" t="n">
        <v>8</v>
      </c>
      <c r="E555" s="26" t="n">
        <v>19</v>
      </c>
      <c r="F555" s="26" t="n">
        <v>62</v>
      </c>
      <c r="G555" s="26" t="n">
        <v>23</v>
      </c>
      <c r="H555" s="26" t="n">
        <v>8</v>
      </c>
      <c r="I555" s="16" t="n">
        <f aca="false">0.5*(ABS(D555/A555-Declarations!$B$25)+ABS(E555/A555-Declarations!$B$26)+ABS(F555/A555-Declarations!$B$27)+ABS(G555/A555-Declarations!$B$28)+ABS(H555/A555-Declarations!$B$29))</f>
        <v>0.05</v>
      </c>
      <c r="J555" s="20" t="n">
        <v>0</v>
      </c>
      <c r="K555" s="26" t="n">
        <v>1</v>
      </c>
    </row>
    <row r="556" customFormat="false" ht="15" hidden="false" customHeight="false" outlineLevel="0" collapsed="false">
      <c r="A556" s="14" t="n">
        <v>120</v>
      </c>
      <c r="B556" s="14" t="n">
        <v>140</v>
      </c>
      <c r="C556" s="14" t="n">
        <f aca="false">Declarations!$B$47+1000*A556+B556</f>
        <v>1034140</v>
      </c>
      <c r="D556" s="26" t="n">
        <v>10</v>
      </c>
      <c r="E556" s="26" t="n">
        <v>29</v>
      </c>
      <c r="F556" s="26" t="n">
        <v>51</v>
      </c>
      <c r="G556" s="26" t="n">
        <v>27</v>
      </c>
      <c r="H556" s="26" t="n">
        <v>3</v>
      </c>
      <c r="I556" s="16" t="n">
        <f aca="false">0.5*(ABS(D556/A556-Declarations!$B$25)+ABS(E556/A556-Declarations!$B$26)+ABS(F556/A556-Declarations!$B$27)+ABS(G556/A556-Declarations!$B$28)+ABS(H556/A556-Declarations!$B$29))</f>
        <v>0.1</v>
      </c>
      <c r="J556" s="20" t="n">
        <v>0</v>
      </c>
      <c r="K556" s="26" t="n">
        <v>1</v>
      </c>
    </row>
    <row r="557" customFormat="false" ht="15" hidden="false" customHeight="false" outlineLevel="0" collapsed="false">
      <c r="A557" s="14" t="n">
        <v>120</v>
      </c>
      <c r="B557" s="14" t="n">
        <v>141</v>
      </c>
      <c r="C557" s="14" t="n">
        <f aca="false">Declarations!$B$47+1000*A557+B557</f>
        <v>1034141</v>
      </c>
      <c r="D557" s="26" t="n">
        <v>3</v>
      </c>
      <c r="E557" s="26" t="n">
        <v>13</v>
      </c>
      <c r="F557" s="26" t="n">
        <v>71</v>
      </c>
      <c r="G557" s="26" t="n">
        <v>26</v>
      </c>
      <c r="H557" s="26" t="n">
        <v>7</v>
      </c>
      <c r="I557" s="16" t="n">
        <f aca="false">0.5*(ABS(D557/A557-Declarations!$B$25)+ABS(E557/A557-Declarations!$B$26)+ABS(F557/A557-Declarations!$B$27)+ABS(G557/A557-Declarations!$B$28)+ABS(H557/A557-Declarations!$B$29))</f>
        <v>0.116666666666667</v>
      </c>
      <c r="J557" s="20" t="n">
        <v>0.713021460896897</v>
      </c>
      <c r="K557" s="26" t="n">
        <v>0</v>
      </c>
    </row>
    <row r="558" customFormat="false" ht="15" hidden="false" customHeight="false" outlineLevel="0" collapsed="false">
      <c r="A558" s="14" t="n">
        <v>120</v>
      </c>
      <c r="B558" s="14" t="n">
        <v>142</v>
      </c>
      <c r="C558" s="14" t="n">
        <f aca="false">Declarations!$B$47+1000*A558+B558</f>
        <v>1034142</v>
      </c>
      <c r="D558" s="26" t="n">
        <v>6</v>
      </c>
      <c r="E558" s="26" t="n">
        <v>32</v>
      </c>
      <c r="F558" s="26" t="n">
        <v>49</v>
      </c>
      <c r="G558" s="26" t="n">
        <v>27</v>
      </c>
      <c r="H558" s="26" t="n">
        <v>6</v>
      </c>
      <c r="I558" s="16" t="n">
        <f aca="false">0.5*(ABS(D558/A558-Declarations!$B$25)+ABS(E558/A558-Declarations!$B$26)+ABS(F558/A558-Declarations!$B$27)+ABS(G558/A558-Declarations!$B$28)+ABS(H558/A558-Declarations!$B$29))</f>
        <v>0.0916666666666667</v>
      </c>
      <c r="J558" s="20" t="n">
        <v>0</v>
      </c>
      <c r="K558" s="26" t="n">
        <v>1</v>
      </c>
    </row>
    <row r="559" customFormat="false" ht="15" hidden="false" customHeight="false" outlineLevel="0" collapsed="false">
      <c r="A559" s="14" t="n">
        <v>120</v>
      </c>
      <c r="B559" s="14" t="n">
        <v>143</v>
      </c>
      <c r="C559" s="14" t="n">
        <f aca="false">Declarations!$B$47+1000*A559+B559</f>
        <v>1034143</v>
      </c>
      <c r="D559" s="26" t="n">
        <v>3</v>
      </c>
      <c r="E559" s="26" t="n">
        <v>26</v>
      </c>
      <c r="F559" s="26" t="n">
        <v>65</v>
      </c>
      <c r="G559" s="26" t="n">
        <v>22</v>
      </c>
      <c r="H559" s="26" t="n">
        <v>4</v>
      </c>
      <c r="I559" s="16" t="n">
        <f aca="false">0.5*(ABS(D559/A559-Declarations!$B$25)+ABS(E559/A559-Declarations!$B$26)+ABS(F559/A559-Declarations!$B$27)+ABS(G559/A559-Declarations!$B$28)+ABS(H559/A559-Declarations!$B$29))</f>
        <v>0.0583333333333333</v>
      </c>
      <c r="J559" s="20" t="n">
        <v>0</v>
      </c>
      <c r="K559" s="26" t="n">
        <v>1</v>
      </c>
    </row>
    <row r="560" customFormat="false" ht="15" hidden="false" customHeight="false" outlineLevel="0" collapsed="false">
      <c r="A560" s="14" t="n">
        <v>120</v>
      </c>
      <c r="B560" s="14" t="n">
        <v>144</v>
      </c>
      <c r="C560" s="14" t="n">
        <f aca="false">Declarations!$B$47+1000*A560+B560</f>
        <v>1034144</v>
      </c>
      <c r="D560" s="26" t="n">
        <v>6</v>
      </c>
      <c r="E560" s="26" t="n">
        <v>21</v>
      </c>
      <c r="F560" s="26" t="n">
        <v>63</v>
      </c>
      <c r="G560" s="26" t="n">
        <v>23</v>
      </c>
      <c r="H560" s="26" t="n">
        <v>7</v>
      </c>
      <c r="I560" s="16" t="n">
        <f aca="false">0.5*(ABS(D560/A560-Declarations!$B$25)+ABS(E560/A560-Declarations!$B$26)+ABS(F560/A560-Declarations!$B$27)+ABS(G560/A560-Declarations!$B$28)+ABS(H560/A560-Declarations!$B$29))</f>
        <v>0.0333333333333334</v>
      </c>
      <c r="J560" s="20" t="n">
        <v>0</v>
      </c>
      <c r="K560" s="26" t="n">
        <v>1</v>
      </c>
    </row>
    <row r="561" customFormat="false" ht="15" hidden="false" customHeight="false" outlineLevel="0" collapsed="false">
      <c r="A561" s="14" t="n">
        <v>120</v>
      </c>
      <c r="B561" s="14" t="n">
        <v>145</v>
      </c>
      <c r="C561" s="14" t="n">
        <f aca="false">Declarations!$B$47+1000*A561+B561</f>
        <v>1034145</v>
      </c>
      <c r="D561" s="26" t="n">
        <v>1</v>
      </c>
      <c r="E561" s="26" t="n">
        <v>25</v>
      </c>
      <c r="F561" s="26" t="n">
        <v>56</v>
      </c>
      <c r="G561" s="26" t="n">
        <v>30</v>
      </c>
      <c r="H561" s="26" t="n">
        <v>8</v>
      </c>
      <c r="I561" s="16" t="n">
        <f aca="false">0.5*(ABS(D561/A561-Declarations!$B$25)+ABS(E561/A561-Declarations!$B$26)+ABS(F561/A561-Declarations!$B$27)+ABS(G561/A561-Declarations!$B$28)+ABS(H561/A561-Declarations!$B$29))</f>
        <v>0.075</v>
      </c>
      <c r="J561" s="20" t="n">
        <v>0.175883920405738</v>
      </c>
      <c r="K561" s="26" t="n">
        <v>0</v>
      </c>
    </row>
    <row r="562" customFormat="false" ht="15" hidden="false" customHeight="false" outlineLevel="0" collapsed="false">
      <c r="A562" s="14" t="n">
        <v>120</v>
      </c>
      <c r="B562" s="14" t="n">
        <v>146</v>
      </c>
      <c r="C562" s="14" t="n">
        <f aca="false">Declarations!$B$47+1000*A562+B562</f>
        <v>1034146</v>
      </c>
      <c r="D562" s="26" t="n">
        <v>8</v>
      </c>
      <c r="E562" s="26" t="n">
        <v>22</v>
      </c>
      <c r="F562" s="26" t="n">
        <v>64</v>
      </c>
      <c r="G562" s="26" t="n">
        <v>20</v>
      </c>
      <c r="H562" s="26" t="n">
        <v>6</v>
      </c>
      <c r="I562" s="16" t="n">
        <f aca="false">0.5*(ABS(D562/A562-Declarations!$B$25)+ABS(E562/A562-Declarations!$B$26)+ABS(F562/A562-Declarations!$B$27)+ABS(G562/A562-Declarations!$B$28)+ABS(H562/A562-Declarations!$B$29))</f>
        <v>0.05</v>
      </c>
      <c r="J562" s="20" t="n">
        <v>0</v>
      </c>
      <c r="K562" s="26" t="n">
        <v>1</v>
      </c>
    </row>
    <row r="563" customFormat="false" ht="15" hidden="false" customHeight="false" outlineLevel="0" collapsed="false">
      <c r="A563" s="14" t="n">
        <v>120</v>
      </c>
      <c r="B563" s="14" t="n">
        <v>147</v>
      </c>
      <c r="C563" s="14" t="n">
        <f aca="false">Declarations!$B$47+1000*A563+B563</f>
        <v>1034147</v>
      </c>
      <c r="D563" s="26" t="n">
        <v>12</v>
      </c>
      <c r="E563" s="26" t="n">
        <v>30</v>
      </c>
      <c r="F563" s="26" t="n">
        <v>51</v>
      </c>
      <c r="G563" s="26" t="n">
        <v>21</v>
      </c>
      <c r="H563" s="26" t="n">
        <v>6</v>
      </c>
      <c r="I563" s="16" t="n">
        <f aca="false">0.5*(ABS(D563/A563-Declarations!$B$25)+ABS(E563/A563-Declarations!$B$26)+ABS(F563/A563-Declarations!$B$27)+ABS(G563/A563-Declarations!$B$28)+ABS(H563/A563-Declarations!$B$29))</f>
        <v>0.1</v>
      </c>
      <c r="J563" s="20" t="n">
        <v>0</v>
      </c>
      <c r="K563" s="26" t="n">
        <v>1</v>
      </c>
    </row>
    <row r="564" customFormat="false" ht="15" hidden="false" customHeight="false" outlineLevel="0" collapsed="false">
      <c r="A564" s="14" t="n">
        <v>120</v>
      </c>
      <c r="B564" s="14" t="n">
        <v>148</v>
      </c>
      <c r="C564" s="14" t="n">
        <f aca="false">Declarations!$B$47+1000*A564+B564</f>
        <v>1034148</v>
      </c>
      <c r="D564" s="26" t="n">
        <v>9</v>
      </c>
      <c r="E564" s="26" t="n">
        <v>17</v>
      </c>
      <c r="F564" s="26" t="n">
        <v>63</v>
      </c>
      <c r="G564" s="26" t="n">
        <v>26</v>
      </c>
      <c r="H564" s="26" t="n">
        <v>5</v>
      </c>
      <c r="I564" s="16" t="n">
        <f aca="false">0.5*(ABS(D564/A564-Declarations!$B$25)+ABS(E564/A564-Declarations!$B$26)+ABS(F564/A564-Declarations!$B$27)+ABS(G564/A564-Declarations!$B$28)+ABS(H564/A564-Declarations!$B$29))</f>
        <v>0.0666666666666667</v>
      </c>
      <c r="J564" s="20" t="n">
        <v>0</v>
      </c>
      <c r="K564" s="26" t="n">
        <v>1</v>
      </c>
    </row>
    <row r="565" customFormat="false" ht="15" hidden="false" customHeight="false" outlineLevel="0" collapsed="false">
      <c r="A565" s="14" t="n">
        <v>120</v>
      </c>
      <c r="B565" s="14" t="n">
        <v>149</v>
      </c>
      <c r="C565" s="14" t="n">
        <f aca="false">Declarations!$B$47+1000*A565+B565</f>
        <v>1034149</v>
      </c>
      <c r="D565" s="26" t="n">
        <v>5</v>
      </c>
      <c r="E565" s="26" t="n">
        <v>20</v>
      </c>
      <c r="F565" s="26" t="n">
        <v>69</v>
      </c>
      <c r="G565" s="26" t="n">
        <v>22</v>
      </c>
      <c r="H565" s="26" t="n">
        <v>4</v>
      </c>
      <c r="I565" s="16" t="n">
        <f aca="false">0.5*(ABS(D565/A565-Declarations!$B$25)+ABS(E565/A565-Declarations!$B$26)+ABS(F565/A565-Declarations!$B$27)+ABS(G565/A565-Declarations!$B$28)+ABS(H565/A565-Declarations!$B$29))</f>
        <v>0.075</v>
      </c>
      <c r="J565" s="20" t="n">
        <v>0</v>
      </c>
      <c r="K565" s="26" t="n">
        <v>1</v>
      </c>
    </row>
    <row r="566" customFormat="false" ht="15" hidden="false" customHeight="false" outlineLevel="0" collapsed="false">
      <c r="A566" s="14" t="n">
        <v>120</v>
      </c>
      <c r="B566" s="14" t="n">
        <v>150</v>
      </c>
      <c r="C566" s="14" t="n">
        <f aca="false">Declarations!$B$47+1000*A566+B566</f>
        <v>1034150</v>
      </c>
      <c r="D566" s="26" t="n">
        <v>9</v>
      </c>
      <c r="E566" s="26" t="n">
        <v>15</v>
      </c>
      <c r="F566" s="26" t="n">
        <v>63</v>
      </c>
      <c r="G566" s="26" t="n">
        <v>26</v>
      </c>
      <c r="H566" s="26" t="n">
        <v>7</v>
      </c>
      <c r="I566" s="16" t="n">
        <f aca="false">0.5*(ABS(D566/A566-Declarations!$B$25)+ABS(E566/A566-Declarations!$B$26)+ABS(F566/A566-Declarations!$B$27)+ABS(G566/A566-Declarations!$B$28)+ABS(H566/A566-Declarations!$B$29))</f>
        <v>0.075</v>
      </c>
      <c r="J566" s="20" t="n">
        <v>0</v>
      </c>
      <c r="K566" s="26" t="n">
        <v>1</v>
      </c>
    </row>
    <row r="567" customFormat="false" ht="15" hidden="false" customHeight="false" outlineLevel="0" collapsed="false">
      <c r="A567" s="14" t="n">
        <v>120</v>
      </c>
      <c r="B567" s="14" t="n">
        <v>151</v>
      </c>
      <c r="C567" s="14" t="n">
        <f aca="false">Declarations!$B$47+1000*A567+B567</f>
        <v>1034151</v>
      </c>
      <c r="D567" s="26" t="n">
        <v>4</v>
      </c>
      <c r="E567" s="26" t="n">
        <v>27</v>
      </c>
      <c r="F567" s="26" t="n">
        <v>70</v>
      </c>
      <c r="G567" s="26" t="n">
        <v>15</v>
      </c>
      <c r="H567" s="26" t="n">
        <v>4</v>
      </c>
      <c r="I567" s="16" t="n">
        <f aca="false">0.5*(ABS(D567/A567-Declarations!$B$25)+ABS(E567/A567-Declarations!$B$26)+ABS(F567/A567-Declarations!$B$27)+ABS(G567/A567-Declarations!$B$28)+ABS(H567/A567-Declarations!$B$29))</f>
        <v>0.108333333333333</v>
      </c>
      <c r="J567" s="20" t="n">
        <v>0</v>
      </c>
      <c r="K567" s="26" t="n">
        <v>1</v>
      </c>
    </row>
    <row r="568" customFormat="false" ht="15" hidden="false" customHeight="false" outlineLevel="0" collapsed="false">
      <c r="A568" s="14" t="n">
        <v>120</v>
      </c>
      <c r="B568" s="14" t="n">
        <v>152</v>
      </c>
      <c r="C568" s="14" t="n">
        <f aca="false">Declarations!$B$47+1000*A568+B568</f>
        <v>1034152</v>
      </c>
      <c r="D568" s="26" t="n">
        <v>4</v>
      </c>
      <c r="E568" s="26" t="n">
        <v>28</v>
      </c>
      <c r="F568" s="26" t="n">
        <v>63</v>
      </c>
      <c r="G568" s="26" t="n">
        <v>21</v>
      </c>
      <c r="H568" s="26" t="n">
        <v>4</v>
      </c>
      <c r="I568" s="16" t="n">
        <f aca="false">0.5*(ABS(D568/A568-Declarations!$B$25)+ABS(E568/A568-Declarations!$B$26)+ABS(F568/A568-Declarations!$B$27)+ABS(G568/A568-Declarations!$B$28)+ABS(H568/A568-Declarations!$B$29))</f>
        <v>0.0583333333333334</v>
      </c>
      <c r="J568" s="20" t="n">
        <v>0</v>
      </c>
      <c r="K568" s="26" t="n">
        <v>1</v>
      </c>
    </row>
    <row r="569" customFormat="false" ht="15" hidden="false" customHeight="false" outlineLevel="0" collapsed="false">
      <c r="A569" s="14" t="n">
        <v>120</v>
      </c>
      <c r="B569" s="14" t="n">
        <v>153</v>
      </c>
      <c r="C569" s="14" t="n">
        <f aca="false">Declarations!$B$47+1000*A569+B569</f>
        <v>1034153</v>
      </c>
      <c r="D569" s="26" t="n">
        <v>5</v>
      </c>
      <c r="E569" s="26" t="n">
        <v>23</v>
      </c>
      <c r="F569" s="26" t="n">
        <v>60</v>
      </c>
      <c r="G569" s="26" t="n">
        <v>25</v>
      </c>
      <c r="H569" s="26" t="n">
        <v>7</v>
      </c>
      <c r="I569" s="16" t="n">
        <f aca="false">0.5*(ABS(D569/A569-Declarations!$B$25)+ABS(E569/A569-Declarations!$B$26)+ABS(F569/A569-Declarations!$B$27)+ABS(G569/A569-Declarations!$B$28)+ABS(H569/A569-Declarations!$B$29))</f>
        <v>0.0166666666666667</v>
      </c>
      <c r="J569" s="20" t="n">
        <v>0</v>
      </c>
      <c r="K569" s="26" t="n">
        <v>1</v>
      </c>
    </row>
    <row r="570" customFormat="false" ht="15" hidden="false" customHeight="false" outlineLevel="0" collapsed="false">
      <c r="A570" s="14" t="n">
        <v>120</v>
      </c>
      <c r="B570" s="14" t="n">
        <v>154</v>
      </c>
      <c r="C570" s="14" t="n">
        <f aca="false">Declarations!$B$47+1000*A570+B570</f>
        <v>1034154</v>
      </c>
      <c r="D570" s="26" t="n">
        <v>9</v>
      </c>
      <c r="E570" s="26" t="n">
        <v>19</v>
      </c>
      <c r="F570" s="26" t="n">
        <v>60</v>
      </c>
      <c r="G570" s="26" t="n">
        <v>28</v>
      </c>
      <c r="H570" s="26" t="n">
        <v>4</v>
      </c>
      <c r="I570" s="16" t="n">
        <f aca="false">0.5*(ABS(D570/A570-Declarations!$B$25)+ABS(E570/A570-Declarations!$B$26)+ABS(F570/A570-Declarations!$B$27)+ABS(G570/A570-Declarations!$B$28)+ABS(H570/A570-Declarations!$B$29))</f>
        <v>0.0583333333333333</v>
      </c>
      <c r="J570" s="20" t="n">
        <v>0</v>
      </c>
      <c r="K570" s="26" t="n">
        <v>1</v>
      </c>
    </row>
    <row r="571" customFormat="false" ht="15" hidden="false" customHeight="false" outlineLevel="0" collapsed="false">
      <c r="A571" s="14" t="n">
        <v>120</v>
      </c>
      <c r="B571" s="14" t="n">
        <v>155</v>
      </c>
      <c r="C571" s="14" t="n">
        <f aca="false">Declarations!$B$47+1000*A571+B571</f>
        <v>1034155</v>
      </c>
      <c r="D571" s="26" t="n">
        <v>5</v>
      </c>
      <c r="E571" s="26" t="n">
        <v>27</v>
      </c>
      <c r="F571" s="26" t="n">
        <v>58</v>
      </c>
      <c r="G571" s="26" t="n">
        <v>26</v>
      </c>
      <c r="H571" s="26" t="n">
        <v>4</v>
      </c>
      <c r="I571" s="16" t="n">
        <f aca="false">0.5*(ABS(D571/A571-Declarations!$B$25)+ABS(E571/A571-Declarations!$B$26)+ABS(F571/A571-Declarations!$B$27)+ABS(G571/A571-Declarations!$B$28)+ABS(H571/A571-Declarations!$B$29))</f>
        <v>0.0416666666666667</v>
      </c>
      <c r="J571" s="20" t="n">
        <v>0</v>
      </c>
      <c r="K571" s="26" t="n">
        <v>1</v>
      </c>
    </row>
    <row r="572" customFormat="false" ht="15" hidden="false" customHeight="false" outlineLevel="0" collapsed="false">
      <c r="A572" s="14" t="n">
        <v>120</v>
      </c>
      <c r="B572" s="14" t="n">
        <v>156</v>
      </c>
      <c r="C572" s="14" t="n">
        <f aca="false">Declarations!$B$47+1000*A572+B572</f>
        <v>1034156</v>
      </c>
      <c r="D572" s="26" t="n">
        <v>6</v>
      </c>
      <c r="E572" s="26" t="n">
        <v>18</v>
      </c>
      <c r="F572" s="26" t="n">
        <v>66</v>
      </c>
      <c r="G572" s="26" t="n">
        <v>25</v>
      </c>
      <c r="H572" s="26" t="n">
        <v>5</v>
      </c>
      <c r="I572" s="16" t="n">
        <f aca="false">0.5*(ABS(D572/A572-Declarations!$B$25)+ABS(E572/A572-Declarations!$B$26)+ABS(F572/A572-Declarations!$B$27)+ABS(G572/A572-Declarations!$B$28)+ABS(H572/A572-Declarations!$B$29))</f>
        <v>0.0583333333333334</v>
      </c>
      <c r="J572" s="20" t="n">
        <v>0</v>
      </c>
      <c r="K572" s="26" t="n">
        <v>1</v>
      </c>
    </row>
    <row r="573" customFormat="false" ht="15" hidden="false" customHeight="false" outlineLevel="0" collapsed="false">
      <c r="A573" s="14" t="n">
        <v>120</v>
      </c>
      <c r="B573" s="14" t="n">
        <v>157</v>
      </c>
      <c r="C573" s="14" t="n">
        <f aca="false">Declarations!$B$47+1000*A573+B573</f>
        <v>1034157</v>
      </c>
      <c r="D573" s="26" t="n">
        <v>8</v>
      </c>
      <c r="E573" s="26" t="n">
        <v>28</v>
      </c>
      <c r="F573" s="26" t="n">
        <v>57</v>
      </c>
      <c r="G573" s="26" t="n">
        <v>20</v>
      </c>
      <c r="H573" s="26" t="n">
        <v>7</v>
      </c>
      <c r="I573" s="16" t="n">
        <f aca="false">0.5*(ABS(D573/A573-Declarations!$B$25)+ABS(E573/A573-Declarations!$B$26)+ABS(F573/A573-Declarations!$B$27)+ABS(G573/A573-Declarations!$B$28)+ABS(H573/A573-Declarations!$B$29))</f>
        <v>0.0583333333333334</v>
      </c>
      <c r="J573" s="20" t="n">
        <v>0</v>
      </c>
      <c r="K573" s="26" t="n">
        <v>1</v>
      </c>
    </row>
    <row r="574" customFormat="false" ht="15" hidden="false" customHeight="false" outlineLevel="0" collapsed="false">
      <c r="A574" s="14" t="n">
        <v>120</v>
      </c>
      <c r="B574" s="14" t="n">
        <v>158</v>
      </c>
      <c r="C574" s="14" t="n">
        <f aca="false">Declarations!$B$47+1000*A574+B574</f>
        <v>1034158</v>
      </c>
      <c r="D574" s="26" t="n">
        <v>3</v>
      </c>
      <c r="E574" s="26" t="n">
        <v>24</v>
      </c>
      <c r="F574" s="26" t="n">
        <v>59</v>
      </c>
      <c r="G574" s="26" t="n">
        <v>30</v>
      </c>
      <c r="H574" s="26" t="n">
        <v>4</v>
      </c>
      <c r="I574" s="16" t="n">
        <f aca="false">0.5*(ABS(D574/A574-Declarations!$B$25)+ABS(E574/A574-Declarations!$B$26)+ABS(F574/A574-Declarations!$B$27)+ABS(G574/A574-Declarations!$B$28)+ABS(H574/A574-Declarations!$B$29))</f>
        <v>0.05</v>
      </c>
      <c r="J574" s="20" t="n">
        <v>0</v>
      </c>
      <c r="K574" s="26" t="n">
        <v>1</v>
      </c>
    </row>
    <row r="575" customFormat="false" ht="15" hidden="false" customHeight="false" outlineLevel="0" collapsed="false">
      <c r="A575" s="14" t="n">
        <v>120</v>
      </c>
      <c r="B575" s="14" t="n">
        <v>159</v>
      </c>
      <c r="C575" s="14" t="n">
        <f aca="false">Declarations!$B$47+1000*A575+B575</f>
        <v>1034159</v>
      </c>
      <c r="D575" s="26" t="n">
        <v>7</v>
      </c>
      <c r="E575" s="26" t="n">
        <v>23</v>
      </c>
      <c r="F575" s="26" t="n">
        <v>63</v>
      </c>
      <c r="G575" s="26" t="n">
        <v>18</v>
      </c>
      <c r="H575" s="26" t="n">
        <v>9</v>
      </c>
      <c r="I575" s="16" t="n">
        <f aca="false">0.5*(ABS(D575/A575-Declarations!$B$25)+ABS(E575/A575-Declarations!$B$26)+ABS(F575/A575-Declarations!$B$27)+ABS(G575/A575-Declarations!$B$28)+ABS(H575/A575-Declarations!$B$29))</f>
        <v>0.0583333333333334</v>
      </c>
      <c r="J575" s="20" t="n">
        <v>0</v>
      </c>
      <c r="K575" s="26" t="n">
        <v>1</v>
      </c>
    </row>
    <row r="576" customFormat="false" ht="15" hidden="false" customHeight="false" outlineLevel="0" collapsed="false">
      <c r="A576" s="14" t="n">
        <v>120</v>
      </c>
      <c r="B576" s="14" t="n">
        <v>160</v>
      </c>
      <c r="C576" s="14" t="n">
        <f aca="false">Declarations!$B$47+1000*A576+B576</f>
        <v>1034160</v>
      </c>
      <c r="D576" s="26" t="n">
        <v>9</v>
      </c>
      <c r="E576" s="26" t="n">
        <v>20</v>
      </c>
      <c r="F576" s="26" t="n">
        <v>64</v>
      </c>
      <c r="G576" s="26" t="n">
        <v>19</v>
      </c>
      <c r="H576" s="26" t="n">
        <v>8</v>
      </c>
      <c r="I576" s="16" t="n">
        <f aca="false">0.5*(ABS(D576/A576-Declarations!$B$25)+ABS(E576/A576-Declarations!$B$26)+ABS(F576/A576-Declarations!$B$27)+ABS(G576/A576-Declarations!$B$28)+ABS(H576/A576-Declarations!$B$29))</f>
        <v>0.075</v>
      </c>
      <c r="J576" s="20" t="n">
        <v>0</v>
      </c>
      <c r="K576" s="26" t="n">
        <v>1</v>
      </c>
    </row>
    <row r="577" customFormat="false" ht="15" hidden="false" customHeight="false" outlineLevel="0" collapsed="false">
      <c r="A577" s="14" t="n">
        <v>120</v>
      </c>
      <c r="B577" s="14" t="n">
        <v>161</v>
      </c>
      <c r="C577" s="14" t="n">
        <f aca="false">Declarations!$B$47+1000*A577+B577</f>
        <v>1034161</v>
      </c>
      <c r="D577" s="26" t="n">
        <v>8</v>
      </c>
      <c r="E577" s="26" t="n">
        <v>23</v>
      </c>
      <c r="F577" s="26" t="n">
        <v>64</v>
      </c>
      <c r="G577" s="26" t="n">
        <v>21</v>
      </c>
      <c r="H577" s="26" t="n">
        <v>4</v>
      </c>
      <c r="I577" s="16" t="n">
        <f aca="false">0.5*(ABS(D577/A577-Declarations!$B$25)+ABS(E577/A577-Declarations!$B$26)+ABS(F577/A577-Declarations!$B$27)+ABS(G577/A577-Declarations!$B$28)+ABS(H577/A577-Declarations!$B$29))</f>
        <v>0.05</v>
      </c>
      <c r="J577" s="20" t="n">
        <v>0</v>
      </c>
      <c r="K577" s="26" t="n">
        <v>1</v>
      </c>
    </row>
    <row r="578" customFormat="false" ht="15" hidden="false" customHeight="false" outlineLevel="0" collapsed="false">
      <c r="A578" s="14" t="n">
        <v>120</v>
      </c>
      <c r="B578" s="14" t="n">
        <v>162</v>
      </c>
      <c r="C578" s="14" t="n">
        <f aca="false">Declarations!$B$47+1000*A578+B578</f>
        <v>1034162</v>
      </c>
      <c r="D578" s="26" t="n">
        <v>9</v>
      </c>
      <c r="E578" s="26" t="n">
        <v>28</v>
      </c>
      <c r="F578" s="26" t="n">
        <v>56</v>
      </c>
      <c r="G578" s="26" t="n">
        <v>24</v>
      </c>
      <c r="H578" s="26" t="n">
        <v>3</v>
      </c>
      <c r="I578" s="16" t="n">
        <f aca="false">0.5*(ABS(D578/A578-Declarations!$B$25)+ABS(E578/A578-Declarations!$B$26)+ABS(F578/A578-Declarations!$B$27)+ABS(G578/A578-Declarations!$B$28)+ABS(H578/A578-Declarations!$B$29))</f>
        <v>0.0583333333333333</v>
      </c>
      <c r="J578" s="20" t="n">
        <v>0</v>
      </c>
      <c r="K578" s="26" t="n">
        <v>1</v>
      </c>
    </row>
    <row r="579" customFormat="false" ht="15" hidden="false" customHeight="false" outlineLevel="0" collapsed="false">
      <c r="A579" s="14" t="n">
        <v>120</v>
      </c>
      <c r="B579" s="14" t="n">
        <v>163</v>
      </c>
      <c r="C579" s="14" t="n">
        <f aca="false">Declarations!$B$47+1000*A579+B579</f>
        <v>1034163</v>
      </c>
      <c r="D579" s="26" t="n">
        <v>7</v>
      </c>
      <c r="E579" s="26" t="n">
        <v>24</v>
      </c>
      <c r="F579" s="26" t="n">
        <v>69</v>
      </c>
      <c r="G579" s="26" t="n">
        <v>15</v>
      </c>
      <c r="H579" s="26" t="n">
        <v>5</v>
      </c>
      <c r="I579" s="16" t="n">
        <f aca="false">0.5*(ABS(D579/A579-Declarations!$B$25)+ABS(E579/A579-Declarations!$B$26)+ABS(F579/A579-Declarations!$B$27)+ABS(G579/A579-Declarations!$B$28)+ABS(H579/A579-Declarations!$B$29))</f>
        <v>0.0833333333333333</v>
      </c>
      <c r="J579" s="20" t="n">
        <v>0</v>
      </c>
      <c r="K579" s="26" t="n">
        <v>1</v>
      </c>
    </row>
    <row r="580" customFormat="false" ht="15" hidden="false" customHeight="false" outlineLevel="0" collapsed="false">
      <c r="A580" s="14" t="n">
        <v>120</v>
      </c>
      <c r="B580" s="14" t="n">
        <v>164</v>
      </c>
      <c r="C580" s="14" t="n">
        <f aca="false">Declarations!$B$47+1000*A580+B580</f>
        <v>1034164</v>
      </c>
      <c r="D580" s="26" t="n">
        <v>4</v>
      </c>
      <c r="E580" s="26" t="n">
        <v>21</v>
      </c>
      <c r="F580" s="26" t="n">
        <v>61</v>
      </c>
      <c r="G580" s="26" t="n">
        <v>26</v>
      </c>
      <c r="H580" s="26" t="n">
        <v>8</v>
      </c>
      <c r="I580" s="16" t="n">
        <f aca="false">0.5*(ABS(D580/A580-Declarations!$B$25)+ABS(E580/A580-Declarations!$B$26)+ABS(F580/A580-Declarations!$B$27)+ABS(G580/A580-Declarations!$B$28)+ABS(H580/A580-Declarations!$B$29))</f>
        <v>0.0416666666666667</v>
      </c>
      <c r="J580" s="20" t="n">
        <v>0.00281729995887758</v>
      </c>
      <c r="K580" s="26" t="n">
        <v>0</v>
      </c>
    </row>
    <row r="581" customFormat="false" ht="15" hidden="false" customHeight="false" outlineLevel="0" collapsed="false">
      <c r="A581" s="14" t="n">
        <v>120</v>
      </c>
      <c r="B581" s="14" t="n">
        <v>165</v>
      </c>
      <c r="C581" s="14" t="n">
        <f aca="false">Declarations!$B$47+1000*A581+B581</f>
        <v>1034165</v>
      </c>
      <c r="D581" s="26" t="n">
        <v>4</v>
      </c>
      <c r="E581" s="26" t="n">
        <v>22</v>
      </c>
      <c r="F581" s="26" t="n">
        <v>69</v>
      </c>
      <c r="G581" s="26" t="n">
        <v>17</v>
      </c>
      <c r="H581" s="26" t="n">
        <v>8</v>
      </c>
      <c r="I581" s="16" t="n">
        <f aca="false">0.5*(ABS(D581/A581-Declarations!$B$25)+ABS(E581/A581-Declarations!$B$26)+ABS(F581/A581-Declarations!$B$27)+ABS(G581/A581-Declarations!$B$28)+ABS(H581/A581-Declarations!$B$29))</f>
        <v>0.0916666666666667</v>
      </c>
      <c r="J581" s="20" t="n">
        <v>0</v>
      </c>
      <c r="K581" s="26" t="n">
        <v>1</v>
      </c>
    </row>
    <row r="582" customFormat="false" ht="15" hidden="false" customHeight="false" outlineLevel="0" collapsed="false">
      <c r="A582" s="14" t="n">
        <v>120</v>
      </c>
      <c r="B582" s="14" t="n">
        <v>166</v>
      </c>
      <c r="C582" s="14" t="n">
        <f aca="false">Declarations!$B$47+1000*A582+B582</f>
        <v>1034166</v>
      </c>
      <c r="D582" s="26" t="n">
        <v>11</v>
      </c>
      <c r="E582" s="26" t="n">
        <v>33</v>
      </c>
      <c r="F582" s="26" t="n">
        <v>53</v>
      </c>
      <c r="G582" s="26" t="n">
        <v>20</v>
      </c>
      <c r="H582" s="26" t="n">
        <v>3</v>
      </c>
      <c r="I582" s="16" t="n">
        <f aca="false">0.5*(ABS(D582/A582-Declarations!$B$25)+ABS(E582/A582-Declarations!$B$26)+ABS(F582/A582-Declarations!$B$27)+ABS(G582/A582-Declarations!$B$28)+ABS(H582/A582-Declarations!$B$29))</f>
        <v>0.116666666666667</v>
      </c>
      <c r="J582" s="20" t="n">
        <v>0</v>
      </c>
      <c r="K582" s="26" t="n">
        <v>1</v>
      </c>
    </row>
    <row r="583" customFormat="false" ht="15" hidden="false" customHeight="false" outlineLevel="0" collapsed="false">
      <c r="A583" s="14" t="n">
        <v>120</v>
      </c>
      <c r="B583" s="14" t="n">
        <v>167</v>
      </c>
      <c r="C583" s="14" t="n">
        <f aca="false">Declarations!$B$47+1000*A583+B583</f>
        <v>1034167</v>
      </c>
      <c r="D583" s="26" t="n">
        <v>5</v>
      </c>
      <c r="E583" s="26" t="n">
        <v>27</v>
      </c>
      <c r="F583" s="26" t="n">
        <v>59</v>
      </c>
      <c r="G583" s="26" t="n">
        <v>24</v>
      </c>
      <c r="H583" s="26" t="n">
        <v>5</v>
      </c>
      <c r="I583" s="16" t="n">
        <f aca="false">0.5*(ABS(D583/A583-Declarations!$B$25)+ABS(E583/A583-Declarations!$B$26)+ABS(F583/A583-Declarations!$B$27)+ABS(G583/A583-Declarations!$B$28)+ABS(H583/A583-Declarations!$B$29))</f>
        <v>0.025</v>
      </c>
      <c r="J583" s="20" t="n">
        <v>0</v>
      </c>
      <c r="K583" s="26" t="n">
        <v>1</v>
      </c>
    </row>
    <row r="584" customFormat="false" ht="15" hidden="false" customHeight="false" outlineLevel="0" collapsed="false">
      <c r="A584" s="14" t="n">
        <v>120</v>
      </c>
      <c r="B584" s="14" t="n">
        <v>168</v>
      </c>
      <c r="C584" s="14" t="n">
        <f aca="false">Declarations!$B$47+1000*A584+B584</f>
        <v>1034168</v>
      </c>
      <c r="D584" s="26" t="n">
        <v>7</v>
      </c>
      <c r="E584" s="26" t="n">
        <v>21</v>
      </c>
      <c r="F584" s="26" t="n">
        <v>53</v>
      </c>
      <c r="G584" s="26" t="n">
        <v>28</v>
      </c>
      <c r="H584" s="26" t="n">
        <v>11</v>
      </c>
      <c r="I584" s="16" t="n">
        <f aca="false">0.5*(ABS(D584/A584-Declarations!$B$25)+ABS(E584/A584-Declarations!$B$26)+ABS(F584/A584-Declarations!$B$27)+ABS(G584/A584-Declarations!$B$28)+ABS(H584/A584-Declarations!$B$29))</f>
        <v>0.0833333333333333</v>
      </c>
      <c r="J584" s="20" t="n">
        <v>0</v>
      </c>
      <c r="K584" s="26" t="n">
        <v>1</v>
      </c>
    </row>
    <row r="585" customFormat="false" ht="15" hidden="false" customHeight="false" outlineLevel="0" collapsed="false">
      <c r="A585" s="14" t="n">
        <v>120</v>
      </c>
      <c r="B585" s="14" t="n">
        <v>169</v>
      </c>
      <c r="C585" s="14" t="n">
        <f aca="false">Declarations!$B$47+1000*A585+B585</f>
        <v>1034169</v>
      </c>
      <c r="D585" s="26" t="n">
        <v>2</v>
      </c>
      <c r="E585" s="26" t="n">
        <v>24</v>
      </c>
      <c r="F585" s="26" t="n">
        <v>65</v>
      </c>
      <c r="G585" s="26" t="n">
        <v>23</v>
      </c>
      <c r="H585" s="26" t="n">
        <v>6</v>
      </c>
      <c r="I585" s="16" t="n">
        <f aca="false">0.5*(ABS(D585/A585-Declarations!$B$25)+ABS(E585/A585-Declarations!$B$26)+ABS(F585/A585-Declarations!$B$27)+ABS(G585/A585-Declarations!$B$28)+ABS(H585/A585-Declarations!$B$29))</f>
        <v>0.0416666666666667</v>
      </c>
      <c r="J585" s="20" t="n">
        <v>0.115817627028463</v>
      </c>
      <c r="K585" s="26" t="n">
        <v>0</v>
      </c>
    </row>
    <row r="586" customFormat="false" ht="15" hidden="false" customHeight="false" outlineLevel="0" collapsed="false">
      <c r="A586" s="14" t="n">
        <v>120</v>
      </c>
      <c r="B586" s="14" t="n">
        <v>170</v>
      </c>
      <c r="C586" s="14" t="n">
        <f aca="false">Declarations!$B$47+1000*A586+B586</f>
        <v>1034170</v>
      </c>
      <c r="D586" s="26" t="n">
        <v>2</v>
      </c>
      <c r="E586" s="26" t="n">
        <v>19</v>
      </c>
      <c r="F586" s="26" t="n">
        <v>71</v>
      </c>
      <c r="G586" s="26" t="n">
        <v>23</v>
      </c>
      <c r="H586" s="26" t="n">
        <v>5</v>
      </c>
      <c r="I586" s="16" t="n">
        <f aca="false">0.5*(ABS(D586/A586-Declarations!$B$25)+ABS(E586/A586-Declarations!$B$26)+ABS(F586/A586-Declarations!$B$27)+ABS(G586/A586-Declarations!$B$28)+ABS(H586/A586-Declarations!$B$29))</f>
        <v>0.0916666666666667</v>
      </c>
      <c r="J586" s="20" t="n">
        <v>0.683019168813217</v>
      </c>
      <c r="K586" s="26" t="n">
        <v>0</v>
      </c>
    </row>
    <row r="587" customFormat="false" ht="15" hidden="false" customHeight="false" outlineLevel="0" collapsed="false">
      <c r="A587" s="14" t="n">
        <v>120</v>
      </c>
      <c r="B587" s="14" t="n">
        <v>171</v>
      </c>
      <c r="C587" s="14" t="n">
        <f aca="false">Declarations!$B$47+1000*A587+B587</f>
        <v>1034171</v>
      </c>
      <c r="D587" s="26" t="n">
        <v>4</v>
      </c>
      <c r="E587" s="26" t="n">
        <v>28</v>
      </c>
      <c r="F587" s="26" t="n">
        <v>55</v>
      </c>
      <c r="G587" s="26" t="n">
        <v>27</v>
      </c>
      <c r="H587" s="26" t="n">
        <v>6</v>
      </c>
      <c r="I587" s="16" t="n">
        <f aca="false">0.5*(ABS(D587/A587-Declarations!$B$25)+ABS(E587/A587-Declarations!$B$26)+ABS(F587/A587-Declarations!$B$27)+ABS(G587/A587-Declarations!$B$28)+ABS(H587/A587-Declarations!$B$29))</f>
        <v>0.0583333333333333</v>
      </c>
      <c r="J587" s="20" t="n">
        <v>0</v>
      </c>
      <c r="K587" s="26" t="n">
        <v>1</v>
      </c>
    </row>
    <row r="588" customFormat="false" ht="15" hidden="false" customHeight="false" outlineLevel="0" collapsed="false">
      <c r="A588" s="14" t="n">
        <v>120</v>
      </c>
      <c r="B588" s="14" t="n">
        <v>172</v>
      </c>
      <c r="C588" s="14" t="n">
        <f aca="false">Declarations!$B$47+1000*A588+B588</f>
        <v>1034172</v>
      </c>
      <c r="D588" s="26" t="n">
        <v>6</v>
      </c>
      <c r="E588" s="26" t="n">
        <v>25</v>
      </c>
      <c r="F588" s="26" t="n">
        <v>61</v>
      </c>
      <c r="G588" s="26" t="n">
        <v>22</v>
      </c>
      <c r="H588" s="26" t="n">
        <v>6</v>
      </c>
      <c r="I588" s="16" t="n">
        <f aca="false">0.5*(ABS(D588/A588-Declarations!$B$25)+ABS(E588/A588-Declarations!$B$26)+ABS(F588/A588-Declarations!$B$27)+ABS(G588/A588-Declarations!$B$28)+ABS(H588/A588-Declarations!$B$29))</f>
        <v>0.0166666666666667</v>
      </c>
      <c r="J588" s="20" t="n">
        <v>0</v>
      </c>
      <c r="K588" s="26" t="n">
        <v>1</v>
      </c>
    </row>
    <row r="589" customFormat="false" ht="15" hidden="false" customHeight="false" outlineLevel="0" collapsed="false">
      <c r="A589" s="14" t="n">
        <v>120</v>
      </c>
      <c r="B589" s="14" t="n">
        <v>173</v>
      </c>
      <c r="C589" s="14" t="n">
        <f aca="false">Declarations!$B$47+1000*A589+B589</f>
        <v>1034173</v>
      </c>
      <c r="D589" s="26" t="n">
        <v>7</v>
      </c>
      <c r="E589" s="26" t="n">
        <v>25</v>
      </c>
      <c r="F589" s="26" t="n">
        <v>64</v>
      </c>
      <c r="G589" s="26" t="n">
        <v>18</v>
      </c>
      <c r="H589" s="26" t="n">
        <v>6</v>
      </c>
      <c r="I589" s="16" t="n">
        <f aca="false">0.5*(ABS(D589/A589-Declarations!$B$25)+ABS(E589/A589-Declarations!$B$26)+ABS(F589/A589-Declarations!$B$27)+ABS(G589/A589-Declarations!$B$28)+ABS(H589/A589-Declarations!$B$29))</f>
        <v>0.05</v>
      </c>
      <c r="J589" s="20" t="n">
        <v>0</v>
      </c>
      <c r="K589" s="26" t="n">
        <v>1</v>
      </c>
    </row>
    <row r="590" customFormat="false" ht="15" hidden="false" customHeight="false" outlineLevel="0" collapsed="false">
      <c r="A590" s="14" t="n">
        <v>120</v>
      </c>
      <c r="B590" s="14" t="n">
        <v>174</v>
      </c>
      <c r="C590" s="14" t="n">
        <f aca="false">Declarations!$B$47+1000*A590+B590</f>
        <v>1034174</v>
      </c>
      <c r="D590" s="26" t="n">
        <v>8</v>
      </c>
      <c r="E590" s="26" t="n">
        <v>25</v>
      </c>
      <c r="F590" s="26" t="n">
        <v>58</v>
      </c>
      <c r="G590" s="26" t="n">
        <v>24</v>
      </c>
      <c r="H590" s="26" t="n">
        <v>5</v>
      </c>
      <c r="I590" s="16" t="n">
        <f aca="false">0.5*(ABS(D590/A590-Declarations!$B$25)+ABS(E590/A590-Declarations!$B$26)+ABS(F590/A590-Declarations!$B$27)+ABS(G590/A590-Declarations!$B$28)+ABS(H590/A590-Declarations!$B$29))</f>
        <v>0.025</v>
      </c>
      <c r="J590" s="20" t="n">
        <v>0</v>
      </c>
      <c r="K590" s="26" t="n">
        <v>1</v>
      </c>
    </row>
    <row r="591" customFormat="false" ht="15" hidden="false" customHeight="false" outlineLevel="0" collapsed="false">
      <c r="A591" s="14" t="n">
        <v>120</v>
      </c>
      <c r="B591" s="14" t="n">
        <v>175</v>
      </c>
      <c r="C591" s="14" t="n">
        <f aca="false">Declarations!$B$47+1000*A591+B591</f>
        <v>1034175</v>
      </c>
      <c r="D591" s="26" t="n">
        <v>4</v>
      </c>
      <c r="E591" s="26" t="n">
        <v>24</v>
      </c>
      <c r="F591" s="26" t="n">
        <v>61</v>
      </c>
      <c r="G591" s="26" t="n">
        <v>23</v>
      </c>
      <c r="H591" s="26" t="n">
        <v>8</v>
      </c>
      <c r="I591" s="16" t="n">
        <f aca="false">0.5*(ABS(D591/A591-Declarations!$B$25)+ABS(E591/A591-Declarations!$B$26)+ABS(F591/A591-Declarations!$B$27)+ABS(G591/A591-Declarations!$B$28)+ABS(H591/A591-Declarations!$B$29))</f>
        <v>0.025</v>
      </c>
      <c r="J591" s="20" t="n">
        <v>0</v>
      </c>
      <c r="K591" s="26" t="n">
        <v>1</v>
      </c>
    </row>
    <row r="592" customFormat="false" ht="15" hidden="false" customHeight="false" outlineLevel="0" collapsed="false">
      <c r="A592" s="14" t="n">
        <v>120</v>
      </c>
      <c r="B592" s="14" t="n">
        <v>176</v>
      </c>
      <c r="C592" s="14" t="n">
        <f aca="false">Declarations!$B$47+1000*A592+B592</f>
        <v>1034176</v>
      </c>
      <c r="D592" s="26" t="n">
        <v>7</v>
      </c>
      <c r="E592" s="26" t="n">
        <v>26</v>
      </c>
      <c r="F592" s="26" t="n">
        <v>60</v>
      </c>
      <c r="G592" s="26" t="n">
        <v>20</v>
      </c>
      <c r="H592" s="26" t="n">
        <v>7</v>
      </c>
      <c r="I592" s="16" t="n">
        <f aca="false">0.5*(ABS(D592/A592-Declarations!$B$25)+ABS(E592/A592-Declarations!$B$26)+ABS(F592/A592-Declarations!$B$27)+ABS(G592/A592-Declarations!$B$28)+ABS(H592/A592-Declarations!$B$29))</f>
        <v>0.0333333333333333</v>
      </c>
      <c r="J592" s="20" t="n">
        <v>0</v>
      </c>
      <c r="K592" s="26" t="n">
        <v>1</v>
      </c>
    </row>
    <row r="593" customFormat="false" ht="15" hidden="false" customHeight="false" outlineLevel="0" collapsed="false">
      <c r="A593" s="14" t="n">
        <v>120</v>
      </c>
      <c r="B593" s="14" t="n">
        <v>177</v>
      </c>
      <c r="C593" s="14" t="n">
        <f aca="false">Declarations!$B$47+1000*A593+B593</f>
        <v>1034177</v>
      </c>
      <c r="D593" s="26" t="n">
        <v>5</v>
      </c>
      <c r="E593" s="26" t="n">
        <v>25</v>
      </c>
      <c r="F593" s="26" t="n">
        <v>54</v>
      </c>
      <c r="G593" s="26" t="n">
        <v>26</v>
      </c>
      <c r="H593" s="26" t="n">
        <v>10</v>
      </c>
      <c r="I593" s="16" t="n">
        <f aca="false">0.5*(ABS(D593/A593-Declarations!$B$25)+ABS(E593/A593-Declarations!$B$26)+ABS(F593/A593-Declarations!$B$27)+ABS(G593/A593-Declarations!$B$28)+ABS(H593/A593-Declarations!$B$29))</f>
        <v>0.0583333333333333</v>
      </c>
      <c r="J593" s="20" t="n">
        <v>0</v>
      </c>
      <c r="K593" s="26" t="n">
        <v>1</v>
      </c>
    </row>
    <row r="594" customFormat="false" ht="15" hidden="false" customHeight="false" outlineLevel="0" collapsed="false">
      <c r="A594" s="14" t="n">
        <v>120</v>
      </c>
      <c r="B594" s="14" t="n">
        <v>178</v>
      </c>
      <c r="C594" s="14" t="n">
        <f aca="false">Declarations!$B$47+1000*A594+B594</f>
        <v>1034178</v>
      </c>
      <c r="D594" s="26" t="n">
        <v>6</v>
      </c>
      <c r="E594" s="26" t="n">
        <v>25</v>
      </c>
      <c r="F594" s="26" t="n">
        <v>55</v>
      </c>
      <c r="G594" s="26" t="n">
        <v>26</v>
      </c>
      <c r="H594" s="26" t="n">
        <v>8</v>
      </c>
      <c r="I594" s="16" t="n">
        <f aca="false">0.5*(ABS(D594/A594-Declarations!$B$25)+ABS(E594/A594-Declarations!$B$26)+ABS(F594/A594-Declarations!$B$27)+ABS(G594/A594-Declarations!$B$28)+ABS(H594/A594-Declarations!$B$29))</f>
        <v>0.0416666666666667</v>
      </c>
      <c r="J594" s="20" t="n">
        <v>0</v>
      </c>
      <c r="K594" s="26" t="n">
        <v>1</v>
      </c>
    </row>
    <row r="595" customFormat="false" ht="15" hidden="false" customHeight="false" outlineLevel="0" collapsed="false">
      <c r="A595" s="14" t="n">
        <v>120</v>
      </c>
      <c r="B595" s="14" t="n">
        <v>179</v>
      </c>
      <c r="C595" s="14" t="n">
        <f aca="false">Declarations!$B$47+1000*A595+B595</f>
        <v>1034179</v>
      </c>
      <c r="D595" s="26" t="n">
        <v>8</v>
      </c>
      <c r="E595" s="26" t="n">
        <v>17</v>
      </c>
      <c r="F595" s="26" t="n">
        <v>55</v>
      </c>
      <c r="G595" s="26" t="n">
        <v>34</v>
      </c>
      <c r="H595" s="26" t="n">
        <v>6</v>
      </c>
      <c r="I595" s="16" t="n">
        <f aca="false">0.5*(ABS(D595/A595-Declarations!$B$25)+ABS(E595/A595-Declarations!$B$26)+ABS(F595/A595-Declarations!$B$27)+ABS(G595/A595-Declarations!$B$28)+ABS(H595/A595-Declarations!$B$29))</f>
        <v>0.1</v>
      </c>
      <c r="J595" s="20" t="n">
        <v>0</v>
      </c>
      <c r="K595" s="26" t="n">
        <v>1</v>
      </c>
    </row>
    <row r="596" customFormat="false" ht="15" hidden="false" customHeight="false" outlineLevel="0" collapsed="false">
      <c r="A596" s="14" t="n">
        <v>120</v>
      </c>
      <c r="B596" s="14" t="n">
        <v>180</v>
      </c>
      <c r="C596" s="14" t="n">
        <f aca="false">Declarations!$B$47+1000*A596+B596</f>
        <v>1034180</v>
      </c>
      <c r="D596" s="26" t="n">
        <v>6</v>
      </c>
      <c r="E596" s="26" t="n">
        <v>23</v>
      </c>
      <c r="F596" s="26" t="n">
        <v>69</v>
      </c>
      <c r="G596" s="26" t="n">
        <v>17</v>
      </c>
      <c r="H596" s="26" t="n">
        <v>5</v>
      </c>
      <c r="I596" s="16" t="n">
        <f aca="false">0.5*(ABS(D596/A596-Declarations!$B$25)+ABS(E596/A596-Declarations!$B$26)+ABS(F596/A596-Declarations!$B$27)+ABS(G596/A596-Declarations!$B$28)+ABS(H596/A596-Declarations!$B$29))</f>
        <v>0.075</v>
      </c>
      <c r="J596" s="20" t="n">
        <v>0</v>
      </c>
      <c r="K596" s="26" t="n">
        <v>1</v>
      </c>
    </row>
    <row r="597" customFormat="false" ht="15" hidden="false" customHeight="false" outlineLevel="0" collapsed="false">
      <c r="A597" s="14" t="n">
        <v>120</v>
      </c>
      <c r="B597" s="14" t="n">
        <v>181</v>
      </c>
      <c r="C597" s="14" t="n">
        <f aca="false">Declarations!$B$47+1000*A597+B597</f>
        <v>1034181</v>
      </c>
      <c r="D597" s="26" t="n">
        <v>5</v>
      </c>
      <c r="E597" s="26" t="n">
        <v>26</v>
      </c>
      <c r="F597" s="26" t="n">
        <v>59</v>
      </c>
      <c r="G597" s="26" t="n">
        <v>25</v>
      </c>
      <c r="H597" s="26" t="n">
        <v>5</v>
      </c>
      <c r="I597" s="16" t="n">
        <f aca="false">0.5*(ABS(D597/A597-Declarations!$B$25)+ABS(E597/A597-Declarations!$B$26)+ABS(F597/A597-Declarations!$B$27)+ABS(G597/A597-Declarations!$B$28)+ABS(H597/A597-Declarations!$B$29))</f>
        <v>0.025</v>
      </c>
      <c r="J597" s="20" t="n">
        <v>0</v>
      </c>
      <c r="K597" s="26" t="n">
        <v>1</v>
      </c>
    </row>
    <row r="598" customFormat="false" ht="15" hidden="false" customHeight="false" outlineLevel="0" collapsed="false">
      <c r="A598" s="14" t="n">
        <v>120</v>
      </c>
      <c r="B598" s="14" t="n">
        <v>182</v>
      </c>
      <c r="C598" s="14" t="n">
        <f aca="false">Declarations!$B$47+1000*A598+B598</f>
        <v>1034182</v>
      </c>
      <c r="D598" s="26" t="n">
        <v>2</v>
      </c>
      <c r="E598" s="26" t="n">
        <v>26</v>
      </c>
      <c r="F598" s="26" t="n">
        <v>71</v>
      </c>
      <c r="G598" s="26" t="n">
        <v>15</v>
      </c>
      <c r="H598" s="26" t="n">
        <v>6</v>
      </c>
      <c r="I598" s="16" t="n">
        <f aca="false">0.5*(ABS(D598/A598-Declarations!$B$25)+ABS(E598/A598-Declarations!$B$26)+ABS(F598/A598-Declarations!$B$27)+ABS(G598/A598-Declarations!$B$28)+ABS(H598/A598-Declarations!$B$29))</f>
        <v>0.108333333333333</v>
      </c>
      <c r="J598" s="20" t="n">
        <v>0.00281729995887758</v>
      </c>
      <c r="K598" s="26" t="n">
        <v>0</v>
      </c>
    </row>
    <row r="599" customFormat="false" ht="15" hidden="false" customHeight="false" outlineLevel="0" collapsed="false">
      <c r="A599" s="14" t="n">
        <v>120</v>
      </c>
      <c r="B599" s="14" t="n">
        <v>183</v>
      </c>
      <c r="C599" s="14" t="n">
        <f aca="false">Declarations!$B$47+1000*A599+B599</f>
        <v>1034183</v>
      </c>
      <c r="D599" s="26" t="n">
        <v>8</v>
      </c>
      <c r="E599" s="26" t="n">
        <v>20</v>
      </c>
      <c r="F599" s="26" t="n">
        <v>60</v>
      </c>
      <c r="G599" s="26" t="n">
        <v>24</v>
      </c>
      <c r="H599" s="26" t="n">
        <v>8</v>
      </c>
      <c r="I599" s="16" t="n">
        <f aca="false">0.5*(ABS(D599/A599-Declarations!$B$25)+ABS(E599/A599-Declarations!$B$26)+ABS(F599/A599-Declarations!$B$27)+ABS(G599/A599-Declarations!$B$28)+ABS(H599/A599-Declarations!$B$29))</f>
        <v>0.0333333333333333</v>
      </c>
      <c r="J599" s="20" t="n">
        <v>0</v>
      </c>
      <c r="K599" s="26" t="n">
        <v>1</v>
      </c>
    </row>
    <row r="600" customFormat="false" ht="15" hidden="false" customHeight="false" outlineLevel="0" collapsed="false">
      <c r="A600" s="14" t="n">
        <v>120</v>
      </c>
      <c r="B600" s="14" t="n">
        <v>184</v>
      </c>
      <c r="C600" s="14" t="n">
        <f aca="false">Declarations!$B$47+1000*A600+B600</f>
        <v>1034184</v>
      </c>
      <c r="D600" s="26" t="n">
        <v>5</v>
      </c>
      <c r="E600" s="26" t="n">
        <v>23</v>
      </c>
      <c r="F600" s="26" t="n">
        <v>66</v>
      </c>
      <c r="G600" s="26" t="n">
        <v>21</v>
      </c>
      <c r="H600" s="26" t="n">
        <v>5</v>
      </c>
      <c r="I600" s="16" t="n">
        <f aca="false">0.5*(ABS(D600/A600-Declarations!$B$25)+ABS(E600/A600-Declarations!$B$26)+ABS(F600/A600-Declarations!$B$27)+ABS(G600/A600-Declarations!$B$28)+ABS(H600/A600-Declarations!$B$29))</f>
        <v>0.05</v>
      </c>
      <c r="J600" s="20" t="n">
        <v>0</v>
      </c>
      <c r="K600" s="26" t="n">
        <v>1</v>
      </c>
    </row>
    <row r="601" customFormat="false" ht="15" hidden="false" customHeight="false" outlineLevel="0" collapsed="false">
      <c r="A601" s="14" t="n">
        <v>120</v>
      </c>
      <c r="B601" s="14" t="n">
        <v>185</v>
      </c>
      <c r="C601" s="14" t="n">
        <f aca="false">Declarations!$B$47+1000*A601+B601</f>
        <v>1034185</v>
      </c>
      <c r="D601" s="26" t="n">
        <v>9</v>
      </c>
      <c r="E601" s="26" t="n">
        <v>29</v>
      </c>
      <c r="F601" s="26" t="n">
        <v>54</v>
      </c>
      <c r="G601" s="26" t="n">
        <v>23</v>
      </c>
      <c r="H601" s="26" t="n">
        <v>5</v>
      </c>
      <c r="I601" s="16" t="n">
        <f aca="false">0.5*(ABS(D601/A601-Declarations!$B$25)+ABS(E601/A601-Declarations!$B$26)+ABS(F601/A601-Declarations!$B$27)+ABS(G601/A601-Declarations!$B$28)+ABS(H601/A601-Declarations!$B$29))</f>
        <v>0.0666666666666667</v>
      </c>
      <c r="J601" s="20" t="n">
        <v>0</v>
      </c>
      <c r="K601" s="26" t="n">
        <v>1</v>
      </c>
    </row>
    <row r="602" customFormat="false" ht="15" hidden="false" customHeight="false" outlineLevel="0" collapsed="false">
      <c r="A602" s="14" t="n">
        <v>120</v>
      </c>
      <c r="B602" s="14" t="n">
        <v>186</v>
      </c>
      <c r="C602" s="14" t="n">
        <f aca="false">Declarations!$B$47+1000*A602+B602</f>
        <v>1034186</v>
      </c>
      <c r="D602" s="26" t="n">
        <v>6</v>
      </c>
      <c r="E602" s="26" t="n">
        <v>22</v>
      </c>
      <c r="F602" s="26" t="n">
        <v>52</v>
      </c>
      <c r="G602" s="26" t="n">
        <v>33</v>
      </c>
      <c r="H602" s="26" t="n">
        <v>7</v>
      </c>
      <c r="I602" s="16" t="n">
        <f aca="false">0.5*(ABS(D602/A602-Declarations!$B$25)+ABS(E602/A602-Declarations!$B$26)+ABS(F602/A602-Declarations!$B$27)+ABS(G602/A602-Declarations!$B$28)+ABS(H602/A602-Declarations!$B$29))</f>
        <v>0.0833333333333333</v>
      </c>
      <c r="J602" s="20" t="n">
        <v>0</v>
      </c>
      <c r="K602" s="26" t="n">
        <v>1</v>
      </c>
    </row>
    <row r="603" customFormat="false" ht="15" hidden="false" customHeight="false" outlineLevel="0" collapsed="false">
      <c r="A603" s="14" t="n">
        <v>120</v>
      </c>
      <c r="B603" s="14" t="n">
        <v>187</v>
      </c>
      <c r="C603" s="14" t="n">
        <f aca="false">Declarations!$B$47+1000*A603+B603</f>
        <v>1034187</v>
      </c>
      <c r="D603" s="26" t="n">
        <v>8</v>
      </c>
      <c r="E603" s="26" t="n">
        <v>24</v>
      </c>
      <c r="F603" s="26" t="n">
        <v>61</v>
      </c>
      <c r="G603" s="26" t="n">
        <v>20</v>
      </c>
      <c r="H603" s="26" t="n">
        <v>7</v>
      </c>
      <c r="I603" s="16" t="n">
        <f aca="false">0.5*(ABS(D603/A603-Declarations!$B$25)+ABS(E603/A603-Declarations!$B$26)+ABS(F603/A603-Declarations!$B$27)+ABS(G603/A603-Declarations!$B$28)+ABS(H603/A603-Declarations!$B$29))</f>
        <v>0.0333333333333333</v>
      </c>
      <c r="J603" s="20" t="n">
        <v>0</v>
      </c>
      <c r="K603" s="26" t="n">
        <v>1</v>
      </c>
    </row>
    <row r="604" customFormat="false" ht="15" hidden="false" customHeight="false" outlineLevel="0" collapsed="false">
      <c r="A604" s="14" t="n">
        <v>120</v>
      </c>
      <c r="B604" s="14" t="n">
        <v>188</v>
      </c>
      <c r="C604" s="14" t="n">
        <f aca="false">Declarations!$B$47+1000*A604+B604</f>
        <v>1034188</v>
      </c>
      <c r="D604" s="26" t="n">
        <v>5</v>
      </c>
      <c r="E604" s="26" t="n">
        <v>28</v>
      </c>
      <c r="F604" s="26" t="n">
        <v>61</v>
      </c>
      <c r="G604" s="26" t="n">
        <v>21</v>
      </c>
      <c r="H604" s="26" t="n">
        <v>5</v>
      </c>
      <c r="I604" s="16" t="n">
        <f aca="false">0.5*(ABS(D604/A604-Declarations!$B$25)+ABS(E604/A604-Declarations!$B$26)+ABS(F604/A604-Declarations!$B$27)+ABS(G604/A604-Declarations!$B$28)+ABS(H604/A604-Declarations!$B$29))</f>
        <v>0.0416666666666667</v>
      </c>
      <c r="J604" s="20" t="n">
        <v>0</v>
      </c>
      <c r="K604" s="26" t="n">
        <v>1</v>
      </c>
    </row>
    <row r="605" customFormat="false" ht="15" hidden="false" customHeight="false" outlineLevel="0" collapsed="false">
      <c r="A605" s="14" t="n">
        <v>120</v>
      </c>
      <c r="B605" s="14" t="n">
        <v>189</v>
      </c>
      <c r="C605" s="14" t="n">
        <f aca="false">Declarations!$B$47+1000*A605+B605</f>
        <v>1034189</v>
      </c>
      <c r="D605" s="26" t="n">
        <v>3</v>
      </c>
      <c r="E605" s="26" t="n">
        <v>30</v>
      </c>
      <c r="F605" s="26" t="n">
        <v>60</v>
      </c>
      <c r="G605" s="26" t="n">
        <v>21</v>
      </c>
      <c r="H605" s="26" t="n">
        <v>6</v>
      </c>
      <c r="I605" s="16" t="n">
        <f aca="false">0.5*(ABS(D605/A605-Declarations!$B$25)+ABS(E605/A605-Declarations!$B$26)+ABS(F605/A605-Declarations!$B$27)+ABS(G605/A605-Declarations!$B$28)+ABS(H605/A605-Declarations!$B$29))</f>
        <v>0.05</v>
      </c>
      <c r="J605" s="20" t="n">
        <v>0</v>
      </c>
      <c r="K605" s="26" t="n">
        <v>1</v>
      </c>
    </row>
    <row r="606" customFormat="false" ht="15" hidden="false" customHeight="false" outlineLevel="0" collapsed="false">
      <c r="A606" s="14" t="n">
        <v>120</v>
      </c>
      <c r="B606" s="14" t="n">
        <v>190</v>
      </c>
      <c r="C606" s="14" t="n">
        <f aca="false">Declarations!$B$47+1000*A606+B606</f>
        <v>1034190</v>
      </c>
      <c r="D606" s="26" t="n">
        <v>4</v>
      </c>
      <c r="E606" s="26" t="n">
        <v>27</v>
      </c>
      <c r="F606" s="26" t="n">
        <v>62</v>
      </c>
      <c r="G606" s="26" t="n">
        <v>22</v>
      </c>
      <c r="H606" s="26" t="n">
        <v>5</v>
      </c>
      <c r="I606" s="16" t="n">
        <f aca="false">0.5*(ABS(D606/A606-Declarations!$B$25)+ABS(E606/A606-Declarations!$B$26)+ABS(F606/A606-Declarations!$B$27)+ABS(G606/A606-Declarations!$B$28)+ABS(H606/A606-Declarations!$B$29))</f>
        <v>0.0416666666666667</v>
      </c>
      <c r="J606" s="20" t="n">
        <v>0</v>
      </c>
      <c r="K606" s="26" t="n">
        <v>1</v>
      </c>
    </row>
    <row r="607" customFormat="false" ht="15" hidden="false" customHeight="false" outlineLevel="0" collapsed="false">
      <c r="A607" s="14" t="n">
        <v>120</v>
      </c>
      <c r="B607" s="14" t="n">
        <v>191</v>
      </c>
      <c r="C607" s="14" t="n">
        <f aca="false">Declarations!$B$47+1000*A607+B607</f>
        <v>1034191</v>
      </c>
      <c r="D607" s="26" t="n">
        <v>9</v>
      </c>
      <c r="E607" s="26" t="n">
        <v>33</v>
      </c>
      <c r="F607" s="26" t="n">
        <v>53</v>
      </c>
      <c r="G607" s="26" t="n">
        <v>19</v>
      </c>
      <c r="H607" s="26" t="n">
        <v>6</v>
      </c>
      <c r="I607" s="16" t="n">
        <f aca="false">0.5*(ABS(D607/A607-Declarations!$B$25)+ABS(E607/A607-Declarations!$B$26)+ABS(F607/A607-Declarations!$B$27)+ABS(G607/A607-Declarations!$B$28)+ABS(H607/A607-Declarations!$B$29))</f>
        <v>0.1</v>
      </c>
      <c r="J607" s="20" t="n">
        <v>0</v>
      </c>
      <c r="K607" s="26" t="n">
        <v>1</v>
      </c>
    </row>
    <row r="608" customFormat="false" ht="15" hidden="false" customHeight="false" outlineLevel="0" collapsed="false">
      <c r="A608" s="14" t="n">
        <v>120</v>
      </c>
      <c r="B608" s="14" t="n">
        <v>192</v>
      </c>
      <c r="C608" s="14" t="n">
        <f aca="false">Declarations!$B$47+1000*A608+B608</f>
        <v>1034192</v>
      </c>
      <c r="D608" s="26" t="n">
        <v>3</v>
      </c>
      <c r="E608" s="26" t="n">
        <v>29</v>
      </c>
      <c r="F608" s="26" t="n">
        <v>58</v>
      </c>
      <c r="G608" s="26" t="n">
        <v>24</v>
      </c>
      <c r="H608" s="26" t="n">
        <v>6</v>
      </c>
      <c r="I608" s="16" t="n">
        <f aca="false">0.5*(ABS(D608/A608-Declarations!$B$25)+ABS(E608/A608-Declarations!$B$26)+ABS(F608/A608-Declarations!$B$27)+ABS(G608/A608-Declarations!$B$28)+ABS(H608/A608-Declarations!$B$29))</f>
        <v>0.0416666666666667</v>
      </c>
      <c r="J608" s="20" t="n">
        <v>0</v>
      </c>
      <c r="K608" s="26" t="n">
        <v>1</v>
      </c>
    </row>
    <row r="609" customFormat="false" ht="15" hidden="false" customHeight="false" outlineLevel="0" collapsed="false">
      <c r="A609" s="14" t="n">
        <v>120</v>
      </c>
      <c r="B609" s="14" t="n">
        <v>193</v>
      </c>
      <c r="C609" s="14" t="n">
        <f aca="false">Declarations!$B$47+1000*A609+B609</f>
        <v>1034193</v>
      </c>
      <c r="D609" s="26" t="n">
        <v>7</v>
      </c>
      <c r="E609" s="26" t="n">
        <v>28</v>
      </c>
      <c r="F609" s="26" t="n">
        <v>56</v>
      </c>
      <c r="G609" s="26" t="n">
        <v>26</v>
      </c>
      <c r="H609" s="26" t="n">
        <v>3</v>
      </c>
      <c r="I609" s="16" t="n">
        <f aca="false">0.5*(ABS(D609/A609-Declarations!$B$25)+ABS(E609/A609-Declarations!$B$26)+ABS(F609/A609-Declarations!$B$27)+ABS(G609/A609-Declarations!$B$28)+ABS(H609/A609-Declarations!$B$29))</f>
        <v>0.0583333333333333</v>
      </c>
      <c r="J609" s="20" t="n">
        <v>0</v>
      </c>
      <c r="K609" s="26" t="n">
        <v>1</v>
      </c>
    </row>
    <row r="610" customFormat="false" ht="15" hidden="false" customHeight="false" outlineLevel="0" collapsed="false">
      <c r="A610" s="14" t="n">
        <v>120</v>
      </c>
      <c r="B610" s="14" t="n">
        <v>194</v>
      </c>
      <c r="C610" s="14" t="n">
        <f aca="false">Declarations!$B$47+1000*A610+B610</f>
        <v>1034194</v>
      </c>
      <c r="D610" s="26" t="n">
        <v>4</v>
      </c>
      <c r="E610" s="26" t="n">
        <v>22</v>
      </c>
      <c r="F610" s="26" t="n">
        <v>58</v>
      </c>
      <c r="G610" s="26" t="n">
        <v>30</v>
      </c>
      <c r="H610" s="26" t="n">
        <v>6</v>
      </c>
      <c r="I610" s="16" t="n">
        <f aca="false">0.5*(ABS(D610/A610-Declarations!$B$25)+ABS(E610/A610-Declarations!$B$26)+ABS(F610/A610-Declarations!$B$27)+ABS(G610/A610-Declarations!$B$28)+ABS(H610/A610-Declarations!$B$29))</f>
        <v>0.05</v>
      </c>
      <c r="J610" s="20" t="n">
        <v>0</v>
      </c>
      <c r="K610" s="26" t="n">
        <v>1</v>
      </c>
    </row>
    <row r="611" customFormat="false" ht="15" hidden="false" customHeight="false" outlineLevel="0" collapsed="false">
      <c r="A611" s="14" t="n">
        <v>120</v>
      </c>
      <c r="B611" s="14" t="n">
        <v>195</v>
      </c>
      <c r="C611" s="14" t="n">
        <f aca="false">Declarations!$B$47+1000*A611+B611</f>
        <v>1034195</v>
      </c>
      <c r="D611" s="26" t="n">
        <v>6</v>
      </c>
      <c r="E611" s="26" t="n">
        <v>21</v>
      </c>
      <c r="F611" s="26" t="n">
        <v>58</v>
      </c>
      <c r="G611" s="26" t="n">
        <v>30</v>
      </c>
      <c r="H611" s="26" t="n">
        <v>5</v>
      </c>
      <c r="I611" s="16" t="n">
        <f aca="false">0.5*(ABS(D611/A611-Declarations!$B$25)+ABS(E611/A611-Declarations!$B$26)+ABS(F611/A611-Declarations!$B$27)+ABS(G611/A611-Declarations!$B$28)+ABS(H611/A611-Declarations!$B$29))</f>
        <v>0.05</v>
      </c>
      <c r="J611" s="20" t="n">
        <v>0</v>
      </c>
      <c r="K611" s="26" t="n">
        <v>1</v>
      </c>
    </row>
    <row r="612" customFormat="false" ht="15" hidden="false" customHeight="false" outlineLevel="0" collapsed="false">
      <c r="A612" s="14" t="n">
        <v>120</v>
      </c>
      <c r="B612" s="14" t="n">
        <v>196</v>
      </c>
      <c r="C612" s="14" t="n">
        <f aca="false">Declarations!$B$47+1000*A612+B612</f>
        <v>1034196</v>
      </c>
      <c r="D612" s="26" t="n">
        <v>2</v>
      </c>
      <c r="E612" s="26" t="n">
        <v>28</v>
      </c>
      <c r="F612" s="26" t="n">
        <v>57</v>
      </c>
      <c r="G612" s="26" t="n">
        <v>26</v>
      </c>
      <c r="H612" s="26" t="n">
        <v>7</v>
      </c>
      <c r="I612" s="16" t="n">
        <f aca="false">0.5*(ABS(D612/A612-Declarations!$B$25)+ABS(E612/A612-Declarations!$B$26)+ABS(F612/A612-Declarations!$B$27)+ABS(G612/A612-Declarations!$B$28)+ABS(H612/A612-Declarations!$B$29))</f>
        <v>0.0583333333333333</v>
      </c>
      <c r="J612" s="20" t="n">
        <v>0</v>
      </c>
      <c r="K612" s="26" t="n">
        <v>1</v>
      </c>
    </row>
    <row r="613" customFormat="false" ht="15" hidden="false" customHeight="false" outlineLevel="0" collapsed="false">
      <c r="A613" s="14" t="n">
        <v>120</v>
      </c>
      <c r="B613" s="14" t="n">
        <v>197</v>
      </c>
      <c r="C613" s="14" t="n">
        <f aca="false">Declarations!$B$47+1000*A613+B613</f>
        <v>1034197</v>
      </c>
      <c r="D613" s="26" t="n">
        <v>5</v>
      </c>
      <c r="E613" s="26" t="n">
        <v>21</v>
      </c>
      <c r="F613" s="26" t="n">
        <v>61</v>
      </c>
      <c r="G613" s="26" t="n">
        <v>26</v>
      </c>
      <c r="H613" s="26" t="n">
        <v>7</v>
      </c>
      <c r="I613" s="16" t="n">
        <f aca="false">0.5*(ABS(D613/A613-Declarations!$B$25)+ABS(E613/A613-Declarations!$B$26)+ABS(F613/A613-Declarations!$B$27)+ABS(G613/A613-Declarations!$B$28)+ABS(H613/A613-Declarations!$B$29))</f>
        <v>0.0333333333333333</v>
      </c>
      <c r="J613" s="20" t="n">
        <v>0</v>
      </c>
      <c r="K613" s="26" t="n">
        <v>1</v>
      </c>
    </row>
    <row r="614" customFormat="false" ht="15" hidden="false" customHeight="false" outlineLevel="0" collapsed="false">
      <c r="A614" s="14" t="n">
        <v>120</v>
      </c>
      <c r="B614" s="14" t="n">
        <v>198</v>
      </c>
      <c r="C614" s="14" t="n">
        <f aca="false">Declarations!$B$47+1000*A614+B614</f>
        <v>1034198</v>
      </c>
      <c r="D614" s="26" t="n">
        <v>5</v>
      </c>
      <c r="E614" s="26" t="n">
        <v>23</v>
      </c>
      <c r="F614" s="26" t="n">
        <v>70</v>
      </c>
      <c r="G614" s="26" t="n">
        <v>19</v>
      </c>
      <c r="H614" s="26" t="n">
        <v>3</v>
      </c>
      <c r="I614" s="16" t="n">
        <f aca="false">0.5*(ABS(D614/A614-Declarations!$B$25)+ABS(E614/A614-Declarations!$B$26)+ABS(F614/A614-Declarations!$B$27)+ABS(G614/A614-Declarations!$B$28)+ABS(H614/A614-Declarations!$B$29))</f>
        <v>0.0833333333333334</v>
      </c>
      <c r="J614" s="20" t="n">
        <v>0</v>
      </c>
      <c r="K614" s="26" t="n">
        <v>1</v>
      </c>
    </row>
    <row r="615" customFormat="false" ht="15" hidden="false" customHeight="false" outlineLevel="0" collapsed="false">
      <c r="A615" s="14" t="n">
        <v>120</v>
      </c>
      <c r="B615" s="14" t="n">
        <v>199</v>
      </c>
      <c r="C615" s="14" t="n">
        <f aca="false">Declarations!$B$47+1000*A615+B615</f>
        <v>1034199</v>
      </c>
      <c r="D615" s="26" t="n">
        <v>6</v>
      </c>
      <c r="E615" s="26" t="n">
        <v>19</v>
      </c>
      <c r="F615" s="26" t="n">
        <v>59</v>
      </c>
      <c r="G615" s="26" t="n">
        <v>29</v>
      </c>
      <c r="H615" s="26" t="n">
        <v>7</v>
      </c>
      <c r="I615" s="16" t="n">
        <f aca="false">0.5*(ABS(D615/A615-Declarations!$B$25)+ABS(E615/A615-Declarations!$B$26)+ABS(F615/A615-Declarations!$B$27)+ABS(G615/A615-Declarations!$B$28)+ABS(H615/A615-Declarations!$B$29))</f>
        <v>0.05</v>
      </c>
      <c r="J615" s="20" t="n">
        <v>0</v>
      </c>
      <c r="K615" s="26"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1"/>
    <col collapsed="false" customWidth="true" hidden="false" outlineLevel="0" max="4" min="4" style="0" width="13"/>
    <col collapsed="false" customWidth="true" hidden="false" outlineLevel="0" max="5" min="5" style="0" width="11"/>
    <col collapsed="false" customWidth="true" hidden="false" outlineLevel="0" max="6" min="6" style="0" width="10"/>
    <col collapsed="false" customWidth="true" hidden="false" outlineLevel="0" max="7" min="7" style="0" width="13"/>
    <col collapsed="false" customWidth="true" hidden="false" outlineLevel="0" max="8" min="8" style="0" width="3"/>
    <col collapsed="false" customWidth="true" hidden="false" outlineLevel="0" max="9" min="9" style="0" width="52"/>
    <col collapsed="false" customWidth="true" hidden="false" outlineLevel="0" max="10" min="10" style="0" width="16"/>
    <col collapsed="false" customWidth="true" hidden="false" outlineLevel="0" max="11" min="11" style="0" width="30"/>
    <col collapsed="false" customWidth="true" hidden="false" outlineLevel="0" max="12" min="12" style="0" width="3"/>
    <col collapsed="false" customWidth="true" hidden="false" outlineLevel="0" max="13" min="13" style="0" width="8"/>
    <col collapsed="false" customWidth="true" hidden="false" outlineLevel="0" max="14" min="14" style="0" width="13"/>
    <col collapsed="false" customWidth="true" hidden="false" outlineLevel="0" max="15" min="15" style="0" width="12"/>
    <col collapsed="false" customWidth="true" hidden="false" outlineLevel="0" max="17" min="16" style="0" width="13"/>
    <col collapsed="false" customWidth="true" hidden="false" outlineLevel="0" max="18" min="18" style="0" width="3"/>
    <col collapsed="false" customWidth="true" hidden="false" outlineLevel="0" max="19" min="19" style="0" width="40"/>
    <col collapsed="false" customWidth="true" hidden="false" outlineLevel="0" max="20" min="20" style="0" width="12"/>
    <col collapsed="false" customWidth="true" hidden="false" outlineLevel="0" max="21" min="21" style="0" width="14"/>
  </cols>
  <sheetData>
    <row r="1" customFormat="false" ht="15" hidden="false" customHeight="false" outlineLevel="0" collapsed="false">
      <c r="A1" s="1" t="s">
        <v>387</v>
      </c>
    </row>
    <row r="2" customFormat="false" ht="15" hidden="false" customHeight="false" outlineLevel="0" collapsed="false">
      <c r="A2" s="10" t="s">
        <v>388</v>
      </c>
    </row>
    <row r="4" customFormat="false" ht="35.05" hidden="false" customHeight="false" outlineLevel="0" collapsed="false">
      <c r="A4" s="8" t="s">
        <v>389</v>
      </c>
      <c r="B4" s="8" t="s">
        <v>390</v>
      </c>
      <c r="C4" s="8" t="s">
        <v>391</v>
      </c>
      <c r="D4" s="8" t="s">
        <v>392</v>
      </c>
      <c r="E4" s="8" t="s">
        <v>393</v>
      </c>
      <c r="F4" s="8" t="s">
        <v>394</v>
      </c>
      <c r="G4" s="8" t="s">
        <v>395</v>
      </c>
      <c r="I4" s="8" t="s">
        <v>396</v>
      </c>
      <c r="J4" s="8" t="s">
        <v>21</v>
      </c>
      <c r="K4" s="8" t="s">
        <v>132</v>
      </c>
      <c r="M4" s="4" t="s">
        <v>397</v>
      </c>
    </row>
    <row r="5" customFormat="false" ht="35.05" hidden="false" customHeight="false" outlineLevel="0" collapsed="false">
      <c r="A5" s="14" t="n">
        <v>1</v>
      </c>
      <c r="B5" s="20" t="n">
        <v>58</v>
      </c>
      <c r="C5" s="20" t="n">
        <v>1.5</v>
      </c>
      <c r="D5" s="20" t="n">
        <v>58.25</v>
      </c>
      <c r="E5" s="16" t="n">
        <f aca="false">$J$5+$J$6*B5+$J$7*C5</f>
        <v>57.9322267147311</v>
      </c>
      <c r="F5" s="16" t="n">
        <f aca="false">D5-E5</f>
        <v>0.317773285268906</v>
      </c>
      <c r="G5" s="16" t="n">
        <f aca="false">Alpha_keep*B5+C5-58</f>
        <v>0.0499999999999972</v>
      </c>
      <c r="I5" s="2" t="s">
        <v>398</v>
      </c>
      <c r="J5" s="12" t="n">
        <f aca="false">INDEX(LINEST(D5:D44,B5:C44),1,3)</f>
        <v>-63.4622588659392</v>
      </c>
      <c r="K5" s="10" t="s">
        <v>399</v>
      </c>
      <c r="M5" s="8" t="s">
        <v>400</v>
      </c>
      <c r="N5" s="8" t="s">
        <v>401</v>
      </c>
      <c r="O5" s="8" t="s">
        <v>402</v>
      </c>
      <c r="P5" s="8" t="s">
        <v>403</v>
      </c>
      <c r="Q5" s="8" t="s">
        <v>404</v>
      </c>
      <c r="S5" s="8" t="s">
        <v>92</v>
      </c>
      <c r="T5" s="8" t="s">
        <v>21</v>
      </c>
      <c r="U5" s="8" t="s">
        <v>132</v>
      </c>
    </row>
    <row r="6" customFormat="false" ht="15" hidden="false" customHeight="false" outlineLevel="0" collapsed="false">
      <c r="A6" s="14" t="n">
        <v>2</v>
      </c>
      <c r="B6" s="20" t="n">
        <v>58.25</v>
      </c>
      <c r="C6" s="20" t="n">
        <v>1.25</v>
      </c>
      <c r="D6" s="20" t="n">
        <v>57.25</v>
      </c>
      <c r="E6" s="16" t="n">
        <f aca="false">$J$5+$J$6*B6+$J$7*C6</f>
        <v>57.8862772798129</v>
      </c>
      <c r="F6" s="16" t="n">
        <f aca="false">D6-E6</f>
        <v>-0.636277279812944</v>
      </c>
      <c r="G6" s="16" t="n">
        <f aca="false">Alpha_keep*B6+C6-58</f>
        <v>0.0437499999999957</v>
      </c>
      <c r="I6" s="2" t="s">
        <v>405</v>
      </c>
      <c r="J6" s="16" t="n">
        <f aca="false">INDEX(LINEST(D5:D44,B5:C44),1,2)</f>
        <v>2.03560989867498</v>
      </c>
      <c r="K6" s="10" t="s">
        <v>406</v>
      </c>
      <c r="M6" s="14" t="n">
        <v>1</v>
      </c>
      <c r="N6" s="44" t="n">
        <v>2.21940763834758</v>
      </c>
      <c r="O6" s="20" t="n">
        <v>29.5558922137494</v>
      </c>
      <c r="P6" s="26" t="n">
        <v>0</v>
      </c>
      <c r="Q6" s="26" t="n">
        <v>0</v>
      </c>
      <c r="S6" s="2" t="s">
        <v>407</v>
      </c>
      <c r="T6" s="12" t="n">
        <f aca="false">MIN(N6:N205)</f>
        <v>-4.54191114836661</v>
      </c>
      <c r="U6" s="10" t="s">
        <v>408</v>
      </c>
    </row>
    <row r="7" customFormat="false" ht="15" hidden="false" customHeight="false" outlineLevel="0" collapsed="false">
      <c r="A7" s="14" t="n">
        <v>3</v>
      </c>
      <c r="B7" s="20" t="n">
        <v>57.25</v>
      </c>
      <c r="C7" s="20" t="n">
        <v>2.25</v>
      </c>
      <c r="D7" s="20" t="n">
        <v>58</v>
      </c>
      <c r="E7" s="16" t="n">
        <f aca="false">$J$5+$J$6*B7+$J$7*C7</f>
        <v>58.0700750194856</v>
      </c>
      <c r="F7" s="16" t="n">
        <f aca="false">D7-E7</f>
        <v>-0.0700750194855786</v>
      </c>
      <c r="G7" s="16" t="n">
        <f aca="false">Alpha_keep*B7+C7-58</f>
        <v>0.0687500000000014</v>
      </c>
      <c r="I7" s="2" t="s">
        <v>409</v>
      </c>
      <c r="J7" s="16" t="n">
        <f aca="false">INDEX(LINEST(D5:D44,B5:C44),1,1)</f>
        <v>2.21940763834762</v>
      </c>
      <c r="K7" s="10" t="s">
        <v>410</v>
      </c>
      <c r="M7" s="14" t="n">
        <v>2</v>
      </c>
      <c r="N7" s="44" t="n">
        <v>0.569169960474127</v>
      </c>
      <c r="O7" s="20" t="n">
        <v>1029.74334219024</v>
      </c>
      <c r="P7" s="26" t="n">
        <v>1</v>
      </c>
      <c r="Q7" s="26" t="n">
        <v>1</v>
      </c>
      <c r="S7" s="2" t="s">
        <v>281</v>
      </c>
      <c r="T7" s="12" t="n">
        <f aca="false">MAX(N6:N205)</f>
        <v>5.35412361450326</v>
      </c>
      <c r="U7" s="10" t="s">
        <v>411</v>
      </c>
    </row>
    <row r="8" customFormat="false" ht="15" hidden="false" customHeight="false" outlineLevel="0" collapsed="false">
      <c r="A8" s="14" t="n">
        <v>4</v>
      </c>
      <c r="B8" s="20" t="n">
        <v>58</v>
      </c>
      <c r="C8" s="20" t="n">
        <v>1.5</v>
      </c>
      <c r="D8" s="20" t="n">
        <v>57.25</v>
      </c>
      <c r="E8" s="16" t="n">
        <f aca="false">$J$5+$J$6*B8+$J$7*C8</f>
        <v>57.9322267147311</v>
      </c>
      <c r="F8" s="16" t="n">
        <f aca="false">D8-E8</f>
        <v>-0.682226714731094</v>
      </c>
      <c r="G8" s="16" t="n">
        <f aca="false">Alpha_keep*B8+C8-58</f>
        <v>0.0499999999999972</v>
      </c>
      <c r="I8" s="2" t="s">
        <v>412</v>
      </c>
      <c r="J8" s="16" t="n">
        <f aca="false">CORREL(B5:B44,C5:C44)</f>
        <v>-0.984954830075938</v>
      </c>
      <c r="K8" s="10" t="s">
        <v>413</v>
      </c>
      <c r="M8" s="14" t="n">
        <v>3</v>
      </c>
      <c r="N8" s="44" t="n">
        <v>1.97198455759613</v>
      </c>
      <c r="O8" s="20" t="n">
        <v>27.1576244260237</v>
      </c>
      <c r="P8" s="26" t="n">
        <v>0</v>
      </c>
      <c r="Q8" s="26" t="n">
        <v>0</v>
      </c>
      <c r="S8" s="2" t="s">
        <v>414</v>
      </c>
      <c r="T8" s="14" t="n">
        <f aca="false">SUM(P6:P205)</f>
        <v>76</v>
      </c>
      <c r="U8" s="10" t="s">
        <v>415</v>
      </c>
    </row>
    <row r="9" customFormat="false" ht="15" hidden="false" customHeight="false" outlineLevel="0" collapsed="false">
      <c r="A9" s="14" t="n">
        <v>5</v>
      </c>
      <c r="B9" s="20" t="n">
        <v>57.25</v>
      </c>
      <c r="C9" s="20" t="n">
        <v>2.25</v>
      </c>
      <c r="D9" s="20" t="n">
        <v>58</v>
      </c>
      <c r="E9" s="16" t="n">
        <f aca="false">$J$5+$J$6*B9+$J$7*C9</f>
        <v>58.0700750194856</v>
      </c>
      <c r="F9" s="16" t="n">
        <f aca="false">D9-E9</f>
        <v>-0.0700750194855786</v>
      </c>
      <c r="G9" s="16" t="n">
        <f aca="false">Alpha_keep*B9+C9-58</f>
        <v>0.0687500000000014</v>
      </c>
      <c r="I9" s="2" t="s">
        <v>416</v>
      </c>
      <c r="J9" s="16" t="n">
        <f aca="false">SQRT(SUMSQ(F5:F44)/37)</f>
        <v>0.566026994384968</v>
      </c>
      <c r="M9" s="14" t="n">
        <v>4</v>
      </c>
      <c r="N9" s="44" t="n">
        <v>2.5515549126978</v>
      </c>
      <c r="O9" s="20" t="n">
        <v>26.302321333274</v>
      </c>
      <c r="P9" s="26" t="n">
        <v>0</v>
      </c>
      <c r="Q9" s="26" t="n">
        <v>0</v>
      </c>
      <c r="S9" s="2" t="s">
        <v>417</v>
      </c>
      <c r="T9" s="14" t="n">
        <f aca="false">SUM(Q6:Q205)</f>
        <v>66</v>
      </c>
      <c r="U9" s="10" t="s">
        <v>418</v>
      </c>
    </row>
    <row r="10" customFormat="false" ht="15" hidden="false" customHeight="false" outlineLevel="0" collapsed="false">
      <c r="A10" s="14" t="n">
        <v>6</v>
      </c>
      <c r="B10" s="20" t="n">
        <v>58</v>
      </c>
      <c r="C10" s="20" t="n">
        <v>1.5</v>
      </c>
      <c r="D10" s="20" t="n">
        <v>58</v>
      </c>
      <c r="E10" s="16" t="n">
        <f aca="false">$J$5+$J$6*B10+$J$7*C10</f>
        <v>57.9322267147311</v>
      </c>
      <c r="F10" s="16" t="n">
        <f aca="false">D10-E10</f>
        <v>0.0677732852689061</v>
      </c>
      <c r="G10" s="16" t="n">
        <f aca="false">Alpha_keep*B10+C10-58</f>
        <v>0.0499999999999972</v>
      </c>
      <c r="I10" s="2" t="s">
        <v>419</v>
      </c>
      <c r="J10" s="36" t="n">
        <v>29.5558922137494</v>
      </c>
      <c r="K10" s="10" t="s">
        <v>420</v>
      </c>
      <c r="M10" s="14" t="n">
        <v>5</v>
      </c>
      <c r="N10" s="44" t="n">
        <v>1.71961009174313</v>
      </c>
      <c r="O10" s="20" t="n">
        <v>57.4135274461036</v>
      </c>
      <c r="P10" s="26" t="n">
        <v>0</v>
      </c>
      <c r="Q10" s="26" t="n">
        <v>0</v>
      </c>
      <c r="S10" s="2" t="s">
        <v>421</v>
      </c>
      <c r="T10" s="14" t="n">
        <f aca="false">SUMPRODUCT(Q6:Q205,1-P6:P205)</f>
        <v>0</v>
      </c>
      <c r="U10" s="10" t="s">
        <v>422</v>
      </c>
    </row>
    <row r="11" customFormat="false" ht="15" hidden="false" customHeight="false" outlineLevel="0" collapsed="false">
      <c r="A11" s="14" t="n">
        <v>7</v>
      </c>
      <c r="B11" s="20" t="n">
        <v>58</v>
      </c>
      <c r="C11" s="20" t="n">
        <v>1.5</v>
      </c>
      <c r="D11" s="20" t="n">
        <v>58</v>
      </c>
      <c r="E11" s="16" t="n">
        <f aca="false">$J$5+$J$6*B11+$J$7*C11</f>
        <v>57.9322267147311</v>
      </c>
      <c r="F11" s="16" t="n">
        <f aca="false">D11-E11</f>
        <v>0.0677732852689061</v>
      </c>
      <c r="G11" s="16" t="n">
        <f aca="false">Alpha_keep*B11+C11-58</f>
        <v>0.0499999999999972</v>
      </c>
      <c r="M11" s="14" t="n">
        <v>6</v>
      </c>
      <c r="N11" s="44" t="n">
        <v>0.945278104459058</v>
      </c>
      <c r="O11" s="20" t="n">
        <v>0</v>
      </c>
      <c r="P11" s="26" t="n">
        <v>0</v>
      </c>
      <c r="Q11" s="26" t="n">
        <v>0</v>
      </c>
      <c r="S11" s="2" t="s">
        <v>423</v>
      </c>
      <c r="T11" s="14" t="n">
        <f aca="false">COUNTIF(O6:O205,"&lt;=1")</f>
        <v>28</v>
      </c>
      <c r="U11" s="10" t="s">
        <v>424</v>
      </c>
    </row>
    <row r="12" customFormat="false" ht="15" hidden="false" customHeight="false" outlineLevel="0" collapsed="false">
      <c r="A12" s="14" t="n">
        <v>8</v>
      </c>
      <c r="B12" s="20" t="n">
        <v>58</v>
      </c>
      <c r="C12" s="20" t="n">
        <v>1.5</v>
      </c>
      <c r="D12" s="20" t="n">
        <v>56.5</v>
      </c>
      <c r="E12" s="16" t="n">
        <f aca="false">$J$5+$J$6*B12+$J$7*C12</f>
        <v>57.9322267147311</v>
      </c>
      <c r="F12" s="16" t="n">
        <f aca="false">D12-E12</f>
        <v>-1.43222671473109</v>
      </c>
      <c r="G12" s="16" t="n">
        <f aca="false">Alpha_keep*B12+C12-58</f>
        <v>0.0499999999999972</v>
      </c>
      <c r="I12" s="4" t="s">
        <v>425</v>
      </c>
      <c r="M12" s="14" t="n">
        <v>7</v>
      </c>
      <c r="N12" s="44" t="n">
        <v>-2.150885766647</v>
      </c>
      <c r="O12" s="20" t="n">
        <v>13.3747111595712</v>
      </c>
      <c r="P12" s="26" t="n">
        <v>0</v>
      </c>
      <c r="Q12" s="26" t="n">
        <v>0</v>
      </c>
      <c r="S12" s="2" t="s">
        <v>426</v>
      </c>
      <c r="T12" s="12" t="n">
        <f aca="false">MEDIAN(O6:O205)</f>
        <v>42.6993657760755</v>
      </c>
      <c r="U12" s="10" t="s">
        <v>427</v>
      </c>
    </row>
    <row r="13" customFormat="false" ht="46.25" hidden="false" customHeight="false" outlineLevel="0" collapsed="false">
      <c r="A13" s="14" t="n">
        <v>9</v>
      </c>
      <c r="B13" s="20" t="n">
        <v>56.5</v>
      </c>
      <c r="C13" s="20" t="n">
        <v>2.5</v>
      </c>
      <c r="D13" s="20" t="n">
        <v>57.75</v>
      </c>
      <c r="E13" s="16" t="n">
        <f aca="false">$J$5+$J$6*B13+$J$7*C13</f>
        <v>57.0982195050663</v>
      </c>
      <c r="F13" s="16" t="n">
        <f aca="false">D13-E13</f>
        <v>0.651780494933753</v>
      </c>
      <c r="G13" s="16" t="n">
        <f aca="false">Alpha_keep*B13+C13-58</f>
        <v>-0.412500000000001</v>
      </c>
      <c r="I13" s="8" t="s">
        <v>428</v>
      </c>
      <c r="J13" s="8" t="s">
        <v>429</v>
      </c>
      <c r="K13" s="8" t="s">
        <v>430</v>
      </c>
      <c r="M13" s="14" t="n">
        <v>8</v>
      </c>
      <c r="N13" s="44" t="n">
        <v>1.80647886408698</v>
      </c>
      <c r="O13" s="20" t="n">
        <v>36.7878608193045</v>
      </c>
      <c r="P13" s="26" t="n">
        <v>0</v>
      </c>
      <c r="Q13" s="26" t="n">
        <v>0</v>
      </c>
      <c r="S13" s="2" t="s">
        <v>279</v>
      </c>
      <c r="T13" s="12" t="n">
        <f aca="false">PERCENTILE(O6:O205,0.9)</f>
        <v>1029.74334219024</v>
      </c>
      <c r="U13" s="10" t="s">
        <v>431</v>
      </c>
    </row>
    <row r="14" customFormat="false" ht="15" hidden="false" customHeight="false" outlineLevel="0" collapsed="false">
      <c r="A14" s="14" t="n">
        <v>10</v>
      </c>
      <c r="B14" s="20" t="n">
        <v>57.75</v>
      </c>
      <c r="C14" s="20" t="n">
        <v>1.75</v>
      </c>
      <c r="D14" s="20" t="n">
        <v>58</v>
      </c>
      <c r="E14" s="16" t="n">
        <f aca="false">$J$5+$J$6*B14+$J$7*C14</f>
        <v>57.9781761496493</v>
      </c>
      <c r="F14" s="16" t="n">
        <f aca="false">D14-E14</f>
        <v>0.0218238503507422</v>
      </c>
      <c r="G14" s="16" t="n">
        <f aca="false">Alpha_keep*B14+C14-58</f>
        <v>0.0562499999999986</v>
      </c>
      <c r="I14" s="37" t="n">
        <v>-2</v>
      </c>
      <c r="J14" s="16" t="n">
        <f aca="false">ABS(1-I14)*SUMPRODUCT(ABS(G5:G44))/40</f>
        <v>0.212812499999995</v>
      </c>
      <c r="K14" s="16" t="n">
        <f aca="false">ABS(1-I14)*ABS(Alpha_keep*55-58)</f>
        <v>13.125</v>
      </c>
      <c r="M14" s="14" t="n">
        <v>9</v>
      </c>
      <c r="N14" s="44" t="n">
        <v>3.69543469722524</v>
      </c>
      <c r="O14" s="20" t="n">
        <v>23.3886195104093</v>
      </c>
      <c r="P14" s="26" t="n">
        <v>0</v>
      </c>
      <c r="Q14" s="26" t="n">
        <v>0</v>
      </c>
      <c r="S14" s="2" t="s">
        <v>307</v>
      </c>
      <c r="T14" s="34" t="n">
        <v>0.0828846623527217</v>
      </c>
      <c r="U14" s="10" t="s">
        <v>432</v>
      </c>
    </row>
    <row r="15" customFormat="false" ht="15" hidden="false" customHeight="false" outlineLevel="0" collapsed="false">
      <c r="A15" s="14" t="n">
        <v>11</v>
      </c>
      <c r="B15" s="20" t="n">
        <v>58</v>
      </c>
      <c r="C15" s="20" t="n">
        <v>1.5</v>
      </c>
      <c r="D15" s="20" t="n">
        <v>58</v>
      </c>
      <c r="E15" s="16" t="n">
        <f aca="false">$J$5+$J$6*B15+$J$7*C15</f>
        <v>57.9322267147311</v>
      </c>
      <c r="F15" s="16" t="n">
        <f aca="false">D15-E15</f>
        <v>0.0677732852689061</v>
      </c>
      <c r="G15" s="16" t="n">
        <f aca="false">Alpha_keep*B15+C15-58</f>
        <v>0.0499999999999972</v>
      </c>
      <c r="I15" s="37" t="n">
        <v>0</v>
      </c>
      <c r="J15" s="16" t="n">
        <f aca="false">ABS(1-I15)*SUMPRODUCT(ABS(G5:G44))/40</f>
        <v>0.0709374999999982</v>
      </c>
      <c r="K15" s="16" t="n">
        <f aca="false">ABS(1-I15)*ABS(Alpha_keep*55-58)</f>
        <v>4.375</v>
      </c>
      <c r="M15" s="14" t="n">
        <v>10</v>
      </c>
      <c r="N15" s="44" t="n">
        <v>1.95097613882863</v>
      </c>
      <c r="O15" s="20" t="n">
        <v>42.759528691007</v>
      </c>
      <c r="P15" s="26" t="n">
        <v>0</v>
      </c>
      <c r="Q15" s="26" t="n">
        <v>0</v>
      </c>
    </row>
    <row r="16" customFormat="false" ht="15" hidden="false" customHeight="false" outlineLevel="0" collapsed="false">
      <c r="A16" s="14" t="n">
        <v>12</v>
      </c>
      <c r="B16" s="20" t="n">
        <v>58</v>
      </c>
      <c r="C16" s="20" t="n">
        <v>1.5</v>
      </c>
      <c r="D16" s="20" t="n">
        <v>58</v>
      </c>
      <c r="E16" s="16" t="n">
        <f aca="false">$J$5+$J$6*B16+$J$7*C16</f>
        <v>57.9322267147311</v>
      </c>
      <c r="F16" s="16" t="n">
        <f aca="false">D16-E16</f>
        <v>0.0677732852689061</v>
      </c>
      <c r="G16" s="16" t="n">
        <f aca="false">Alpha_keep*B16+C16-58</f>
        <v>0.0499999999999972</v>
      </c>
      <c r="I16" s="37" t="n">
        <v>0.5</v>
      </c>
      <c r="J16" s="16" t="n">
        <f aca="false">ABS(1-I16)*SUMPRODUCT(ABS(G5:G44))/40</f>
        <v>0.0354687499999991</v>
      </c>
      <c r="K16" s="16" t="n">
        <f aca="false">ABS(1-I16)*ABS(Alpha_keep*55-58)</f>
        <v>2.1875</v>
      </c>
      <c r="M16" s="14" t="n">
        <v>11</v>
      </c>
      <c r="N16" s="44" t="n">
        <v>-1.63529909706632</v>
      </c>
      <c r="O16" s="20" t="n">
        <v>13.0324595402761</v>
      </c>
      <c r="P16" s="26" t="n">
        <v>0</v>
      </c>
      <c r="Q16" s="26" t="n">
        <v>0</v>
      </c>
    </row>
    <row r="17" customFormat="false" ht="15" hidden="false" customHeight="false" outlineLevel="0" collapsed="false">
      <c r="A17" s="14" t="n">
        <v>13</v>
      </c>
      <c r="B17" s="20" t="n">
        <v>58</v>
      </c>
      <c r="C17" s="20" t="n">
        <v>1.5</v>
      </c>
      <c r="D17" s="20" t="n">
        <v>58</v>
      </c>
      <c r="E17" s="16" t="n">
        <f aca="false">$J$5+$J$6*B17+$J$7*C17</f>
        <v>57.9322267147311</v>
      </c>
      <c r="F17" s="16" t="n">
        <f aca="false">D17-E17</f>
        <v>0.0677732852689061</v>
      </c>
      <c r="G17" s="16" t="n">
        <f aca="false">Alpha_keep*B17+C17-58</f>
        <v>0.0499999999999972</v>
      </c>
      <c r="I17" s="37" t="n">
        <v>1</v>
      </c>
      <c r="J17" s="16" t="n">
        <f aca="false">ABS(1-I17)*SUMPRODUCT(ABS(G5:G44))/40</f>
        <v>0</v>
      </c>
      <c r="K17" s="16" t="n">
        <f aca="false">ABS(1-I17)*ABS(Alpha_keep*55-58)</f>
        <v>0</v>
      </c>
      <c r="M17" s="14" t="n">
        <v>12</v>
      </c>
      <c r="N17" s="44" t="n">
        <v>2.53174971800146</v>
      </c>
      <c r="O17" s="20" t="n">
        <v>28.6216273903472</v>
      </c>
      <c r="P17" s="26" t="n">
        <v>0</v>
      </c>
      <c r="Q17" s="26" t="n">
        <v>0</v>
      </c>
    </row>
    <row r="18" customFormat="false" ht="15" hidden="false" customHeight="false" outlineLevel="0" collapsed="false">
      <c r="A18" s="14" t="n">
        <v>14</v>
      </c>
      <c r="B18" s="20" t="n">
        <v>58</v>
      </c>
      <c r="C18" s="20" t="n">
        <v>1.5</v>
      </c>
      <c r="D18" s="20" t="n">
        <v>58.75</v>
      </c>
      <c r="E18" s="16" t="n">
        <f aca="false">$J$5+$J$6*B18+$J$7*C18</f>
        <v>57.9322267147311</v>
      </c>
      <c r="F18" s="16" t="n">
        <f aca="false">D18-E18</f>
        <v>0.817773285268906</v>
      </c>
      <c r="G18" s="16" t="n">
        <f aca="false">Alpha_keep*B18+C18-58</f>
        <v>0.0499999999999972</v>
      </c>
      <c r="I18" s="37" t="n">
        <v>2</v>
      </c>
      <c r="J18" s="16" t="n">
        <f aca="false">ABS(1-I18)*SUMPRODUCT(ABS(G5:G44))/40</f>
        <v>0.0709374999999982</v>
      </c>
      <c r="K18" s="16" t="n">
        <f aca="false">ABS(1-I18)*ABS(Alpha_keep*55-58)</f>
        <v>4.375</v>
      </c>
      <c r="M18" s="14" t="n">
        <v>13</v>
      </c>
      <c r="N18" s="44" t="n">
        <v>1.17869419569549</v>
      </c>
      <c r="O18" s="20" t="n">
        <v>133.938537583109</v>
      </c>
      <c r="P18" s="26" t="n">
        <v>0</v>
      </c>
      <c r="Q18" s="26" t="n">
        <v>0</v>
      </c>
    </row>
    <row r="19" customFormat="false" ht="15" hidden="false" customHeight="false" outlineLevel="0" collapsed="false">
      <c r="A19" s="14" t="n">
        <v>15</v>
      </c>
      <c r="B19" s="20" t="n">
        <v>58.75</v>
      </c>
      <c r="C19" s="20" t="n">
        <v>0.75</v>
      </c>
      <c r="D19" s="20" t="n">
        <v>58</v>
      </c>
      <c r="E19" s="16" t="n">
        <f aca="false">$J$5+$J$6*B19+$J$7*C19</f>
        <v>57.7943784099766</v>
      </c>
      <c r="F19" s="16" t="n">
        <f aca="false">D19-E19</f>
        <v>0.205621590023377</v>
      </c>
      <c r="G19" s="16" t="n">
        <f aca="false">Alpha_keep*B19+C19-58</f>
        <v>0.03125</v>
      </c>
      <c r="I19" s="37" t="n">
        <v>5</v>
      </c>
      <c r="J19" s="16" t="n">
        <f aca="false">ABS(1-I19)*SUMPRODUCT(ABS(G5:G44))/40</f>
        <v>0.283749999999993</v>
      </c>
      <c r="K19" s="16" t="n">
        <f aca="false">ABS(1-I19)*ABS(Alpha_keep*55-58)</f>
        <v>17.5</v>
      </c>
      <c r="M19" s="14" t="n">
        <v>14</v>
      </c>
      <c r="N19" s="44" t="n">
        <v>2.32923673997419</v>
      </c>
      <c r="O19" s="20" t="n">
        <v>25.2321804158884</v>
      </c>
      <c r="P19" s="26" t="n">
        <v>0</v>
      </c>
      <c r="Q19" s="26" t="n">
        <v>0</v>
      </c>
    </row>
    <row r="20" customFormat="false" ht="15" hidden="false" customHeight="false" outlineLevel="0" collapsed="false">
      <c r="A20" s="14" t="n">
        <v>16</v>
      </c>
      <c r="B20" s="20" t="n">
        <v>58</v>
      </c>
      <c r="C20" s="20" t="n">
        <v>1.5</v>
      </c>
      <c r="D20" s="20" t="n">
        <v>58</v>
      </c>
      <c r="E20" s="16" t="n">
        <f aca="false">$J$5+$J$6*B20+$J$7*C20</f>
        <v>57.9322267147311</v>
      </c>
      <c r="F20" s="16" t="n">
        <f aca="false">D20-E20</f>
        <v>0.0677732852689061</v>
      </c>
      <c r="G20" s="16" t="n">
        <f aca="false">Alpha_keep*B20+C20-58</f>
        <v>0.0499999999999972</v>
      </c>
      <c r="I20" s="10" t="s">
        <v>433</v>
      </c>
      <c r="M20" s="14" t="n">
        <v>15</v>
      </c>
      <c r="N20" s="44" t="n">
        <v>2.02735346358773</v>
      </c>
      <c r="O20" s="20" t="n">
        <v>36.3945467123866</v>
      </c>
      <c r="P20" s="26" t="n">
        <v>0</v>
      </c>
      <c r="Q20" s="26" t="n">
        <v>0</v>
      </c>
    </row>
    <row r="21" customFormat="false" ht="15" hidden="false" customHeight="false" outlineLevel="0" collapsed="false">
      <c r="A21" s="14" t="n">
        <v>17</v>
      </c>
      <c r="B21" s="20" t="n">
        <v>58</v>
      </c>
      <c r="C21" s="20" t="n">
        <v>1.5</v>
      </c>
      <c r="D21" s="20" t="n">
        <v>59</v>
      </c>
      <c r="E21" s="16" t="n">
        <f aca="false">$J$5+$J$6*B21+$J$7*C21</f>
        <v>57.9322267147311</v>
      </c>
      <c r="F21" s="16" t="n">
        <f aca="false">D21-E21</f>
        <v>1.06777328526891</v>
      </c>
      <c r="G21" s="16" t="n">
        <f aca="false">Alpha_keep*B21+C21-58</f>
        <v>0.0499999999999972</v>
      </c>
      <c r="M21" s="14" t="n">
        <v>16</v>
      </c>
      <c r="N21" s="44" t="n">
        <v>1.75607382173466</v>
      </c>
      <c r="O21" s="20" t="n">
        <v>34.8824283988718</v>
      </c>
      <c r="P21" s="26" t="n">
        <v>0</v>
      </c>
      <c r="Q21" s="26" t="n">
        <v>0</v>
      </c>
    </row>
    <row r="22" customFormat="false" ht="15" hidden="false" customHeight="false" outlineLevel="0" collapsed="false">
      <c r="A22" s="14" t="n">
        <v>18</v>
      </c>
      <c r="B22" s="20" t="n">
        <v>59</v>
      </c>
      <c r="C22" s="20" t="n">
        <v>0.5</v>
      </c>
      <c r="D22" s="20" t="n">
        <v>58</v>
      </c>
      <c r="E22" s="16" t="n">
        <f aca="false">$J$5+$J$6*B22+$J$7*C22</f>
        <v>57.7484289750585</v>
      </c>
      <c r="F22" s="16" t="n">
        <f aca="false">D22-E22</f>
        <v>0.251571024941541</v>
      </c>
      <c r="G22" s="16" t="n">
        <f aca="false">Alpha_keep*B22+C22-58</f>
        <v>0.0249999999999986</v>
      </c>
      <c r="M22" s="14" t="n">
        <v>17</v>
      </c>
      <c r="N22" s="44" t="n">
        <v>1.22831498575147</v>
      </c>
      <c r="O22" s="20" t="n">
        <v>0.656780968321186</v>
      </c>
      <c r="P22" s="26" t="n">
        <v>0</v>
      </c>
      <c r="Q22" s="26" t="n">
        <v>0</v>
      </c>
    </row>
    <row r="23" customFormat="false" ht="15" hidden="false" customHeight="false" outlineLevel="0" collapsed="false">
      <c r="A23" s="14" t="n">
        <v>19</v>
      </c>
      <c r="B23" s="20" t="n">
        <v>58</v>
      </c>
      <c r="C23" s="20" t="n">
        <v>1.5</v>
      </c>
      <c r="D23" s="20" t="n">
        <v>58</v>
      </c>
      <c r="E23" s="16" t="n">
        <f aca="false">$J$5+$J$6*B23+$J$7*C23</f>
        <v>57.9322267147311</v>
      </c>
      <c r="F23" s="16" t="n">
        <f aca="false">D23-E23</f>
        <v>0.0677732852689061</v>
      </c>
      <c r="G23" s="16" t="n">
        <f aca="false">Alpha_keep*B23+C23-58</f>
        <v>0.0499999999999972</v>
      </c>
      <c r="M23" s="14" t="n">
        <v>18</v>
      </c>
      <c r="N23" s="44" t="n">
        <v>1.75204023533872</v>
      </c>
      <c r="O23" s="20" t="n">
        <v>39.0202028214272</v>
      </c>
      <c r="P23" s="26" t="n">
        <v>0</v>
      </c>
      <c r="Q23" s="26" t="n">
        <v>0</v>
      </c>
    </row>
    <row r="24" customFormat="false" ht="15" hidden="false" customHeight="false" outlineLevel="0" collapsed="false">
      <c r="A24" s="14" t="n">
        <v>20</v>
      </c>
      <c r="B24" s="20" t="n">
        <v>58</v>
      </c>
      <c r="C24" s="20" t="n">
        <v>1.5</v>
      </c>
      <c r="D24" s="20" t="n">
        <v>58</v>
      </c>
      <c r="E24" s="16" t="n">
        <f aca="false">$J$5+$J$6*B24+$J$7*C24</f>
        <v>57.9322267147311</v>
      </c>
      <c r="F24" s="16" t="n">
        <f aca="false">D24-E24</f>
        <v>0.0677732852689061</v>
      </c>
      <c r="G24" s="16" t="n">
        <f aca="false">Alpha_keep*B24+C24-58</f>
        <v>0.0499999999999972</v>
      </c>
      <c r="M24" s="14" t="n">
        <v>19</v>
      </c>
      <c r="N24" s="44" t="n">
        <v>0.827314113572848</v>
      </c>
      <c r="O24" s="20" t="n">
        <v>0.496166846209491</v>
      </c>
      <c r="P24" s="26" t="n">
        <v>0</v>
      </c>
      <c r="Q24" s="26" t="n">
        <v>0</v>
      </c>
    </row>
    <row r="25" customFormat="false" ht="15" hidden="false" customHeight="false" outlineLevel="0" collapsed="false">
      <c r="A25" s="14" t="n">
        <v>21</v>
      </c>
      <c r="B25" s="20" t="n">
        <v>58</v>
      </c>
      <c r="C25" s="20" t="n">
        <v>1.5</v>
      </c>
      <c r="D25" s="20" t="n">
        <v>56.5</v>
      </c>
      <c r="E25" s="16" t="n">
        <f aca="false">$J$5+$J$6*B25+$J$7*C25</f>
        <v>57.9322267147311</v>
      </c>
      <c r="F25" s="16" t="n">
        <f aca="false">D25-E25</f>
        <v>-1.43222671473109</v>
      </c>
      <c r="G25" s="16" t="n">
        <f aca="false">Alpha_keep*B25+C25-58</f>
        <v>0.0499999999999972</v>
      </c>
      <c r="M25" s="14" t="n">
        <v>20</v>
      </c>
      <c r="N25" s="44" t="n">
        <v>1.76002075496177</v>
      </c>
      <c r="O25" s="20" t="n">
        <v>32.8998187065535</v>
      </c>
      <c r="P25" s="26" t="n">
        <v>0</v>
      </c>
      <c r="Q25" s="26" t="n">
        <v>0</v>
      </c>
    </row>
    <row r="26" customFormat="false" ht="15" hidden="false" customHeight="false" outlineLevel="0" collapsed="false">
      <c r="A26" s="14" t="n">
        <v>22</v>
      </c>
      <c r="B26" s="20" t="n">
        <v>56.5</v>
      </c>
      <c r="C26" s="20" t="n">
        <v>2.5</v>
      </c>
      <c r="D26" s="20" t="n">
        <v>56.75</v>
      </c>
      <c r="E26" s="16" t="n">
        <f aca="false">$J$5+$J$6*B26+$J$7*C26</f>
        <v>57.0982195050663</v>
      </c>
      <c r="F26" s="16" t="n">
        <f aca="false">D26-E26</f>
        <v>-0.348219505066247</v>
      </c>
      <c r="G26" s="16" t="n">
        <f aca="false">Alpha_keep*B26+C26-58</f>
        <v>-0.412500000000001</v>
      </c>
      <c r="M26" s="14" t="n">
        <v>21</v>
      </c>
      <c r="N26" s="44" t="n">
        <v>1.126834911683</v>
      </c>
      <c r="O26" s="20" t="n">
        <v>0.937343747118831</v>
      </c>
      <c r="P26" s="26" t="n">
        <v>0</v>
      </c>
      <c r="Q26" s="26" t="n">
        <v>0</v>
      </c>
    </row>
    <row r="27" customFormat="false" ht="15" hidden="false" customHeight="false" outlineLevel="0" collapsed="false">
      <c r="A27" s="14" t="n">
        <v>23</v>
      </c>
      <c r="B27" s="20" t="n">
        <v>56.75</v>
      </c>
      <c r="C27" s="20" t="n">
        <v>2.5</v>
      </c>
      <c r="D27" s="20" t="n">
        <v>57</v>
      </c>
      <c r="E27" s="16" t="n">
        <f aca="false">$J$5+$J$6*B27+$J$7*C27</f>
        <v>57.607121979735</v>
      </c>
      <c r="F27" s="16" t="n">
        <f aca="false">D27-E27</f>
        <v>-0.607121979734991</v>
      </c>
      <c r="G27" s="16" t="n">
        <f aca="false">Alpha_keep*B27+C27-58</f>
        <v>-0.168750000000003</v>
      </c>
      <c r="M27" s="14" t="n">
        <v>22</v>
      </c>
      <c r="N27" s="44" t="n">
        <v>1.6657525187693</v>
      </c>
      <c r="O27" s="20" t="n">
        <v>31.485226767855</v>
      </c>
      <c r="P27" s="26" t="n">
        <v>0</v>
      </c>
      <c r="Q27" s="26" t="n">
        <v>0</v>
      </c>
    </row>
    <row r="28" customFormat="false" ht="15" hidden="false" customHeight="false" outlineLevel="0" collapsed="false">
      <c r="A28" s="14" t="n">
        <v>24</v>
      </c>
      <c r="B28" s="20" t="n">
        <v>57</v>
      </c>
      <c r="C28" s="20" t="n">
        <v>2.5</v>
      </c>
      <c r="D28" s="20" t="n">
        <v>58.75</v>
      </c>
      <c r="E28" s="16" t="n">
        <f aca="false">$J$5+$J$6*B28+$J$7*C28</f>
        <v>58.1160244544037</v>
      </c>
      <c r="F28" s="16" t="n">
        <f aca="false">D28-E28</f>
        <v>0.633975545596265</v>
      </c>
      <c r="G28" s="16" t="n">
        <f aca="false">Alpha_keep*B28+C28-58</f>
        <v>0.0749999999999957</v>
      </c>
      <c r="M28" s="14" t="n">
        <v>23</v>
      </c>
      <c r="N28" s="44" t="n">
        <v>2.30608910891088</v>
      </c>
      <c r="O28" s="20" t="n">
        <v>23.2996973573809</v>
      </c>
      <c r="P28" s="26" t="n">
        <v>0</v>
      </c>
      <c r="Q28" s="26" t="n">
        <v>0</v>
      </c>
    </row>
    <row r="29" customFormat="false" ht="15" hidden="false" customHeight="false" outlineLevel="0" collapsed="false">
      <c r="A29" s="14" t="n">
        <v>25</v>
      </c>
      <c r="B29" s="20" t="n">
        <v>58.75</v>
      </c>
      <c r="C29" s="20" t="n">
        <v>0.75</v>
      </c>
      <c r="D29" s="20" t="n">
        <v>58</v>
      </c>
      <c r="E29" s="16" t="n">
        <f aca="false">$J$5+$J$6*B29+$J$7*C29</f>
        <v>57.7943784099766</v>
      </c>
      <c r="F29" s="16" t="n">
        <f aca="false">D29-E29</f>
        <v>0.205621590023377</v>
      </c>
      <c r="G29" s="16" t="n">
        <f aca="false">Alpha_keep*B29+C29-58</f>
        <v>0.03125</v>
      </c>
      <c r="M29" s="14" t="n">
        <v>24</v>
      </c>
      <c r="N29" s="44" t="n">
        <v>0.792689327403582</v>
      </c>
      <c r="O29" s="20" t="n">
        <v>0.884329557531544</v>
      </c>
      <c r="P29" s="26" t="n">
        <v>0</v>
      </c>
      <c r="Q29" s="26" t="n">
        <v>0</v>
      </c>
    </row>
    <row r="30" customFormat="false" ht="15" hidden="false" customHeight="false" outlineLevel="0" collapsed="false">
      <c r="A30" s="14" t="n">
        <v>26</v>
      </c>
      <c r="B30" s="20" t="n">
        <v>58</v>
      </c>
      <c r="C30" s="20" t="n">
        <v>1.5</v>
      </c>
      <c r="D30" s="20" t="n">
        <v>58</v>
      </c>
      <c r="E30" s="16" t="n">
        <f aca="false">$J$5+$J$6*B30+$J$7*C30</f>
        <v>57.9322267147311</v>
      </c>
      <c r="F30" s="16" t="n">
        <f aca="false">D30-E30</f>
        <v>0.0677732852689061</v>
      </c>
      <c r="G30" s="16" t="n">
        <f aca="false">Alpha_keep*B30+C30-58</f>
        <v>0.0499999999999972</v>
      </c>
      <c r="M30" s="14" t="n">
        <v>25</v>
      </c>
      <c r="N30" s="44" t="n">
        <v>2.43942505133472</v>
      </c>
      <c r="O30" s="20" t="n">
        <v>27.246325430005</v>
      </c>
      <c r="P30" s="26" t="n">
        <v>0</v>
      </c>
      <c r="Q30" s="26" t="n">
        <v>0</v>
      </c>
    </row>
    <row r="31" customFormat="false" ht="15" hidden="false" customHeight="false" outlineLevel="0" collapsed="false">
      <c r="A31" s="14" t="n">
        <v>27</v>
      </c>
      <c r="B31" s="20" t="n">
        <v>58</v>
      </c>
      <c r="C31" s="20" t="n">
        <v>1.5</v>
      </c>
      <c r="D31" s="20" t="n">
        <v>58.75</v>
      </c>
      <c r="E31" s="16" t="n">
        <f aca="false">$J$5+$J$6*B31+$J$7*C31</f>
        <v>57.9322267147311</v>
      </c>
      <c r="F31" s="16" t="n">
        <f aca="false">D31-E31</f>
        <v>0.817773285268906</v>
      </c>
      <c r="G31" s="16" t="n">
        <f aca="false">Alpha_keep*B31+C31-58</f>
        <v>0.0499999999999972</v>
      </c>
      <c r="M31" s="14" t="n">
        <v>26</v>
      </c>
      <c r="N31" s="44" t="n">
        <v>0.154021577054668</v>
      </c>
      <c r="O31" s="20" t="n">
        <v>1029.74334219024</v>
      </c>
      <c r="P31" s="26" t="n">
        <v>1</v>
      </c>
      <c r="Q31" s="26" t="n">
        <v>1</v>
      </c>
    </row>
    <row r="32" customFormat="false" ht="15" hidden="false" customHeight="false" outlineLevel="0" collapsed="false">
      <c r="A32" s="14" t="n">
        <v>28</v>
      </c>
      <c r="B32" s="20" t="n">
        <v>58.75</v>
      </c>
      <c r="C32" s="20" t="n">
        <v>0.75</v>
      </c>
      <c r="D32" s="20" t="n">
        <v>58</v>
      </c>
      <c r="E32" s="16" t="n">
        <f aca="false">$J$5+$J$6*B32+$J$7*C32</f>
        <v>57.7943784099766</v>
      </c>
      <c r="F32" s="16" t="n">
        <f aca="false">D32-E32</f>
        <v>0.205621590023377</v>
      </c>
      <c r="G32" s="16" t="n">
        <f aca="false">Alpha_keep*B32+C32-58</f>
        <v>0.03125</v>
      </c>
      <c r="M32" s="14" t="n">
        <v>27</v>
      </c>
      <c r="N32" s="44" t="n">
        <v>4.17954401519938</v>
      </c>
      <c r="O32" s="20" t="n">
        <v>20.8913368869314</v>
      </c>
      <c r="P32" s="26" t="n">
        <v>0</v>
      </c>
      <c r="Q32" s="26" t="n">
        <v>0</v>
      </c>
    </row>
    <row r="33" customFormat="false" ht="15" hidden="false" customHeight="false" outlineLevel="0" collapsed="false">
      <c r="A33" s="14" t="n">
        <v>29</v>
      </c>
      <c r="B33" s="20" t="n">
        <v>58</v>
      </c>
      <c r="C33" s="20" t="n">
        <v>1.5</v>
      </c>
      <c r="D33" s="20" t="n">
        <v>58.25</v>
      </c>
      <c r="E33" s="16" t="n">
        <f aca="false">$J$5+$J$6*B33+$J$7*C33</f>
        <v>57.9322267147311</v>
      </c>
      <c r="F33" s="16" t="n">
        <f aca="false">D33-E33</f>
        <v>0.317773285268906</v>
      </c>
      <c r="G33" s="16" t="n">
        <f aca="false">Alpha_keep*B33+C33-58</f>
        <v>0.0499999999999972</v>
      </c>
      <c r="M33" s="14" t="n">
        <v>28</v>
      </c>
      <c r="N33" s="44" t="n">
        <v>-0.581168831169532</v>
      </c>
      <c r="O33" s="20" t="n">
        <v>1029.74334219024</v>
      </c>
      <c r="P33" s="26" t="n">
        <v>1</v>
      </c>
      <c r="Q33" s="26" t="n">
        <v>1</v>
      </c>
    </row>
    <row r="34" customFormat="false" ht="15" hidden="false" customHeight="false" outlineLevel="0" collapsed="false">
      <c r="A34" s="14" t="n">
        <v>30</v>
      </c>
      <c r="B34" s="20" t="n">
        <v>58.25</v>
      </c>
      <c r="C34" s="20" t="n">
        <v>1.25</v>
      </c>
      <c r="D34" s="20" t="n">
        <v>58</v>
      </c>
      <c r="E34" s="16" t="n">
        <f aca="false">$J$5+$J$6*B34+$J$7*C34</f>
        <v>57.8862772798129</v>
      </c>
      <c r="F34" s="16" t="n">
        <f aca="false">D34-E34</f>
        <v>0.113722720187056</v>
      </c>
      <c r="G34" s="16" t="n">
        <f aca="false">Alpha_keep*B34+C34-58</f>
        <v>0.0437499999999957</v>
      </c>
      <c r="M34" s="14" t="n">
        <v>29</v>
      </c>
      <c r="N34" s="44" t="n">
        <v>1.02751981329307</v>
      </c>
      <c r="O34" s="20" t="n">
        <v>136.15852459042</v>
      </c>
      <c r="P34" s="26" t="n">
        <v>0</v>
      </c>
      <c r="Q34" s="26" t="n">
        <v>0</v>
      </c>
    </row>
    <row r="35" customFormat="false" ht="15" hidden="false" customHeight="false" outlineLevel="0" collapsed="false">
      <c r="A35" s="14" t="n">
        <v>31</v>
      </c>
      <c r="B35" s="20" t="n">
        <v>58</v>
      </c>
      <c r="C35" s="20" t="n">
        <v>1.5</v>
      </c>
      <c r="D35" s="20" t="n">
        <v>58</v>
      </c>
      <c r="E35" s="16" t="n">
        <f aca="false">$J$5+$J$6*B35+$J$7*C35</f>
        <v>57.9322267147311</v>
      </c>
      <c r="F35" s="16" t="n">
        <f aca="false">D35-E35</f>
        <v>0.0677732852689061</v>
      </c>
      <c r="G35" s="16" t="n">
        <f aca="false">Alpha_keep*B35+C35-58</f>
        <v>0.0499999999999972</v>
      </c>
      <c r="M35" s="14" t="n">
        <v>30</v>
      </c>
      <c r="N35" s="44" t="n">
        <v>1.14864668730569</v>
      </c>
      <c r="O35" s="20" t="n">
        <v>0.488582070127848</v>
      </c>
      <c r="P35" s="26" t="n">
        <v>0</v>
      </c>
      <c r="Q35" s="26" t="n">
        <v>0</v>
      </c>
    </row>
    <row r="36" customFormat="false" ht="15" hidden="false" customHeight="false" outlineLevel="0" collapsed="false">
      <c r="A36" s="14" t="n">
        <v>32</v>
      </c>
      <c r="B36" s="20" t="n">
        <v>58</v>
      </c>
      <c r="C36" s="20" t="n">
        <v>1.5</v>
      </c>
      <c r="D36" s="20" t="n">
        <v>58.75</v>
      </c>
      <c r="E36" s="16" t="n">
        <f aca="false">$J$5+$J$6*B36+$J$7*C36</f>
        <v>57.9322267147311</v>
      </c>
      <c r="F36" s="16" t="n">
        <f aca="false">D36-E36</f>
        <v>0.817773285268906</v>
      </c>
      <c r="G36" s="16" t="n">
        <f aca="false">Alpha_keep*B36+C36-58</f>
        <v>0.0499999999999972</v>
      </c>
      <c r="M36" s="14" t="n">
        <v>31</v>
      </c>
      <c r="N36" s="44" t="n">
        <v>1.11858463465966</v>
      </c>
      <c r="O36" s="20" t="n">
        <v>0.101802902851205</v>
      </c>
      <c r="P36" s="26" t="n">
        <v>0</v>
      </c>
      <c r="Q36" s="26" t="n">
        <v>0</v>
      </c>
    </row>
    <row r="37" customFormat="false" ht="15" hidden="false" customHeight="false" outlineLevel="0" collapsed="false">
      <c r="A37" s="14" t="n">
        <v>33</v>
      </c>
      <c r="B37" s="20" t="n">
        <v>58.75</v>
      </c>
      <c r="C37" s="20" t="n">
        <v>0.75</v>
      </c>
      <c r="D37" s="20" t="n">
        <v>57.25</v>
      </c>
      <c r="E37" s="16" t="n">
        <f aca="false">$J$5+$J$6*B37+$J$7*C37</f>
        <v>57.7943784099766</v>
      </c>
      <c r="F37" s="16" t="n">
        <f aca="false">D37-E37</f>
        <v>-0.544378409976623</v>
      </c>
      <c r="G37" s="16" t="n">
        <f aca="false">Alpha_keep*B37+C37-58</f>
        <v>0.03125</v>
      </c>
      <c r="M37" s="14" t="n">
        <v>32</v>
      </c>
      <c r="N37" s="44" t="n">
        <v>0.688465827624636</v>
      </c>
      <c r="O37" s="20" t="n">
        <v>1029.74334219024</v>
      </c>
      <c r="P37" s="26" t="n">
        <v>1</v>
      </c>
      <c r="Q37" s="26" t="n">
        <v>1</v>
      </c>
    </row>
    <row r="38" customFormat="false" ht="15" hidden="false" customHeight="false" outlineLevel="0" collapsed="false">
      <c r="A38" s="14" t="n">
        <v>34</v>
      </c>
      <c r="B38" s="20" t="n">
        <v>57.25</v>
      </c>
      <c r="C38" s="20" t="n">
        <v>2.25</v>
      </c>
      <c r="D38" s="20" t="n">
        <v>57.25</v>
      </c>
      <c r="E38" s="16" t="n">
        <f aca="false">$J$5+$J$6*B38+$J$7*C38</f>
        <v>58.0700750194856</v>
      </c>
      <c r="F38" s="16" t="n">
        <f aca="false">D38-E38</f>
        <v>-0.820075019485579</v>
      </c>
      <c r="G38" s="16" t="n">
        <f aca="false">Alpha_keep*B38+C38-58</f>
        <v>0.0687500000000014</v>
      </c>
      <c r="M38" s="14" t="n">
        <v>33</v>
      </c>
      <c r="N38" s="44" t="n">
        <v>1.0319383259912</v>
      </c>
      <c r="O38" s="20" t="n">
        <v>0.115817627028463</v>
      </c>
      <c r="P38" s="26" t="n">
        <v>0</v>
      </c>
      <c r="Q38" s="26" t="n">
        <v>0</v>
      </c>
    </row>
    <row r="39" customFormat="false" ht="15" hidden="false" customHeight="false" outlineLevel="0" collapsed="false">
      <c r="A39" s="14" t="n">
        <v>35</v>
      </c>
      <c r="B39" s="20" t="n">
        <v>57.25</v>
      </c>
      <c r="C39" s="20" t="n">
        <v>2.25</v>
      </c>
      <c r="D39" s="20" t="n">
        <v>58.25</v>
      </c>
      <c r="E39" s="16" t="n">
        <f aca="false">$J$5+$J$6*B39+$J$7*C39</f>
        <v>58.0700750194856</v>
      </c>
      <c r="F39" s="16" t="n">
        <f aca="false">D39-E39</f>
        <v>0.179924980514421</v>
      </c>
      <c r="G39" s="16" t="n">
        <f aca="false">Alpha_keep*B39+C39-58</f>
        <v>0.0687500000000014</v>
      </c>
      <c r="M39" s="14" t="n">
        <v>34</v>
      </c>
      <c r="N39" s="44" t="n">
        <v>0.954738093318781</v>
      </c>
      <c r="O39" s="20" t="n">
        <v>0.0919297662842098</v>
      </c>
      <c r="P39" s="26" t="n">
        <v>0</v>
      </c>
      <c r="Q39" s="26" t="n">
        <v>0</v>
      </c>
    </row>
    <row r="40" customFormat="false" ht="15" hidden="false" customHeight="false" outlineLevel="0" collapsed="false">
      <c r="A40" s="14" t="n">
        <v>36</v>
      </c>
      <c r="B40" s="20" t="n">
        <v>58.25</v>
      </c>
      <c r="C40" s="20" t="n">
        <v>1.25</v>
      </c>
      <c r="D40" s="20" t="n">
        <v>58</v>
      </c>
      <c r="E40" s="16" t="n">
        <f aca="false">$J$5+$J$6*B40+$J$7*C40</f>
        <v>57.8862772798129</v>
      </c>
      <c r="F40" s="16" t="n">
        <f aca="false">D40-E40</f>
        <v>0.113722720187056</v>
      </c>
      <c r="G40" s="16" t="n">
        <f aca="false">Alpha_keep*B40+C40-58</f>
        <v>0.0437499999999957</v>
      </c>
      <c r="M40" s="14" t="n">
        <v>35</v>
      </c>
      <c r="N40" s="44" t="n">
        <v>0.123489985192527</v>
      </c>
      <c r="O40" s="20" t="n">
        <v>1029.74334219024</v>
      </c>
      <c r="P40" s="26" t="n">
        <v>1</v>
      </c>
      <c r="Q40" s="26" t="n">
        <v>1</v>
      </c>
    </row>
    <row r="41" customFormat="false" ht="15" hidden="false" customHeight="false" outlineLevel="0" collapsed="false">
      <c r="A41" s="14" t="n">
        <v>37</v>
      </c>
      <c r="B41" s="20" t="n">
        <v>58</v>
      </c>
      <c r="C41" s="20" t="n">
        <v>1.5</v>
      </c>
      <c r="D41" s="20" t="n">
        <v>58.25</v>
      </c>
      <c r="E41" s="16" t="n">
        <f aca="false">$J$5+$J$6*B41+$J$7*C41</f>
        <v>57.9322267147311</v>
      </c>
      <c r="F41" s="16" t="n">
        <f aca="false">D41-E41</f>
        <v>0.317773285268906</v>
      </c>
      <c r="G41" s="16" t="n">
        <f aca="false">Alpha_keep*B41+C41-58</f>
        <v>0.0499999999999972</v>
      </c>
      <c r="M41" s="14" t="n">
        <v>36</v>
      </c>
      <c r="N41" s="44" t="n">
        <v>1.1567163447589</v>
      </c>
      <c r="O41" s="20" t="n">
        <v>0.158520190782667</v>
      </c>
      <c r="P41" s="26" t="n">
        <v>0</v>
      </c>
      <c r="Q41" s="26" t="n">
        <v>0</v>
      </c>
    </row>
    <row r="42" customFormat="false" ht="15" hidden="false" customHeight="false" outlineLevel="0" collapsed="false">
      <c r="A42" s="14" t="n">
        <v>38</v>
      </c>
      <c r="B42" s="20" t="n">
        <v>58.25</v>
      </c>
      <c r="C42" s="20" t="n">
        <v>1.25</v>
      </c>
      <c r="D42" s="20" t="n">
        <v>57.25</v>
      </c>
      <c r="E42" s="16" t="n">
        <f aca="false">$J$5+$J$6*B42+$J$7*C42</f>
        <v>57.8862772798129</v>
      </c>
      <c r="F42" s="16" t="n">
        <f aca="false">D42-E42</f>
        <v>-0.636277279812944</v>
      </c>
      <c r="G42" s="16" t="n">
        <f aca="false">Alpha_keep*B42+C42-58</f>
        <v>0.0437499999999957</v>
      </c>
      <c r="M42" s="14" t="n">
        <v>37</v>
      </c>
      <c r="N42" s="44" t="n">
        <v>0.320704277285789</v>
      </c>
      <c r="O42" s="20" t="n">
        <v>1029.74334219024</v>
      </c>
      <c r="P42" s="26" t="n">
        <v>1</v>
      </c>
      <c r="Q42" s="26" t="n">
        <v>1</v>
      </c>
    </row>
    <row r="43" customFormat="false" ht="15" hidden="false" customHeight="false" outlineLevel="0" collapsed="false">
      <c r="A43" s="14" t="n">
        <v>39</v>
      </c>
      <c r="B43" s="20" t="n">
        <v>57.25</v>
      </c>
      <c r="C43" s="20" t="n">
        <v>2.25</v>
      </c>
      <c r="D43" s="20" t="n">
        <v>58.25</v>
      </c>
      <c r="E43" s="16" t="n">
        <f aca="false">$J$5+$J$6*B43+$J$7*C43</f>
        <v>58.0700750194856</v>
      </c>
      <c r="F43" s="16" t="n">
        <f aca="false">D43-E43</f>
        <v>0.179924980514421</v>
      </c>
      <c r="G43" s="16" t="n">
        <f aca="false">Alpha_keep*B43+C43-58</f>
        <v>0.0687500000000014</v>
      </c>
      <c r="M43" s="14" t="n">
        <v>38</v>
      </c>
      <c r="N43" s="44" t="n">
        <v>1.16437696852161</v>
      </c>
      <c r="O43" s="20" t="n">
        <v>0.158520190782667</v>
      </c>
      <c r="P43" s="26" t="n">
        <v>0</v>
      </c>
      <c r="Q43" s="26" t="n">
        <v>0</v>
      </c>
    </row>
    <row r="44" customFormat="false" ht="15" hidden="false" customHeight="false" outlineLevel="0" collapsed="false">
      <c r="A44" s="14" t="n">
        <v>40</v>
      </c>
      <c r="B44" s="20" t="n">
        <v>58.25</v>
      </c>
      <c r="C44" s="20" t="n">
        <v>1.25</v>
      </c>
      <c r="D44" s="20" t="n">
        <v>57.25</v>
      </c>
      <c r="E44" s="16" t="n">
        <f aca="false">$J$5+$J$6*B44+$J$7*C44</f>
        <v>57.8862772798129</v>
      </c>
      <c r="F44" s="16" t="n">
        <f aca="false">D44-E44</f>
        <v>-0.636277279812944</v>
      </c>
      <c r="G44" s="16" t="n">
        <f aca="false">Alpha_keep*B44+C44-58</f>
        <v>0.0437499999999957</v>
      </c>
      <c r="M44" s="14" t="n">
        <v>39</v>
      </c>
      <c r="N44" s="44" t="n">
        <v>0.471735950549643</v>
      </c>
      <c r="O44" s="20" t="n">
        <v>1029.74334219024</v>
      </c>
      <c r="P44" s="26" t="n">
        <v>1</v>
      </c>
      <c r="Q44" s="26" t="n">
        <v>1</v>
      </c>
    </row>
    <row r="45" customFormat="false" ht="15" hidden="false" customHeight="false" outlineLevel="0" collapsed="false">
      <c r="M45" s="14" t="n">
        <v>40</v>
      </c>
      <c r="N45" s="44" t="n">
        <v>0.439729237177676</v>
      </c>
      <c r="O45" s="20" t="n">
        <v>1029.74334219024</v>
      </c>
      <c r="P45" s="26" t="n">
        <v>1</v>
      </c>
      <c r="Q45" s="26" t="n">
        <v>1</v>
      </c>
    </row>
    <row r="46" customFormat="false" ht="15" hidden="false" customHeight="false" outlineLevel="0" collapsed="false">
      <c r="M46" s="14" t="n">
        <v>41</v>
      </c>
      <c r="N46" s="44" t="n">
        <v>0.913114067790474</v>
      </c>
      <c r="O46" s="20" t="n">
        <v>0.230841213456529</v>
      </c>
      <c r="P46" s="26" t="n">
        <v>0</v>
      </c>
      <c r="Q46" s="26" t="n">
        <v>0</v>
      </c>
    </row>
    <row r="47" customFormat="false" ht="15" hidden="false" customHeight="false" outlineLevel="0" collapsed="false">
      <c r="M47" s="14" t="n">
        <v>42</v>
      </c>
      <c r="N47" s="44" t="n">
        <v>0.64741225839268</v>
      </c>
      <c r="O47" s="20" t="n">
        <v>1029.74334219024</v>
      </c>
      <c r="P47" s="26" t="n">
        <v>1</v>
      </c>
      <c r="Q47" s="26" t="n">
        <v>1</v>
      </c>
    </row>
    <row r="48" customFormat="false" ht="15" hidden="false" customHeight="false" outlineLevel="0" collapsed="false">
      <c r="M48" s="14" t="n">
        <v>43</v>
      </c>
      <c r="N48" s="44" t="n">
        <v>0.858383433533888</v>
      </c>
      <c r="O48" s="20" t="n">
        <v>1029.74334219024</v>
      </c>
      <c r="P48" s="26" t="n">
        <v>1</v>
      </c>
      <c r="Q48" s="26" t="n">
        <v>1</v>
      </c>
    </row>
    <row r="49" customFormat="false" ht="15" hidden="false" customHeight="false" outlineLevel="0" collapsed="false">
      <c r="M49" s="14" t="n">
        <v>44</v>
      </c>
      <c r="N49" s="44" t="n">
        <v>-0.740337340327919</v>
      </c>
      <c r="O49" s="20" t="n">
        <v>1029.74334219024</v>
      </c>
      <c r="P49" s="26" t="n">
        <v>1</v>
      </c>
      <c r="Q49" s="26" t="n">
        <v>1</v>
      </c>
    </row>
    <row r="50" customFormat="false" ht="15" hidden="false" customHeight="false" outlineLevel="0" collapsed="false">
      <c r="M50" s="14" t="n">
        <v>45</v>
      </c>
      <c r="N50" s="44" t="n">
        <v>0.0797256634768886</v>
      </c>
      <c r="O50" s="20" t="n">
        <v>1029.74334219024</v>
      </c>
      <c r="P50" s="26" t="n">
        <v>1</v>
      </c>
      <c r="Q50" s="26" t="n">
        <v>1</v>
      </c>
    </row>
    <row r="51" customFormat="false" ht="15" hidden="false" customHeight="false" outlineLevel="0" collapsed="false">
      <c r="M51" s="14" t="n">
        <v>46</v>
      </c>
      <c r="N51" s="44" t="n">
        <v>-1.01397058823533</v>
      </c>
      <c r="O51" s="20" t="n">
        <v>5.85635952410038</v>
      </c>
      <c r="P51" s="26" t="n">
        <v>0</v>
      </c>
      <c r="Q51" s="26" t="n">
        <v>0</v>
      </c>
    </row>
    <row r="52" customFormat="false" ht="15" hidden="false" customHeight="false" outlineLevel="0" collapsed="false">
      <c r="M52" s="14" t="n">
        <v>47</v>
      </c>
      <c r="N52" s="44" t="n">
        <v>0.0845181273480989</v>
      </c>
      <c r="O52" s="20" t="n">
        <v>1029.74334219024</v>
      </c>
      <c r="P52" s="26" t="n">
        <v>1</v>
      </c>
      <c r="Q52" s="26" t="n">
        <v>1</v>
      </c>
    </row>
    <row r="53" customFormat="false" ht="15" hidden="false" customHeight="false" outlineLevel="0" collapsed="false">
      <c r="M53" s="14" t="n">
        <v>48</v>
      </c>
      <c r="N53" s="44" t="n">
        <v>2.07564759874805</v>
      </c>
      <c r="O53" s="20" t="n">
        <v>33.3658704622277</v>
      </c>
      <c r="P53" s="26" t="n">
        <v>0</v>
      </c>
      <c r="Q53" s="26" t="n">
        <v>0</v>
      </c>
    </row>
    <row r="54" customFormat="false" ht="15" hidden="false" customHeight="false" outlineLevel="0" collapsed="false">
      <c r="M54" s="14" t="n">
        <v>49</v>
      </c>
      <c r="N54" s="44" t="n">
        <v>0.319581085369702</v>
      </c>
      <c r="O54" s="20" t="n">
        <v>1029.74334219024</v>
      </c>
      <c r="P54" s="26" t="n">
        <v>1</v>
      </c>
      <c r="Q54" s="26" t="n">
        <v>1</v>
      </c>
    </row>
    <row r="55" customFormat="false" ht="15" hidden="false" customHeight="false" outlineLevel="0" collapsed="false">
      <c r="M55" s="14" t="n">
        <v>50</v>
      </c>
      <c r="N55" s="44" t="n">
        <v>1.14645215026764</v>
      </c>
      <c r="O55" s="20" t="n">
        <v>43.687967944429</v>
      </c>
      <c r="P55" s="26" t="n">
        <v>0</v>
      </c>
      <c r="Q55" s="26" t="n">
        <v>0</v>
      </c>
    </row>
    <row r="56" customFormat="false" ht="15" hidden="false" customHeight="false" outlineLevel="0" collapsed="false">
      <c r="M56" s="14" t="n">
        <v>51</v>
      </c>
      <c r="N56" s="44" t="n">
        <v>0.953966256736534</v>
      </c>
      <c r="O56" s="20" t="n">
        <v>0</v>
      </c>
      <c r="P56" s="26" t="n">
        <v>0</v>
      </c>
      <c r="Q56" s="26" t="n">
        <v>0</v>
      </c>
    </row>
    <row r="57" customFormat="false" ht="15" hidden="false" customHeight="false" outlineLevel="0" collapsed="false">
      <c r="M57" s="14" t="n">
        <v>52</v>
      </c>
      <c r="N57" s="44" t="n">
        <v>1.49696048632231</v>
      </c>
      <c r="O57" s="20" t="n">
        <v>51.435350014765</v>
      </c>
      <c r="P57" s="26" t="n">
        <v>0</v>
      </c>
      <c r="Q57" s="26" t="n">
        <v>0</v>
      </c>
    </row>
    <row r="58" customFormat="false" ht="15" hidden="false" customHeight="false" outlineLevel="0" collapsed="false">
      <c r="M58" s="14" t="n">
        <v>53</v>
      </c>
      <c r="N58" s="44" t="n">
        <v>2.15526480160453</v>
      </c>
      <c r="O58" s="20" t="n">
        <v>29.0607362533069</v>
      </c>
      <c r="P58" s="26" t="n">
        <v>0</v>
      </c>
      <c r="Q58" s="26" t="n">
        <v>0</v>
      </c>
    </row>
    <row r="59" customFormat="false" ht="15" hidden="false" customHeight="false" outlineLevel="0" collapsed="false">
      <c r="M59" s="14" t="n">
        <v>54</v>
      </c>
      <c r="N59" s="44" t="n">
        <v>0.41737759643916</v>
      </c>
      <c r="O59" s="20" t="n">
        <v>1029.74334219024</v>
      </c>
      <c r="P59" s="26" t="n">
        <v>1</v>
      </c>
      <c r="Q59" s="26" t="n">
        <v>1</v>
      </c>
    </row>
    <row r="60" customFormat="false" ht="15" hidden="false" customHeight="false" outlineLevel="0" collapsed="false">
      <c r="M60" s="14" t="n">
        <v>55</v>
      </c>
      <c r="N60" s="44" t="n">
        <v>-0.123833650653799</v>
      </c>
      <c r="O60" s="20" t="n">
        <v>1029.74334219024</v>
      </c>
      <c r="P60" s="26" t="n">
        <v>1</v>
      </c>
      <c r="Q60" s="26" t="n">
        <v>1</v>
      </c>
    </row>
    <row r="61" customFormat="false" ht="15" hidden="false" customHeight="false" outlineLevel="0" collapsed="false">
      <c r="M61" s="14" t="n">
        <v>56</v>
      </c>
      <c r="N61" s="44" t="n">
        <v>-2.94724344414619</v>
      </c>
      <c r="O61" s="20" t="n">
        <v>15.369398261068</v>
      </c>
      <c r="P61" s="26" t="n">
        <v>0</v>
      </c>
      <c r="Q61" s="26" t="n">
        <v>0</v>
      </c>
    </row>
    <row r="62" customFormat="false" ht="15" hidden="false" customHeight="false" outlineLevel="0" collapsed="false">
      <c r="M62" s="14" t="n">
        <v>57</v>
      </c>
      <c r="N62" s="44" t="n">
        <v>0.813885641341937</v>
      </c>
      <c r="O62" s="20" t="n">
        <v>0.496166846209491</v>
      </c>
      <c r="P62" s="26" t="n">
        <v>0</v>
      </c>
      <c r="Q62" s="26" t="n">
        <v>0</v>
      </c>
    </row>
    <row r="63" customFormat="false" ht="15" hidden="false" customHeight="false" outlineLevel="0" collapsed="false">
      <c r="M63" s="14" t="n">
        <v>58</v>
      </c>
      <c r="N63" s="44" t="n">
        <v>-0.31691916040632</v>
      </c>
      <c r="O63" s="20" t="n">
        <v>1029.74334219024</v>
      </c>
      <c r="P63" s="26" t="n">
        <v>1</v>
      </c>
      <c r="Q63" s="26" t="n">
        <v>1</v>
      </c>
    </row>
    <row r="64" customFormat="false" ht="15" hidden="false" customHeight="false" outlineLevel="0" collapsed="false">
      <c r="M64" s="14" t="n">
        <v>59</v>
      </c>
      <c r="N64" s="44" t="n">
        <v>2.58572204863481</v>
      </c>
      <c r="O64" s="20" t="n">
        <v>27.6461340671844</v>
      </c>
      <c r="P64" s="26" t="n">
        <v>0</v>
      </c>
      <c r="Q64" s="26" t="n">
        <v>0</v>
      </c>
    </row>
    <row r="65" customFormat="false" ht="15" hidden="false" customHeight="false" outlineLevel="0" collapsed="false">
      <c r="M65" s="14" t="n">
        <v>60</v>
      </c>
      <c r="N65" s="44" t="n">
        <v>0.618531623175583</v>
      </c>
      <c r="O65" s="20" t="n">
        <v>76.3625753407027</v>
      </c>
      <c r="P65" s="26" t="n">
        <v>1</v>
      </c>
      <c r="Q65" s="26" t="n">
        <v>0</v>
      </c>
    </row>
    <row r="66" customFormat="false" ht="15" hidden="false" customHeight="false" outlineLevel="0" collapsed="false">
      <c r="M66" s="14" t="n">
        <v>61</v>
      </c>
      <c r="N66" s="44" t="n">
        <v>5.35412361450326</v>
      </c>
      <c r="O66" s="20" t="n">
        <v>19.3344727962123</v>
      </c>
      <c r="P66" s="26" t="n">
        <v>0</v>
      </c>
      <c r="Q66" s="26" t="n">
        <v>0</v>
      </c>
    </row>
    <row r="67" customFormat="false" ht="15" hidden="false" customHeight="false" outlineLevel="0" collapsed="false">
      <c r="M67" s="14" t="n">
        <v>62</v>
      </c>
      <c r="N67" s="44" t="n">
        <v>-0.717749542251585</v>
      </c>
      <c r="O67" s="20" t="n">
        <v>1029.74334219024</v>
      </c>
      <c r="P67" s="26" t="n">
        <v>1</v>
      </c>
      <c r="Q67" s="26" t="n">
        <v>1</v>
      </c>
    </row>
    <row r="68" customFormat="false" ht="15" hidden="false" customHeight="false" outlineLevel="0" collapsed="false">
      <c r="M68" s="14" t="n">
        <v>63</v>
      </c>
      <c r="N68" s="44" t="n">
        <v>0.68641532016773</v>
      </c>
      <c r="O68" s="20" t="n">
        <v>1029.74334219024</v>
      </c>
      <c r="P68" s="26" t="n">
        <v>1</v>
      </c>
      <c r="Q68" s="26" t="n">
        <v>1</v>
      </c>
    </row>
    <row r="69" customFormat="false" ht="15" hidden="false" customHeight="false" outlineLevel="0" collapsed="false">
      <c r="M69" s="14" t="n">
        <v>64</v>
      </c>
      <c r="N69" s="44" t="n">
        <v>1.28704786994158</v>
      </c>
      <c r="O69" s="20" t="n">
        <v>0.672426144434695</v>
      </c>
      <c r="P69" s="26" t="n">
        <v>0</v>
      </c>
      <c r="Q69" s="26" t="n">
        <v>0</v>
      </c>
    </row>
    <row r="70" customFormat="false" ht="15" hidden="false" customHeight="false" outlineLevel="0" collapsed="false">
      <c r="M70" s="14" t="n">
        <v>65</v>
      </c>
      <c r="N70" s="44" t="n">
        <v>1.48843142939983</v>
      </c>
      <c r="O70" s="20" t="n">
        <v>42.2508805371233</v>
      </c>
      <c r="P70" s="26" t="n">
        <v>0</v>
      </c>
      <c r="Q70" s="26" t="n">
        <v>0</v>
      </c>
    </row>
    <row r="71" customFormat="false" ht="15" hidden="false" customHeight="false" outlineLevel="0" collapsed="false">
      <c r="M71" s="14" t="n">
        <v>66</v>
      </c>
      <c r="N71" s="44" t="n">
        <v>0.921082774652123</v>
      </c>
      <c r="O71" s="20" t="n">
        <v>10.9863312121867</v>
      </c>
      <c r="P71" s="26" t="n">
        <v>0</v>
      </c>
      <c r="Q71" s="26" t="n">
        <v>0</v>
      </c>
    </row>
    <row r="72" customFormat="false" ht="15" hidden="false" customHeight="false" outlineLevel="0" collapsed="false">
      <c r="M72" s="14" t="n">
        <v>67</v>
      </c>
      <c r="N72" s="44" t="n">
        <v>0.446399566865615</v>
      </c>
      <c r="O72" s="20" t="n">
        <v>1029.74334219024</v>
      </c>
      <c r="P72" s="26" t="n">
        <v>1</v>
      </c>
      <c r="Q72" s="26" t="n">
        <v>1</v>
      </c>
    </row>
    <row r="73" customFormat="false" ht="15" hidden="false" customHeight="false" outlineLevel="0" collapsed="false">
      <c r="M73" s="14" t="n">
        <v>68</v>
      </c>
      <c r="N73" s="44" t="n">
        <v>3.93991005984277</v>
      </c>
      <c r="O73" s="20" t="n">
        <v>21.4023860908945</v>
      </c>
      <c r="P73" s="26" t="n">
        <v>0</v>
      </c>
      <c r="Q73" s="26" t="n">
        <v>0</v>
      </c>
    </row>
    <row r="74" customFormat="false" ht="15" hidden="false" customHeight="false" outlineLevel="0" collapsed="false">
      <c r="M74" s="14" t="n">
        <v>69</v>
      </c>
      <c r="N74" s="44" t="n">
        <v>0.265391014974941</v>
      </c>
      <c r="O74" s="20" t="n">
        <v>1029.74334219024</v>
      </c>
      <c r="P74" s="26" t="n">
        <v>1</v>
      </c>
      <c r="Q74" s="26" t="n">
        <v>1</v>
      </c>
    </row>
    <row r="75" customFormat="false" ht="15" hidden="false" customHeight="false" outlineLevel="0" collapsed="false">
      <c r="M75" s="14" t="n">
        <v>70</v>
      </c>
      <c r="N75" s="44" t="n">
        <v>-0.140336134454243</v>
      </c>
      <c r="O75" s="20" t="n">
        <v>1029.74334219024</v>
      </c>
      <c r="P75" s="26" t="n">
        <v>1</v>
      </c>
      <c r="Q75" s="26" t="n">
        <v>1</v>
      </c>
    </row>
    <row r="76" customFormat="false" ht="15" hidden="false" customHeight="false" outlineLevel="0" collapsed="false">
      <c r="M76" s="14" t="n">
        <v>71</v>
      </c>
      <c r="N76" s="44" t="n">
        <v>1.44647277227737</v>
      </c>
      <c r="O76" s="20" t="n">
        <v>56.991763168614</v>
      </c>
      <c r="P76" s="26" t="n">
        <v>0</v>
      </c>
      <c r="Q76" s="26" t="n">
        <v>0</v>
      </c>
    </row>
    <row r="77" customFormat="false" ht="15" hidden="false" customHeight="false" outlineLevel="0" collapsed="false">
      <c r="M77" s="14" t="n">
        <v>72</v>
      </c>
      <c r="N77" s="44" t="n">
        <v>0.541622007859764</v>
      </c>
      <c r="O77" s="20" t="n">
        <v>1029.74334219024</v>
      </c>
      <c r="P77" s="26" t="n">
        <v>1</v>
      </c>
      <c r="Q77" s="26" t="n">
        <v>1</v>
      </c>
    </row>
    <row r="78" customFormat="false" ht="15" hidden="false" customHeight="false" outlineLevel="0" collapsed="false">
      <c r="M78" s="14" t="n">
        <v>73</v>
      </c>
      <c r="N78" s="44" t="n">
        <v>1.35601324700454</v>
      </c>
      <c r="O78" s="20" t="n">
        <v>51.331075318663</v>
      </c>
      <c r="P78" s="26" t="n">
        <v>0</v>
      </c>
      <c r="Q78" s="26" t="n">
        <v>0</v>
      </c>
    </row>
    <row r="79" customFormat="false" ht="15" hidden="false" customHeight="false" outlineLevel="0" collapsed="false">
      <c r="M79" s="14" t="n">
        <v>74</v>
      </c>
      <c r="N79" s="44" t="n">
        <v>1.63858695652168</v>
      </c>
      <c r="O79" s="20" t="n">
        <v>38.4733851764743</v>
      </c>
      <c r="P79" s="26" t="n">
        <v>0</v>
      </c>
      <c r="Q79" s="26" t="n">
        <v>0</v>
      </c>
    </row>
    <row r="80" customFormat="false" ht="15" hidden="false" customHeight="false" outlineLevel="0" collapsed="false">
      <c r="M80" s="14" t="n">
        <v>75</v>
      </c>
      <c r="N80" s="44" t="n">
        <v>1.70361527967262</v>
      </c>
      <c r="O80" s="20" t="n">
        <v>41.7922588394983</v>
      </c>
      <c r="P80" s="26" t="n">
        <v>0</v>
      </c>
      <c r="Q80" s="26" t="n">
        <v>0</v>
      </c>
    </row>
    <row r="81" customFormat="false" ht="15" hidden="false" customHeight="false" outlineLevel="0" collapsed="false">
      <c r="M81" s="14" t="n">
        <v>76</v>
      </c>
      <c r="N81" s="44" t="n">
        <v>0.361484511981297</v>
      </c>
      <c r="O81" s="20" t="n">
        <v>1029.74334219024</v>
      </c>
      <c r="P81" s="26" t="n">
        <v>1</v>
      </c>
      <c r="Q81" s="26" t="n">
        <v>1</v>
      </c>
    </row>
    <row r="82" customFormat="false" ht="15" hidden="false" customHeight="false" outlineLevel="0" collapsed="false">
      <c r="M82" s="14" t="n">
        <v>77</v>
      </c>
      <c r="N82" s="44" t="n">
        <v>2.11041486603329</v>
      </c>
      <c r="O82" s="20" t="n">
        <v>29.0791375515599</v>
      </c>
      <c r="P82" s="26" t="n">
        <v>0</v>
      </c>
      <c r="Q82" s="26" t="n">
        <v>0</v>
      </c>
    </row>
    <row r="83" customFormat="false" ht="15" hidden="false" customHeight="false" outlineLevel="0" collapsed="false">
      <c r="M83" s="14" t="n">
        <v>78</v>
      </c>
      <c r="N83" s="44" t="n">
        <v>0.763205459814864</v>
      </c>
      <c r="O83" s="20" t="n">
        <v>170.392387063474</v>
      </c>
      <c r="P83" s="26" t="n">
        <v>1</v>
      </c>
      <c r="Q83" s="26" t="n">
        <v>0</v>
      </c>
    </row>
    <row r="84" customFormat="false" ht="15" hidden="false" customHeight="false" outlineLevel="0" collapsed="false">
      <c r="M84" s="14" t="n">
        <v>79</v>
      </c>
      <c r="N84" s="44" t="n">
        <v>0.667130103907499</v>
      </c>
      <c r="O84" s="20" t="n">
        <v>1029.74334219024</v>
      </c>
      <c r="P84" s="26" t="n">
        <v>1</v>
      </c>
      <c r="Q84" s="26" t="n">
        <v>1</v>
      </c>
    </row>
    <row r="85" customFormat="false" ht="15" hidden="false" customHeight="false" outlineLevel="0" collapsed="false">
      <c r="M85" s="14" t="n">
        <v>80</v>
      </c>
      <c r="N85" s="44" t="n">
        <v>1.07512953367828</v>
      </c>
      <c r="O85" s="20" t="n">
        <v>94.6970027197796</v>
      </c>
      <c r="P85" s="26" t="n">
        <v>0</v>
      </c>
      <c r="Q85" s="26" t="n">
        <v>0</v>
      </c>
    </row>
    <row r="86" customFormat="false" ht="15" hidden="false" customHeight="false" outlineLevel="0" collapsed="false">
      <c r="M86" s="14" t="n">
        <v>81</v>
      </c>
      <c r="N86" s="44" t="n">
        <v>0.858294698649142</v>
      </c>
      <c r="O86" s="20" t="n">
        <v>0.713021460896897</v>
      </c>
      <c r="P86" s="26" t="n">
        <v>0</v>
      </c>
      <c r="Q86" s="26" t="n">
        <v>0</v>
      </c>
    </row>
    <row r="87" customFormat="false" ht="15" hidden="false" customHeight="false" outlineLevel="0" collapsed="false">
      <c r="M87" s="14" t="n">
        <v>82</v>
      </c>
      <c r="N87" s="44" t="n">
        <v>1.62986726274236</v>
      </c>
      <c r="O87" s="20" t="n">
        <v>54.6030301726503</v>
      </c>
      <c r="P87" s="26" t="n">
        <v>0</v>
      </c>
      <c r="Q87" s="26" t="n">
        <v>0</v>
      </c>
    </row>
    <row r="88" customFormat="false" ht="15" hidden="false" customHeight="false" outlineLevel="0" collapsed="false">
      <c r="M88" s="14" t="n">
        <v>83</v>
      </c>
      <c r="N88" s="44" t="n">
        <v>0.167668181151983</v>
      </c>
      <c r="O88" s="20" t="n">
        <v>1029.74334219024</v>
      </c>
      <c r="P88" s="26" t="n">
        <v>1</v>
      </c>
      <c r="Q88" s="26" t="n">
        <v>1</v>
      </c>
    </row>
    <row r="89" customFormat="false" ht="15" hidden="false" customHeight="false" outlineLevel="0" collapsed="false">
      <c r="M89" s="14" t="n">
        <v>84</v>
      </c>
      <c r="N89" s="44" t="n">
        <v>1.31175298804785</v>
      </c>
      <c r="O89" s="20" t="n">
        <v>129.356634023638</v>
      </c>
      <c r="P89" s="26" t="n">
        <v>0</v>
      </c>
      <c r="Q89" s="26" t="n">
        <v>0</v>
      </c>
    </row>
    <row r="90" customFormat="false" ht="15" hidden="false" customHeight="false" outlineLevel="0" collapsed="false">
      <c r="M90" s="14" t="n">
        <v>85</v>
      </c>
      <c r="N90" s="44" t="n">
        <v>0.366516748338485</v>
      </c>
      <c r="O90" s="20" t="n">
        <v>1029.74334219024</v>
      </c>
      <c r="P90" s="26" t="n">
        <v>1</v>
      </c>
      <c r="Q90" s="26" t="n">
        <v>1</v>
      </c>
    </row>
    <row r="91" customFormat="false" ht="15" hidden="false" customHeight="false" outlineLevel="0" collapsed="false">
      <c r="M91" s="14" t="n">
        <v>86</v>
      </c>
      <c r="N91" s="44" t="n">
        <v>2.8933632286997</v>
      </c>
      <c r="O91" s="20" t="n">
        <v>23.387240327293</v>
      </c>
      <c r="P91" s="26" t="n">
        <v>0</v>
      </c>
      <c r="Q91" s="26" t="n">
        <v>0</v>
      </c>
    </row>
    <row r="92" customFormat="false" ht="15" hidden="false" customHeight="false" outlineLevel="0" collapsed="false">
      <c r="M92" s="14" t="n">
        <v>87</v>
      </c>
      <c r="N92" s="44" t="n">
        <v>-0.301454230864573</v>
      </c>
      <c r="O92" s="20" t="n">
        <v>1029.74334219024</v>
      </c>
      <c r="P92" s="26" t="n">
        <v>1</v>
      </c>
      <c r="Q92" s="26" t="n">
        <v>1</v>
      </c>
    </row>
    <row r="93" customFormat="false" ht="15" hidden="false" customHeight="false" outlineLevel="0" collapsed="false">
      <c r="M93" s="14" t="n">
        <v>88</v>
      </c>
      <c r="N93" s="44" t="n">
        <v>0.834295460509073</v>
      </c>
      <c r="O93" s="20" t="n">
        <v>13.2663846145331</v>
      </c>
      <c r="P93" s="26" t="n">
        <v>0</v>
      </c>
      <c r="Q93" s="26" t="n">
        <v>0</v>
      </c>
    </row>
    <row r="94" customFormat="false" ht="15" hidden="false" customHeight="false" outlineLevel="0" collapsed="false">
      <c r="M94" s="14" t="n">
        <v>89</v>
      </c>
      <c r="N94" s="44" t="n">
        <v>-1.13870180931234</v>
      </c>
      <c r="O94" s="20" t="n">
        <v>1029.74334219024</v>
      </c>
      <c r="P94" s="26" t="n">
        <v>1</v>
      </c>
      <c r="Q94" s="26" t="n">
        <v>1</v>
      </c>
    </row>
    <row r="95" customFormat="false" ht="15" hidden="false" customHeight="false" outlineLevel="0" collapsed="false">
      <c r="M95" s="14" t="n">
        <v>90</v>
      </c>
      <c r="N95" s="44" t="n">
        <v>-0.192416126304298</v>
      </c>
      <c r="O95" s="20" t="n">
        <v>1029.74334219024</v>
      </c>
      <c r="P95" s="26" t="n">
        <v>1</v>
      </c>
      <c r="Q95" s="26" t="n">
        <v>1</v>
      </c>
    </row>
    <row r="96" customFormat="false" ht="15" hidden="false" customHeight="false" outlineLevel="0" collapsed="false">
      <c r="M96" s="14" t="n">
        <v>91</v>
      </c>
      <c r="N96" s="44" t="n">
        <v>1.84217016029593</v>
      </c>
      <c r="O96" s="20" t="n">
        <v>32.8998187065535</v>
      </c>
      <c r="P96" s="26" t="n">
        <v>0</v>
      </c>
      <c r="Q96" s="26" t="n">
        <v>0</v>
      </c>
    </row>
    <row r="97" customFormat="false" ht="15" hidden="false" customHeight="false" outlineLevel="0" collapsed="false">
      <c r="M97" s="14" t="n">
        <v>92</v>
      </c>
      <c r="N97" s="44" t="n">
        <v>-0.929932571094279</v>
      </c>
      <c r="O97" s="20" t="n">
        <v>1029.74334219024</v>
      </c>
      <c r="P97" s="26" t="n">
        <v>1</v>
      </c>
      <c r="Q97" s="26" t="n">
        <v>1</v>
      </c>
    </row>
    <row r="98" customFormat="false" ht="15" hidden="false" customHeight="false" outlineLevel="0" collapsed="false">
      <c r="M98" s="14" t="n">
        <v>93</v>
      </c>
      <c r="N98" s="44" t="n">
        <v>1.83967819523942</v>
      </c>
      <c r="O98" s="20" t="n">
        <v>27.1576244260237</v>
      </c>
      <c r="P98" s="26" t="n">
        <v>0</v>
      </c>
      <c r="Q98" s="26" t="n">
        <v>0</v>
      </c>
    </row>
    <row r="99" customFormat="false" ht="15" hidden="false" customHeight="false" outlineLevel="0" collapsed="false">
      <c r="M99" s="14" t="n">
        <v>94</v>
      </c>
      <c r="N99" s="44" t="n">
        <v>0.521025964322412</v>
      </c>
      <c r="O99" s="20" t="n">
        <v>1029.74334219024</v>
      </c>
      <c r="P99" s="26" t="n">
        <v>1</v>
      </c>
      <c r="Q99" s="26" t="n">
        <v>1</v>
      </c>
    </row>
    <row r="100" customFormat="false" ht="15" hidden="false" customHeight="false" outlineLevel="0" collapsed="false">
      <c r="M100" s="14" t="n">
        <v>95</v>
      </c>
      <c r="N100" s="44" t="n">
        <v>0.820518266779998</v>
      </c>
      <c r="O100" s="20" t="n">
        <v>1029.74334219024</v>
      </c>
      <c r="P100" s="26" t="n">
        <v>1</v>
      </c>
      <c r="Q100" s="26" t="n">
        <v>1</v>
      </c>
    </row>
    <row r="101" customFormat="false" ht="15" hidden="false" customHeight="false" outlineLevel="0" collapsed="false">
      <c r="M101" s="14" t="n">
        <v>96</v>
      </c>
      <c r="N101" s="44" t="n">
        <v>1.22601426079957</v>
      </c>
      <c r="O101" s="20" t="n">
        <v>0.238350222330723</v>
      </c>
      <c r="P101" s="26" t="n">
        <v>0</v>
      </c>
      <c r="Q101" s="26" t="n">
        <v>0</v>
      </c>
    </row>
    <row r="102" customFormat="false" ht="15" hidden="false" customHeight="false" outlineLevel="0" collapsed="false">
      <c r="M102" s="14" t="n">
        <v>97</v>
      </c>
      <c r="N102" s="44" t="n">
        <v>1.04084302325565</v>
      </c>
      <c r="O102" s="20" t="n">
        <v>93.2715378268853</v>
      </c>
      <c r="P102" s="26" t="n">
        <v>1</v>
      </c>
      <c r="Q102" s="26" t="n">
        <v>0</v>
      </c>
    </row>
    <row r="103" customFormat="false" ht="15" hidden="false" customHeight="false" outlineLevel="0" collapsed="false">
      <c r="M103" s="14" t="n">
        <v>98</v>
      </c>
      <c r="N103" s="44" t="n">
        <v>-0.121244635193261</v>
      </c>
      <c r="O103" s="20" t="n">
        <v>1029.74334219024</v>
      </c>
      <c r="P103" s="26" t="n">
        <v>1</v>
      </c>
      <c r="Q103" s="26" t="n">
        <v>1</v>
      </c>
    </row>
    <row r="104" customFormat="false" ht="15" hidden="false" customHeight="false" outlineLevel="0" collapsed="false">
      <c r="M104" s="14" t="n">
        <v>99</v>
      </c>
      <c r="N104" s="44" t="n">
        <v>-0.160184189612917</v>
      </c>
      <c r="O104" s="20" t="n">
        <v>1029.74334219024</v>
      </c>
      <c r="P104" s="26" t="n">
        <v>1</v>
      </c>
      <c r="Q104" s="26" t="n">
        <v>1</v>
      </c>
    </row>
    <row r="105" customFormat="false" ht="15" hidden="false" customHeight="false" outlineLevel="0" collapsed="false">
      <c r="M105" s="14" t="n">
        <v>100</v>
      </c>
      <c r="N105" s="44" t="n">
        <v>3.32507189984849</v>
      </c>
      <c r="O105" s="20" t="n">
        <v>23.7833866061859</v>
      </c>
      <c r="P105" s="26" t="n">
        <v>0</v>
      </c>
      <c r="Q105" s="26" t="n">
        <v>0</v>
      </c>
    </row>
    <row r="106" customFormat="false" ht="15" hidden="false" customHeight="false" outlineLevel="0" collapsed="false">
      <c r="M106" s="14" t="n">
        <v>101</v>
      </c>
      <c r="N106" s="44" t="n">
        <v>3.18389454450587</v>
      </c>
      <c r="O106" s="20" t="n">
        <v>23.4615865856382</v>
      </c>
      <c r="P106" s="26" t="n">
        <v>0</v>
      </c>
      <c r="Q106" s="26" t="n">
        <v>0</v>
      </c>
    </row>
    <row r="107" customFormat="false" ht="15" hidden="false" customHeight="false" outlineLevel="0" collapsed="false">
      <c r="M107" s="14" t="n">
        <v>102</v>
      </c>
      <c r="N107" s="44" t="n">
        <v>1.08136696232682</v>
      </c>
      <c r="O107" s="20" t="n">
        <v>0.43736025479447</v>
      </c>
      <c r="P107" s="26" t="n">
        <v>0</v>
      </c>
      <c r="Q107" s="26" t="n">
        <v>0</v>
      </c>
    </row>
    <row r="108" customFormat="false" ht="15" hidden="false" customHeight="false" outlineLevel="0" collapsed="false">
      <c r="M108" s="14" t="n">
        <v>103</v>
      </c>
      <c r="N108" s="44" t="n">
        <v>1.0272536687631</v>
      </c>
      <c r="O108" s="20" t="n">
        <v>136.096710002479</v>
      </c>
      <c r="P108" s="26" t="n">
        <v>0</v>
      </c>
      <c r="Q108" s="26" t="n">
        <v>0</v>
      </c>
    </row>
    <row r="109" customFormat="false" ht="15" hidden="false" customHeight="false" outlineLevel="0" collapsed="false">
      <c r="M109" s="14" t="n">
        <v>104</v>
      </c>
      <c r="N109" s="44" t="n">
        <v>-0.251888217523097</v>
      </c>
      <c r="O109" s="20" t="n">
        <v>1029.74334219024</v>
      </c>
      <c r="P109" s="26" t="n">
        <v>1</v>
      </c>
      <c r="Q109" s="26" t="n">
        <v>1</v>
      </c>
    </row>
    <row r="110" customFormat="false" ht="15" hidden="false" customHeight="false" outlineLevel="0" collapsed="false">
      <c r="M110" s="14" t="n">
        <v>105</v>
      </c>
      <c r="N110" s="44" t="n">
        <v>-0.0931737936452614</v>
      </c>
      <c r="O110" s="20" t="n">
        <v>1029.74334219024</v>
      </c>
      <c r="P110" s="26" t="n">
        <v>1</v>
      </c>
      <c r="Q110" s="26" t="n">
        <v>1</v>
      </c>
    </row>
    <row r="111" customFormat="false" ht="15" hidden="false" customHeight="false" outlineLevel="0" collapsed="false">
      <c r="M111" s="14" t="n">
        <v>106</v>
      </c>
      <c r="N111" s="44" t="n">
        <v>-0.68713956170702</v>
      </c>
      <c r="O111" s="20" t="n">
        <v>1029.74334219024</v>
      </c>
      <c r="P111" s="26" t="n">
        <v>1</v>
      </c>
      <c r="Q111" s="26" t="n">
        <v>1</v>
      </c>
    </row>
    <row r="112" customFormat="false" ht="15" hidden="false" customHeight="false" outlineLevel="0" collapsed="false">
      <c r="M112" s="14" t="n">
        <v>107</v>
      </c>
      <c r="N112" s="44" t="n">
        <v>0.535096271020777</v>
      </c>
      <c r="O112" s="20" t="n">
        <v>1029.74334219024</v>
      </c>
      <c r="P112" s="26" t="n">
        <v>1</v>
      </c>
      <c r="Q112" s="26" t="n">
        <v>1</v>
      </c>
    </row>
    <row r="113" customFormat="false" ht="15" hidden="false" customHeight="false" outlineLevel="0" collapsed="false">
      <c r="M113" s="14" t="n">
        <v>108</v>
      </c>
      <c r="N113" s="44" t="n">
        <v>1.78360509047576</v>
      </c>
      <c r="O113" s="20" t="n">
        <v>29.0791375515598</v>
      </c>
      <c r="P113" s="26" t="n">
        <v>0</v>
      </c>
      <c r="Q113" s="26" t="n">
        <v>0</v>
      </c>
    </row>
    <row r="114" customFormat="false" ht="15" hidden="false" customHeight="false" outlineLevel="0" collapsed="false">
      <c r="M114" s="14" t="n">
        <v>109</v>
      </c>
      <c r="N114" s="44" t="n">
        <v>0.0595306239268147</v>
      </c>
      <c r="O114" s="20" t="n">
        <v>1029.74334219024</v>
      </c>
      <c r="P114" s="26" t="n">
        <v>1</v>
      </c>
      <c r="Q114" s="26" t="n">
        <v>1</v>
      </c>
    </row>
    <row r="115" customFormat="false" ht="15" hidden="false" customHeight="false" outlineLevel="0" collapsed="false">
      <c r="M115" s="14" t="n">
        <v>110</v>
      </c>
      <c r="N115" s="44" t="n">
        <v>0.490455161456042</v>
      </c>
      <c r="O115" s="20" t="n">
        <v>1029.74334219024</v>
      </c>
      <c r="P115" s="26" t="n">
        <v>1</v>
      </c>
      <c r="Q115" s="26" t="n">
        <v>1</v>
      </c>
    </row>
    <row r="116" customFormat="false" ht="15" hidden="false" customHeight="false" outlineLevel="0" collapsed="false">
      <c r="M116" s="14" t="n">
        <v>111</v>
      </c>
      <c r="N116" s="44" t="n">
        <v>1.44249329758742</v>
      </c>
      <c r="O116" s="20" t="n">
        <v>45.9901122905169</v>
      </c>
      <c r="P116" s="26" t="n">
        <v>0</v>
      </c>
      <c r="Q116" s="26" t="n">
        <v>0</v>
      </c>
    </row>
    <row r="117" customFormat="false" ht="15" hidden="false" customHeight="false" outlineLevel="0" collapsed="false">
      <c r="M117" s="14" t="n">
        <v>112</v>
      </c>
      <c r="N117" s="44" t="n">
        <v>0.528520742358079</v>
      </c>
      <c r="O117" s="20" t="n">
        <v>1029.74334219024</v>
      </c>
      <c r="P117" s="26" t="n">
        <v>1</v>
      </c>
      <c r="Q117" s="26" t="n">
        <v>1</v>
      </c>
    </row>
    <row r="118" customFormat="false" ht="15" hidden="false" customHeight="false" outlineLevel="0" collapsed="false">
      <c r="M118" s="14" t="n">
        <v>113</v>
      </c>
      <c r="N118" s="44" t="n">
        <v>3.83167220376664</v>
      </c>
      <c r="O118" s="20" t="n">
        <v>21.8180924807911</v>
      </c>
      <c r="P118" s="26" t="n">
        <v>0</v>
      </c>
      <c r="Q118" s="26" t="n">
        <v>0</v>
      </c>
    </row>
    <row r="119" customFormat="false" ht="15" hidden="false" customHeight="false" outlineLevel="0" collapsed="false">
      <c r="M119" s="14" t="n">
        <v>114</v>
      </c>
      <c r="N119" s="44" t="n">
        <v>1.31524122807019</v>
      </c>
      <c r="O119" s="20" t="n">
        <v>61.9575614182523</v>
      </c>
      <c r="P119" s="26" t="n">
        <v>0</v>
      </c>
      <c r="Q119" s="26" t="n">
        <v>0</v>
      </c>
    </row>
    <row r="120" customFormat="false" ht="15" hidden="false" customHeight="false" outlineLevel="0" collapsed="false">
      <c r="M120" s="14" t="n">
        <v>115</v>
      </c>
      <c r="N120" s="44" t="n">
        <v>2.22961203483785</v>
      </c>
      <c r="O120" s="20" t="n">
        <v>30.074952067164</v>
      </c>
      <c r="P120" s="26" t="n">
        <v>0</v>
      </c>
      <c r="Q120" s="26" t="n">
        <v>0</v>
      </c>
    </row>
    <row r="121" customFormat="false" ht="15" hidden="false" customHeight="false" outlineLevel="0" collapsed="false">
      <c r="M121" s="14" t="n">
        <v>116</v>
      </c>
      <c r="N121" s="44" t="n">
        <v>1.65661168322253</v>
      </c>
      <c r="O121" s="20" t="n">
        <v>36.671808636231</v>
      </c>
      <c r="P121" s="26" t="n">
        <v>0</v>
      </c>
      <c r="Q121" s="26" t="n">
        <v>0</v>
      </c>
    </row>
    <row r="122" customFormat="false" ht="15" hidden="false" customHeight="false" outlineLevel="0" collapsed="false">
      <c r="M122" s="14" t="n">
        <v>117</v>
      </c>
      <c r="N122" s="44" t="n">
        <v>0.968647585754842</v>
      </c>
      <c r="O122" s="20" t="n">
        <v>20.2242084734352</v>
      </c>
      <c r="P122" s="26" t="n">
        <v>0</v>
      </c>
      <c r="Q122" s="26" t="n">
        <v>0</v>
      </c>
    </row>
    <row r="123" customFormat="false" ht="15" hidden="false" customHeight="false" outlineLevel="0" collapsed="false">
      <c r="M123" s="14" t="n">
        <v>118</v>
      </c>
      <c r="N123" s="44" t="n">
        <v>0.36517260075895</v>
      </c>
      <c r="O123" s="20" t="n">
        <v>1029.74334219024</v>
      </c>
      <c r="P123" s="26" t="n">
        <v>1</v>
      </c>
      <c r="Q123" s="26" t="n">
        <v>1</v>
      </c>
    </row>
    <row r="124" customFormat="false" ht="15" hidden="false" customHeight="false" outlineLevel="0" collapsed="false">
      <c r="M124" s="14" t="n">
        <v>119</v>
      </c>
      <c r="N124" s="44" t="n">
        <v>2.87275440826991</v>
      </c>
      <c r="O124" s="20" t="n">
        <v>23.2996973573806</v>
      </c>
      <c r="P124" s="26" t="n">
        <v>0</v>
      </c>
      <c r="Q124" s="26" t="n">
        <v>0</v>
      </c>
    </row>
    <row r="125" customFormat="false" ht="15" hidden="false" customHeight="false" outlineLevel="0" collapsed="false">
      <c r="M125" s="14" t="n">
        <v>120</v>
      </c>
      <c r="N125" s="44" t="n">
        <v>1.35766307789733</v>
      </c>
      <c r="O125" s="20" t="n">
        <v>42.6392028611441</v>
      </c>
      <c r="P125" s="26" t="n">
        <v>0</v>
      </c>
      <c r="Q125" s="26" t="n">
        <v>0</v>
      </c>
    </row>
    <row r="126" customFormat="false" ht="15" hidden="false" customHeight="false" outlineLevel="0" collapsed="false">
      <c r="M126" s="14" t="n">
        <v>121</v>
      </c>
      <c r="N126" s="44" t="n">
        <v>2.11612594676972</v>
      </c>
      <c r="O126" s="20" t="n">
        <v>30.9990869272988</v>
      </c>
      <c r="P126" s="26" t="n">
        <v>0</v>
      </c>
      <c r="Q126" s="26" t="n">
        <v>0</v>
      </c>
    </row>
    <row r="127" customFormat="false" ht="15" hidden="false" customHeight="false" outlineLevel="0" collapsed="false">
      <c r="M127" s="14" t="n">
        <v>122</v>
      </c>
      <c r="N127" s="44" t="n">
        <v>1.66930022573364</v>
      </c>
      <c r="O127" s="20" t="n">
        <v>30.9990869272984</v>
      </c>
      <c r="P127" s="26" t="n">
        <v>0</v>
      </c>
      <c r="Q127" s="26" t="n">
        <v>0</v>
      </c>
    </row>
    <row r="128" customFormat="false" ht="15" hidden="false" customHeight="false" outlineLevel="0" collapsed="false">
      <c r="M128" s="14" t="n">
        <v>123</v>
      </c>
      <c r="N128" s="44" t="n">
        <v>1.01621848739501</v>
      </c>
      <c r="O128" s="20" t="n">
        <v>17.3403278856796</v>
      </c>
      <c r="P128" s="26" t="n">
        <v>0</v>
      </c>
      <c r="Q128" s="26" t="n">
        <v>0</v>
      </c>
    </row>
    <row r="129" customFormat="false" ht="15" hidden="false" customHeight="false" outlineLevel="0" collapsed="false">
      <c r="M129" s="14" t="n">
        <v>124</v>
      </c>
      <c r="N129" s="44" t="n">
        <v>0.904416471090053</v>
      </c>
      <c r="O129" s="20" t="n">
        <v>10.9863312121867</v>
      </c>
      <c r="P129" s="26" t="n">
        <v>0</v>
      </c>
      <c r="Q129" s="26" t="n">
        <v>0</v>
      </c>
    </row>
    <row r="130" customFormat="false" ht="15" hidden="false" customHeight="false" outlineLevel="0" collapsed="false">
      <c r="M130" s="14" t="n">
        <v>125</v>
      </c>
      <c r="N130" s="44" t="n">
        <v>1.04373097149184</v>
      </c>
      <c r="O130" s="20" t="n">
        <v>104.418163965486</v>
      </c>
      <c r="P130" s="26" t="n">
        <v>0</v>
      </c>
      <c r="Q130" s="26" t="n">
        <v>0</v>
      </c>
    </row>
    <row r="131" customFormat="false" ht="15" hidden="false" customHeight="false" outlineLevel="0" collapsed="false">
      <c r="M131" s="14" t="n">
        <v>126</v>
      </c>
      <c r="N131" s="44" t="n">
        <v>2.05938991138377</v>
      </c>
      <c r="O131" s="20" t="n">
        <v>27.1576244260237</v>
      </c>
      <c r="P131" s="26" t="n">
        <v>0</v>
      </c>
      <c r="Q131" s="26" t="n">
        <v>0</v>
      </c>
    </row>
    <row r="132" customFormat="false" ht="15" hidden="false" customHeight="false" outlineLevel="0" collapsed="false">
      <c r="M132" s="14" t="n">
        <v>127</v>
      </c>
      <c r="N132" s="44" t="n">
        <v>0.590680107208781</v>
      </c>
      <c r="O132" s="20" t="n">
        <v>2.11201722474817</v>
      </c>
      <c r="P132" s="26" t="n">
        <v>0</v>
      </c>
      <c r="Q132" s="26" t="n">
        <v>0</v>
      </c>
    </row>
    <row r="133" customFormat="false" ht="15" hidden="false" customHeight="false" outlineLevel="0" collapsed="false">
      <c r="M133" s="14" t="n">
        <v>128</v>
      </c>
      <c r="N133" s="44" t="n">
        <v>1.09922237426156</v>
      </c>
      <c r="O133" s="20" t="n">
        <v>2.50244208479339</v>
      </c>
      <c r="P133" s="26" t="n">
        <v>0</v>
      </c>
      <c r="Q133" s="26" t="n">
        <v>0</v>
      </c>
    </row>
    <row r="134" customFormat="false" ht="15" hidden="false" customHeight="false" outlineLevel="0" collapsed="false">
      <c r="M134" s="14" t="n">
        <v>129</v>
      </c>
      <c r="N134" s="44" t="n">
        <v>2.77280723800007</v>
      </c>
      <c r="O134" s="20" t="n">
        <v>23.2974233229519</v>
      </c>
      <c r="P134" s="26" t="n">
        <v>0</v>
      </c>
      <c r="Q134" s="26" t="n">
        <v>0</v>
      </c>
    </row>
    <row r="135" customFormat="false" ht="15" hidden="false" customHeight="false" outlineLevel="0" collapsed="false">
      <c r="M135" s="14" t="n">
        <v>130</v>
      </c>
      <c r="N135" s="44" t="n">
        <v>-0.408941305540371</v>
      </c>
      <c r="O135" s="20" t="n">
        <v>1029.74334219024</v>
      </c>
      <c r="P135" s="26" t="n">
        <v>1</v>
      </c>
      <c r="Q135" s="26" t="n">
        <v>1</v>
      </c>
    </row>
    <row r="136" customFormat="false" ht="15" hidden="false" customHeight="false" outlineLevel="0" collapsed="false">
      <c r="M136" s="14" t="n">
        <v>131</v>
      </c>
      <c r="N136" s="44" t="n">
        <v>0.24837027379388</v>
      </c>
      <c r="O136" s="20" t="n">
        <v>1029.74334219024</v>
      </c>
      <c r="P136" s="26" t="n">
        <v>1</v>
      </c>
      <c r="Q136" s="26" t="n">
        <v>1</v>
      </c>
    </row>
    <row r="137" customFormat="false" ht="15" hidden="false" customHeight="false" outlineLevel="0" collapsed="false">
      <c r="M137" s="14" t="n">
        <v>132</v>
      </c>
      <c r="N137" s="44" t="n">
        <v>2.95746112654301</v>
      </c>
      <c r="O137" s="20" t="n">
        <v>23.7833866061859</v>
      </c>
      <c r="P137" s="26" t="n">
        <v>0</v>
      </c>
      <c r="Q137" s="26" t="n">
        <v>0</v>
      </c>
    </row>
    <row r="138" customFormat="false" ht="15" hidden="false" customHeight="false" outlineLevel="0" collapsed="false">
      <c r="M138" s="14" t="n">
        <v>133</v>
      </c>
      <c r="N138" s="44" t="n">
        <v>1.15297961687261</v>
      </c>
      <c r="O138" s="20" t="n">
        <v>61.8613069958934</v>
      </c>
      <c r="P138" s="26" t="n">
        <v>0</v>
      </c>
      <c r="Q138" s="26" t="n">
        <v>0</v>
      </c>
    </row>
    <row r="139" customFormat="false" ht="15" hidden="false" customHeight="false" outlineLevel="0" collapsed="false">
      <c r="M139" s="14" t="n">
        <v>134</v>
      </c>
      <c r="N139" s="44" t="n">
        <v>-0.728374925244053</v>
      </c>
      <c r="O139" s="20" t="n">
        <v>1029.74334219024</v>
      </c>
      <c r="P139" s="26" t="n">
        <v>1</v>
      </c>
      <c r="Q139" s="26" t="n">
        <v>1</v>
      </c>
    </row>
    <row r="140" customFormat="false" ht="15" hidden="false" customHeight="false" outlineLevel="0" collapsed="false">
      <c r="M140" s="14" t="n">
        <v>135</v>
      </c>
      <c r="N140" s="44" t="n">
        <v>0.660708636507621</v>
      </c>
      <c r="O140" s="20" t="n">
        <v>1029.74334219024</v>
      </c>
      <c r="P140" s="26" t="n">
        <v>1</v>
      </c>
      <c r="Q140" s="26" t="n">
        <v>1</v>
      </c>
    </row>
    <row r="141" customFormat="false" ht="15" hidden="false" customHeight="false" outlineLevel="0" collapsed="false">
      <c r="M141" s="14" t="n">
        <v>136</v>
      </c>
      <c r="N141" s="44" t="n">
        <v>3.17329192546653</v>
      </c>
      <c r="O141" s="20" t="n">
        <v>23.299697357381</v>
      </c>
      <c r="P141" s="26" t="n">
        <v>0</v>
      </c>
      <c r="Q141" s="26" t="n">
        <v>0</v>
      </c>
    </row>
    <row r="142" customFormat="false" ht="15" hidden="false" customHeight="false" outlineLevel="0" collapsed="false">
      <c r="M142" s="14" t="n">
        <v>137</v>
      </c>
      <c r="N142" s="44" t="n">
        <v>1.84878264718899</v>
      </c>
      <c r="O142" s="20" t="n">
        <v>27.5934107826284</v>
      </c>
      <c r="P142" s="26" t="n">
        <v>0</v>
      </c>
      <c r="Q142" s="26" t="n">
        <v>0</v>
      </c>
    </row>
    <row r="143" customFormat="false" ht="15" hidden="false" customHeight="false" outlineLevel="0" collapsed="false">
      <c r="M143" s="14" t="n">
        <v>138</v>
      </c>
      <c r="N143" s="44" t="n">
        <v>1.30973890963954</v>
      </c>
      <c r="O143" s="20" t="n">
        <v>37.1868355811821</v>
      </c>
      <c r="P143" s="26" t="n">
        <v>0</v>
      </c>
      <c r="Q143" s="26" t="n">
        <v>0</v>
      </c>
    </row>
    <row r="144" customFormat="false" ht="15" hidden="false" customHeight="false" outlineLevel="0" collapsed="false">
      <c r="M144" s="14" t="n">
        <v>139</v>
      </c>
      <c r="N144" s="44" t="n">
        <v>1.28183341937241</v>
      </c>
      <c r="O144" s="20" t="n">
        <v>0.656780968321186</v>
      </c>
      <c r="P144" s="26" t="n">
        <v>0</v>
      </c>
      <c r="Q144" s="26" t="n">
        <v>0</v>
      </c>
    </row>
    <row r="145" customFormat="false" ht="15" hidden="false" customHeight="false" outlineLevel="0" collapsed="false">
      <c r="M145" s="14" t="n">
        <v>140</v>
      </c>
      <c r="N145" s="44" t="n">
        <v>1.28830464843789</v>
      </c>
      <c r="O145" s="20" t="n">
        <v>0.672426144434695</v>
      </c>
      <c r="P145" s="26" t="n">
        <v>0</v>
      </c>
      <c r="Q145" s="26" t="n">
        <v>0</v>
      </c>
    </row>
    <row r="146" customFormat="false" ht="15" hidden="false" customHeight="false" outlineLevel="0" collapsed="false">
      <c r="M146" s="14" t="n">
        <v>141</v>
      </c>
      <c r="N146" s="44" t="n">
        <v>2.88564918838419</v>
      </c>
      <c r="O146" s="20" t="n">
        <v>23.2996973573807</v>
      </c>
      <c r="P146" s="26" t="n">
        <v>0</v>
      </c>
      <c r="Q146" s="26" t="n">
        <v>0</v>
      </c>
    </row>
    <row r="147" customFormat="false" ht="15" hidden="false" customHeight="false" outlineLevel="0" collapsed="false">
      <c r="M147" s="14" t="n">
        <v>142</v>
      </c>
      <c r="N147" s="44" t="n">
        <v>2.50522226146676</v>
      </c>
      <c r="O147" s="20" t="n">
        <v>25.2321804158883</v>
      </c>
      <c r="P147" s="26" t="n">
        <v>0</v>
      </c>
      <c r="Q147" s="26" t="n">
        <v>0</v>
      </c>
    </row>
    <row r="148" customFormat="false" ht="15" hidden="false" customHeight="false" outlineLevel="0" collapsed="false">
      <c r="M148" s="14" t="n">
        <v>143</v>
      </c>
      <c r="N148" s="44" t="n">
        <v>2.49662948890787</v>
      </c>
      <c r="O148" s="20" t="n">
        <v>27.246325430005</v>
      </c>
      <c r="P148" s="26" t="n">
        <v>0</v>
      </c>
      <c r="Q148" s="26" t="n">
        <v>0</v>
      </c>
    </row>
    <row r="149" customFormat="false" ht="15" hidden="false" customHeight="false" outlineLevel="0" collapsed="false">
      <c r="M149" s="14" t="n">
        <v>144</v>
      </c>
      <c r="N149" s="44" t="n">
        <v>0.63137193203297</v>
      </c>
      <c r="O149" s="20" t="n">
        <v>15.7952466661502</v>
      </c>
      <c r="P149" s="26" t="n">
        <v>0</v>
      </c>
      <c r="Q149" s="26" t="n">
        <v>0</v>
      </c>
    </row>
    <row r="150" customFormat="false" ht="15" hidden="false" customHeight="false" outlineLevel="0" collapsed="false">
      <c r="M150" s="14" t="n">
        <v>145</v>
      </c>
      <c r="N150" s="44" t="n">
        <v>0.564282580079018</v>
      </c>
      <c r="O150" s="20" t="n">
        <v>1029.74334219024</v>
      </c>
      <c r="P150" s="26" t="n">
        <v>1</v>
      </c>
      <c r="Q150" s="26" t="n">
        <v>1</v>
      </c>
    </row>
    <row r="151" customFormat="false" ht="15" hidden="false" customHeight="false" outlineLevel="0" collapsed="false">
      <c r="M151" s="14" t="n">
        <v>146</v>
      </c>
      <c r="N151" s="44" t="n">
        <v>1.05363918592628</v>
      </c>
      <c r="O151" s="20" t="n">
        <v>0.115817627028463</v>
      </c>
      <c r="P151" s="26" t="n">
        <v>0</v>
      </c>
      <c r="Q151" s="26" t="n">
        <v>0</v>
      </c>
    </row>
    <row r="152" customFormat="false" ht="15" hidden="false" customHeight="false" outlineLevel="0" collapsed="false">
      <c r="M152" s="14" t="n">
        <v>147</v>
      </c>
      <c r="N152" s="44" t="n">
        <v>1.8733197949908</v>
      </c>
      <c r="O152" s="20" t="n">
        <v>30.5400305492038</v>
      </c>
      <c r="P152" s="26" t="n">
        <v>0</v>
      </c>
      <c r="Q152" s="26" t="n">
        <v>0</v>
      </c>
    </row>
    <row r="153" customFormat="false" ht="15" hidden="false" customHeight="false" outlineLevel="0" collapsed="false">
      <c r="M153" s="14" t="n">
        <v>148</v>
      </c>
      <c r="N153" s="44" t="n">
        <v>0.95547493403693</v>
      </c>
      <c r="O153" s="20" t="n">
        <v>0</v>
      </c>
      <c r="P153" s="26" t="n">
        <v>0</v>
      </c>
      <c r="Q153" s="26" t="n">
        <v>0</v>
      </c>
    </row>
    <row r="154" customFormat="false" ht="15" hidden="false" customHeight="false" outlineLevel="0" collapsed="false">
      <c r="M154" s="14" t="n">
        <v>149</v>
      </c>
      <c r="N154" s="44" t="n">
        <v>1.16505961430735</v>
      </c>
      <c r="O154" s="20" t="n">
        <v>21.4180281146618</v>
      </c>
      <c r="P154" s="26" t="n">
        <v>0</v>
      </c>
      <c r="Q154" s="26" t="n">
        <v>0</v>
      </c>
    </row>
    <row r="155" customFormat="false" ht="15" hidden="false" customHeight="false" outlineLevel="0" collapsed="false">
      <c r="M155" s="14" t="n">
        <v>150</v>
      </c>
      <c r="N155" s="44" t="n">
        <v>1.8164076143905</v>
      </c>
      <c r="O155" s="20" t="n">
        <v>40.4076818782954</v>
      </c>
      <c r="P155" s="26" t="n">
        <v>0</v>
      </c>
      <c r="Q155" s="26" t="n">
        <v>0</v>
      </c>
    </row>
    <row r="156" customFormat="false" ht="15" hidden="false" customHeight="false" outlineLevel="0" collapsed="false">
      <c r="M156" s="14" t="n">
        <v>151</v>
      </c>
      <c r="N156" s="44" t="n">
        <v>-0.15644941248991</v>
      </c>
      <c r="O156" s="20" t="n">
        <v>1029.74334219024</v>
      </c>
      <c r="P156" s="26" t="n">
        <v>1</v>
      </c>
      <c r="Q156" s="26" t="n">
        <v>1</v>
      </c>
    </row>
    <row r="157" customFormat="false" ht="15" hidden="false" customHeight="false" outlineLevel="0" collapsed="false">
      <c r="M157" s="14" t="n">
        <v>152</v>
      </c>
      <c r="N157" s="44" t="n">
        <v>-0.689359783589826</v>
      </c>
      <c r="O157" s="20" t="n">
        <v>1029.74334219024</v>
      </c>
      <c r="P157" s="26" t="n">
        <v>1</v>
      </c>
      <c r="Q157" s="26" t="n">
        <v>1</v>
      </c>
    </row>
    <row r="158" customFormat="false" ht="15" hidden="false" customHeight="false" outlineLevel="0" collapsed="false">
      <c r="M158" s="14" t="n">
        <v>153</v>
      </c>
      <c r="N158" s="44" t="n">
        <v>1.2614555256067</v>
      </c>
      <c r="O158" s="20" t="n">
        <v>131.723975581121</v>
      </c>
      <c r="P158" s="26" t="n">
        <v>0</v>
      </c>
      <c r="Q158" s="26" t="n">
        <v>0</v>
      </c>
    </row>
    <row r="159" customFormat="false" ht="15" hidden="false" customHeight="false" outlineLevel="0" collapsed="false">
      <c r="M159" s="14" t="n">
        <v>154</v>
      </c>
      <c r="N159" s="44" t="n">
        <v>2.37226412109065</v>
      </c>
      <c r="O159" s="20" t="n">
        <v>30.5400305492046</v>
      </c>
      <c r="P159" s="26" t="n">
        <v>0</v>
      </c>
      <c r="Q159" s="26" t="n">
        <v>0</v>
      </c>
    </row>
    <row r="160" customFormat="false" ht="15" hidden="false" customHeight="false" outlineLevel="0" collapsed="false">
      <c r="M160" s="14" t="n">
        <v>155</v>
      </c>
      <c r="N160" s="44" t="n">
        <v>1.07888826502018</v>
      </c>
      <c r="O160" s="20" t="n">
        <v>47.5538006215208</v>
      </c>
      <c r="P160" s="26" t="n">
        <v>0</v>
      </c>
      <c r="Q160" s="26" t="n">
        <v>0</v>
      </c>
    </row>
    <row r="161" customFormat="false" ht="15" hidden="false" customHeight="false" outlineLevel="0" collapsed="false">
      <c r="M161" s="14" t="n">
        <v>156</v>
      </c>
      <c r="N161" s="44" t="n">
        <v>1.47300546937045</v>
      </c>
      <c r="O161" s="20" t="n">
        <v>58.4945036563662</v>
      </c>
      <c r="P161" s="26" t="n">
        <v>0</v>
      </c>
      <c r="Q161" s="26" t="n">
        <v>0</v>
      </c>
    </row>
    <row r="162" customFormat="false" ht="15" hidden="false" customHeight="false" outlineLevel="0" collapsed="false">
      <c r="M162" s="14" t="n">
        <v>157</v>
      </c>
      <c r="N162" s="44" t="n">
        <v>-1.81722747113215</v>
      </c>
      <c r="O162" s="20" t="n">
        <v>11.4042206440325</v>
      </c>
      <c r="P162" s="26" t="n">
        <v>0</v>
      </c>
      <c r="Q162" s="26" t="n">
        <v>0</v>
      </c>
    </row>
    <row r="163" customFormat="false" ht="15" hidden="false" customHeight="false" outlineLevel="0" collapsed="false">
      <c r="M163" s="14" t="n">
        <v>158</v>
      </c>
      <c r="N163" s="44" t="n">
        <v>1.0880371016327</v>
      </c>
      <c r="O163" s="20" t="n">
        <v>0.115817627028463</v>
      </c>
      <c r="P163" s="26" t="n">
        <v>0</v>
      </c>
      <c r="Q163" s="26" t="n">
        <v>0</v>
      </c>
    </row>
    <row r="164" customFormat="false" ht="15" hidden="false" customHeight="false" outlineLevel="0" collapsed="false">
      <c r="M164" s="14" t="n">
        <v>159</v>
      </c>
      <c r="N164" s="44" t="n">
        <v>-0.649844218446887</v>
      </c>
      <c r="O164" s="20" t="n">
        <v>1029.74334219024</v>
      </c>
      <c r="P164" s="26" t="n">
        <v>1</v>
      </c>
      <c r="Q164" s="26" t="n">
        <v>1</v>
      </c>
    </row>
    <row r="165" customFormat="false" ht="15" hidden="false" customHeight="false" outlineLevel="0" collapsed="false">
      <c r="M165" s="14" t="n">
        <v>160</v>
      </c>
      <c r="N165" s="44" t="n">
        <v>-0.541198501872559</v>
      </c>
      <c r="O165" s="20" t="n">
        <v>1029.74334219024</v>
      </c>
      <c r="P165" s="26" t="n">
        <v>1</v>
      </c>
      <c r="Q165" s="26" t="n">
        <v>1</v>
      </c>
    </row>
    <row r="166" customFormat="false" ht="15" hidden="false" customHeight="false" outlineLevel="0" collapsed="false">
      <c r="M166" s="14" t="n">
        <v>161</v>
      </c>
      <c r="N166" s="44" t="n">
        <v>3.71224839588703</v>
      </c>
      <c r="O166" s="20" t="n">
        <v>21.8180924807911</v>
      </c>
      <c r="P166" s="26" t="n">
        <v>0</v>
      </c>
      <c r="Q166" s="26" t="n">
        <v>0</v>
      </c>
    </row>
    <row r="167" customFormat="false" ht="15" hidden="false" customHeight="false" outlineLevel="0" collapsed="false">
      <c r="M167" s="14" t="n">
        <v>162</v>
      </c>
      <c r="N167" s="44" t="n">
        <v>-0.296987087518853</v>
      </c>
      <c r="O167" s="20" t="n">
        <v>1029.74334219024</v>
      </c>
      <c r="P167" s="26" t="n">
        <v>1</v>
      </c>
      <c r="Q167" s="26" t="n">
        <v>1</v>
      </c>
    </row>
    <row r="168" customFormat="false" ht="15" hidden="false" customHeight="false" outlineLevel="0" collapsed="false">
      <c r="M168" s="14" t="n">
        <v>163</v>
      </c>
      <c r="N168" s="44" t="n">
        <v>1.06093446863121</v>
      </c>
      <c r="O168" s="20" t="n">
        <v>0.0703309017642937</v>
      </c>
      <c r="P168" s="26" t="n">
        <v>0</v>
      </c>
      <c r="Q168" s="26" t="n">
        <v>0</v>
      </c>
    </row>
    <row r="169" customFormat="false" ht="15" hidden="false" customHeight="false" outlineLevel="0" collapsed="false">
      <c r="M169" s="14" t="n">
        <v>164</v>
      </c>
      <c r="N169" s="44" t="n">
        <v>1.07216494845382</v>
      </c>
      <c r="O169" s="20" t="n">
        <v>3.2987701151267</v>
      </c>
      <c r="P169" s="26" t="n">
        <v>0</v>
      </c>
      <c r="Q169" s="26" t="n">
        <v>0</v>
      </c>
    </row>
    <row r="170" customFormat="false" ht="15" hidden="false" customHeight="false" outlineLevel="0" collapsed="false">
      <c r="M170" s="14" t="n">
        <v>165</v>
      </c>
      <c r="N170" s="44" t="n">
        <v>1.08236105523305</v>
      </c>
      <c r="O170" s="20" t="n">
        <v>42.9945487080393</v>
      </c>
      <c r="P170" s="26" t="n">
        <v>0</v>
      </c>
      <c r="Q170" s="26" t="n">
        <v>0</v>
      </c>
    </row>
    <row r="171" customFormat="false" ht="15" hidden="false" customHeight="false" outlineLevel="0" collapsed="false">
      <c r="M171" s="14" t="n">
        <v>166</v>
      </c>
      <c r="N171" s="44" t="n">
        <v>-4.54191114836661</v>
      </c>
      <c r="O171" s="20" t="n">
        <v>17.0731377436948</v>
      </c>
      <c r="P171" s="26" t="n">
        <v>1</v>
      </c>
      <c r="Q171" s="26" t="n">
        <v>0</v>
      </c>
    </row>
    <row r="172" customFormat="false" ht="15" hidden="false" customHeight="false" outlineLevel="0" collapsed="false">
      <c r="M172" s="14" t="n">
        <v>167</v>
      </c>
      <c r="N172" s="44" t="n">
        <v>1.11554939516132</v>
      </c>
      <c r="O172" s="20" t="n">
        <v>123.034414131885</v>
      </c>
      <c r="P172" s="26" t="n">
        <v>0</v>
      </c>
      <c r="Q172" s="26" t="n">
        <v>0</v>
      </c>
    </row>
    <row r="173" customFormat="false" ht="15" hidden="false" customHeight="false" outlineLevel="0" collapsed="false">
      <c r="M173" s="14" t="n">
        <v>168</v>
      </c>
      <c r="N173" s="44" t="n">
        <v>0.396729332990063</v>
      </c>
      <c r="O173" s="20" t="n">
        <v>1029.74334219024</v>
      </c>
      <c r="P173" s="26" t="n">
        <v>1</v>
      </c>
      <c r="Q173" s="26" t="n">
        <v>1</v>
      </c>
    </row>
    <row r="174" customFormat="false" ht="15" hidden="false" customHeight="false" outlineLevel="0" collapsed="false">
      <c r="M174" s="14" t="n">
        <v>169</v>
      </c>
      <c r="N174" s="44" t="n">
        <v>-0.0850674915639366</v>
      </c>
      <c r="O174" s="20" t="n">
        <v>1029.74334219024</v>
      </c>
      <c r="P174" s="26" t="n">
        <v>1</v>
      </c>
      <c r="Q174" s="26" t="n">
        <v>1</v>
      </c>
    </row>
    <row r="175" customFormat="false" ht="15" hidden="false" customHeight="false" outlineLevel="0" collapsed="false">
      <c r="M175" s="14" t="n">
        <v>170</v>
      </c>
      <c r="N175" s="44" t="n">
        <v>-0.479609929078099</v>
      </c>
      <c r="O175" s="20" t="n">
        <v>1029.74334219024</v>
      </c>
      <c r="P175" s="26" t="n">
        <v>1</v>
      </c>
      <c r="Q175" s="26" t="n">
        <v>1</v>
      </c>
    </row>
    <row r="176" customFormat="false" ht="15" hidden="false" customHeight="false" outlineLevel="0" collapsed="false">
      <c r="M176" s="14" t="n">
        <v>171</v>
      </c>
      <c r="N176" s="44" t="n">
        <v>0.545480796997397</v>
      </c>
      <c r="O176" s="20" t="n">
        <v>1029.74334219024</v>
      </c>
      <c r="P176" s="26" t="n">
        <v>1</v>
      </c>
      <c r="Q176" s="26" t="n">
        <v>1</v>
      </c>
    </row>
    <row r="177" customFormat="false" ht="15" hidden="false" customHeight="false" outlineLevel="0" collapsed="false">
      <c r="M177" s="14" t="n">
        <v>172</v>
      </c>
      <c r="N177" s="44" t="n">
        <v>0.17106152805908</v>
      </c>
      <c r="O177" s="20" t="n">
        <v>1029.74334219024</v>
      </c>
      <c r="P177" s="26" t="n">
        <v>1</v>
      </c>
      <c r="Q177" s="26" t="n">
        <v>1</v>
      </c>
    </row>
    <row r="178" customFormat="false" ht="15" hidden="false" customHeight="false" outlineLevel="0" collapsed="false">
      <c r="M178" s="14" t="n">
        <v>173</v>
      </c>
      <c r="N178" s="44" t="n">
        <v>1.43970757351756</v>
      </c>
      <c r="O178" s="20" t="n">
        <v>51.3960627110099</v>
      </c>
      <c r="P178" s="26" t="n">
        <v>0</v>
      </c>
      <c r="Q178" s="26" t="n">
        <v>0</v>
      </c>
    </row>
    <row r="179" customFormat="false" ht="15" hidden="false" customHeight="false" outlineLevel="0" collapsed="false">
      <c r="M179" s="14" t="n">
        <v>174</v>
      </c>
      <c r="N179" s="44" t="n">
        <v>1.4227642276423</v>
      </c>
      <c r="O179" s="20" t="n">
        <v>51.7835662336395</v>
      </c>
      <c r="P179" s="26" t="n">
        <v>0</v>
      </c>
      <c r="Q179" s="26" t="n">
        <v>0</v>
      </c>
    </row>
    <row r="180" customFormat="false" ht="15" hidden="false" customHeight="false" outlineLevel="0" collapsed="false">
      <c r="M180" s="14" t="n">
        <v>175</v>
      </c>
      <c r="N180" s="44" t="n">
        <v>-2.13724562233895</v>
      </c>
      <c r="O180" s="20" t="n">
        <v>13.8628600027804</v>
      </c>
      <c r="P180" s="26" t="n">
        <v>0</v>
      </c>
      <c r="Q180" s="26" t="n">
        <v>0</v>
      </c>
    </row>
    <row r="181" customFormat="false" ht="15" hidden="false" customHeight="false" outlineLevel="0" collapsed="false">
      <c r="M181" s="14" t="n">
        <v>176</v>
      </c>
      <c r="N181" s="44" t="n">
        <v>0.818734177215129</v>
      </c>
      <c r="O181" s="20" t="n">
        <v>28.5310056078126</v>
      </c>
      <c r="P181" s="26" t="n">
        <v>0</v>
      </c>
      <c r="Q181" s="26" t="n">
        <v>0</v>
      </c>
    </row>
    <row r="182" customFormat="false" ht="15" hidden="false" customHeight="false" outlineLevel="0" collapsed="false">
      <c r="M182" s="14" t="n">
        <v>177</v>
      </c>
      <c r="N182" s="44" t="n">
        <v>1.03095133068668</v>
      </c>
      <c r="O182" s="20" t="n">
        <v>0.00281729995887758</v>
      </c>
      <c r="P182" s="26" t="n">
        <v>0</v>
      </c>
      <c r="Q182" s="26" t="n">
        <v>0</v>
      </c>
    </row>
    <row r="183" customFormat="false" ht="15" hidden="false" customHeight="false" outlineLevel="0" collapsed="false">
      <c r="M183" s="14" t="n">
        <v>178</v>
      </c>
      <c r="N183" s="44" t="n">
        <v>-0.342833016677646</v>
      </c>
      <c r="O183" s="20" t="n">
        <v>1029.74334219024</v>
      </c>
      <c r="P183" s="26" t="n">
        <v>1</v>
      </c>
      <c r="Q183" s="26" t="n">
        <v>1</v>
      </c>
    </row>
    <row r="184" customFormat="false" ht="15" hidden="false" customHeight="false" outlineLevel="0" collapsed="false">
      <c r="M184" s="14" t="n">
        <v>179</v>
      </c>
      <c r="N184" s="44" t="n">
        <v>0.818409910616252</v>
      </c>
      <c r="O184" s="20" t="n">
        <v>126.510529002405</v>
      </c>
      <c r="P184" s="26" t="n">
        <v>1</v>
      </c>
      <c r="Q184" s="26" t="n">
        <v>0</v>
      </c>
    </row>
    <row r="185" customFormat="false" ht="15" hidden="false" customHeight="false" outlineLevel="0" collapsed="false">
      <c r="M185" s="14" t="n">
        <v>180</v>
      </c>
      <c r="N185" s="44" t="n">
        <v>-1.06411533420774</v>
      </c>
      <c r="O185" s="20" t="n">
        <v>80.4365398848732</v>
      </c>
      <c r="P185" s="26" t="n">
        <v>1</v>
      </c>
      <c r="Q185" s="26" t="n">
        <v>0</v>
      </c>
    </row>
    <row r="186" customFormat="false" ht="15" hidden="false" customHeight="false" outlineLevel="0" collapsed="false">
      <c r="M186" s="14" t="n">
        <v>181</v>
      </c>
      <c r="N186" s="44" t="n">
        <v>1.30658514407759</v>
      </c>
      <c r="O186" s="20" t="n">
        <v>0.672426144434695</v>
      </c>
      <c r="P186" s="26" t="n">
        <v>0</v>
      </c>
      <c r="Q186" s="26" t="n">
        <v>0</v>
      </c>
    </row>
    <row r="187" customFormat="false" ht="15" hidden="false" customHeight="false" outlineLevel="0" collapsed="false">
      <c r="M187" s="14" t="n">
        <v>182</v>
      </c>
      <c r="N187" s="44" t="n">
        <v>2.70279051987785</v>
      </c>
      <c r="O187" s="20" t="n">
        <v>25.3203643343737</v>
      </c>
      <c r="P187" s="26" t="n">
        <v>0</v>
      </c>
      <c r="Q187" s="26" t="n">
        <v>0</v>
      </c>
    </row>
    <row r="188" customFormat="false" ht="15" hidden="false" customHeight="false" outlineLevel="0" collapsed="false">
      <c r="M188" s="14" t="n">
        <v>183</v>
      </c>
      <c r="N188" s="44" t="n">
        <v>-0.950305810398349</v>
      </c>
      <c r="O188" s="20" t="n">
        <v>320.220520395569</v>
      </c>
      <c r="P188" s="26" t="n">
        <v>1</v>
      </c>
      <c r="Q188" s="26" t="n">
        <v>0</v>
      </c>
    </row>
    <row r="189" customFormat="false" ht="15" hidden="false" customHeight="false" outlineLevel="0" collapsed="false">
      <c r="M189" s="14" t="n">
        <v>184</v>
      </c>
      <c r="N189" s="44" t="n">
        <v>0.934089377947938</v>
      </c>
      <c r="O189" s="20" t="n">
        <v>49.392977523777</v>
      </c>
      <c r="P189" s="26" t="n">
        <v>0</v>
      </c>
      <c r="Q189" s="26" t="n">
        <v>0</v>
      </c>
    </row>
    <row r="190" customFormat="false" ht="15" hidden="false" customHeight="false" outlineLevel="0" collapsed="false">
      <c r="M190" s="14" t="n">
        <v>185</v>
      </c>
      <c r="N190" s="44" t="n">
        <v>0.558951965063617</v>
      </c>
      <c r="O190" s="20" t="n">
        <v>1029.74334219024</v>
      </c>
      <c r="P190" s="26" t="n">
        <v>1</v>
      </c>
      <c r="Q190" s="26" t="n">
        <v>1</v>
      </c>
    </row>
    <row r="191" customFormat="false" ht="15" hidden="false" customHeight="false" outlineLevel="0" collapsed="false">
      <c r="M191" s="14" t="n">
        <v>186</v>
      </c>
      <c r="N191" s="44" t="n">
        <v>1.22759714997879</v>
      </c>
      <c r="O191" s="20" t="n">
        <v>0.238350222330723</v>
      </c>
      <c r="P191" s="26" t="n">
        <v>0</v>
      </c>
      <c r="Q191" s="26" t="n">
        <v>0</v>
      </c>
    </row>
    <row r="192" customFormat="false" ht="15" hidden="false" customHeight="false" outlineLevel="0" collapsed="false">
      <c r="M192" s="14" t="n">
        <v>187</v>
      </c>
      <c r="N192" s="44" t="n">
        <v>0.959468647583148</v>
      </c>
      <c r="O192" s="20" t="n">
        <v>0</v>
      </c>
      <c r="P192" s="26" t="n">
        <v>0</v>
      </c>
      <c r="Q192" s="26" t="n">
        <v>0</v>
      </c>
    </row>
    <row r="193" customFormat="false" ht="15" hidden="false" customHeight="false" outlineLevel="0" collapsed="false">
      <c r="M193" s="14" t="n">
        <v>188</v>
      </c>
      <c r="N193" s="44" t="n">
        <v>1.86151727060842</v>
      </c>
      <c r="O193" s="20" t="n">
        <v>36.7361260824282</v>
      </c>
      <c r="P193" s="26" t="n">
        <v>0</v>
      </c>
      <c r="Q193" s="26" t="n">
        <v>0</v>
      </c>
    </row>
    <row r="194" customFormat="false" ht="15" hidden="false" customHeight="false" outlineLevel="0" collapsed="false">
      <c r="M194" s="14" t="n">
        <v>189</v>
      </c>
      <c r="N194" s="44" t="n">
        <v>3.25972639305971</v>
      </c>
      <c r="O194" s="20" t="n">
        <v>23.299697357381</v>
      </c>
      <c r="P194" s="26" t="n">
        <v>0</v>
      </c>
      <c r="Q194" s="26" t="n">
        <v>0</v>
      </c>
    </row>
    <row r="195" customFormat="false" ht="15" hidden="false" customHeight="false" outlineLevel="0" collapsed="false">
      <c r="M195" s="14" t="n">
        <v>190</v>
      </c>
      <c r="N195" s="44" t="n">
        <v>0.49538168975821</v>
      </c>
      <c r="O195" s="20" t="n">
        <v>1029.74334219024</v>
      </c>
      <c r="P195" s="26" t="n">
        <v>1</v>
      </c>
      <c r="Q195" s="26" t="n">
        <v>1</v>
      </c>
    </row>
    <row r="196" customFormat="false" ht="15" hidden="false" customHeight="false" outlineLevel="0" collapsed="false">
      <c r="M196" s="14" t="n">
        <v>191</v>
      </c>
      <c r="N196" s="44" t="n">
        <v>-0.400082747207296</v>
      </c>
      <c r="O196" s="20" t="n">
        <v>1029.74334219024</v>
      </c>
      <c r="P196" s="26" t="n">
        <v>1</v>
      </c>
      <c r="Q196" s="26" t="n">
        <v>1</v>
      </c>
    </row>
    <row r="197" customFormat="false" ht="15" hidden="false" customHeight="false" outlineLevel="0" collapsed="false">
      <c r="M197" s="14" t="n">
        <v>192</v>
      </c>
      <c r="N197" s="44" t="n">
        <v>0.204786010124253</v>
      </c>
      <c r="O197" s="20" t="n">
        <v>1029.74334219024</v>
      </c>
      <c r="P197" s="26" t="n">
        <v>1</v>
      </c>
      <c r="Q197" s="26" t="n">
        <v>1</v>
      </c>
    </row>
    <row r="198" customFormat="false" ht="15" hidden="false" customHeight="false" outlineLevel="0" collapsed="false">
      <c r="M198" s="14" t="n">
        <v>193</v>
      </c>
      <c r="N198" s="44" t="n">
        <v>0.526262626262963</v>
      </c>
      <c r="O198" s="20" t="n">
        <v>1029.74334219024</v>
      </c>
      <c r="P198" s="26" t="n">
        <v>1</v>
      </c>
      <c r="Q198" s="26" t="n">
        <v>1</v>
      </c>
    </row>
    <row r="199" customFormat="false" ht="15" hidden="false" customHeight="false" outlineLevel="0" collapsed="false">
      <c r="M199" s="14" t="n">
        <v>194</v>
      </c>
      <c r="N199" s="44" t="n">
        <v>1.14585027375752</v>
      </c>
      <c r="O199" s="20" t="n">
        <v>56.9570494346156</v>
      </c>
      <c r="P199" s="26" t="n">
        <v>0</v>
      </c>
      <c r="Q199" s="26" t="n">
        <v>0</v>
      </c>
    </row>
    <row r="200" customFormat="false" ht="15" hidden="false" customHeight="false" outlineLevel="0" collapsed="false">
      <c r="M200" s="14" t="n">
        <v>195</v>
      </c>
      <c r="N200" s="44" t="n">
        <v>-1.28056214019736</v>
      </c>
      <c r="O200" s="20" t="n">
        <v>166.160166715419</v>
      </c>
      <c r="P200" s="26" t="n">
        <v>1</v>
      </c>
      <c r="Q200" s="26" t="n">
        <v>0</v>
      </c>
    </row>
    <row r="201" customFormat="false" ht="15" hidden="false" customHeight="false" outlineLevel="0" collapsed="false">
      <c r="M201" s="14" t="n">
        <v>196</v>
      </c>
      <c r="N201" s="44" t="n">
        <v>0.166327999322511</v>
      </c>
      <c r="O201" s="20" t="n">
        <v>1029.74334219024</v>
      </c>
      <c r="P201" s="26" t="n">
        <v>1</v>
      </c>
      <c r="Q201" s="26" t="n">
        <v>1</v>
      </c>
    </row>
    <row r="202" customFormat="false" ht="15" hidden="false" customHeight="false" outlineLevel="0" collapsed="false">
      <c r="M202" s="14" t="n">
        <v>197</v>
      </c>
      <c r="N202" s="44" t="n">
        <v>0.859534125837883</v>
      </c>
      <c r="O202" s="20" t="n">
        <v>177.975098889886</v>
      </c>
      <c r="P202" s="26" t="n">
        <v>1</v>
      </c>
      <c r="Q202" s="26" t="n">
        <v>0</v>
      </c>
    </row>
    <row r="203" customFormat="false" ht="15" hidden="false" customHeight="false" outlineLevel="0" collapsed="false">
      <c r="M203" s="14" t="n">
        <v>198</v>
      </c>
      <c r="N203" s="44" t="n">
        <v>0.88075727606643</v>
      </c>
      <c r="O203" s="20" t="n">
        <v>106.020377021962</v>
      </c>
      <c r="P203" s="26" t="n">
        <v>1</v>
      </c>
      <c r="Q203" s="26" t="n">
        <v>0</v>
      </c>
    </row>
    <row r="204" customFormat="false" ht="15" hidden="false" customHeight="false" outlineLevel="0" collapsed="false">
      <c r="M204" s="14" t="n">
        <v>199</v>
      </c>
      <c r="N204" s="44" t="n">
        <v>0.198728267868249</v>
      </c>
      <c r="O204" s="20" t="n">
        <v>1029.74334219024</v>
      </c>
      <c r="P204" s="26" t="n">
        <v>1</v>
      </c>
      <c r="Q204" s="26" t="n">
        <v>1</v>
      </c>
    </row>
    <row r="205" customFormat="false" ht="15" hidden="false" customHeight="false" outlineLevel="0" collapsed="false">
      <c r="M205" s="14" t="n">
        <v>200</v>
      </c>
      <c r="N205" s="44" t="n">
        <v>3.82109503753895</v>
      </c>
      <c r="O205" s="20" t="n">
        <v>21.7992340270126</v>
      </c>
      <c r="P205" s="26" t="n">
        <v>0</v>
      </c>
      <c r="Q205" s="26"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8"/>
    <col collapsed="false" customWidth="true" hidden="false" outlineLevel="0" max="4" min="4" style="0" width="26"/>
    <col collapsed="false" customWidth="true" hidden="false" outlineLevel="0" max="7" min="5" style="0" width="14"/>
    <col collapsed="false" customWidth="true" hidden="false" outlineLevel="0" max="9" min="8" style="0" width="18"/>
  </cols>
  <sheetData>
    <row r="1" customFormat="false" ht="15" hidden="false" customHeight="false" outlineLevel="0" collapsed="false">
      <c r="A1" s="1" t="s">
        <v>434</v>
      </c>
    </row>
    <row r="2" customFormat="false" ht="15" hidden="false" customHeight="false" outlineLevel="0" collapsed="false">
      <c r="A2" s="10" t="s">
        <v>435</v>
      </c>
    </row>
    <row r="4" customFormat="false" ht="23.85" hidden="false" customHeight="false" outlineLevel="0" collapsed="false">
      <c r="A4" s="8"/>
      <c r="B4" s="8" t="s">
        <v>436</v>
      </c>
      <c r="C4" s="8" t="s">
        <v>437</v>
      </c>
      <c r="D4" s="8" t="s">
        <v>132</v>
      </c>
    </row>
    <row r="5" customFormat="false" ht="15" hidden="false" customHeight="false" outlineLevel="0" collapsed="false">
      <c r="A5" s="2" t="s">
        <v>438</v>
      </c>
      <c r="B5" s="20" t="n">
        <v>545.538462996133</v>
      </c>
      <c r="C5" s="20" t="n">
        <v>1.17748636169596</v>
      </c>
      <c r="D5" s="10" t="s">
        <v>439</v>
      </c>
    </row>
    <row r="6" customFormat="false" ht="15" hidden="false" customHeight="false" outlineLevel="0" collapsed="false">
      <c r="A6" s="2" t="s">
        <v>440</v>
      </c>
      <c r="B6" s="20" t="n">
        <v>622.589230122778</v>
      </c>
      <c r="C6" s="20" t="n">
        <v>19.0368222280875</v>
      </c>
      <c r="D6" s="10" t="s">
        <v>441</v>
      </c>
    </row>
    <row r="7" customFormat="false" ht="15" hidden="false" customHeight="false" outlineLevel="0" collapsed="false">
      <c r="A7" s="2" t="s">
        <v>442</v>
      </c>
      <c r="B7" s="34" t="n">
        <v>0.92175</v>
      </c>
      <c r="C7" s="34" t="n">
        <v>0.1784375</v>
      </c>
      <c r="D7" s="10" t="s">
        <v>443</v>
      </c>
    </row>
    <row r="8" customFormat="false" ht="15" hidden="false" customHeight="false" outlineLevel="0" collapsed="false">
      <c r="A8" s="2" t="s">
        <v>444</v>
      </c>
      <c r="B8" s="20" t="n">
        <v>32.296875</v>
      </c>
      <c r="C8" s="20" t="n">
        <v>55.73375</v>
      </c>
      <c r="D8" s="10" t="s">
        <v>445</v>
      </c>
    </row>
    <row r="10" customFormat="false" ht="15" hidden="false" customHeight="false" outlineLevel="0" collapsed="false">
      <c r="A10" s="2" t="s">
        <v>446</v>
      </c>
      <c r="B10" s="12" t="n">
        <f aca="false">B5-C5</f>
        <v>544.360976634437</v>
      </c>
    </row>
    <row r="11" customFormat="false" ht="15" hidden="false" customHeight="false" outlineLevel="0" collapsed="false">
      <c r="A11" s="2" t="s">
        <v>447</v>
      </c>
      <c r="B11" s="18" t="n">
        <f aca="false">Rules!P10</f>
        <v>142.777826036423</v>
      </c>
      <c r="C11" s="10" t="s">
        <v>448</v>
      </c>
    </row>
    <row r="12" customFormat="false" ht="15" hidden="false" customHeight="false" outlineLevel="0" collapsed="false">
      <c r="A12" s="2" t="s">
        <v>449</v>
      </c>
      <c r="B12" s="14" t="n">
        <f aca="false">IF(C5&lt;=B11,1,0)</f>
        <v>1</v>
      </c>
      <c r="C12" s="10" t="s">
        <v>450</v>
      </c>
    </row>
    <row r="13" customFormat="false" ht="15" hidden="false" customHeight="false" outlineLevel="0" collapsed="false">
      <c r="A13" s="2" t="s">
        <v>451</v>
      </c>
      <c r="B13" s="45" t="n">
        <f aca="false">BestRule!AA13</f>
        <v>0.058199363320079</v>
      </c>
      <c r="C13" s="10" t="s">
        <v>452</v>
      </c>
    </row>
    <row r="15" customFormat="false" ht="23.85" hidden="false" customHeight="false" outlineLevel="0" collapsed="false">
      <c r="A15" s="8" t="s">
        <v>389</v>
      </c>
      <c r="B15" s="8" t="s">
        <v>453</v>
      </c>
      <c r="C15" s="8" t="s">
        <v>454</v>
      </c>
      <c r="D15" s="8" t="s">
        <v>279</v>
      </c>
      <c r="E15" s="8" t="s">
        <v>455</v>
      </c>
      <c r="F15" s="8" t="s">
        <v>454</v>
      </c>
      <c r="G15" s="8" t="s">
        <v>279</v>
      </c>
      <c r="H15" s="8" t="s">
        <v>456</v>
      </c>
      <c r="I15" s="8" t="s">
        <v>457</v>
      </c>
    </row>
    <row r="16" customFormat="false" ht="15" hidden="false" customHeight="false" outlineLevel="0" collapsed="false">
      <c r="A16" s="14" t="n">
        <v>0</v>
      </c>
      <c r="B16" s="20" t="n">
        <v>58</v>
      </c>
      <c r="C16" s="20" t="n">
        <v>58</v>
      </c>
      <c r="D16" s="20" t="n">
        <v>58</v>
      </c>
      <c r="E16" s="20" t="n">
        <v>58</v>
      </c>
      <c r="F16" s="20" t="n">
        <v>58</v>
      </c>
      <c r="G16" s="20" t="n">
        <v>58</v>
      </c>
      <c r="H16" s="20" t="n">
        <v>58</v>
      </c>
      <c r="I16" s="12" t="n">
        <f aca="false">E16-H16</f>
        <v>0</v>
      </c>
    </row>
    <row r="17" customFormat="false" ht="15" hidden="false" customHeight="false" outlineLevel="0" collapsed="false">
      <c r="A17" s="14" t="n">
        <v>1</v>
      </c>
      <c r="B17" s="20" t="n">
        <v>56.66</v>
      </c>
      <c r="C17" s="20" t="n">
        <v>55.75</v>
      </c>
      <c r="D17" s="20" t="n">
        <v>57.5</v>
      </c>
      <c r="E17" s="20" t="n">
        <v>56.66</v>
      </c>
      <c r="F17" s="20" t="n">
        <v>55.75</v>
      </c>
      <c r="G17" s="20" t="n">
        <v>57.5</v>
      </c>
      <c r="H17" s="20" t="n">
        <v>56.55</v>
      </c>
      <c r="I17" s="12" t="n">
        <f aca="false">E17-H17</f>
        <v>0.109999999999999</v>
      </c>
    </row>
    <row r="18" customFormat="false" ht="15" hidden="false" customHeight="false" outlineLevel="0" collapsed="false">
      <c r="A18" s="14" t="n">
        <v>2</v>
      </c>
      <c r="B18" s="20" t="n">
        <v>55.3575</v>
      </c>
      <c r="C18" s="20" t="n">
        <v>54.225</v>
      </c>
      <c r="D18" s="20" t="n">
        <v>56.75</v>
      </c>
      <c r="E18" s="20" t="n">
        <v>55.53625</v>
      </c>
      <c r="F18" s="20" t="n">
        <v>54.25</v>
      </c>
      <c r="G18" s="20" t="n">
        <v>56.75</v>
      </c>
      <c r="H18" s="20" t="n">
        <v>55.88625</v>
      </c>
      <c r="I18" s="12" t="n">
        <f aca="false">E18-H18</f>
        <v>-0.349999999999994</v>
      </c>
    </row>
    <row r="19" customFormat="false" ht="15" hidden="false" customHeight="false" outlineLevel="0" collapsed="false">
      <c r="A19" s="14" t="n">
        <v>3</v>
      </c>
      <c r="B19" s="20" t="n">
        <v>54.13375</v>
      </c>
      <c r="C19" s="20" t="n">
        <v>52.5</v>
      </c>
      <c r="D19" s="20" t="n">
        <v>56</v>
      </c>
      <c r="E19" s="20" t="n">
        <v>55.323125</v>
      </c>
      <c r="F19" s="20" t="n">
        <v>54.25</v>
      </c>
      <c r="G19" s="20" t="n">
        <v>56.5</v>
      </c>
      <c r="H19" s="20" t="n">
        <v>55.841584375</v>
      </c>
      <c r="I19" s="12" t="n">
        <f aca="false">E19-H19</f>
        <v>-0.518459374999999</v>
      </c>
    </row>
    <row r="20" customFormat="false" ht="15" hidden="false" customHeight="false" outlineLevel="0" collapsed="false">
      <c r="A20" s="14" t="n">
        <v>4</v>
      </c>
      <c r="B20" s="20" t="n">
        <v>52.90625</v>
      </c>
      <c r="C20" s="20" t="n">
        <v>51</v>
      </c>
      <c r="D20" s="20" t="n">
        <v>54.75</v>
      </c>
      <c r="E20" s="20" t="n">
        <v>55.274375</v>
      </c>
      <c r="F20" s="20" t="n">
        <v>54.25</v>
      </c>
      <c r="G20" s="20" t="n">
        <v>56.25</v>
      </c>
      <c r="H20" s="20" t="n">
        <v>55.838139453125</v>
      </c>
      <c r="I20" s="12" t="n">
        <f aca="false">E20-H20</f>
        <v>-0.56376445312501</v>
      </c>
    </row>
    <row r="21" customFormat="false" ht="15" hidden="false" customHeight="false" outlineLevel="0" collapsed="false">
      <c r="A21" s="14" t="n">
        <v>5</v>
      </c>
      <c r="B21" s="20" t="n">
        <v>51.843125</v>
      </c>
      <c r="C21" s="20" t="n">
        <v>49.5</v>
      </c>
      <c r="D21" s="20" t="n">
        <v>54</v>
      </c>
      <c r="E21" s="20" t="n">
        <v>55.376875</v>
      </c>
      <c r="F21" s="20" t="n">
        <v>54.5</v>
      </c>
      <c r="G21" s="20" t="n">
        <v>56.25</v>
      </c>
      <c r="H21" s="20" t="n">
        <v>55.8377931271875</v>
      </c>
      <c r="I21" s="12" t="n">
        <f aca="false">E21-H21</f>
        <v>-0.460918127187519</v>
      </c>
    </row>
    <row r="22" customFormat="false" ht="15" hidden="false" customHeight="false" outlineLevel="0" collapsed="false">
      <c r="A22" s="14" t="n">
        <v>6</v>
      </c>
      <c r="B22" s="20" t="n">
        <v>50.6975</v>
      </c>
      <c r="C22" s="20" t="n">
        <v>48.25</v>
      </c>
      <c r="D22" s="20" t="n">
        <v>53.25</v>
      </c>
      <c r="E22" s="20" t="n">
        <v>55.313125</v>
      </c>
      <c r="F22" s="20" t="n">
        <v>54.25</v>
      </c>
      <c r="G22" s="20" t="n">
        <v>56.25</v>
      </c>
      <c r="H22" s="20" t="n">
        <v>55.8377499304932</v>
      </c>
      <c r="I22" s="12" t="n">
        <f aca="false">E22-H22</f>
        <v>-0.524624930493204</v>
      </c>
    </row>
    <row r="23" customFormat="false" ht="15" hidden="false" customHeight="false" outlineLevel="0" collapsed="false">
      <c r="A23" s="14" t="n">
        <v>7</v>
      </c>
      <c r="B23" s="20" t="n">
        <v>49.53625</v>
      </c>
      <c r="C23" s="20" t="n">
        <v>47</v>
      </c>
      <c r="D23" s="20" t="n">
        <v>52.025</v>
      </c>
      <c r="E23" s="20" t="n">
        <v>55.255</v>
      </c>
      <c r="F23" s="20" t="n">
        <v>54.25</v>
      </c>
      <c r="G23" s="20" t="n">
        <v>56.25</v>
      </c>
      <c r="H23" s="20" t="n">
        <v>55.8377437675174</v>
      </c>
      <c r="I23" s="12" t="n">
        <f aca="false">E23-H23</f>
        <v>-0.582743767517421</v>
      </c>
    </row>
    <row r="24" customFormat="false" ht="15" hidden="false" customHeight="false" outlineLevel="0" collapsed="false">
      <c r="A24" s="14" t="n">
        <v>8</v>
      </c>
      <c r="B24" s="20" t="n">
        <v>48.4475</v>
      </c>
      <c r="C24" s="20" t="n">
        <v>45.75</v>
      </c>
      <c r="D24" s="20" t="n">
        <v>51.25</v>
      </c>
      <c r="E24" s="20" t="n">
        <v>55.305</v>
      </c>
      <c r="F24" s="20" t="n">
        <v>54.25</v>
      </c>
      <c r="G24" s="20" t="n">
        <v>56.25</v>
      </c>
      <c r="H24" s="20" t="n">
        <v>55.8377427553042</v>
      </c>
      <c r="I24" s="12" t="n">
        <f aca="false">E24-H24</f>
        <v>-0.532742755304163</v>
      </c>
    </row>
    <row r="25" customFormat="false" ht="15" hidden="false" customHeight="false" outlineLevel="0" collapsed="false">
      <c r="A25" s="14" t="n">
        <v>9</v>
      </c>
      <c r="B25" s="20" t="n">
        <v>47.416875</v>
      </c>
      <c r="C25" s="20" t="n">
        <v>44.75</v>
      </c>
      <c r="D25" s="20" t="n">
        <v>50.25</v>
      </c>
      <c r="E25" s="20" t="n">
        <v>55.375</v>
      </c>
      <c r="F25" s="20" t="n">
        <v>54.5</v>
      </c>
      <c r="G25" s="20" t="n">
        <v>56.5</v>
      </c>
      <c r="H25" s="20" t="n">
        <v>55.8377425803502</v>
      </c>
      <c r="I25" s="12" t="n">
        <f aca="false">E25-H25</f>
        <v>-0.462742580350181</v>
      </c>
    </row>
    <row r="26" customFormat="false" ht="15" hidden="false" customHeight="false" outlineLevel="0" collapsed="false">
      <c r="A26" s="14" t="n">
        <v>10</v>
      </c>
      <c r="B26" s="20" t="n">
        <v>46.293125</v>
      </c>
      <c r="C26" s="20" t="n">
        <v>43.25</v>
      </c>
      <c r="D26" s="20" t="n">
        <v>49.5</v>
      </c>
      <c r="E26" s="20" t="n">
        <v>55.29625</v>
      </c>
      <c r="F26" s="20" t="n">
        <v>54.25</v>
      </c>
      <c r="G26" s="20" t="n">
        <v>56.5</v>
      </c>
      <c r="H26" s="20" t="n">
        <v>55.8377425484405</v>
      </c>
      <c r="I26" s="12" t="n">
        <f aca="false">E26-H26</f>
        <v>-0.541492548440459</v>
      </c>
    </row>
    <row r="27" customFormat="false" ht="15" hidden="false" customHeight="false" outlineLevel="0" collapsed="false">
      <c r="A27" s="14" t="n">
        <v>11</v>
      </c>
      <c r="B27" s="20" t="n">
        <v>45.243125</v>
      </c>
      <c r="C27" s="20" t="n">
        <v>42</v>
      </c>
      <c r="D27" s="20" t="n">
        <v>48.75</v>
      </c>
      <c r="E27" s="20" t="n">
        <v>55.35125</v>
      </c>
      <c r="F27" s="20" t="n">
        <v>54.25</v>
      </c>
      <c r="G27" s="20" t="n">
        <v>56.25</v>
      </c>
      <c r="H27" s="20" t="n">
        <v>55.8377425425242</v>
      </c>
      <c r="I27" s="12" t="n">
        <f aca="false">E27-H27</f>
        <v>-0.486492542524182</v>
      </c>
    </row>
    <row r="28" customFormat="false" ht="15" hidden="false" customHeight="false" outlineLevel="0" collapsed="false">
      <c r="A28" s="14" t="n">
        <v>12</v>
      </c>
      <c r="B28" s="20" t="n">
        <v>44.168125</v>
      </c>
      <c r="C28" s="20" t="n">
        <v>41</v>
      </c>
      <c r="D28" s="20" t="n">
        <v>47.75</v>
      </c>
      <c r="E28" s="20" t="n">
        <v>55.31375</v>
      </c>
      <c r="F28" s="20" t="n">
        <v>54.5</v>
      </c>
      <c r="G28" s="20" t="n">
        <v>56.25</v>
      </c>
      <c r="H28" s="20" t="n">
        <v>55.8377425414051</v>
      </c>
      <c r="I28" s="12" t="n">
        <f aca="false">E28-H28</f>
        <v>-0.523992541405072</v>
      </c>
    </row>
    <row r="29" customFormat="false" ht="15" hidden="false" customHeight="false" outlineLevel="0" collapsed="false">
      <c r="A29" s="14" t="n">
        <v>13</v>
      </c>
      <c r="B29" s="20" t="n">
        <v>43.169375</v>
      </c>
      <c r="C29" s="20" t="n">
        <v>40</v>
      </c>
      <c r="D29" s="20" t="n">
        <v>46.75</v>
      </c>
      <c r="E29" s="20" t="n">
        <v>55.399375</v>
      </c>
      <c r="F29" s="20" t="n">
        <v>54.25</v>
      </c>
      <c r="G29" s="20" t="n">
        <v>56.5</v>
      </c>
      <c r="H29" s="20" t="n">
        <v>55.8377425411916</v>
      </c>
      <c r="I29" s="12" t="n">
        <f aca="false">E29-H29</f>
        <v>-0.43836754119161</v>
      </c>
    </row>
    <row r="30" customFormat="false" ht="15" hidden="false" customHeight="false" outlineLevel="0" collapsed="false">
      <c r="A30" s="14" t="n">
        <v>14</v>
      </c>
      <c r="B30" s="20" t="n">
        <v>42.26375</v>
      </c>
      <c r="C30" s="20" t="n">
        <v>39</v>
      </c>
      <c r="D30" s="20" t="n">
        <v>46</v>
      </c>
      <c r="E30" s="20" t="n">
        <v>55.458125</v>
      </c>
      <c r="F30" s="20" t="n">
        <v>54.5</v>
      </c>
      <c r="G30" s="20" t="n">
        <v>56.5</v>
      </c>
      <c r="H30" s="20" t="n">
        <v>55.8377425411505</v>
      </c>
      <c r="I30" s="12" t="n">
        <f aca="false">E30-H30</f>
        <v>-0.379617541150509</v>
      </c>
    </row>
    <row r="31" customFormat="false" ht="15" hidden="false" customHeight="false" outlineLevel="0" collapsed="false">
      <c r="A31" s="14" t="n">
        <v>15</v>
      </c>
      <c r="B31" s="20" t="n">
        <v>41.320625</v>
      </c>
      <c r="C31" s="20" t="n">
        <v>38</v>
      </c>
      <c r="D31" s="20" t="n">
        <v>44.75</v>
      </c>
      <c r="E31" s="20" t="n">
        <v>55.3975</v>
      </c>
      <c r="F31" s="20" t="n">
        <v>54.5</v>
      </c>
      <c r="G31" s="20" t="n">
        <v>56.5</v>
      </c>
      <c r="H31" s="20" t="n">
        <v>55.8377425411426</v>
      </c>
      <c r="I31" s="12" t="n">
        <f aca="false">E31-H31</f>
        <v>-0.44024254114256</v>
      </c>
    </row>
    <row r="32" customFormat="false" ht="15" hidden="false" customHeight="false" outlineLevel="0" collapsed="false">
      <c r="A32" s="14" t="n">
        <v>16</v>
      </c>
      <c r="B32" s="20" t="n">
        <v>40.43</v>
      </c>
      <c r="C32" s="20" t="n">
        <v>37</v>
      </c>
      <c r="D32" s="20" t="n">
        <v>44.025</v>
      </c>
      <c r="E32" s="20" t="n">
        <v>55.450625</v>
      </c>
      <c r="F32" s="20" t="n">
        <v>54.5</v>
      </c>
      <c r="G32" s="20" t="n">
        <v>56.5</v>
      </c>
      <c r="H32" s="20" t="n">
        <v>55.837742541141</v>
      </c>
      <c r="I32" s="12" t="n">
        <f aca="false">E32-H32</f>
        <v>-0.387117541141016</v>
      </c>
    </row>
    <row r="33" customFormat="false" ht="15" hidden="false" customHeight="false" outlineLevel="0" collapsed="false">
      <c r="A33" s="14" t="n">
        <v>17</v>
      </c>
      <c r="B33" s="20" t="n">
        <v>39.688125</v>
      </c>
      <c r="C33" s="20" t="n">
        <v>36.25</v>
      </c>
      <c r="D33" s="20" t="n">
        <v>43.5</v>
      </c>
      <c r="E33" s="20" t="n">
        <v>55.600625</v>
      </c>
      <c r="F33" s="20" t="n">
        <v>54.5</v>
      </c>
      <c r="G33" s="20" t="n">
        <v>56.5</v>
      </c>
      <c r="H33" s="20" t="n">
        <v>55.8377425411407</v>
      </c>
      <c r="I33" s="12" t="n">
        <f aca="false">E33-H33</f>
        <v>-0.237117541140719</v>
      </c>
    </row>
    <row r="34" customFormat="false" ht="15" hidden="false" customHeight="false" outlineLevel="0" collapsed="false">
      <c r="A34" s="14" t="n">
        <v>18</v>
      </c>
      <c r="B34" s="20" t="n">
        <v>38.876875</v>
      </c>
      <c r="C34" s="20" t="n">
        <v>35</v>
      </c>
      <c r="D34" s="20" t="n">
        <v>42.775</v>
      </c>
      <c r="E34" s="20" t="n">
        <v>55.550625</v>
      </c>
      <c r="F34" s="20" t="n">
        <v>54.5</v>
      </c>
      <c r="G34" s="20" t="n">
        <v>56.5</v>
      </c>
      <c r="H34" s="20" t="n">
        <v>55.8377425411407</v>
      </c>
      <c r="I34" s="12" t="n">
        <f aca="false">E34-H34</f>
        <v>-0.287117541140667</v>
      </c>
    </row>
    <row r="35" customFormat="false" ht="15" hidden="false" customHeight="false" outlineLevel="0" collapsed="false">
      <c r="A35" s="14" t="n">
        <v>19</v>
      </c>
      <c r="B35" s="20" t="n">
        <v>38.03875</v>
      </c>
      <c r="C35" s="20" t="n">
        <v>34</v>
      </c>
      <c r="D35" s="20" t="n">
        <v>41.75</v>
      </c>
      <c r="E35" s="20" t="n">
        <v>55.47625</v>
      </c>
      <c r="F35" s="20" t="n">
        <v>54.5</v>
      </c>
      <c r="G35" s="20" t="n">
        <v>56.5</v>
      </c>
      <c r="H35" s="20" t="n">
        <v>55.8377425411407</v>
      </c>
      <c r="I35" s="12" t="n">
        <f aca="false">E35-H35</f>
        <v>-0.361492541140663</v>
      </c>
    </row>
    <row r="36" customFormat="false" ht="15" hidden="false" customHeight="false" outlineLevel="0" collapsed="false">
      <c r="A36" s="14" t="n">
        <v>20</v>
      </c>
      <c r="B36" s="20" t="n">
        <v>37.273125</v>
      </c>
      <c r="C36" s="20" t="n">
        <v>33.25</v>
      </c>
      <c r="D36" s="20" t="n">
        <v>41.25</v>
      </c>
      <c r="E36" s="20" t="n">
        <v>55.551875</v>
      </c>
      <c r="F36" s="20" t="n">
        <v>54.5</v>
      </c>
      <c r="G36" s="20" t="n">
        <v>56.5</v>
      </c>
      <c r="H36" s="20" t="n">
        <v>55.8377425411407</v>
      </c>
      <c r="I36" s="12" t="n">
        <f aca="false">E36-H36</f>
        <v>-0.285867541140661</v>
      </c>
    </row>
    <row r="37" customFormat="false" ht="15" hidden="false" customHeight="false" outlineLevel="0" collapsed="false">
      <c r="A37" s="14" t="n">
        <v>21</v>
      </c>
      <c r="B37" s="20" t="n">
        <v>36.5575</v>
      </c>
      <c r="C37" s="20" t="n">
        <v>32.5</v>
      </c>
      <c r="D37" s="20" t="n">
        <v>40.75</v>
      </c>
      <c r="E37" s="20" t="n">
        <v>55.54375</v>
      </c>
      <c r="F37" s="20" t="n">
        <v>54.5</v>
      </c>
      <c r="G37" s="20" t="n">
        <v>56.5</v>
      </c>
      <c r="H37" s="20" t="n">
        <v>55.8377425411407</v>
      </c>
      <c r="I37" s="12" t="n">
        <f aca="false">E37-H37</f>
        <v>-0.293992541140661</v>
      </c>
    </row>
    <row r="38" customFormat="false" ht="15" hidden="false" customHeight="false" outlineLevel="0" collapsed="false">
      <c r="A38" s="14" t="n">
        <v>22</v>
      </c>
      <c r="B38" s="20" t="n">
        <v>35.87375</v>
      </c>
      <c r="C38" s="20" t="n">
        <v>32</v>
      </c>
      <c r="D38" s="20" t="n">
        <v>39.75</v>
      </c>
      <c r="E38" s="20" t="n">
        <v>55.559375</v>
      </c>
      <c r="F38" s="20" t="n">
        <v>54.5</v>
      </c>
      <c r="G38" s="20" t="n">
        <v>56.525</v>
      </c>
      <c r="H38" s="20" t="n">
        <v>55.8377425411407</v>
      </c>
      <c r="I38" s="12" t="n">
        <f aca="false">E38-H38</f>
        <v>-0.278367541140661</v>
      </c>
    </row>
    <row r="39" customFormat="false" ht="15" hidden="false" customHeight="false" outlineLevel="0" collapsed="false">
      <c r="A39" s="14" t="n">
        <v>23</v>
      </c>
      <c r="B39" s="20" t="n">
        <v>35.21875</v>
      </c>
      <c r="C39" s="20" t="n">
        <v>31.75</v>
      </c>
      <c r="D39" s="20" t="n">
        <v>39</v>
      </c>
      <c r="E39" s="20" t="n">
        <v>55.53625</v>
      </c>
      <c r="F39" s="20" t="n">
        <v>54.5</v>
      </c>
      <c r="G39" s="20" t="n">
        <v>56.5</v>
      </c>
      <c r="H39" s="20" t="n">
        <v>55.8377425411407</v>
      </c>
      <c r="I39" s="12" t="n">
        <f aca="false">E39-H39</f>
        <v>-0.301492541140661</v>
      </c>
    </row>
    <row r="40" customFormat="false" ht="15" hidden="false" customHeight="false" outlineLevel="0" collapsed="false">
      <c r="A40" s="14" t="n">
        <v>24</v>
      </c>
      <c r="B40" s="20" t="n">
        <v>34.695625</v>
      </c>
      <c r="C40" s="20" t="n">
        <v>31.75</v>
      </c>
      <c r="D40" s="20" t="n">
        <v>38.25</v>
      </c>
      <c r="E40" s="20" t="n">
        <v>55.62125</v>
      </c>
      <c r="F40" s="20" t="n">
        <v>54.5</v>
      </c>
      <c r="G40" s="20" t="n">
        <v>56.75</v>
      </c>
      <c r="H40" s="20" t="n">
        <v>55.8377425411406</v>
      </c>
      <c r="I40" s="12" t="n">
        <f aca="false">E40-H40</f>
        <v>-0.216492541140639</v>
      </c>
    </row>
    <row r="41" customFormat="false" ht="15" hidden="false" customHeight="false" outlineLevel="0" collapsed="false">
      <c r="A41" s="14" t="n">
        <v>25</v>
      </c>
      <c r="B41" s="20" t="n">
        <v>34.17</v>
      </c>
      <c r="C41" s="20" t="n">
        <v>31.5</v>
      </c>
      <c r="D41" s="20" t="n">
        <v>37.525</v>
      </c>
      <c r="E41" s="20" t="n">
        <v>55.56125</v>
      </c>
      <c r="F41" s="20" t="n">
        <v>54.5</v>
      </c>
      <c r="G41" s="20" t="n">
        <v>56.5</v>
      </c>
      <c r="H41" s="20" t="n">
        <v>55.8377425411406</v>
      </c>
      <c r="I41" s="12" t="n">
        <f aca="false">E41-H41</f>
        <v>-0.276492541140641</v>
      </c>
    </row>
    <row r="42" customFormat="false" ht="15" hidden="false" customHeight="false" outlineLevel="0" collapsed="false">
      <c r="A42" s="14" t="n">
        <v>26</v>
      </c>
      <c r="B42" s="20" t="n">
        <v>33.74375</v>
      </c>
      <c r="C42" s="20" t="n">
        <v>31.5</v>
      </c>
      <c r="D42" s="20" t="n">
        <v>37</v>
      </c>
      <c r="E42" s="20" t="n">
        <v>55.6075</v>
      </c>
      <c r="F42" s="20" t="n">
        <v>54.5</v>
      </c>
      <c r="G42" s="20" t="n">
        <v>56.75</v>
      </c>
      <c r="H42" s="20" t="n">
        <v>55.8377425411406</v>
      </c>
      <c r="I42" s="12" t="n">
        <f aca="false">E42-H42</f>
        <v>-0.23024254114064</v>
      </c>
    </row>
    <row r="43" customFormat="false" ht="15" hidden="false" customHeight="false" outlineLevel="0" collapsed="false">
      <c r="A43" s="14" t="n">
        <v>27</v>
      </c>
      <c r="B43" s="20" t="n">
        <v>33.34625</v>
      </c>
      <c r="C43" s="20" t="n">
        <v>31.475</v>
      </c>
      <c r="D43" s="20" t="n">
        <v>36.25</v>
      </c>
      <c r="E43" s="20" t="n">
        <v>55.581875</v>
      </c>
      <c r="F43" s="20" t="n">
        <v>54.5</v>
      </c>
      <c r="G43" s="20" t="n">
        <v>56.5</v>
      </c>
      <c r="H43" s="20" t="n">
        <v>55.8377425411406</v>
      </c>
      <c r="I43" s="12" t="n">
        <f aca="false">E43-H43</f>
        <v>-0.255867541140631</v>
      </c>
    </row>
    <row r="44" customFormat="false" ht="15" hidden="false" customHeight="false" outlineLevel="0" collapsed="false">
      <c r="A44" s="14" t="n">
        <v>28</v>
      </c>
      <c r="B44" s="20" t="n">
        <v>32.94</v>
      </c>
      <c r="C44" s="20" t="n">
        <v>31</v>
      </c>
      <c r="D44" s="20" t="n">
        <v>35.275</v>
      </c>
      <c r="E44" s="20" t="n">
        <v>55.505</v>
      </c>
      <c r="F44" s="20" t="n">
        <v>54.5</v>
      </c>
      <c r="G44" s="20" t="n">
        <v>56.5</v>
      </c>
      <c r="H44" s="20" t="n">
        <v>55.8377425411406</v>
      </c>
      <c r="I44" s="12" t="n">
        <f aca="false">E44-H44</f>
        <v>-0.332742541140625</v>
      </c>
    </row>
    <row r="45" customFormat="false" ht="15" hidden="false" customHeight="false" outlineLevel="0" collapsed="false">
      <c r="A45" s="14" t="n">
        <v>29</v>
      </c>
      <c r="B45" s="20" t="n">
        <v>32.784375</v>
      </c>
      <c r="C45" s="20" t="n">
        <v>31</v>
      </c>
      <c r="D45" s="20" t="n">
        <v>35</v>
      </c>
      <c r="E45" s="20" t="n">
        <v>55.63</v>
      </c>
      <c r="F45" s="20" t="n">
        <v>54.5</v>
      </c>
      <c r="G45" s="20" t="n">
        <v>56.75</v>
      </c>
      <c r="H45" s="20" t="n">
        <v>55.8377425411406</v>
      </c>
      <c r="I45" s="12" t="n">
        <f aca="false">E45-H45</f>
        <v>-0.207742541140625</v>
      </c>
    </row>
    <row r="46" customFormat="false" ht="15" hidden="false" customHeight="false" outlineLevel="0" collapsed="false">
      <c r="A46" s="14" t="n">
        <v>30</v>
      </c>
      <c r="B46" s="20" t="n">
        <v>32.556875</v>
      </c>
      <c r="C46" s="20" t="n">
        <v>31</v>
      </c>
      <c r="D46" s="20" t="n">
        <v>34.5</v>
      </c>
      <c r="E46" s="20" t="n">
        <v>55.66</v>
      </c>
      <c r="F46" s="20" t="n">
        <v>54.5</v>
      </c>
      <c r="G46" s="20" t="n">
        <v>56.75</v>
      </c>
      <c r="H46" s="20" t="n">
        <v>55.8377425411406</v>
      </c>
      <c r="I46" s="12" t="n">
        <f aca="false">E46-H46</f>
        <v>-0.177742541140624</v>
      </c>
    </row>
    <row r="47" customFormat="false" ht="15" hidden="false" customHeight="false" outlineLevel="0" collapsed="false">
      <c r="A47" s="14" t="n">
        <v>31</v>
      </c>
      <c r="B47" s="20" t="n">
        <v>32.49625</v>
      </c>
      <c r="C47" s="20" t="n">
        <v>31</v>
      </c>
      <c r="D47" s="20" t="n">
        <v>34.25</v>
      </c>
      <c r="E47" s="20" t="n">
        <v>55.700625</v>
      </c>
      <c r="F47" s="20" t="n">
        <v>54.5</v>
      </c>
      <c r="G47" s="20" t="n">
        <v>56.75</v>
      </c>
      <c r="H47" s="20" t="n">
        <v>55.8377425411406</v>
      </c>
      <c r="I47" s="12" t="n">
        <f aca="false">E47-H47</f>
        <v>-0.137117541140618</v>
      </c>
    </row>
    <row r="48" customFormat="false" ht="15" hidden="false" customHeight="false" outlineLevel="0" collapsed="false">
      <c r="A48" s="14" t="n">
        <v>32</v>
      </c>
      <c r="B48" s="20" t="n">
        <v>32.41</v>
      </c>
      <c r="C48" s="20" t="n">
        <v>31</v>
      </c>
      <c r="D48" s="20" t="n">
        <v>34</v>
      </c>
      <c r="E48" s="20" t="n">
        <v>55.689375</v>
      </c>
      <c r="F48" s="20" t="n">
        <v>54.5</v>
      </c>
      <c r="G48" s="20" t="n">
        <v>56.75</v>
      </c>
      <c r="H48" s="20" t="n">
        <v>55.8377425411406</v>
      </c>
      <c r="I48" s="12" t="n">
        <f aca="false">E48-H48</f>
        <v>-0.148367541140608</v>
      </c>
    </row>
    <row r="49" customFormat="false" ht="15" hidden="false" customHeight="false" outlineLevel="0" collapsed="false">
      <c r="A49" s="14" t="n">
        <v>33</v>
      </c>
      <c r="B49" s="20" t="n">
        <v>32.33125</v>
      </c>
      <c r="C49" s="20" t="n">
        <v>31</v>
      </c>
      <c r="D49" s="20" t="n">
        <v>34</v>
      </c>
      <c r="E49" s="20" t="n">
        <v>55.665625</v>
      </c>
      <c r="F49" s="20" t="n">
        <v>54.5</v>
      </c>
      <c r="G49" s="20" t="n">
        <v>56.75</v>
      </c>
      <c r="H49" s="20" t="n">
        <v>55.8377425411406</v>
      </c>
      <c r="I49" s="12" t="n">
        <f aca="false">E49-H49</f>
        <v>-0.172117541140601</v>
      </c>
    </row>
    <row r="50" customFormat="false" ht="15" hidden="false" customHeight="false" outlineLevel="0" collapsed="false">
      <c r="A50" s="14" t="n">
        <v>34</v>
      </c>
      <c r="B50" s="20" t="n">
        <v>32.29875</v>
      </c>
      <c r="C50" s="20" t="n">
        <v>31</v>
      </c>
      <c r="D50" s="20" t="n">
        <v>33.775</v>
      </c>
      <c r="E50" s="20" t="n">
        <v>55.66</v>
      </c>
      <c r="F50" s="20" t="n">
        <v>54.5</v>
      </c>
      <c r="G50" s="20" t="n">
        <v>56.75</v>
      </c>
      <c r="H50" s="20" t="n">
        <v>55.8377425411406</v>
      </c>
      <c r="I50" s="12" t="n">
        <f aca="false">E50-H50</f>
        <v>-0.177742541140603</v>
      </c>
    </row>
    <row r="51" customFormat="false" ht="15" hidden="false" customHeight="false" outlineLevel="0" collapsed="false">
      <c r="A51" s="14" t="n">
        <v>35</v>
      </c>
      <c r="B51" s="20" t="n">
        <v>32.308125</v>
      </c>
      <c r="C51" s="20" t="n">
        <v>31</v>
      </c>
      <c r="D51" s="20" t="n">
        <v>33.5</v>
      </c>
      <c r="E51" s="20" t="n">
        <v>55.658125</v>
      </c>
      <c r="F51" s="20" t="n">
        <v>54.5</v>
      </c>
      <c r="G51" s="20" t="n">
        <v>57</v>
      </c>
      <c r="H51" s="20" t="n">
        <v>55.8377425411406</v>
      </c>
      <c r="I51" s="12" t="n">
        <f aca="false">E51-H51</f>
        <v>-0.179617541140594</v>
      </c>
    </row>
    <row r="52" customFormat="false" ht="15" hidden="false" customHeight="false" outlineLevel="0" collapsed="false">
      <c r="A52" s="14" t="n">
        <v>36</v>
      </c>
      <c r="B52" s="20" t="n">
        <v>32.2825</v>
      </c>
      <c r="C52" s="20" t="n">
        <v>31.225</v>
      </c>
      <c r="D52" s="20" t="n">
        <v>33.5</v>
      </c>
      <c r="E52" s="20" t="n">
        <v>55.680625</v>
      </c>
      <c r="F52" s="20" t="n">
        <v>54.75</v>
      </c>
      <c r="G52" s="20" t="n">
        <v>56.75</v>
      </c>
      <c r="H52" s="20" t="n">
        <v>55.8377425411406</v>
      </c>
      <c r="I52" s="12" t="n">
        <f aca="false">E52-H52</f>
        <v>-0.157117541140593</v>
      </c>
    </row>
    <row r="53" customFormat="false" ht="15" hidden="false" customHeight="false" outlineLevel="0" collapsed="false">
      <c r="A53" s="14" t="n">
        <v>37</v>
      </c>
      <c r="B53" s="20" t="n">
        <v>32.315</v>
      </c>
      <c r="C53" s="20" t="n">
        <v>31</v>
      </c>
      <c r="D53" s="20" t="n">
        <v>33.75</v>
      </c>
      <c r="E53" s="20" t="n">
        <v>55.73875</v>
      </c>
      <c r="F53" s="20" t="n">
        <v>54.5</v>
      </c>
      <c r="G53" s="20" t="n">
        <v>57</v>
      </c>
      <c r="H53" s="20" t="n">
        <v>55.8377425411406</v>
      </c>
      <c r="I53" s="12" t="n">
        <f aca="false">E53-H53</f>
        <v>-0.0989925411405892</v>
      </c>
    </row>
    <row r="54" customFormat="false" ht="15" hidden="false" customHeight="false" outlineLevel="0" collapsed="false">
      <c r="A54" s="14" t="n">
        <v>38</v>
      </c>
      <c r="B54" s="20" t="n">
        <v>32.290625</v>
      </c>
      <c r="C54" s="20" t="n">
        <v>31.25</v>
      </c>
      <c r="D54" s="20" t="n">
        <v>33.5</v>
      </c>
      <c r="E54" s="20" t="n">
        <v>55.725</v>
      </c>
      <c r="F54" s="20" t="n">
        <v>54.5</v>
      </c>
      <c r="G54" s="20" t="n">
        <v>56.75</v>
      </c>
      <c r="H54" s="20" t="n">
        <v>55.8377425411406</v>
      </c>
      <c r="I54" s="12" t="n">
        <f aca="false">E54-H54</f>
        <v>-0.112742541140577</v>
      </c>
    </row>
    <row r="55" customFormat="false" ht="15" hidden="false" customHeight="false" outlineLevel="0" collapsed="false">
      <c r="A55" s="14" t="n">
        <v>39</v>
      </c>
      <c r="B55" s="20" t="n">
        <v>32.285</v>
      </c>
      <c r="C55" s="20" t="n">
        <v>31.25</v>
      </c>
      <c r="D55" s="20" t="n">
        <v>33.5</v>
      </c>
      <c r="E55" s="20" t="n">
        <v>55.72125</v>
      </c>
      <c r="F55" s="20" t="n">
        <v>54.75</v>
      </c>
      <c r="G55" s="20" t="n">
        <v>56.75</v>
      </c>
      <c r="H55" s="20" t="n">
        <v>55.8377425411406</v>
      </c>
      <c r="I55" s="12" t="n">
        <f aca="false">E55-H55</f>
        <v>-0.11649254114058</v>
      </c>
    </row>
    <row r="56" customFormat="false" ht="15" hidden="false" customHeight="false" outlineLevel="0" collapsed="false">
      <c r="A56" s="14" t="n">
        <v>40</v>
      </c>
      <c r="B56" s="20" t="n">
        <v>32.296875</v>
      </c>
      <c r="C56" s="20" t="n">
        <v>31.25</v>
      </c>
      <c r="D56" s="20" t="n">
        <v>33.5</v>
      </c>
      <c r="E56" s="20" t="n">
        <v>55.73375</v>
      </c>
      <c r="F56" s="20" t="n">
        <v>54.725</v>
      </c>
      <c r="G56" s="20" t="n">
        <v>56.75</v>
      </c>
      <c r="H56" s="20" t="n">
        <v>55.8377425411406</v>
      </c>
      <c r="I56" s="12" t="n">
        <f aca="false">E56-H56</f>
        <v>-0.10399254114057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14"/>
    <col collapsed="false" customWidth="true" hidden="false" outlineLevel="0" max="5" min="4" style="0" width="16"/>
  </cols>
  <sheetData>
    <row r="1" customFormat="false" ht="15" hidden="false" customHeight="false" outlineLevel="0" collapsed="false">
      <c r="A1" s="1" t="s">
        <v>458</v>
      </c>
    </row>
    <row r="2" customFormat="false" ht="15" hidden="false" customHeight="false" outlineLevel="0" collapsed="false">
      <c r="A2" s="10" t="s">
        <v>459</v>
      </c>
    </row>
    <row r="4" customFormat="false" ht="15" hidden="false" customHeight="false" outlineLevel="0" collapsed="false">
      <c r="A4" s="8" t="s">
        <v>460</v>
      </c>
      <c r="B4" s="8" t="s">
        <v>461</v>
      </c>
      <c r="C4" s="8" t="s">
        <v>462</v>
      </c>
      <c r="D4" s="8" t="s">
        <v>279</v>
      </c>
      <c r="E4" s="8" t="s">
        <v>463</v>
      </c>
    </row>
    <row r="5" customFormat="false" ht="15" hidden="false" customHeight="false" outlineLevel="0" collapsed="false">
      <c r="A5" s="4" t="s">
        <v>194</v>
      </c>
      <c r="B5" s="2" t="s">
        <v>464</v>
      </c>
      <c r="C5" s="42" t="n">
        <v>0</v>
      </c>
      <c r="D5" s="42" t="n">
        <v>0</v>
      </c>
      <c r="E5" s="46" t="n">
        <f aca="false">100*BestRule!AA13</f>
        <v>5.8199363320079</v>
      </c>
    </row>
    <row r="6" customFormat="false" ht="15" hidden="false" customHeight="false" outlineLevel="0" collapsed="false">
      <c r="A6" s="4" t="s">
        <v>195</v>
      </c>
      <c r="B6" s="2" t="s">
        <v>464</v>
      </c>
      <c r="C6" s="47" t="n">
        <f aca="false">Rules!P8</f>
        <v>15.3693623201087</v>
      </c>
      <c r="D6" s="2" t="s">
        <v>465</v>
      </c>
      <c r="E6" s="36" t="n">
        <v>1.53364895671248E-005</v>
      </c>
    </row>
    <row r="7" customFormat="false" ht="15" hidden="false" customHeight="false" outlineLevel="0" collapsed="false">
      <c r="A7" s="4" t="s">
        <v>466</v>
      </c>
      <c r="B7" s="2" t="s">
        <v>467</v>
      </c>
      <c r="C7" s="47" t="n">
        <f aca="false">QLearning!C30</f>
        <v>56.69359732235</v>
      </c>
      <c r="D7" s="47" t="n">
        <f aca="false">QLearning!C31</f>
        <v>86.1082256633034</v>
      </c>
      <c r="E7" s="36" t="n">
        <v>50.9144516052267</v>
      </c>
    </row>
    <row r="8" customFormat="false" ht="15" hidden="false" customHeight="false" outlineLevel="0" collapsed="false">
      <c r="A8" s="4" t="s">
        <v>466</v>
      </c>
      <c r="B8" s="2" t="s">
        <v>468</v>
      </c>
      <c r="C8" s="47" t="n">
        <f aca="false">QLearning!D30</f>
        <v>21.9708506843016</v>
      </c>
      <c r="D8" s="47" t="n">
        <f aca="false">QLearning!D31</f>
        <v>31.6336276802351</v>
      </c>
      <c r="E8" s="36" t="n">
        <v>7.87885439758743</v>
      </c>
    </row>
    <row r="9" customFormat="false" ht="15" hidden="false" customHeight="false" outlineLevel="0" collapsed="false">
      <c r="A9" s="4" t="s">
        <v>466</v>
      </c>
      <c r="B9" s="2" t="s">
        <v>469</v>
      </c>
      <c r="C9" s="47" t="n">
        <f aca="false">QLearning!E30</f>
        <v>1.26061112029327</v>
      </c>
      <c r="D9" s="47" t="n">
        <f aca="false">QLearning!E31</f>
        <v>1.74571423618759</v>
      </c>
      <c r="E9" s="36" t="n">
        <v>7.58571593421306</v>
      </c>
    </row>
    <row r="10" customFormat="false" ht="15" hidden="false" customHeight="false" outlineLevel="0" collapsed="false">
      <c r="A10" s="4" t="s">
        <v>466</v>
      </c>
      <c r="B10" s="2" t="s">
        <v>470</v>
      </c>
      <c r="C10" s="47" t="n">
        <f aca="false">QLearning!F30</f>
        <v>0.552530039059249</v>
      </c>
      <c r="D10" s="47" t="n">
        <f aca="false">QLearning!F31</f>
        <v>0.730561292500826</v>
      </c>
      <c r="E10" s="36" t="n">
        <v>7.77828301150335</v>
      </c>
    </row>
    <row r="11" customFormat="false" ht="15" hidden="false" customHeight="false" outlineLevel="0" collapsed="false">
      <c r="A11" s="4" t="s">
        <v>471</v>
      </c>
      <c r="B11" s="2" t="s">
        <v>468</v>
      </c>
      <c r="C11" s="47" t="n">
        <f aca="false">QLearning!B98</f>
        <v>121.185972635087</v>
      </c>
      <c r="D11" s="47" t="n">
        <f aca="false">QLearning!B99</f>
        <v>133.511176682214</v>
      </c>
      <c r="E11" s="36" t="n">
        <v>99.4864060913523</v>
      </c>
    </row>
    <row r="12" customFormat="false" ht="15" hidden="false" customHeight="false" outlineLevel="0" collapsed="false">
      <c r="A12" s="4" t="s">
        <v>472</v>
      </c>
      <c r="B12" s="2" t="s">
        <v>473</v>
      </c>
      <c r="C12" s="47" t="n">
        <f aca="false">Swings!E10</f>
        <v>1.16972062879334</v>
      </c>
      <c r="D12" s="47" t="n">
        <f aca="false">Swings!F10</f>
        <v>5.03615287384906</v>
      </c>
      <c r="E12" s="36" t="n">
        <v>5.8199363320079</v>
      </c>
    </row>
    <row r="13" customFormat="false" ht="15" hidden="false" customHeight="false" outlineLevel="0" collapsed="false">
      <c r="A13" s="4" t="s">
        <v>472</v>
      </c>
      <c r="B13" s="2" t="s">
        <v>474</v>
      </c>
      <c r="C13" s="47" t="n">
        <f aca="false">Swings!E11</f>
        <v>0.301937157254348</v>
      </c>
      <c r="D13" s="47" t="n">
        <f aca="false">Swings!F11</f>
        <v>0.713021460896897</v>
      </c>
      <c r="E13" s="36" t="n">
        <v>5.8199363320079</v>
      </c>
    </row>
    <row r="14" customFormat="false" ht="15" hidden="false" customHeight="false" outlineLevel="0" collapsed="false">
      <c r="A14" s="4" t="s">
        <v>472</v>
      </c>
      <c r="B14" s="2" t="s">
        <v>475</v>
      </c>
      <c r="C14" s="47" t="n">
        <f aca="false">Swings!E12</f>
        <v>0.0524303406587127</v>
      </c>
      <c r="D14" s="47" t="n">
        <f aca="false">Swings!F12</f>
        <v>0.115817627028463</v>
      </c>
      <c r="E14" s="36" t="n">
        <v>5.8199363320079</v>
      </c>
    </row>
    <row r="15" customFormat="false" ht="15" hidden="false" customHeight="false" outlineLevel="0" collapsed="false">
      <c r="A15" s="4" t="s">
        <v>476</v>
      </c>
      <c r="B15" s="2" t="s">
        <v>474</v>
      </c>
      <c r="C15" s="47" t="n">
        <f aca="false">Practice!T12</f>
        <v>42.6993657760755</v>
      </c>
      <c r="D15" s="47" t="n">
        <f aca="false">Practice!T13</f>
        <v>1029.74334219024</v>
      </c>
      <c r="E15" s="36" t="n">
        <v>8.28846623527217</v>
      </c>
    </row>
    <row r="16" customFormat="false" ht="15" hidden="false" customHeight="false" outlineLevel="0" collapsed="false">
      <c r="A16" s="4" t="s">
        <v>477</v>
      </c>
      <c r="B16" s="2" t="s">
        <v>474</v>
      </c>
      <c r="C16" s="47" t="n">
        <f aca="false">Company!B5</f>
        <v>545.538462996133</v>
      </c>
      <c r="D16" s="47" t="n">
        <f aca="false">Company!B6</f>
        <v>622.589230122778</v>
      </c>
      <c r="E16" s="46" t="n">
        <f aca="false">100*Company!B7</f>
        <v>92.175</v>
      </c>
    </row>
    <row r="17" customFormat="false" ht="15" hidden="false" customHeight="false" outlineLevel="0" collapsed="false">
      <c r="A17" s="4" t="s">
        <v>478</v>
      </c>
      <c r="B17" s="2" t="s">
        <v>474</v>
      </c>
      <c r="C17" s="47" t="n">
        <f aca="false">Company!C5</f>
        <v>1.17748636169596</v>
      </c>
      <c r="D17" s="47" t="n">
        <f aca="false">Company!C6</f>
        <v>19.0368222280875</v>
      </c>
      <c r="E17" s="46" t="n">
        <f aca="false">100*Company!C7</f>
        <v>17.84375</v>
      </c>
    </row>
    <row r="20" customFormat="false" ht="15" hidden="false" customHeight="false" outlineLevel="0" collapsed="false">
      <c r="A20" s="10" t="s">
        <v>479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6"/>
    <col collapsed="false" customWidth="true" hidden="false" outlineLevel="0" max="4" min="2" style="0" width="16"/>
    <col collapsed="false" customWidth="true" hidden="false" outlineLevel="0" max="5" min="5" style="0" width="12"/>
    <col collapsed="false" customWidth="true" hidden="false" outlineLevel="0" max="8" min="6" style="0" width="14"/>
    <col collapsed="false" customWidth="true" hidden="false" outlineLevel="0" max="9" min="9" style="0" width="12"/>
  </cols>
  <sheetData>
    <row r="1" customFormat="false" ht="15" hidden="false" customHeight="false" outlineLevel="0" collapsed="false">
      <c r="A1" s="1" t="s">
        <v>480</v>
      </c>
    </row>
    <row r="2" customFormat="false" ht="15" hidden="false" customHeight="false" outlineLevel="0" collapsed="false">
      <c r="A2" s="10" t="s">
        <v>481</v>
      </c>
    </row>
    <row r="3" customFormat="false" ht="15" hidden="false" customHeight="false" outlineLevel="0" collapsed="false">
      <c r="A3" s="4" t="s">
        <v>482</v>
      </c>
    </row>
    <row r="4" customFormat="false" ht="23.85" hidden="false" customHeight="false" outlineLevel="0" collapsed="false">
      <c r="A4" s="8" t="s">
        <v>483</v>
      </c>
      <c r="B4" s="8" t="s">
        <v>484</v>
      </c>
      <c r="C4" s="8" t="s">
        <v>485</v>
      </c>
      <c r="D4" s="8" t="s">
        <v>486</v>
      </c>
      <c r="E4" s="8" t="s">
        <v>485</v>
      </c>
      <c r="F4" s="8" t="s">
        <v>487</v>
      </c>
      <c r="G4" s="8" t="s">
        <v>488</v>
      </c>
      <c r="H4" s="8" t="s">
        <v>489</v>
      </c>
      <c r="I4" s="8" t="s">
        <v>490</v>
      </c>
    </row>
    <row r="5" customFormat="false" ht="15" hidden="false" customHeight="false" outlineLevel="0" collapsed="false">
      <c r="A5" s="14" t="n">
        <v>1</v>
      </c>
      <c r="B5" s="13" t="n">
        <v>1</v>
      </c>
      <c r="C5" s="13" t="n">
        <f aca="false">SQRT(2)</f>
        <v>1.4142135623731</v>
      </c>
      <c r="D5" s="13" t="n">
        <v>1</v>
      </c>
      <c r="E5" s="13" t="n">
        <f aca="false">SQRT(2)</f>
        <v>1.4142135623731</v>
      </c>
      <c r="F5" s="14" t="n">
        <f aca="false">IF(B5&lt;C5,1,0)</f>
        <v>1</v>
      </c>
      <c r="G5" s="14" t="n">
        <f aca="false">IF(D5&lt;E5,1,0)</f>
        <v>1</v>
      </c>
      <c r="H5" s="14" t="n">
        <f aca="false">IF(F5=G5,1,0)</f>
        <v>1</v>
      </c>
      <c r="I5" s="14" t="n">
        <f aca="false">1-H5</f>
        <v>0</v>
      </c>
    </row>
    <row r="6" customFormat="false" ht="15" hidden="false" customHeight="false" outlineLevel="0" collapsed="false">
      <c r="A6" s="14" t="n">
        <v>2</v>
      </c>
      <c r="B6" s="16" t="n">
        <f aca="false">B5+G5</f>
        <v>2</v>
      </c>
      <c r="C6" s="16" t="n">
        <f aca="false">C5+1-G5</f>
        <v>1.4142135623731</v>
      </c>
      <c r="D6" s="16" t="n">
        <f aca="false">D5+F5</f>
        <v>2</v>
      </c>
      <c r="E6" s="16" t="n">
        <f aca="false">E5+1-F5</f>
        <v>1.4142135623731</v>
      </c>
      <c r="F6" s="14" t="n">
        <f aca="false">IF(B6&lt;C6,1,0)</f>
        <v>0</v>
      </c>
      <c r="G6" s="14" t="n">
        <f aca="false">IF(D6&lt;E6,1,0)</f>
        <v>0</v>
      </c>
      <c r="H6" s="14" t="n">
        <f aca="false">IF(F6=G6,1,0)</f>
        <v>1</v>
      </c>
      <c r="I6" s="14" t="n">
        <f aca="false">1-H6</f>
        <v>0</v>
      </c>
    </row>
    <row r="7" customFormat="false" ht="15" hidden="false" customHeight="false" outlineLevel="0" collapsed="false">
      <c r="A7" s="14" t="n">
        <v>3</v>
      </c>
      <c r="B7" s="16" t="n">
        <f aca="false">B6+G6</f>
        <v>2</v>
      </c>
      <c r="C7" s="16" t="n">
        <f aca="false">C6+1-G6</f>
        <v>2.4142135623731</v>
      </c>
      <c r="D7" s="16" t="n">
        <f aca="false">D6+F6</f>
        <v>2</v>
      </c>
      <c r="E7" s="16" t="n">
        <f aca="false">E6+1-F6</f>
        <v>2.4142135623731</v>
      </c>
      <c r="F7" s="14" t="n">
        <f aca="false">IF(B7&lt;C7,1,0)</f>
        <v>1</v>
      </c>
      <c r="G7" s="14" t="n">
        <f aca="false">IF(D7&lt;E7,1,0)</f>
        <v>1</v>
      </c>
      <c r="H7" s="14" t="n">
        <f aca="false">IF(F7=G7,1,0)</f>
        <v>1</v>
      </c>
      <c r="I7" s="14" t="n">
        <f aca="false">1-H7</f>
        <v>0</v>
      </c>
    </row>
    <row r="8" customFormat="false" ht="15" hidden="false" customHeight="false" outlineLevel="0" collapsed="false">
      <c r="A8" s="14" t="n">
        <v>4</v>
      </c>
      <c r="B8" s="16" t="n">
        <f aca="false">B7+G7</f>
        <v>3</v>
      </c>
      <c r="C8" s="16" t="n">
        <f aca="false">C7+1-G7</f>
        <v>2.4142135623731</v>
      </c>
      <c r="D8" s="16" t="n">
        <f aca="false">D7+F7</f>
        <v>3</v>
      </c>
      <c r="E8" s="16" t="n">
        <f aca="false">E7+1-F7</f>
        <v>2.4142135623731</v>
      </c>
      <c r="F8" s="14" t="n">
        <f aca="false">IF(B8&lt;C8,1,0)</f>
        <v>0</v>
      </c>
      <c r="G8" s="14" t="n">
        <f aca="false">IF(D8&lt;E8,1,0)</f>
        <v>0</v>
      </c>
      <c r="H8" s="14" t="n">
        <f aca="false">IF(F8=G8,1,0)</f>
        <v>1</v>
      </c>
      <c r="I8" s="14" t="n">
        <f aca="false">1-H8</f>
        <v>0</v>
      </c>
    </row>
    <row r="9" customFormat="false" ht="15" hidden="false" customHeight="false" outlineLevel="0" collapsed="false">
      <c r="A9" s="14" t="n">
        <v>5</v>
      </c>
      <c r="B9" s="16" t="n">
        <f aca="false">B8+G8</f>
        <v>3</v>
      </c>
      <c r="C9" s="16" t="n">
        <f aca="false">C8+1-G8</f>
        <v>3.4142135623731</v>
      </c>
      <c r="D9" s="16" t="n">
        <f aca="false">D8+F8</f>
        <v>3</v>
      </c>
      <c r="E9" s="16" t="n">
        <f aca="false">E8+1-F8</f>
        <v>3.4142135623731</v>
      </c>
      <c r="F9" s="14" t="n">
        <f aca="false">IF(B9&lt;C9,1,0)</f>
        <v>1</v>
      </c>
      <c r="G9" s="14" t="n">
        <f aca="false">IF(D9&lt;E9,1,0)</f>
        <v>1</v>
      </c>
      <c r="H9" s="14" t="n">
        <f aca="false">IF(F9=G9,1,0)</f>
        <v>1</v>
      </c>
      <c r="I9" s="14" t="n">
        <f aca="false">1-H9</f>
        <v>0</v>
      </c>
    </row>
    <row r="10" customFormat="false" ht="15" hidden="false" customHeight="false" outlineLevel="0" collapsed="false">
      <c r="A10" s="14" t="n">
        <v>6</v>
      </c>
      <c r="B10" s="16" t="n">
        <f aca="false">B9+G9</f>
        <v>4</v>
      </c>
      <c r="C10" s="16" t="n">
        <f aca="false">C9+1-G9</f>
        <v>3.4142135623731</v>
      </c>
      <c r="D10" s="16" t="n">
        <f aca="false">D9+F9</f>
        <v>4</v>
      </c>
      <c r="E10" s="16" t="n">
        <f aca="false">E9+1-F9</f>
        <v>3.4142135623731</v>
      </c>
      <c r="F10" s="14" t="n">
        <f aca="false">IF(B10&lt;C10,1,0)</f>
        <v>0</v>
      </c>
      <c r="G10" s="14" t="n">
        <f aca="false">IF(D10&lt;E10,1,0)</f>
        <v>0</v>
      </c>
      <c r="H10" s="14" t="n">
        <f aca="false">IF(F10=G10,1,0)</f>
        <v>1</v>
      </c>
      <c r="I10" s="14" t="n">
        <f aca="false">1-H10</f>
        <v>0</v>
      </c>
    </row>
    <row r="11" customFormat="false" ht="15" hidden="false" customHeight="false" outlineLevel="0" collapsed="false">
      <c r="A11" s="14" t="n">
        <v>7</v>
      </c>
      <c r="B11" s="16" t="n">
        <f aca="false">B10+G10</f>
        <v>4</v>
      </c>
      <c r="C11" s="16" t="n">
        <f aca="false">C10+1-G10</f>
        <v>4.4142135623731</v>
      </c>
      <c r="D11" s="16" t="n">
        <f aca="false">D10+F10</f>
        <v>4</v>
      </c>
      <c r="E11" s="16" t="n">
        <f aca="false">E10+1-F10</f>
        <v>4.4142135623731</v>
      </c>
      <c r="F11" s="14" t="n">
        <f aca="false">IF(B11&lt;C11,1,0)</f>
        <v>1</v>
      </c>
      <c r="G11" s="14" t="n">
        <f aca="false">IF(D11&lt;E11,1,0)</f>
        <v>1</v>
      </c>
      <c r="H11" s="14" t="n">
        <f aca="false">IF(F11=G11,1,0)</f>
        <v>1</v>
      </c>
      <c r="I11" s="14" t="n">
        <f aca="false">1-H11</f>
        <v>0</v>
      </c>
    </row>
    <row r="12" customFormat="false" ht="15" hidden="false" customHeight="false" outlineLevel="0" collapsed="false">
      <c r="A12" s="14" t="n">
        <v>8</v>
      </c>
      <c r="B12" s="16" t="n">
        <f aca="false">B11+G11</f>
        <v>5</v>
      </c>
      <c r="C12" s="16" t="n">
        <f aca="false">C11+1-G11</f>
        <v>4.4142135623731</v>
      </c>
      <c r="D12" s="16" t="n">
        <f aca="false">D11+F11</f>
        <v>5</v>
      </c>
      <c r="E12" s="16" t="n">
        <f aca="false">E11+1-F11</f>
        <v>4.4142135623731</v>
      </c>
      <c r="F12" s="14" t="n">
        <f aca="false">IF(B12&lt;C12,1,0)</f>
        <v>0</v>
      </c>
      <c r="G12" s="14" t="n">
        <f aca="false">IF(D12&lt;E12,1,0)</f>
        <v>0</v>
      </c>
      <c r="H12" s="14" t="n">
        <f aca="false">IF(F12=G12,1,0)</f>
        <v>1</v>
      </c>
      <c r="I12" s="14" t="n">
        <f aca="false">1-H12</f>
        <v>0</v>
      </c>
    </row>
    <row r="13" customFormat="false" ht="15" hidden="false" customHeight="false" outlineLevel="0" collapsed="false">
      <c r="A13" s="14" t="n">
        <v>9</v>
      </c>
      <c r="B13" s="16" t="n">
        <f aca="false">B12+G12</f>
        <v>5</v>
      </c>
      <c r="C13" s="16" t="n">
        <f aca="false">C12+1-G12</f>
        <v>5.4142135623731</v>
      </c>
      <c r="D13" s="16" t="n">
        <f aca="false">D12+F12</f>
        <v>5</v>
      </c>
      <c r="E13" s="16" t="n">
        <f aca="false">E12+1-F12</f>
        <v>5.4142135623731</v>
      </c>
      <c r="F13" s="14" t="n">
        <f aca="false">IF(B13&lt;C13,1,0)</f>
        <v>1</v>
      </c>
      <c r="G13" s="14" t="n">
        <f aca="false">IF(D13&lt;E13,1,0)</f>
        <v>1</v>
      </c>
      <c r="H13" s="14" t="n">
        <f aca="false">IF(F13=G13,1,0)</f>
        <v>1</v>
      </c>
      <c r="I13" s="14" t="n">
        <f aca="false">1-H13</f>
        <v>0</v>
      </c>
    </row>
    <row r="14" customFormat="false" ht="15" hidden="false" customHeight="false" outlineLevel="0" collapsed="false">
      <c r="A14" s="14" t="n">
        <v>10</v>
      </c>
      <c r="B14" s="16" t="n">
        <f aca="false">B13+G13</f>
        <v>6</v>
      </c>
      <c r="C14" s="16" t="n">
        <f aca="false">C13+1-G13</f>
        <v>5.4142135623731</v>
      </c>
      <c r="D14" s="16" t="n">
        <f aca="false">D13+F13</f>
        <v>6</v>
      </c>
      <c r="E14" s="16" t="n">
        <f aca="false">E13+1-F13</f>
        <v>5.4142135623731</v>
      </c>
      <c r="F14" s="14" t="n">
        <f aca="false">IF(B14&lt;C14,1,0)</f>
        <v>0</v>
      </c>
      <c r="G14" s="14" t="n">
        <f aca="false">IF(D14&lt;E14,1,0)</f>
        <v>0</v>
      </c>
      <c r="H14" s="14" t="n">
        <f aca="false">IF(F14=G14,1,0)</f>
        <v>1</v>
      </c>
      <c r="I14" s="14" t="n">
        <f aca="false">1-H14</f>
        <v>0</v>
      </c>
    </row>
    <row r="15" customFormat="false" ht="15" hidden="false" customHeight="false" outlineLevel="0" collapsed="false">
      <c r="A15" s="14" t="n">
        <v>11</v>
      </c>
      <c r="B15" s="16" t="n">
        <f aca="false">B14+G14</f>
        <v>6</v>
      </c>
      <c r="C15" s="16" t="n">
        <f aca="false">C14+1-G14</f>
        <v>6.4142135623731</v>
      </c>
      <c r="D15" s="16" t="n">
        <f aca="false">D14+F14</f>
        <v>6</v>
      </c>
      <c r="E15" s="16" t="n">
        <f aca="false">E14+1-F14</f>
        <v>6.4142135623731</v>
      </c>
      <c r="F15" s="14" t="n">
        <f aca="false">IF(B15&lt;C15,1,0)</f>
        <v>1</v>
      </c>
      <c r="G15" s="14" t="n">
        <f aca="false">IF(D15&lt;E15,1,0)</f>
        <v>1</v>
      </c>
      <c r="H15" s="14" t="n">
        <f aca="false">IF(F15=G15,1,0)</f>
        <v>1</v>
      </c>
      <c r="I15" s="14" t="n">
        <f aca="false">1-H15</f>
        <v>0</v>
      </c>
    </row>
    <row r="16" customFormat="false" ht="15" hidden="false" customHeight="false" outlineLevel="0" collapsed="false">
      <c r="A16" s="14" t="n">
        <v>12</v>
      </c>
      <c r="B16" s="16" t="n">
        <f aca="false">B15+G15</f>
        <v>7</v>
      </c>
      <c r="C16" s="16" t="n">
        <f aca="false">C15+1-G15</f>
        <v>6.4142135623731</v>
      </c>
      <c r="D16" s="16" t="n">
        <f aca="false">D15+F15</f>
        <v>7</v>
      </c>
      <c r="E16" s="16" t="n">
        <f aca="false">E15+1-F15</f>
        <v>6.4142135623731</v>
      </c>
      <c r="F16" s="14" t="n">
        <f aca="false">IF(B16&lt;C16,1,0)</f>
        <v>0</v>
      </c>
      <c r="G16" s="14" t="n">
        <f aca="false">IF(D16&lt;E16,1,0)</f>
        <v>0</v>
      </c>
      <c r="H16" s="14" t="n">
        <f aca="false">IF(F16=G16,1,0)</f>
        <v>1</v>
      </c>
      <c r="I16" s="14" t="n">
        <f aca="false">1-H16</f>
        <v>0</v>
      </c>
    </row>
    <row r="17" customFormat="false" ht="15" hidden="false" customHeight="false" outlineLevel="0" collapsed="false">
      <c r="A17" s="14" t="n">
        <v>13</v>
      </c>
      <c r="B17" s="16" t="n">
        <f aca="false">B16+G16</f>
        <v>7</v>
      </c>
      <c r="C17" s="16" t="n">
        <f aca="false">C16+1-G16</f>
        <v>7.4142135623731</v>
      </c>
      <c r="D17" s="16" t="n">
        <f aca="false">D16+F16</f>
        <v>7</v>
      </c>
      <c r="E17" s="16" t="n">
        <f aca="false">E16+1-F16</f>
        <v>7.4142135623731</v>
      </c>
      <c r="F17" s="14" t="n">
        <f aca="false">IF(B17&lt;C17,1,0)</f>
        <v>1</v>
      </c>
      <c r="G17" s="14" t="n">
        <f aca="false">IF(D17&lt;E17,1,0)</f>
        <v>1</v>
      </c>
      <c r="H17" s="14" t="n">
        <f aca="false">IF(F17=G17,1,0)</f>
        <v>1</v>
      </c>
      <c r="I17" s="14" t="n">
        <f aca="false">1-H17</f>
        <v>0</v>
      </c>
    </row>
    <row r="18" customFormat="false" ht="15" hidden="false" customHeight="false" outlineLevel="0" collapsed="false">
      <c r="A18" s="14" t="n">
        <v>14</v>
      </c>
      <c r="B18" s="16" t="n">
        <f aca="false">B17+G17</f>
        <v>8</v>
      </c>
      <c r="C18" s="16" t="n">
        <f aca="false">C17+1-G17</f>
        <v>7.4142135623731</v>
      </c>
      <c r="D18" s="16" t="n">
        <f aca="false">D17+F17</f>
        <v>8</v>
      </c>
      <c r="E18" s="16" t="n">
        <f aca="false">E17+1-F17</f>
        <v>7.4142135623731</v>
      </c>
      <c r="F18" s="14" t="n">
        <f aca="false">IF(B18&lt;C18,1,0)</f>
        <v>0</v>
      </c>
      <c r="G18" s="14" t="n">
        <f aca="false">IF(D18&lt;E18,1,0)</f>
        <v>0</v>
      </c>
      <c r="H18" s="14" t="n">
        <f aca="false">IF(F18=G18,1,0)</f>
        <v>1</v>
      </c>
      <c r="I18" s="14" t="n">
        <f aca="false">1-H18</f>
        <v>0</v>
      </c>
    </row>
    <row r="19" customFormat="false" ht="15" hidden="false" customHeight="false" outlineLevel="0" collapsed="false">
      <c r="A19" s="14" t="n">
        <v>15</v>
      </c>
      <c r="B19" s="16" t="n">
        <f aca="false">B18+G18</f>
        <v>8</v>
      </c>
      <c r="C19" s="16" t="n">
        <f aca="false">C18+1-G18</f>
        <v>8.4142135623731</v>
      </c>
      <c r="D19" s="16" t="n">
        <f aca="false">D18+F18</f>
        <v>8</v>
      </c>
      <c r="E19" s="16" t="n">
        <f aca="false">E18+1-F18</f>
        <v>8.4142135623731</v>
      </c>
      <c r="F19" s="14" t="n">
        <f aca="false">IF(B19&lt;C19,1,0)</f>
        <v>1</v>
      </c>
      <c r="G19" s="14" t="n">
        <f aca="false">IF(D19&lt;E19,1,0)</f>
        <v>1</v>
      </c>
      <c r="H19" s="14" t="n">
        <f aca="false">IF(F19=G19,1,0)</f>
        <v>1</v>
      </c>
      <c r="I19" s="14" t="n">
        <f aca="false">1-H19</f>
        <v>0</v>
      </c>
    </row>
    <row r="20" customFormat="false" ht="15" hidden="false" customHeight="false" outlineLevel="0" collapsed="false">
      <c r="A20" s="14" t="n">
        <v>16</v>
      </c>
      <c r="B20" s="16" t="n">
        <f aca="false">B19+G19</f>
        <v>9</v>
      </c>
      <c r="C20" s="16" t="n">
        <f aca="false">C19+1-G19</f>
        <v>8.4142135623731</v>
      </c>
      <c r="D20" s="16" t="n">
        <f aca="false">D19+F19</f>
        <v>9</v>
      </c>
      <c r="E20" s="16" t="n">
        <f aca="false">E19+1-F19</f>
        <v>8.4142135623731</v>
      </c>
      <c r="F20" s="14" t="n">
        <f aca="false">IF(B20&lt;C20,1,0)</f>
        <v>0</v>
      </c>
      <c r="G20" s="14" t="n">
        <f aca="false">IF(D20&lt;E20,1,0)</f>
        <v>0</v>
      </c>
      <c r="H20" s="14" t="n">
        <f aca="false">IF(F20=G20,1,0)</f>
        <v>1</v>
      </c>
      <c r="I20" s="14" t="n">
        <f aca="false">1-H20</f>
        <v>0</v>
      </c>
    </row>
    <row r="21" customFormat="false" ht="15" hidden="false" customHeight="false" outlineLevel="0" collapsed="false">
      <c r="A21" s="14" t="n">
        <v>17</v>
      </c>
      <c r="B21" s="16" t="n">
        <f aca="false">B20+G20</f>
        <v>9</v>
      </c>
      <c r="C21" s="16" t="n">
        <f aca="false">C20+1-G20</f>
        <v>9.4142135623731</v>
      </c>
      <c r="D21" s="16" t="n">
        <f aca="false">D20+F20</f>
        <v>9</v>
      </c>
      <c r="E21" s="16" t="n">
        <f aca="false">E20+1-F20</f>
        <v>9.4142135623731</v>
      </c>
      <c r="F21" s="14" t="n">
        <f aca="false">IF(B21&lt;C21,1,0)</f>
        <v>1</v>
      </c>
      <c r="G21" s="14" t="n">
        <f aca="false">IF(D21&lt;E21,1,0)</f>
        <v>1</v>
      </c>
      <c r="H21" s="14" t="n">
        <f aca="false">IF(F21=G21,1,0)</f>
        <v>1</v>
      </c>
      <c r="I21" s="14" t="n">
        <f aca="false">1-H21</f>
        <v>0</v>
      </c>
    </row>
    <row r="22" customFormat="false" ht="15" hidden="false" customHeight="false" outlineLevel="0" collapsed="false">
      <c r="A22" s="14" t="n">
        <v>18</v>
      </c>
      <c r="B22" s="16" t="n">
        <f aca="false">B21+G21</f>
        <v>10</v>
      </c>
      <c r="C22" s="16" t="n">
        <f aca="false">C21+1-G21</f>
        <v>9.4142135623731</v>
      </c>
      <c r="D22" s="16" t="n">
        <f aca="false">D21+F21</f>
        <v>10</v>
      </c>
      <c r="E22" s="16" t="n">
        <f aca="false">E21+1-F21</f>
        <v>9.4142135623731</v>
      </c>
      <c r="F22" s="14" t="n">
        <f aca="false">IF(B22&lt;C22,1,0)</f>
        <v>0</v>
      </c>
      <c r="G22" s="14" t="n">
        <f aca="false">IF(D22&lt;E22,1,0)</f>
        <v>0</v>
      </c>
      <c r="H22" s="14" t="n">
        <f aca="false">IF(F22=G22,1,0)</f>
        <v>1</v>
      </c>
      <c r="I22" s="14" t="n">
        <f aca="false">1-H22</f>
        <v>0</v>
      </c>
    </row>
    <row r="23" customFormat="false" ht="15" hidden="false" customHeight="false" outlineLevel="0" collapsed="false">
      <c r="A23" s="14" t="n">
        <v>19</v>
      </c>
      <c r="B23" s="16" t="n">
        <f aca="false">B22+G22</f>
        <v>10</v>
      </c>
      <c r="C23" s="16" t="n">
        <f aca="false">C22+1-G22</f>
        <v>10.4142135623731</v>
      </c>
      <c r="D23" s="16" t="n">
        <f aca="false">D22+F22</f>
        <v>10</v>
      </c>
      <c r="E23" s="16" t="n">
        <f aca="false">E22+1-F22</f>
        <v>10.4142135623731</v>
      </c>
      <c r="F23" s="14" t="n">
        <f aca="false">IF(B23&lt;C23,1,0)</f>
        <v>1</v>
      </c>
      <c r="G23" s="14" t="n">
        <f aca="false">IF(D23&lt;E23,1,0)</f>
        <v>1</v>
      </c>
      <c r="H23" s="14" t="n">
        <f aca="false">IF(F23=G23,1,0)</f>
        <v>1</v>
      </c>
      <c r="I23" s="14" t="n">
        <f aca="false">1-H23</f>
        <v>0</v>
      </c>
    </row>
    <row r="24" customFormat="false" ht="15" hidden="false" customHeight="false" outlineLevel="0" collapsed="false">
      <c r="A24" s="14" t="n">
        <v>20</v>
      </c>
      <c r="B24" s="16" t="n">
        <f aca="false">B23+G23</f>
        <v>11</v>
      </c>
      <c r="C24" s="16" t="n">
        <f aca="false">C23+1-G23</f>
        <v>10.4142135623731</v>
      </c>
      <c r="D24" s="16" t="n">
        <f aca="false">D23+F23</f>
        <v>11</v>
      </c>
      <c r="E24" s="16" t="n">
        <f aca="false">E23+1-F23</f>
        <v>10.4142135623731</v>
      </c>
      <c r="F24" s="14" t="n">
        <f aca="false">IF(B24&lt;C24,1,0)</f>
        <v>0</v>
      </c>
      <c r="G24" s="14" t="n">
        <f aca="false">IF(D24&lt;E24,1,0)</f>
        <v>0</v>
      </c>
      <c r="H24" s="14" t="n">
        <f aca="false">IF(F24=G24,1,0)</f>
        <v>1</v>
      </c>
      <c r="I24" s="14" t="n">
        <f aca="false">1-H24</f>
        <v>0</v>
      </c>
    </row>
    <row r="26" customFormat="false" ht="15" hidden="false" customHeight="false" outlineLevel="0" collapsed="false">
      <c r="A26" s="2" t="s">
        <v>491</v>
      </c>
      <c r="B26" s="14" t="n">
        <f aca="false">SUM(H5:H24)</f>
        <v>20</v>
      </c>
      <c r="C26" s="10" t="s">
        <v>492</v>
      </c>
    </row>
    <row r="27" customFormat="false" ht="15" hidden="false" customHeight="false" outlineLevel="0" collapsed="false">
      <c r="A27" s="2" t="s">
        <v>493</v>
      </c>
      <c r="B27" s="14" t="n">
        <f aca="false">SUM(I5:I24)</f>
        <v>0</v>
      </c>
    </row>
    <row r="28" customFormat="false" ht="15" hidden="false" customHeight="false" outlineLevel="0" collapsed="false">
      <c r="A28" s="2" t="s">
        <v>494</v>
      </c>
      <c r="B28" s="16" t="n">
        <f aca="false">AVERAGE(F5:F24)</f>
        <v>0.5</v>
      </c>
      <c r="C28" s="10" t="s">
        <v>495</v>
      </c>
    </row>
    <row r="29" customFormat="false" ht="15" hidden="false" customHeight="false" outlineLevel="0" collapsed="false">
      <c r="A29" s="10" t="s">
        <v>496</v>
      </c>
    </row>
    <row r="31" customFormat="false" ht="15" hidden="false" customHeight="false" outlineLevel="0" collapsed="false">
      <c r="A31" s="4" t="s">
        <v>497</v>
      </c>
    </row>
    <row r="32" customFormat="false" ht="15" hidden="false" customHeight="false" outlineLevel="0" collapsed="false">
      <c r="A32" s="8" t="s">
        <v>498</v>
      </c>
      <c r="B32" s="8" t="s">
        <v>499</v>
      </c>
      <c r="C32" s="8" t="s">
        <v>500</v>
      </c>
    </row>
    <row r="33" customFormat="false" ht="15" hidden="false" customHeight="false" outlineLevel="0" collapsed="false">
      <c r="A33" s="2" t="s">
        <v>499</v>
      </c>
      <c r="B33" s="2" t="s">
        <v>501</v>
      </c>
      <c r="C33" s="2" t="s">
        <v>502</v>
      </c>
    </row>
    <row r="34" customFormat="false" ht="15" hidden="false" customHeight="false" outlineLevel="0" collapsed="false">
      <c r="A34" s="2" t="s">
        <v>500</v>
      </c>
      <c r="B34" s="2" t="s">
        <v>503</v>
      </c>
      <c r="C34" s="2" t="s">
        <v>504</v>
      </c>
    </row>
    <row r="35" customFormat="false" ht="15" hidden="false" customHeight="false" outlineLevel="0" collapsed="false">
      <c r="A35" s="2" t="s">
        <v>505</v>
      </c>
      <c r="B35" s="15" t="n">
        <v>3</v>
      </c>
    </row>
    <row r="36" customFormat="false" ht="15" hidden="false" customHeight="false" outlineLevel="0" collapsed="false">
      <c r="A36" s="2" t="s">
        <v>506</v>
      </c>
      <c r="B36" s="15" t="n">
        <v>4</v>
      </c>
    </row>
    <row r="37" customFormat="false" ht="15" hidden="false" customHeight="false" outlineLevel="0" collapsed="false">
      <c r="A37" s="2" t="s">
        <v>507</v>
      </c>
      <c r="B37" s="15" t="n">
        <v>0</v>
      </c>
    </row>
    <row r="38" customFormat="false" ht="15" hidden="false" customHeight="false" outlineLevel="0" collapsed="false">
      <c r="A38" s="2" t="s">
        <v>508</v>
      </c>
      <c r="B38" s="15" t="n">
        <v>1</v>
      </c>
    </row>
    <row r="39" customFormat="false" ht="15" hidden="false" customHeight="false" outlineLevel="0" collapsed="false">
      <c r="A39" s="2" t="s">
        <v>509</v>
      </c>
      <c r="B39" s="14" t="n">
        <f aca="false">IF(B36&gt;B35,1,0)</f>
        <v>1</v>
      </c>
    </row>
    <row r="40" customFormat="false" ht="15" hidden="false" customHeight="false" outlineLevel="0" collapsed="false">
      <c r="A40" s="2" t="s">
        <v>510</v>
      </c>
      <c r="B40" s="14" t="n">
        <f aca="false">IF(B38&gt;B37,1,0)</f>
        <v>1</v>
      </c>
    </row>
    <row r="41" customFormat="false" ht="15" hidden="false" customHeight="false" outlineLevel="0" collapsed="false">
      <c r="A41" s="2" t="s">
        <v>511</v>
      </c>
      <c r="B41" s="14" t="n">
        <f aca="false">IF(AND(B39=1,B40=1),2*B38,"")</f>
        <v>2</v>
      </c>
      <c r="C41" s="10" t="s">
        <v>512</v>
      </c>
    </row>
    <row r="42" customFormat="false" ht="15" hidden="false" customHeight="false" outlineLevel="0" collapsed="false">
      <c r="A42" s="2" t="s">
        <v>513</v>
      </c>
      <c r="B42" s="14" t="n">
        <f aca="false">2*B35</f>
        <v>6</v>
      </c>
      <c r="C42" s="10" t="s">
        <v>514</v>
      </c>
    </row>
    <row r="44" customFormat="false" ht="15" hidden="false" customHeight="false" outlineLevel="0" collapsed="false">
      <c r="A44" s="4" t="s">
        <v>515</v>
      </c>
    </row>
    <row r="45" customFormat="false" ht="15" hidden="false" customHeight="false" outlineLevel="0" collapsed="false">
      <c r="A45" s="2" t="s">
        <v>516</v>
      </c>
      <c r="B45" s="28" t="n">
        <f aca="false">Beta_q</f>
        <v>0.976454089676311</v>
      </c>
      <c r="C45" s="10" t="s">
        <v>517</v>
      </c>
    </row>
    <row r="46" customFormat="false" ht="15" hidden="false" customHeight="false" outlineLevel="0" collapsed="false">
      <c r="A46" s="2" t="s">
        <v>518</v>
      </c>
      <c r="B46" s="16" t="n">
        <f aca="false">4*B45-1</f>
        <v>2.90581635870524</v>
      </c>
    </row>
    <row r="47" customFormat="false" ht="15" hidden="false" customHeight="false" outlineLevel="0" collapsed="false">
      <c r="A47" s="2" t="s">
        <v>519</v>
      </c>
      <c r="B47" s="16" t="n">
        <f aca="false">1/(8*B45)</f>
        <v>0.128014211135556</v>
      </c>
    </row>
    <row r="48" customFormat="false" ht="23.85" hidden="false" customHeight="false" outlineLevel="0" collapsed="false">
      <c r="A48" s="8" t="s">
        <v>520</v>
      </c>
      <c r="B48" s="8" t="s">
        <v>521</v>
      </c>
      <c r="C48" s="8" t="s">
        <v>522</v>
      </c>
    </row>
    <row r="49" customFormat="false" ht="15" hidden="false" customHeight="false" outlineLevel="0" collapsed="false">
      <c r="A49" s="37" t="n">
        <v>0</v>
      </c>
      <c r="B49" s="16" t="n">
        <f aca="false">-A49+4*$B$45*A49^2</f>
        <v>0</v>
      </c>
      <c r="C49" s="16" t="n">
        <f aca="false">-1+8*$B$45*A49</f>
        <v>-1</v>
      </c>
    </row>
    <row r="50" customFormat="false" ht="15" hidden="false" customHeight="false" outlineLevel="0" collapsed="false">
      <c r="A50" s="37" t="n">
        <v>0.1</v>
      </c>
      <c r="B50" s="16" t="n">
        <f aca="false">-A50+4*$B$45*A50^2</f>
        <v>-0.0609418364129476</v>
      </c>
      <c r="C50" s="16" t="n">
        <f aca="false">-1+8*$B$45*A50</f>
        <v>-0.218836728258952</v>
      </c>
    </row>
    <row r="51" customFormat="false" ht="15" hidden="false" customHeight="false" outlineLevel="0" collapsed="false">
      <c r="A51" s="37" t="n">
        <v>0.2</v>
      </c>
      <c r="B51" s="16" t="n">
        <f aca="false">-A51+4*$B$45*A51^2</f>
        <v>-0.0437673456517903</v>
      </c>
      <c r="C51" s="16" t="n">
        <f aca="false">-1+8*$B$45*A51</f>
        <v>0.562326543482097</v>
      </c>
    </row>
    <row r="52" customFormat="false" ht="15" hidden="false" customHeight="false" outlineLevel="0" collapsed="false">
      <c r="A52" s="37" t="n">
        <v>0.3</v>
      </c>
      <c r="B52" s="16" t="n">
        <f aca="false">-A52+4*$B$45*A52^2</f>
        <v>0.0515234722834718</v>
      </c>
      <c r="C52" s="16" t="n">
        <f aca="false">-1+8*$B$45*A52</f>
        <v>1.34348981522315</v>
      </c>
    </row>
    <row r="53" customFormat="false" ht="15" hidden="false" customHeight="false" outlineLevel="0" collapsed="false">
      <c r="A53" s="37" t="n">
        <v>0.4</v>
      </c>
      <c r="B53" s="16" t="n">
        <f aca="false">-A53+4*$B$45*A53^2</f>
        <v>0.224930617392839</v>
      </c>
      <c r="C53" s="16" t="n">
        <f aca="false">-1+8*$B$45*A53</f>
        <v>2.12465308696419</v>
      </c>
    </row>
    <row r="54" customFormat="false" ht="15" hidden="false" customHeight="false" outlineLevel="0" collapsed="false">
      <c r="A54" s="37" t="n">
        <v>0.5</v>
      </c>
      <c r="B54" s="16" t="n">
        <f aca="false">-A54+4*$B$45*A54^2</f>
        <v>0.476454089676311</v>
      </c>
      <c r="C54" s="16" t="n">
        <f aca="false">-1+8*$B$45*A54</f>
        <v>2.90581635870524</v>
      </c>
    </row>
    <row r="55" customFormat="false" ht="15" hidden="false" customHeight="false" outlineLevel="0" collapsed="false">
      <c r="A55" s="37" t="n">
        <v>0.6</v>
      </c>
      <c r="B55" s="16" t="n">
        <f aca="false">-A55+4*$B$45*A55^2</f>
        <v>0.806093889133887</v>
      </c>
      <c r="C55" s="16" t="n">
        <f aca="false">-1+8*$B$45*A55</f>
        <v>3.68697963044629</v>
      </c>
    </row>
    <row r="56" customFormat="false" ht="15" hidden="false" customHeight="false" outlineLevel="0" collapsed="false">
      <c r="A56" s="37" t="n">
        <v>0.7</v>
      </c>
      <c r="B56" s="16" t="n">
        <f aca="false">-A56+4*$B$45*A56^2</f>
        <v>1.21385001576557</v>
      </c>
      <c r="C56" s="16" t="n">
        <f aca="false">-1+8*$B$45*A56</f>
        <v>4.46814290218734</v>
      </c>
    </row>
    <row r="57" customFormat="false" ht="15" hidden="false" customHeight="false" outlineLevel="0" collapsed="false">
      <c r="A57" s="37" t="n">
        <v>0.8</v>
      </c>
      <c r="B57" s="16" t="n">
        <f aca="false">-A57+4*$B$45*A57^2</f>
        <v>1.69972246957136</v>
      </c>
      <c r="C57" s="16" t="n">
        <f aca="false">-1+8*$B$45*A57</f>
        <v>5.24930617392839</v>
      </c>
    </row>
    <row r="58" customFormat="false" ht="15" hidden="false" customHeight="false" outlineLevel="0" collapsed="false">
      <c r="A58" s="37" t="n">
        <v>0.9</v>
      </c>
      <c r="B58" s="16" t="n">
        <f aca="false">-A58+4*$B$45*A58^2</f>
        <v>2.26371125055125</v>
      </c>
      <c r="C58" s="16" t="n">
        <f aca="false">-1+8*$B$45*A58</f>
        <v>6.03046944566944</v>
      </c>
    </row>
    <row r="59" customFormat="false" ht="15" hidden="false" customHeight="false" outlineLevel="0" collapsed="false">
      <c r="A59" s="37" t="n">
        <v>1</v>
      </c>
      <c r="B59" s="16" t="n">
        <f aca="false">-A59+4*$B$45*A59^2</f>
        <v>2.90581635870524</v>
      </c>
      <c r="C59" s="16" t="n">
        <f aca="false">-1+8*$B$45*A59</f>
        <v>6.81163271741048</v>
      </c>
    </row>
    <row r="61" customFormat="false" ht="15" hidden="false" customHeight="false" outlineLevel="0" collapsed="false">
      <c r="A61" s="4" t="s">
        <v>523</v>
      </c>
    </row>
    <row r="62" customFormat="false" ht="15" hidden="false" customHeight="false" outlineLevel="0" collapsed="false">
      <c r="A62" s="2" t="s">
        <v>524</v>
      </c>
      <c r="B62" s="9" t="n">
        <v>0.1</v>
      </c>
      <c r="C62" s="10" t="s">
        <v>525</v>
      </c>
    </row>
    <row r="63" customFormat="false" ht="15" hidden="false" customHeight="false" outlineLevel="0" collapsed="false">
      <c r="A63" s="2" t="s">
        <v>526</v>
      </c>
      <c r="B63" s="16" t="n">
        <f aca="false">B62/((1-Beta_q)*(2-B62*(1-Beta_q)))</f>
        <v>2.1260139646572</v>
      </c>
      <c r="C63" s="10" t="s">
        <v>527</v>
      </c>
    </row>
    <row r="64" customFormat="false" ht="15" hidden="false" customHeight="false" outlineLevel="0" collapsed="false">
      <c r="A64" s="2" t="s">
        <v>528</v>
      </c>
      <c r="B64" s="38" t="n">
        <f aca="false">1+B62*(2*Beta_q-1)</f>
        <v>1.09529081793526</v>
      </c>
    </row>
    <row r="65" customFormat="false" ht="15" hidden="false" customHeight="false" outlineLevel="0" collapsed="false">
      <c r="A65" s="2" t="s">
        <v>529</v>
      </c>
      <c r="B65" s="17" t="n">
        <f aca="false">B64^100</f>
        <v>8973.14508466663</v>
      </c>
      <c r="C65" s="10" t="s">
        <v>530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90"/>
  </cols>
  <sheetData>
    <row r="1" customFormat="false" ht="15" hidden="false" customHeight="false" outlineLevel="0" collapsed="false">
      <c r="A1" s="8" t="s">
        <v>531</v>
      </c>
      <c r="B1" s="8" t="s">
        <v>532</v>
      </c>
      <c r="C1" s="8" t="s">
        <v>533</v>
      </c>
    </row>
    <row r="2" customFormat="false" ht="15" hidden="false" customHeight="false" outlineLevel="0" collapsed="false">
      <c r="A2" s="2" t="s">
        <v>534</v>
      </c>
      <c r="B2" s="19" t="n">
        <v>42.4702203589854</v>
      </c>
      <c r="C2" s="2" t="s">
        <v>28</v>
      </c>
    </row>
    <row r="3" customFormat="false" ht="15" hidden="false" customHeight="false" outlineLevel="0" collapsed="false">
      <c r="A3" s="2" t="s">
        <v>535</v>
      </c>
      <c r="B3" s="19" t="n">
        <v>201</v>
      </c>
      <c r="C3" s="2" t="s">
        <v>42</v>
      </c>
    </row>
    <row r="4" customFormat="false" ht="15" hidden="false" customHeight="false" outlineLevel="0" collapsed="false">
      <c r="A4" s="2" t="s">
        <v>121</v>
      </c>
      <c r="B4" s="19" t="n">
        <v>2113</v>
      </c>
      <c r="C4" s="2" t="s">
        <v>536</v>
      </c>
    </row>
    <row r="5" customFormat="false" ht="15" hidden="false" customHeight="false" outlineLevel="0" collapsed="false">
      <c r="A5" s="2" t="s">
        <v>123</v>
      </c>
      <c r="B5" s="19" t="n">
        <v>1152</v>
      </c>
      <c r="C5" s="2" t="s">
        <v>124</v>
      </c>
    </row>
    <row r="6" customFormat="false" ht="15" hidden="false" customHeight="false" outlineLevel="0" collapsed="false">
      <c r="A6" s="2" t="s">
        <v>171</v>
      </c>
      <c r="B6" s="19" t="n">
        <v>201</v>
      </c>
      <c r="C6" s="2" t="s">
        <v>537</v>
      </c>
    </row>
    <row r="7" customFormat="false" ht="15" hidden="false" customHeight="false" outlineLevel="0" collapsed="false">
      <c r="A7" s="2" t="s">
        <v>538</v>
      </c>
      <c r="B7" s="19" t="n">
        <v>231.1783984959</v>
      </c>
      <c r="C7" s="2" t="s">
        <v>157</v>
      </c>
    </row>
    <row r="8" customFormat="false" ht="15" hidden="false" customHeight="false" outlineLevel="0" collapsed="false">
      <c r="A8" s="2" t="s">
        <v>539</v>
      </c>
      <c r="B8" s="19" t="n">
        <v>0.423398495899505</v>
      </c>
      <c r="C8" s="2" t="s">
        <v>159</v>
      </c>
    </row>
    <row r="9" customFormat="false" ht="15" hidden="false" customHeight="false" outlineLevel="0" collapsed="false">
      <c r="A9" s="2" t="s">
        <v>540</v>
      </c>
      <c r="B9" s="19" t="n">
        <v>0</v>
      </c>
      <c r="C9" s="2" t="s">
        <v>541</v>
      </c>
    </row>
    <row r="10" customFormat="false" ht="15" hidden="false" customHeight="false" outlineLevel="0" collapsed="false">
      <c r="A10" s="2" t="s">
        <v>542</v>
      </c>
      <c r="B10" s="19" t="n">
        <v>201</v>
      </c>
      <c r="C10" s="2" t="s">
        <v>543</v>
      </c>
    </row>
    <row r="11" customFormat="false" ht="15" hidden="false" customHeight="false" outlineLevel="0" collapsed="false">
      <c r="A11" s="2" t="s">
        <v>544</v>
      </c>
      <c r="B11" s="19" t="n">
        <v>54.75</v>
      </c>
      <c r="C11" s="2" t="s">
        <v>164</v>
      </c>
    </row>
    <row r="12" customFormat="false" ht="15" hidden="false" customHeight="false" outlineLevel="0" collapsed="false">
      <c r="A12" s="2" t="s">
        <v>545</v>
      </c>
      <c r="B12" s="19" t="n">
        <v>57.25</v>
      </c>
      <c r="C12" s="2" t="s">
        <v>166</v>
      </c>
    </row>
    <row r="13" customFormat="false" ht="15" hidden="false" customHeight="false" outlineLevel="0" collapsed="false">
      <c r="A13" s="2" t="s">
        <v>546</v>
      </c>
      <c r="B13" s="19" t="n">
        <v>55.825</v>
      </c>
      <c r="C13" s="2" t="s">
        <v>168</v>
      </c>
    </row>
    <row r="14" customFormat="false" ht="15" hidden="false" customHeight="false" outlineLevel="0" collapsed="false">
      <c r="A14" s="2" t="s">
        <v>547</v>
      </c>
      <c r="B14" s="19" t="n">
        <v>55.875</v>
      </c>
      <c r="C14" s="2" t="s">
        <v>170</v>
      </c>
    </row>
    <row r="15" customFormat="false" ht="15" hidden="false" customHeight="false" outlineLevel="0" collapsed="false">
      <c r="A15" s="2" t="s">
        <v>548</v>
      </c>
      <c r="B15" s="19" t="n">
        <v>0.058199363320079</v>
      </c>
      <c r="C15" s="2" t="s">
        <v>173</v>
      </c>
    </row>
    <row r="16" customFormat="false" ht="15" hidden="false" customHeight="false" outlineLevel="0" collapsed="false">
      <c r="A16" s="2" t="s">
        <v>549</v>
      </c>
      <c r="B16" s="19" t="n">
        <v>56.55</v>
      </c>
      <c r="C16" s="2" t="s">
        <v>550</v>
      </c>
    </row>
    <row r="17" customFormat="false" ht="15" hidden="false" customHeight="false" outlineLevel="0" collapsed="false">
      <c r="A17" s="2" t="s">
        <v>551</v>
      </c>
      <c r="B17" s="19" t="n">
        <v>201</v>
      </c>
      <c r="C17" s="2" t="s">
        <v>552</v>
      </c>
    </row>
    <row r="18" customFormat="false" ht="15" hidden="false" customHeight="false" outlineLevel="0" collapsed="false">
      <c r="A18" s="2" t="s">
        <v>553</v>
      </c>
      <c r="B18" s="19" t="n">
        <v>15.3693623201088</v>
      </c>
      <c r="C18" s="2" t="s">
        <v>554</v>
      </c>
    </row>
    <row r="19" customFormat="false" ht="15" hidden="false" customHeight="false" outlineLevel="0" collapsed="false">
      <c r="A19" s="2" t="s">
        <v>555</v>
      </c>
      <c r="B19" s="19" t="n">
        <v>201</v>
      </c>
      <c r="C19" s="2" t="s">
        <v>556</v>
      </c>
    </row>
    <row r="20" customFormat="false" ht="15" hidden="false" customHeight="false" outlineLevel="0" collapsed="false">
      <c r="A20" s="2" t="s">
        <v>557</v>
      </c>
      <c r="B20" s="19" t="n">
        <v>1029.74334219024</v>
      </c>
      <c r="C20" s="2" t="s">
        <v>431</v>
      </c>
    </row>
    <row r="21" customFormat="false" ht="15" hidden="false" customHeight="false" outlineLevel="0" collapsed="false">
      <c r="A21" s="2" t="s">
        <v>558</v>
      </c>
      <c r="B21" s="19" t="n">
        <v>201</v>
      </c>
      <c r="C21" s="2" t="s">
        <v>556</v>
      </c>
    </row>
    <row r="22" customFormat="false" ht="15" hidden="false" customHeight="false" outlineLevel="0" collapsed="false">
      <c r="A22" s="2" t="s">
        <v>559</v>
      </c>
      <c r="B22" s="19" t="n">
        <v>142.777826036423</v>
      </c>
      <c r="C22" s="2" t="s">
        <v>448</v>
      </c>
    </row>
    <row r="23" customFormat="false" ht="15" hidden="false" customHeight="false" outlineLevel="0" collapsed="false">
      <c r="A23" s="2" t="s">
        <v>560</v>
      </c>
      <c r="B23" s="19" t="n">
        <v>74</v>
      </c>
      <c r="C23" s="2" t="s">
        <v>233</v>
      </c>
    </row>
    <row r="24" customFormat="false" ht="15" hidden="false" customHeight="false" outlineLevel="0" collapsed="false">
      <c r="A24" s="2" t="s">
        <v>561</v>
      </c>
      <c r="B24" s="19" t="n">
        <v>84</v>
      </c>
      <c r="C24" s="2" t="s">
        <v>235</v>
      </c>
    </row>
    <row r="25" customFormat="false" ht="15" hidden="false" customHeight="false" outlineLevel="0" collapsed="false">
      <c r="A25" s="2" t="s">
        <v>562</v>
      </c>
      <c r="B25" s="19" t="n">
        <v>54.25</v>
      </c>
      <c r="C25" s="2" t="s">
        <v>237</v>
      </c>
    </row>
    <row r="26" customFormat="false" ht="15" hidden="false" customHeight="false" outlineLevel="0" collapsed="false">
      <c r="A26" s="2" t="s">
        <v>563</v>
      </c>
      <c r="B26" s="19" t="n">
        <v>0.68</v>
      </c>
      <c r="C26" s="2" t="s">
        <v>239</v>
      </c>
    </row>
    <row r="27" customFormat="false" ht="15" hidden="false" customHeight="false" outlineLevel="0" collapsed="false">
      <c r="A27" s="2" t="s">
        <v>564</v>
      </c>
      <c r="B27" s="19" t="n">
        <v>0.0281024360230972</v>
      </c>
      <c r="C27" s="2" t="s">
        <v>241</v>
      </c>
    </row>
    <row r="28" customFormat="false" ht="15" hidden="false" customHeight="false" outlineLevel="0" collapsed="false">
      <c r="A28" s="2" t="s">
        <v>565</v>
      </c>
      <c r="B28" s="19" t="n">
        <v>493.357311489038</v>
      </c>
      <c r="C28" s="2" t="s">
        <v>566</v>
      </c>
    </row>
    <row r="29" customFormat="false" ht="15" hidden="false" customHeight="false" outlineLevel="0" collapsed="false">
      <c r="A29" s="2" t="s">
        <v>567</v>
      </c>
      <c r="B29" s="19" t="n">
        <v>56.69359732235</v>
      </c>
      <c r="C29" s="2" t="s">
        <v>566</v>
      </c>
    </row>
    <row r="30" customFormat="false" ht="15" hidden="false" customHeight="false" outlineLevel="0" collapsed="false">
      <c r="A30" s="2" t="s">
        <v>568</v>
      </c>
      <c r="B30" s="19" t="n">
        <v>21.9708506843016</v>
      </c>
      <c r="C30" s="2" t="s">
        <v>566</v>
      </c>
    </row>
    <row r="31" customFormat="false" ht="15" hidden="false" customHeight="false" outlineLevel="0" collapsed="false">
      <c r="A31" s="2" t="s">
        <v>569</v>
      </c>
      <c r="B31" s="19" t="n">
        <v>1.26061112029327</v>
      </c>
      <c r="C31" s="2" t="s">
        <v>566</v>
      </c>
    </row>
    <row r="32" customFormat="false" ht="15" hidden="false" customHeight="false" outlineLevel="0" collapsed="false">
      <c r="A32" s="2" t="s">
        <v>570</v>
      </c>
      <c r="B32" s="19" t="n">
        <v>0.552530039059249</v>
      </c>
      <c r="C32" s="2" t="s">
        <v>566</v>
      </c>
    </row>
    <row r="33" customFormat="false" ht="15" hidden="false" customHeight="false" outlineLevel="0" collapsed="false">
      <c r="A33" s="2" t="s">
        <v>571</v>
      </c>
      <c r="B33" s="19" t="n">
        <v>567.298168832258</v>
      </c>
      <c r="C33" s="2" t="s">
        <v>566</v>
      </c>
    </row>
    <row r="34" customFormat="false" ht="15" hidden="false" customHeight="false" outlineLevel="0" collapsed="false">
      <c r="A34" s="2" t="s">
        <v>572</v>
      </c>
      <c r="B34" s="19" t="n">
        <v>199.15505638065</v>
      </c>
      <c r="C34" s="2" t="s">
        <v>566</v>
      </c>
    </row>
    <row r="35" customFormat="false" ht="15" hidden="false" customHeight="false" outlineLevel="0" collapsed="false">
      <c r="A35" s="2" t="s">
        <v>573</v>
      </c>
      <c r="B35" s="19" t="n">
        <v>31.8727320876299</v>
      </c>
      <c r="C35" s="2" t="s">
        <v>566</v>
      </c>
    </row>
    <row r="36" customFormat="false" ht="15" hidden="false" customHeight="false" outlineLevel="0" collapsed="false">
      <c r="A36" s="2" t="s">
        <v>574</v>
      </c>
      <c r="B36" s="19" t="n">
        <v>21.713278203493</v>
      </c>
      <c r="C36" s="2" t="s">
        <v>566</v>
      </c>
    </row>
    <row r="37" customFormat="false" ht="15" hidden="false" customHeight="false" outlineLevel="0" collapsed="false">
      <c r="A37" s="2" t="s">
        <v>575</v>
      </c>
      <c r="B37" s="19" t="n">
        <v>348.738848367773</v>
      </c>
      <c r="C37" s="2" t="s">
        <v>566</v>
      </c>
    </row>
    <row r="38" customFormat="false" ht="15" hidden="false" customHeight="false" outlineLevel="0" collapsed="false">
      <c r="A38" s="2" t="s">
        <v>576</v>
      </c>
      <c r="B38" s="19" t="n">
        <v>95.6730025085055</v>
      </c>
      <c r="C38" s="2" t="s">
        <v>566</v>
      </c>
    </row>
    <row r="39" customFormat="false" ht="15" hidden="false" customHeight="false" outlineLevel="0" collapsed="false">
      <c r="A39" s="2" t="s">
        <v>577</v>
      </c>
      <c r="B39" s="19" t="n">
        <v>51.6504798152729</v>
      </c>
      <c r="C39" s="2" t="s">
        <v>566</v>
      </c>
    </row>
    <row r="40" customFormat="false" ht="15" hidden="false" customHeight="false" outlineLevel="0" collapsed="false">
      <c r="A40" s="2" t="s">
        <v>578</v>
      </c>
      <c r="B40" s="19" t="n">
        <v>11.9012748988797</v>
      </c>
      <c r="C40" s="2" t="s">
        <v>566</v>
      </c>
    </row>
    <row r="41" customFormat="false" ht="15" hidden="false" customHeight="false" outlineLevel="0" collapsed="false">
      <c r="A41" s="2" t="s">
        <v>579</v>
      </c>
      <c r="B41" s="19" t="n">
        <v>464.789721743743</v>
      </c>
      <c r="C41" s="2" t="s">
        <v>566</v>
      </c>
    </row>
    <row r="42" customFormat="false" ht="15" hidden="false" customHeight="false" outlineLevel="0" collapsed="false">
      <c r="A42" s="2" t="s">
        <v>580</v>
      </c>
      <c r="B42" s="19" t="n">
        <v>43.4681343506498</v>
      </c>
      <c r="C42" s="2" t="s">
        <v>566</v>
      </c>
    </row>
    <row r="43" customFormat="false" ht="15" hidden="false" customHeight="false" outlineLevel="0" collapsed="false">
      <c r="A43" s="2" t="s">
        <v>581</v>
      </c>
      <c r="B43" s="19" t="n">
        <v>41.1985636678653</v>
      </c>
      <c r="C43" s="2" t="s">
        <v>566</v>
      </c>
    </row>
    <row r="44" customFormat="false" ht="15" hidden="false" customHeight="false" outlineLevel="0" collapsed="false">
      <c r="A44" s="2" t="s">
        <v>582</v>
      </c>
      <c r="B44" s="19" t="n">
        <v>31.9493008940217</v>
      </c>
      <c r="C44" s="2" t="s">
        <v>566</v>
      </c>
    </row>
    <row r="45" customFormat="false" ht="15" hidden="false" customHeight="false" outlineLevel="0" collapsed="false">
      <c r="A45" s="2" t="s">
        <v>583</v>
      </c>
      <c r="B45" s="19" t="n">
        <v>86.1082256633034</v>
      </c>
      <c r="C45" s="2" t="s">
        <v>584</v>
      </c>
    </row>
    <row r="46" customFormat="false" ht="15" hidden="false" customHeight="false" outlineLevel="0" collapsed="false">
      <c r="A46" s="2" t="s">
        <v>585</v>
      </c>
      <c r="B46" s="19" t="n">
        <v>31.6336276802351</v>
      </c>
      <c r="C46" s="2" t="s">
        <v>584</v>
      </c>
    </row>
    <row r="47" customFormat="false" ht="15" hidden="false" customHeight="false" outlineLevel="0" collapsed="false">
      <c r="A47" s="2" t="s">
        <v>586</v>
      </c>
      <c r="B47" s="19" t="n">
        <v>1.74571423618759</v>
      </c>
      <c r="C47" s="2" t="s">
        <v>584</v>
      </c>
    </row>
    <row r="48" customFormat="false" ht="15" hidden="false" customHeight="false" outlineLevel="0" collapsed="false">
      <c r="A48" s="2" t="s">
        <v>587</v>
      </c>
      <c r="B48" s="19" t="n">
        <v>0.730561292500826</v>
      </c>
      <c r="C48" s="2" t="s">
        <v>584</v>
      </c>
    </row>
    <row r="49" customFormat="false" ht="15" hidden="false" customHeight="false" outlineLevel="0" collapsed="false">
      <c r="A49" s="2" t="s">
        <v>588</v>
      </c>
      <c r="B49" s="19" t="n">
        <v>299.796596888353</v>
      </c>
      <c r="C49" s="2" t="s">
        <v>566</v>
      </c>
    </row>
    <row r="50" customFormat="false" ht="15" hidden="false" customHeight="false" outlineLevel="0" collapsed="false">
      <c r="A50" s="2" t="s">
        <v>589</v>
      </c>
      <c r="B50" s="19" t="n">
        <v>630.084769419286</v>
      </c>
      <c r="C50" s="2" t="s">
        <v>566</v>
      </c>
    </row>
    <row r="51" customFormat="false" ht="15" hidden="false" customHeight="false" outlineLevel="0" collapsed="false">
      <c r="A51" s="2" t="s">
        <v>590</v>
      </c>
      <c r="B51" s="19" t="n">
        <v>24.6562195998628</v>
      </c>
      <c r="C51" s="2" t="s">
        <v>566</v>
      </c>
    </row>
    <row r="52" customFormat="false" ht="15" hidden="false" customHeight="false" outlineLevel="0" collapsed="false">
      <c r="A52" s="2" t="s">
        <v>591</v>
      </c>
      <c r="B52" s="19" t="n">
        <v>106.310752037226</v>
      </c>
      <c r="C52" s="2" t="s">
        <v>566</v>
      </c>
    </row>
    <row r="53" customFormat="false" ht="15" hidden="false" customHeight="false" outlineLevel="0" collapsed="false">
      <c r="A53" s="2" t="s">
        <v>592</v>
      </c>
      <c r="B53" s="19" t="n">
        <v>13.8309699915617</v>
      </c>
      <c r="C53" s="2" t="s">
        <v>566</v>
      </c>
    </row>
    <row r="54" customFormat="false" ht="15" hidden="false" customHeight="false" outlineLevel="0" collapsed="false">
      <c r="A54" s="2" t="s">
        <v>593</v>
      </c>
      <c r="B54" s="19" t="n">
        <v>37.2085978117583</v>
      </c>
      <c r="C54" s="2" t="s">
        <v>566</v>
      </c>
    </row>
    <row r="55" customFormat="false" ht="15" hidden="false" customHeight="false" outlineLevel="0" collapsed="false">
      <c r="A55" s="2" t="s">
        <v>594</v>
      </c>
      <c r="B55" s="19" t="n">
        <v>0.560559783086575</v>
      </c>
      <c r="C55" s="2" t="s">
        <v>566</v>
      </c>
    </row>
    <row r="56" customFormat="false" ht="15" hidden="false" customHeight="false" outlineLevel="0" collapsed="false">
      <c r="A56" s="2" t="s">
        <v>595</v>
      </c>
      <c r="B56" s="19" t="n">
        <v>2.19470265147356</v>
      </c>
      <c r="C56" s="2" t="s">
        <v>566</v>
      </c>
    </row>
    <row r="57" customFormat="false" ht="15" hidden="false" customHeight="false" outlineLevel="0" collapsed="false">
      <c r="A57" s="2" t="s">
        <v>596</v>
      </c>
      <c r="B57" s="19" t="n">
        <v>9</v>
      </c>
      <c r="C57" s="2" t="s">
        <v>597</v>
      </c>
    </row>
    <row r="58" customFormat="false" ht="15" hidden="false" customHeight="false" outlineLevel="0" collapsed="false">
      <c r="A58" s="2" t="s">
        <v>598</v>
      </c>
      <c r="B58" s="19" t="n">
        <v>0.173377456688883</v>
      </c>
      <c r="C58" s="2" t="s">
        <v>566</v>
      </c>
    </row>
    <row r="59" customFormat="false" ht="15" hidden="false" customHeight="false" outlineLevel="0" collapsed="false">
      <c r="A59" s="2" t="s">
        <v>599</v>
      </c>
      <c r="B59" s="19" t="n">
        <v>0.290371869682531</v>
      </c>
      <c r="C59" s="2" t="s">
        <v>566</v>
      </c>
    </row>
    <row r="60" customFormat="false" ht="15" hidden="false" customHeight="false" outlineLevel="0" collapsed="false">
      <c r="A60" s="2" t="s">
        <v>600</v>
      </c>
      <c r="B60" s="19" t="n">
        <v>0.357036289203307</v>
      </c>
      <c r="C60" s="2" t="s">
        <v>566</v>
      </c>
    </row>
    <row r="61" customFormat="false" ht="15" hidden="false" customHeight="false" outlineLevel="0" collapsed="false">
      <c r="A61" s="2" t="s">
        <v>601</v>
      </c>
      <c r="B61" s="19" t="n">
        <v>0.375040373352817</v>
      </c>
      <c r="C61" s="2" t="s">
        <v>566</v>
      </c>
    </row>
    <row r="62" customFormat="false" ht="15" hidden="false" customHeight="false" outlineLevel="0" collapsed="false">
      <c r="A62" s="2" t="s">
        <v>602</v>
      </c>
      <c r="B62" s="19" t="n">
        <v>0.444787535010534</v>
      </c>
      <c r="C62" s="2" t="s">
        <v>566</v>
      </c>
    </row>
    <row r="63" customFormat="false" ht="15" hidden="false" customHeight="false" outlineLevel="0" collapsed="false">
      <c r="A63" s="2" t="s">
        <v>603</v>
      </c>
      <c r="B63" s="19" t="n">
        <v>0.548438861252038</v>
      </c>
      <c r="C63" s="2" t="s">
        <v>566</v>
      </c>
    </row>
    <row r="64" customFormat="false" ht="15" hidden="false" customHeight="false" outlineLevel="0" collapsed="false">
      <c r="A64" s="2" t="s">
        <v>604</v>
      </c>
      <c r="B64" s="19" t="n">
        <v>0.631458403485766</v>
      </c>
      <c r="C64" s="2" t="s">
        <v>566</v>
      </c>
    </row>
    <row r="65" customFormat="false" ht="15" hidden="false" customHeight="false" outlineLevel="0" collapsed="false">
      <c r="A65" s="2" t="s">
        <v>605</v>
      </c>
      <c r="B65" s="19" t="n">
        <v>0.64850251841014</v>
      </c>
      <c r="C65" s="2" t="s">
        <v>566</v>
      </c>
    </row>
    <row r="66" customFormat="false" ht="15" hidden="false" customHeight="false" outlineLevel="0" collapsed="false">
      <c r="A66" s="2" t="s">
        <v>606</v>
      </c>
      <c r="B66" s="19" t="n">
        <v>0.656165730187723</v>
      </c>
      <c r="C66" s="2" t="s">
        <v>566</v>
      </c>
    </row>
    <row r="67" customFormat="false" ht="15" hidden="false" customHeight="false" outlineLevel="0" collapsed="false">
      <c r="A67" s="2" t="s">
        <v>607</v>
      </c>
      <c r="B67" s="19" t="n">
        <v>1.40012135331875</v>
      </c>
      <c r="C67" s="2" t="s">
        <v>566</v>
      </c>
    </row>
    <row r="68" customFormat="false" ht="15" hidden="false" customHeight="false" outlineLevel="0" collapsed="false">
      <c r="A68" s="2" t="s">
        <v>608</v>
      </c>
      <c r="B68" s="19" t="n">
        <v>52286.8528239611</v>
      </c>
      <c r="C68" s="2" t="s">
        <v>293</v>
      </c>
    </row>
    <row r="69" customFormat="false" ht="15" hidden="false" customHeight="false" outlineLevel="0" collapsed="false">
      <c r="A69" s="2" t="s">
        <v>609</v>
      </c>
      <c r="B69" s="19" t="n">
        <v>52.2868528239611</v>
      </c>
      <c r="C69" s="2" t="s">
        <v>610</v>
      </c>
    </row>
    <row r="70" customFormat="false" ht="15" hidden="false" customHeight="false" outlineLevel="0" collapsed="false">
      <c r="A70" s="2" t="s">
        <v>298</v>
      </c>
      <c r="B70" s="19" t="n">
        <v>500000</v>
      </c>
      <c r="C70" s="2" t="s">
        <v>299</v>
      </c>
    </row>
    <row r="71" customFormat="false" ht="15" hidden="false" customHeight="false" outlineLevel="0" collapsed="false">
      <c r="A71" s="2" t="s">
        <v>611</v>
      </c>
      <c r="B71" s="19" t="n">
        <v>121.185972635087</v>
      </c>
      <c r="C71" s="2" t="s">
        <v>612</v>
      </c>
    </row>
    <row r="72" customFormat="false" ht="15" hidden="false" customHeight="false" outlineLevel="0" collapsed="false">
      <c r="A72" s="2" t="s">
        <v>613</v>
      </c>
      <c r="B72" s="19" t="n">
        <v>133.511176682214</v>
      </c>
      <c r="C72" s="2" t="s">
        <v>305</v>
      </c>
    </row>
    <row r="73" customFormat="false" ht="15" hidden="false" customHeight="false" outlineLevel="0" collapsed="false">
      <c r="A73" s="2" t="s">
        <v>614</v>
      </c>
      <c r="B73" s="19" t="n">
        <v>105.660304684223</v>
      </c>
      <c r="C73" s="2" t="s">
        <v>306</v>
      </c>
    </row>
    <row r="74" customFormat="false" ht="15" hidden="false" customHeight="false" outlineLevel="0" collapsed="false">
      <c r="A74" s="2" t="s">
        <v>615</v>
      </c>
      <c r="B74" s="19" t="n">
        <v>55.75</v>
      </c>
      <c r="C74" s="2" t="s">
        <v>338</v>
      </c>
    </row>
    <row r="75" customFormat="false" ht="15" hidden="false" customHeight="false" outlineLevel="0" collapsed="false">
      <c r="A75" s="2" t="s">
        <v>616</v>
      </c>
      <c r="B75" s="19" t="n">
        <v>0.160702944614002</v>
      </c>
      <c r="C75" s="2" t="s">
        <v>340</v>
      </c>
    </row>
    <row r="76" customFormat="false" ht="15" hidden="false" customHeight="false" outlineLevel="0" collapsed="false">
      <c r="A76" s="2" t="s">
        <v>617</v>
      </c>
      <c r="B76" s="19" t="n">
        <v>1.00588885575743</v>
      </c>
      <c r="C76" s="2" t="s">
        <v>342</v>
      </c>
    </row>
    <row r="77" customFormat="false" ht="15" hidden="false" customHeight="false" outlineLevel="0" collapsed="false">
      <c r="A77" s="2" t="s">
        <v>618</v>
      </c>
      <c r="B77" s="19" t="n">
        <v>20372.4002300313</v>
      </c>
      <c r="C77" s="2" t="s">
        <v>619</v>
      </c>
    </row>
    <row r="78" customFormat="false" ht="15" hidden="false" customHeight="false" outlineLevel="0" collapsed="false">
      <c r="A78" s="2" t="s">
        <v>620</v>
      </c>
      <c r="B78" s="19" t="n">
        <v>12497.9563847616</v>
      </c>
      <c r="C78" s="2" t="s">
        <v>621</v>
      </c>
    </row>
    <row r="79" customFormat="false" ht="15" hidden="false" customHeight="false" outlineLevel="0" collapsed="false">
      <c r="A79" s="2" t="s">
        <v>622</v>
      </c>
      <c r="B79" s="19" t="n">
        <v>7357.32244097391</v>
      </c>
      <c r="C79" s="2" t="s">
        <v>623</v>
      </c>
    </row>
    <row r="80" customFormat="false" ht="15" hidden="false" customHeight="false" outlineLevel="0" collapsed="false">
      <c r="A80" s="2" t="s">
        <v>624</v>
      </c>
      <c r="B80" s="19" t="n">
        <v>55.5</v>
      </c>
      <c r="C80" s="2" t="s">
        <v>625</v>
      </c>
    </row>
    <row r="81" customFormat="false" ht="15" hidden="false" customHeight="false" outlineLevel="0" collapsed="false">
      <c r="A81" s="2" t="s">
        <v>626</v>
      </c>
      <c r="B81" s="19" t="n">
        <v>20000</v>
      </c>
      <c r="C81" s="2" t="s">
        <v>352</v>
      </c>
    </row>
    <row r="82" customFormat="false" ht="15" hidden="false" customHeight="false" outlineLevel="0" collapsed="false">
      <c r="A82" s="2" t="s">
        <v>317</v>
      </c>
      <c r="B82" s="19" t="n">
        <v>200000</v>
      </c>
      <c r="C82" s="2" t="s">
        <v>627</v>
      </c>
    </row>
    <row r="83" customFormat="false" ht="15" hidden="false" customHeight="false" outlineLevel="0" collapsed="false">
      <c r="A83" s="2" t="s">
        <v>628</v>
      </c>
      <c r="B83" s="19" t="n">
        <v>88.0624698490895</v>
      </c>
      <c r="C83" s="2" t="s">
        <v>629</v>
      </c>
    </row>
    <row r="84" customFormat="false" ht="15" hidden="false" customHeight="false" outlineLevel="0" collapsed="false">
      <c r="A84" s="2" t="s">
        <v>630</v>
      </c>
      <c r="B84" s="19" t="n">
        <v>1.16972062879334</v>
      </c>
      <c r="C84" s="2" t="s">
        <v>566</v>
      </c>
    </row>
    <row r="85" customFormat="false" ht="15" hidden="false" customHeight="false" outlineLevel="0" collapsed="false">
      <c r="A85" s="2" t="s">
        <v>631</v>
      </c>
      <c r="B85" s="19" t="n">
        <v>5.03615287384906</v>
      </c>
      <c r="C85" s="2" t="s">
        <v>566</v>
      </c>
    </row>
    <row r="86" customFormat="false" ht="15" hidden="false" customHeight="false" outlineLevel="0" collapsed="false">
      <c r="A86" s="2" t="s">
        <v>632</v>
      </c>
      <c r="B86" s="19" t="n">
        <v>5.03615287384906</v>
      </c>
      <c r="C86" s="2" t="s">
        <v>566</v>
      </c>
    </row>
    <row r="87" customFormat="false" ht="15" hidden="false" customHeight="false" outlineLevel="0" collapsed="false">
      <c r="A87" s="2" t="s">
        <v>633</v>
      </c>
      <c r="B87" s="19" t="n">
        <v>86</v>
      </c>
      <c r="C87" s="2" t="s">
        <v>566</v>
      </c>
    </row>
    <row r="88" customFormat="false" ht="15" hidden="false" customHeight="false" outlineLevel="0" collapsed="false">
      <c r="A88" s="2" t="s">
        <v>634</v>
      </c>
      <c r="B88" s="19" t="n">
        <v>0.301937157254348</v>
      </c>
      <c r="C88" s="2" t="s">
        <v>566</v>
      </c>
    </row>
    <row r="89" customFormat="false" ht="15" hidden="false" customHeight="false" outlineLevel="0" collapsed="false">
      <c r="A89" s="2" t="s">
        <v>635</v>
      </c>
      <c r="B89" s="19" t="n">
        <v>0.713021460896897</v>
      </c>
      <c r="C89" s="2" t="s">
        <v>566</v>
      </c>
    </row>
    <row r="90" customFormat="false" ht="15" hidden="false" customHeight="false" outlineLevel="0" collapsed="false">
      <c r="A90" s="2" t="s">
        <v>636</v>
      </c>
      <c r="B90" s="19" t="n">
        <v>5.03615287384906</v>
      </c>
      <c r="C90" s="2" t="s">
        <v>566</v>
      </c>
    </row>
    <row r="91" customFormat="false" ht="15" hidden="false" customHeight="false" outlineLevel="0" collapsed="false">
      <c r="A91" s="2" t="s">
        <v>637</v>
      </c>
      <c r="B91" s="19" t="n">
        <v>137</v>
      </c>
      <c r="C91" s="2" t="s">
        <v>566</v>
      </c>
    </row>
    <row r="92" customFormat="false" ht="15" hidden="false" customHeight="false" outlineLevel="0" collapsed="false">
      <c r="A92" s="2" t="s">
        <v>638</v>
      </c>
      <c r="B92" s="19" t="n">
        <v>0.0524303406587127</v>
      </c>
      <c r="C92" s="2" t="s">
        <v>566</v>
      </c>
    </row>
    <row r="93" customFormat="false" ht="15" hidden="false" customHeight="false" outlineLevel="0" collapsed="false">
      <c r="A93" s="2" t="s">
        <v>639</v>
      </c>
      <c r="B93" s="19" t="n">
        <v>0.115817627028463</v>
      </c>
      <c r="C93" s="2" t="s">
        <v>566</v>
      </c>
    </row>
    <row r="94" customFormat="false" ht="15" hidden="false" customHeight="false" outlineLevel="0" collapsed="false">
      <c r="A94" s="2" t="s">
        <v>640</v>
      </c>
      <c r="B94" s="19" t="n">
        <v>2.12010750248993</v>
      </c>
      <c r="C94" s="2" t="s">
        <v>566</v>
      </c>
    </row>
    <row r="95" customFormat="false" ht="15" hidden="false" customHeight="false" outlineLevel="0" collapsed="false">
      <c r="A95" s="2" t="s">
        <v>641</v>
      </c>
      <c r="B95" s="19" t="n">
        <v>171</v>
      </c>
      <c r="C95" s="2" t="s">
        <v>566</v>
      </c>
    </row>
    <row r="96" customFormat="false" ht="15" hidden="false" customHeight="false" outlineLevel="0" collapsed="false">
      <c r="A96" s="2" t="s">
        <v>642</v>
      </c>
      <c r="B96" s="19" t="n">
        <v>-63.4622588659371</v>
      </c>
      <c r="C96" s="2" t="s">
        <v>399</v>
      </c>
    </row>
    <row r="97" customFormat="false" ht="15" hidden="false" customHeight="false" outlineLevel="0" collapsed="false">
      <c r="A97" s="2" t="s">
        <v>643</v>
      </c>
      <c r="B97" s="19" t="n">
        <v>2.03560989867494</v>
      </c>
      <c r="C97" s="2" t="s">
        <v>406</v>
      </c>
    </row>
    <row r="98" customFormat="false" ht="15" hidden="false" customHeight="false" outlineLevel="0" collapsed="false">
      <c r="A98" s="2" t="s">
        <v>644</v>
      </c>
      <c r="B98" s="19" t="n">
        <v>2.21940763834758</v>
      </c>
      <c r="C98" s="2" t="s">
        <v>645</v>
      </c>
    </row>
    <row r="99" customFormat="false" ht="15" hidden="false" customHeight="false" outlineLevel="0" collapsed="false">
      <c r="A99" s="2" t="s">
        <v>646</v>
      </c>
      <c r="B99" s="19" t="n">
        <v>-0.984954830075938</v>
      </c>
      <c r="C99" s="2" t="s">
        <v>647</v>
      </c>
    </row>
    <row r="100" customFormat="false" ht="15" hidden="false" customHeight="false" outlineLevel="0" collapsed="false">
      <c r="A100" s="2" t="s">
        <v>648</v>
      </c>
      <c r="B100" s="19" t="n">
        <v>-4.54191114836661</v>
      </c>
      <c r="C100" s="2" t="s">
        <v>408</v>
      </c>
    </row>
    <row r="101" customFormat="false" ht="15" hidden="false" customHeight="false" outlineLevel="0" collapsed="false">
      <c r="A101" s="2" t="s">
        <v>649</v>
      </c>
      <c r="B101" s="19" t="n">
        <v>5.35412361450326</v>
      </c>
      <c r="C101" s="2" t="s">
        <v>411</v>
      </c>
    </row>
    <row r="102" customFormat="false" ht="15" hidden="false" customHeight="false" outlineLevel="0" collapsed="false">
      <c r="A102" s="2" t="s">
        <v>650</v>
      </c>
      <c r="B102" s="19" t="n">
        <v>76</v>
      </c>
      <c r="C102" s="2" t="s">
        <v>415</v>
      </c>
    </row>
    <row r="103" customFormat="false" ht="15" hidden="false" customHeight="false" outlineLevel="0" collapsed="false">
      <c r="A103" s="2" t="s">
        <v>651</v>
      </c>
      <c r="B103" s="19" t="n">
        <v>66</v>
      </c>
      <c r="C103" s="2" t="s">
        <v>418</v>
      </c>
    </row>
    <row r="104" customFormat="false" ht="15" hidden="false" customHeight="false" outlineLevel="0" collapsed="false">
      <c r="A104" s="2" t="s">
        <v>652</v>
      </c>
      <c r="B104" s="19" t="n">
        <v>0</v>
      </c>
      <c r="C104" s="2" t="s">
        <v>653</v>
      </c>
    </row>
    <row r="105" customFormat="false" ht="15" hidden="false" customHeight="false" outlineLevel="0" collapsed="false">
      <c r="A105" s="2" t="s">
        <v>654</v>
      </c>
      <c r="B105" s="19" t="n">
        <v>28</v>
      </c>
      <c r="C105" s="2" t="s">
        <v>424</v>
      </c>
    </row>
    <row r="106" customFormat="false" ht="15" hidden="false" customHeight="false" outlineLevel="0" collapsed="false">
      <c r="A106" s="2" t="s">
        <v>655</v>
      </c>
      <c r="B106" s="19" t="n">
        <v>42.6993657760755</v>
      </c>
      <c r="C106" s="2" t="s">
        <v>427</v>
      </c>
    </row>
    <row r="107" customFormat="false" ht="15" hidden="false" customHeight="false" outlineLevel="0" collapsed="false">
      <c r="A107" s="2" t="s">
        <v>656</v>
      </c>
      <c r="B107" s="19" t="n">
        <v>1029.74334219024</v>
      </c>
      <c r="C107" s="2" t="s">
        <v>431</v>
      </c>
    </row>
    <row r="108" customFormat="false" ht="15" hidden="false" customHeight="false" outlineLevel="0" collapsed="false">
      <c r="A108" s="2" t="s">
        <v>657</v>
      </c>
      <c r="B108" s="19" t="n">
        <v>1</v>
      </c>
      <c r="C108" s="2" t="s">
        <v>658</v>
      </c>
    </row>
    <row r="109" customFormat="false" ht="15" hidden="false" customHeight="false" outlineLevel="0" collapsed="false">
      <c r="A109" s="2" t="s">
        <v>659</v>
      </c>
      <c r="B109" s="19" t="n">
        <v>1.26061112029327</v>
      </c>
      <c r="C109" s="2" t="s">
        <v>660</v>
      </c>
    </row>
    <row r="110" customFormat="false" ht="15" hidden="false" customHeight="false" outlineLevel="0" collapsed="false">
      <c r="A110" s="2" t="s">
        <v>661</v>
      </c>
      <c r="B110" s="19" t="n">
        <v>20</v>
      </c>
      <c r="C110" s="2" t="s">
        <v>662</v>
      </c>
    </row>
    <row r="111" customFormat="false" ht="15" hidden="false" customHeight="false" outlineLevel="0" collapsed="false">
      <c r="A111" s="2" t="s">
        <v>663</v>
      </c>
      <c r="B111" s="19" t="n">
        <v>0</v>
      </c>
      <c r="C111" s="2" t="s">
        <v>664</v>
      </c>
    </row>
    <row r="112" customFormat="false" ht="15" hidden="false" customHeight="false" outlineLevel="0" collapsed="false">
      <c r="A112" s="2" t="s">
        <v>665</v>
      </c>
      <c r="B112" s="19" t="n">
        <v>0.5</v>
      </c>
      <c r="C112" s="2" t="s">
        <v>666</v>
      </c>
    </row>
    <row r="113" customFormat="false" ht="15" hidden="false" customHeight="false" outlineLevel="0" collapsed="false">
      <c r="A113" s="2" t="s">
        <v>667</v>
      </c>
      <c r="B113" s="19" t="n">
        <v>2</v>
      </c>
      <c r="C113" s="2" t="s">
        <v>512</v>
      </c>
    </row>
    <row r="114" customFormat="false" ht="15" hidden="false" customHeight="false" outlineLevel="0" collapsed="false">
      <c r="A114" s="2" t="s">
        <v>668</v>
      </c>
      <c r="B114" s="19" t="n">
        <v>6</v>
      </c>
      <c r="C114" s="2" t="s">
        <v>514</v>
      </c>
    </row>
    <row r="115" customFormat="false" ht="15" hidden="false" customHeight="false" outlineLevel="0" collapsed="false">
      <c r="A115" s="2" t="s">
        <v>669</v>
      </c>
      <c r="B115" s="19" t="n">
        <v>2.90581635870524</v>
      </c>
      <c r="C115" s="2" t="s">
        <v>670</v>
      </c>
    </row>
    <row r="116" customFormat="false" ht="15" hidden="false" customHeight="false" outlineLevel="0" collapsed="false">
      <c r="A116" s="2" t="s">
        <v>671</v>
      </c>
      <c r="B116" s="19" t="n">
        <v>0.128014211135556</v>
      </c>
      <c r="C116" s="2" t="s">
        <v>672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3" min="3" style="0" width="16"/>
    <col collapsed="false" customWidth="true" hidden="false" outlineLevel="0" max="5" min="4" style="0" width="11"/>
    <col collapsed="false" customWidth="true" hidden="false" outlineLevel="0" max="6" min="6" style="0" width="10"/>
  </cols>
  <sheetData>
    <row r="1" customFormat="false" ht="15" hidden="false" customHeight="false" outlineLevel="0" collapsed="false">
      <c r="A1" s="8" t="s">
        <v>531</v>
      </c>
      <c r="B1" s="8" t="s">
        <v>673</v>
      </c>
      <c r="C1" s="8" t="s">
        <v>532</v>
      </c>
      <c r="D1" s="8" t="s">
        <v>674</v>
      </c>
      <c r="E1" s="8" t="s">
        <v>675</v>
      </c>
      <c r="F1" s="8" t="s">
        <v>676</v>
      </c>
    </row>
    <row r="2" customFormat="false" ht="15" hidden="false" customHeight="false" outlineLevel="0" collapsed="false">
      <c r="A2" s="2" t="s">
        <v>534</v>
      </c>
      <c r="B2" s="11" t="n">
        <f aca="false">Horizon_q</f>
        <v>42.4702203589854</v>
      </c>
      <c r="C2" s="48" t="n">
        <f aca="false">Reference_Values!B2</f>
        <v>42.4702203589854</v>
      </c>
      <c r="D2" s="21" t="n">
        <f aca="false">ABS(B2-C2)</f>
        <v>0</v>
      </c>
      <c r="E2" s="49" t="n">
        <v>1E-009</v>
      </c>
      <c r="F2" s="4" t="str">
        <f aca="false">IF(D2&lt;=E2,"PASS","FAIL")</f>
        <v>PASS</v>
      </c>
    </row>
    <row r="3" customFormat="false" ht="15" hidden="false" customHeight="false" outlineLevel="0" collapsed="false">
      <c r="A3" s="2" t="s">
        <v>535</v>
      </c>
      <c r="B3" s="11" t="n">
        <f aca="false">Levels_n</f>
        <v>201</v>
      </c>
      <c r="C3" s="48" t="n">
        <f aca="false">Reference_Values!B3</f>
        <v>201</v>
      </c>
      <c r="D3" s="21" t="n">
        <f aca="false">ABS(B3-C3)</f>
        <v>0</v>
      </c>
      <c r="E3" s="49" t="n">
        <v>0</v>
      </c>
      <c r="F3" s="4" t="str">
        <f aca="false">IF(D3&lt;=E3,"PASS","FAIL")</f>
        <v>PASS</v>
      </c>
    </row>
    <row r="4" customFormat="false" ht="15" hidden="false" customHeight="false" outlineLevel="0" collapsed="false">
      <c r="A4" s="2" t="s">
        <v>121</v>
      </c>
      <c r="B4" s="11" t="n">
        <f aca="false">Grid!AE4</f>
        <v>2113</v>
      </c>
      <c r="C4" s="48" t="n">
        <f aca="false">Reference_Values!B4</f>
        <v>2113</v>
      </c>
      <c r="D4" s="21" t="n">
        <f aca="false">ABS(B4-C4)</f>
        <v>0</v>
      </c>
      <c r="E4" s="49" t="n">
        <v>0</v>
      </c>
      <c r="F4" s="4" t="str">
        <f aca="false">IF(D4&lt;=E4,"PASS","FAIL")</f>
        <v>PASS</v>
      </c>
    </row>
    <row r="5" customFormat="false" ht="15" hidden="false" customHeight="false" outlineLevel="0" collapsed="false">
      <c r="A5" s="2" t="s">
        <v>123</v>
      </c>
      <c r="B5" s="11" t="n">
        <f aca="false">Grid!AE5</f>
        <v>1152</v>
      </c>
      <c r="C5" s="48" t="n">
        <f aca="false">Reference_Values!B5</f>
        <v>1152</v>
      </c>
      <c r="D5" s="21" t="n">
        <f aca="false">ABS(B5-C5)</f>
        <v>0</v>
      </c>
      <c r="E5" s="49" t="n">
        <v>0</v>
      </c>
      <c r="F5" s="4" t="str">
        <f aca="false">IF(D5&lt;=E5,"PASS","FAIL")</f>
        <v>PASS</v>
      </c>
    </row>
    <row r="6" customFormat="false" ht="15" hidden="false" customHeight="false" outlineLevel="0" collapsed="false">
      <c r="A6" s="2" t="s">
        <v>171</v>
      </c>
      <c r="B6" s="11" t="n">
        <f aca="false">BestRule!AA12</f>
        <v>201</v>
      </c>
      <c r="C6" s="48" t="n">
        <f aca="false">Reference_Values!B6</f>
        <v>201</v>
      </c>
      <c r="D6" s="21" t="n">
        <f aca="false">ABS(B6-C6)</f>
        <v>0</v>
      </c>
      <c r="E6" s="49" t="n">
        <v>0</v>
      </c>
      <c r="F6" s="4" t="str">
        <f aca="false">IF(D6&lt;=E6,"PASS","FAIL")</f>
        <v>PASS</v>
      </c>
    </row>
    <row r="7" customFormat="false" ht="15" hidden="false" customHeight="false" outlineLevel="0" collapsed="false">
      <c r="A7" s="2" t="s">
        <v>538</v>
      </c>
      <c r="B7" s="11" t="n">
        <f aca="false">BestRule!AA4</f>
        <v>231.1783984959</v>
      </c>
      <c r="C7" s="48" t="n">
        <f aca="false">Reference_Values!B7</f>
        <v>231.1783984959</v>
      </c>
      <c r="D7" s="21" t="n">
        <f aca="false">ABS(B7-C7)</f>
        <v>0</v>
      </c>
      <c r="E7" s="49" t="n">
        <v>1E-008</v>
      </c>
      <c r="F7" s="4" t="str">
        <f aca="false">IF(D7&lt;=E7,"PASS","FAIL")</f>
        <v>PASS</v>
      </c>
    </row>
    <row r="8" customFormat="false" ht="15" hidden="false" customHeight="false" outlineLevel="0" collapsed="false">
      <c r="A8" s="2" t="s">
        <v>539</v>
      </c>
      <c r="B8" s="11" t="n">
        <f aca="false">BestRule!AA5</f>
        <v>0.423398495899562</v>
      </c>
      <c r="C8" s="48" t="n">
        <f aca="false">Reference_Values!B8</f>
        <v>0.423398495899505</v>
      </c>
      <c r="D8" s="21" t="n">
        <f aca="false">ABS(B8-C8)</f>
        <v>5.6843418860808E-014</v>
      </c>
      <c r="E8" s="49" t="n">
        <v>1E-008</v>
      </c>
      <c r="F8" s="4" t="str">
        <f aca="false">IF(D8&lt;=E8,"PASS","FAIL")</f>
        <v>PASS</v>
      </c>
    </row>
    <row r="9" customFormat="false" ht="15" hidden="false" customHeight="false" outlineLevel="0" collapsed="false">
      <c r="A9" s="2" t="s">
        <v>540</v>
      </c>
      <c r="B9" s="11" t="n">
        <f aca="false">BestRule!AA6</f>
        <v>0</v>
      </c>
      <c r="C9" s="48" t="n">
        <f aca="false">Reference_Values!B9</f>
        <v>0</v>
      </c>
      <c r="D9" s="21" t="n">
        <f aca="false">ABS(B9-C9)</f>
        <v>0</v>
      </c>
      <c r="E9" s="49" t="n">
        <v>1E-008</v>
      </c>
      <c r="F9" s="4" t="str">
        <f aca="false">IF(D9&lt;=E9,"PASS","FAIL")</f>
        <v>PASS</v>
      </c>
    </row>
    <row r="10" customFormat="false" ht="15" hidden="false" customHeight="false" outlineLevel="0" collapsed="false">
      <c r="A10" s="2" t="s">
        <v>542</v>
      </c>
      <c r="B10" s="11" t="n">
        <f aca="false">BestRule!AA7</f>
        <v>201</v>
      </c>
      <c r="C10" s="48" t="n">
        <f aca="false">Reference_Values!B10</f>
        <v>201</v>
      </c>
      <c r="D10" s="21" t="n">
        <f aca="false">ABS(B10-C10)</f>
        <v>0</v>
      </c>
      <c r="E10" s="49" t="n">
        <v>0</v>
      </c>
      <c r="F10" s="4" t="str">
        <f aca="false">IF(D10&lt;=E10,"PASS","FAIL")</f>
        <v>PASS</v>
      </c>
    </row>
    <row r="11" customFormat="false" ht="15" hidden="false" customHeight="false" outlineLevel="0" collapsed="false">
      <c r="A11" s="2" t="s">
        <v>544</v>
      </c>
      <c r="B11" s="11" t="n">
        <f aca="false">BestRule!AA8</f>
        <v>54.75</v>
      </c>
      <c r="C11" s="48" t="n">
        <f aca="false">Reference_Values!B11</f>
        <v>54.75</v>
      </c>
      <c r="D11" s="21" t="n">
        <f aca="false">ABS(B11-C11)</f>
        <v>0</v>
      </c>
      <c r="E11" s="49" t="n">
        <v>1E-009</v>
      </c>
      <c r="F11" s="4" t="str">
        <f aca="false">IF(D11&lt;=E11,"PASS","FAIL")</f>
        <v>PASS</v>
      </c>
    </row>
    <row r="12" customFormat="false" ht="15" hidden="false" customHeight="false" outlineLevel="0" collapsed="false">
      <c r="A12" s="2" t="s">
        <v>545</v>
      </c>
      <c r="B12" s="11" t="n">
        <f aca="false">BestRule!AA9</f>
        <v>57.25</v>
      </c>
      <c r="C12" s="48" t="n">
        <f aca="false">Reference_Values!B12</f>
        <v>57.25</v>
      </c>
      <c r="D12" s="21" t="n">
        <f aca="false">ABS(B12-C12)</f>
        <v>0</v>
      </c>
      <c r="E12" s="49" t="n">
        <v>1E-009</v>
      </c>
      <c r="F12" s="4" t="str">
        <f aca="false">IF(D12&lt;=E12,"PASS","FAIL")</f>
        <v>PASS</v>
      </c>
    </row>
    <row r="13" customFormat="false" ht="15" hidden="false" customHeight="false" outlineLevel="0" collapsed="false">
      <c r="A13" s="2" t="s">
        <v>546</v>
      </c>
      <c r="B13" s="11" t="n">
        <f aca="false">BestRule!AA10</f>
        <v>55.825</v>
      </c>
      <c r="C13" s="48" t="n">
        <f aca="false">Reference_Values!B13</f>
        <v>55.825</v>
      </c>
      <c r="D13" s="21" t="n">
        <f aca="false">ABS(B13-C13)</f>
        <v>0</v>
      </c>
      <c r="E13" s="49" t="n">
        <v>1E-009</v>
      </c>
      <c r="F13" s="4" t="str">
        <f aca="false">IF(D13&lt;=E13,"PASS","FAIL")</f>
        <v>PASS</v>
      </c>
    </row>
    <row r="14" customFormat="false" ht="15" hidden="false" customHeight="false" outlineLevel="0" collapsed="false">
      <c r="A14" s="2" t="s">
        <v>547</v>
      </c>
      <c r="B14" s="11" t="n">
        <f aca="false">BestRule!AA11</f>
        <v>55.875</v>
      </c>
      <c r="C14" s="48" t="n">
        <f aca="false">Reference_Values!B14</f>
        <v>55.875</v>
      </c>
      <c r="D14" s="21" t="n">
        <f aca="false">ABS(B14-C14)</f>
        <v>0</v>
      </c>
      <c r="E14" s="49" t="n">
        <v>1E-009</v>
      </c>
      <c r="F14" s="4" t="str">
        <f aca="false">IF(D14&lt;=E14,"PASS","FAIL")</f>
        <v>PASS</v>
      </c>
    </row>
    <row r="15" customFormat="false" ht="15" hidden="false" customHeight="false" outlineLevel="0" collapsed="false">
      <c r="A15" s="2" t="s">
        <v>548</v>
      </c>
      <c r="B15" s="11" t="n">
        <f aca="false">BestRule!AA13</f>
        <v>0.058199363320079</v>
      </c>
      <c r="C15" s="48" t="n">
        <f aca="false">Reference_Values!B15</f>
        <v>0.058199363320079</v>
      </c>
      <c r="D15" s="21" t="n">
        <f aca="false">ABS(B15-C15)</f>
        <v>0</v>
      </c>
      <c r="E15" s="49" t="n">
        <v>1E-012</v>
      </c>
      <c r="F15" s="4" t="str">
        <f aca="false">IF(D15&lt;=E15,"PASS","FAIL")</f>
        <v>PASS</v>
      </c>
    </row>
    <row r="16" customFormat="false" ht="15" hidden="false" customHeight="false" outlineLevel="0" collapsed="false">
      <c r="A16" s="2" t="s">
        <v>549</v>
      </c>
      <c r="B16" s="11" t="n">
        <f aca="false">BestRule!AA15</f>
        <v>56.55</v>
      </c>
      <c r="C16" s="48" t="n">
        <f aca="false">Reference_Values!B16</f>
        <v>56.55</v>
      </c>
      <c r="D16" s="21" t="n">
        <f aca="false">ABS(B16-C16)</f>
        <v>0</v>
      </c>
      <c r="E16" s="49" t="n">
        <v>1E-009</v>
      </c>
      <c r="F16" s="4" t="str">
        <f aca="false">IF(D16&lt;=E16,"PASS","FAIL")</f>
        <v>PASS</v>
      </c>
    </row>
    <row r="17" customFormat="false" ht="15" hidden="false" customHeight="false" outlineLevel="0" collapsed="false">
      <c r="A17" s="2" t="s">
        <v>551</v>
      </c>
      <c r="B17" s="11" t="n">
        <f aca="false">Rules!S8</f>
        <v>201</v>
      </c>
      <c r="C17" s="48" t="n">
        <f aca="false">Reference_Values!B17</f>
        <v>201</v>
      </c>
      <c r="D17" s="21" t="n">
        <f aca="false">ABS(B17-C17)</f>
        <v>0</v>
      </c>
      <c r="E17" s="49" t="n">
        <v>0</v>
      </c>
      <c r="F17" s="4" t="str">
        <f aca="false">IF(D17&lt;=E17,"PASS","FAIL")</f>
        <v>PASS</v>
      </c>
    </row>
    <row r="18" customFormat="false" ht="15" hidden="false" customHeight="false" outlineLevel="0" collapsed="false">
      <c r="A18" s="2" t="s">
        <v>553</v>
      </c>
      <c r="B18" s="11" t="n">
        <f aca="false">Rules!P8</f>
        <v>15.3693623201087</v>
      </c>
      <c r="C18" s="48" t="n">
        <f aca="false">Reference_Values!B18</f>
        <v>15.3693623201088</v>
      </c>
      <c r="D18" s="21" t="n">
        <f aca="false">ABS(B18-C18)</f>
        <v>8.5265128291212E-014</v>
      </c>
      <c r="E18" s="49" t="n">
        <v>1E-008</v>
      </c>
      <c r="F18" s="4" t="str">
        <f aca="false">IF(D18&lt;=E18,"PASS","FAIL")</f>
        <v>PASS</v>
      </c>
    </row>
    <row r="19" customFormat="false" ht="15" hidden="false" customHeight="false" outlineLevel="0" collapsed="false">
      <c r="A19" s="2" t="s">
        <v>555</v>
      </c>
      <c r="B19" s="11" t="n">
        <f aca="false">Rules!S9</f>
        <v>201</v>
      </c>
      <c r="C19" s="48" t="n">
        <f aca="false">Reference_Values!B19</f>
        <v>201</v>
      </c>
      <c r="D19" s="21" t="n">
        <f aca="false">ABS(B19-C19)</f>
        <v>0</v>
      </c>
      <c r="E19" s="49" t="n">
        <v>0</v>
      </c>
      <c r="F19" s="4" t="str">
        <f aca="false">IF(D19&lt;=E19,"PASS","FAIL")</f>
        <v>PASS</v>
      </c>
    </row>
    <row r="20" customFormat="false" ht="15" hidden="false" customHeight="false" outlineLevel="0" collapsed="false">
      <c r="A20" s="2" t="s">
        <v>557</v>
      </c>
      <c r="B20" s="11" t="n">
        <f aca="false">Rules!P9</f>
        <v>1029.74334219024</v>
      </c>
      <c r="C20" s="48" t="n">
        <f aca="false">Reference_Values!B20</f>
        <v>1029.74334219024</v>
      </c>
      <c r="D20" s="21" t="n">
        <f aca="false">ABS(B20-C20)</f>
        <v>0</v>
      </c>
      <c r="E20" s="49" t="n">
        <v>1E-008</v>
      </c>
      <c r="F20" s="4" t="str">
        <f aca="false">IF(D20&lt;=E20,"PASS","FAIL")</f>
        <v>PASS</v>
      </c>
    </row>
    <row r="21" customFormat="false" ht="15" hidden="false" customHeight="false" outlineLevel="0" collapsed="false">
      <c r="A21" s="2" t="s">
        <v>558</v>
      </c>
      <c r="B21" s="11" t="n">
        <f aca="false">Rules!S10</f>
        <v>201</v>
      </c>
      <c r="C21" s="48" t="n">
        <f aca="false">Reference_Values!B21</f>
        <v>201</v>
      </c>
      <c r="D21" s="21" t="n">
        <f aca="false">ABS(B21-C21)</f>
        <v>0</v>
      </c>
      <c r="E21" s="49" t="n">
        <v>0</v>
      </c>
      <c r="F21" s="4" t="str">
        <f aca="false">IF(D21&lt;=E21,"PASS","FAIL")</f>
        <v>PASS</v>
      </c>
    </row>
    <row r="22" customFormat="false" ht="15" hidden="false" customHeight="false" outlineLevel="0" collapsed="false">
      <c r="A22" s="2" t="s">
        <v>559</v>
      </c>
      <c r="B22" s="11" t="n">
        <f aca="false">Rules!P10</f>
        <v>142.777826036423</v>
      </c>
      <c r="C22" s="48" t="n">
        <f aca="false">Reference_Values!B22</f>
        <v>142.777826036423</v>
      </c>
      <c r="D22" s="21" t="n">
        <f aca="false">ABS(B22-C22)</f>
        <v>0</v>
      </c>
      <c r="E22" s="49" t="n">
        <v>1E-008</v>
      </c>
      <c r="F22" s="4" t="str">
        <f aca="false">IF(D22&lt;=E22,"PASS","FAIL")</f>
        <v>PASS</v>
      </c>
    </row>
    <row r="23" customFormat="false" ht="15" hidden="false" customHeight="false" outlineLevel="0" collapsed="false">
      <c r="A23" s="2" t="s">
        <v>560</v>
      </c>
      <c r="B23" s="11" t="n">
        <f aca="false">Certify!Y16</f>
        <v>74</v>
      </c>
      <c r="C23" s="48" t="n">
        <f aca="false">Reference_Values!B23</f>
        <v>74</v>
      </c>
      <c r="D23" s="21" t="n">
        <f aca="false">ABS(B23-C23)</f>
        <v>0</v>
      </c>
      <c r="E23" s="49" t="n">
        <v>0</v>
      </c>
      <c r="F23" s="4" t="str">
        <f aca="false">IF(D23&lt;=E23,"PASS","FAIL")</f>
        <v>PASS</v>
      </c>
    </row>
    <row r="24" customFormat="false" ht="15" hidden="false" customHeight="false" outlineLevel="0" collapsed="false">
      <c r="A24" s="2" t="s">
        <v>561</v>
      </c>
      <c r="B24" s="11" t="n">
        <f aca="false">Certify!Y17</f>
        <v>84</v>
      </c>
      <c r="C24" s="48" t="n">
        <f aca="false">Reference_Values!B24</f>
        <v>84</v>
      </c>
      <c r="D24" s="21" t="n">
        <f aca="false">ABS(B24-C24)</f>
        <v>0</v>
      </c>
      <c r="E24" s="49" t="n">
        <v>0</v>
      </c>
      <c r="F24" s="4" t="str">
        <f aca="false">IF(D24&lt;=E24,"PASS","FAIL")</f>
        <v>PASS</v>
      </c>
    </row>
    <row r="25" customFormat="false" ht="15" hidden="false" customHeight="false" outlineLevel="0" collapsed="false">
      <c r="A25" s="2" t="s">
        <v>562</v>
      </c>
      <c r="B25" s="11" t="n">
        <f aca="false">Certify!Y18</f>
        <v>54.25</v>
      </c>
      <c r="C25" s="48" t="n">
        <f aca="false">Reference_Values!B25</f>
        <v>54.25</v>
      </c>
      <c r="D25" s="21" t="n">
        <f aca="false">ABS(B25-C25)</f>
        <v>0</v>
      </c>
      <c r="E25" s="49" t="n">
        <v>1E-009</v>
      </c>
      <c r="F25" s="4" t="str">
        <f aca="false">IF(D25&lt;=E25,"PASS","FAIL")</f>
        <v>PASS</v>
      </c>
    </row>
    <row r="26" customFormat="false" ht="15" hidden="false" customHeight="false" outlineLevel="0" collapsed="false">
      <c r="A26" s="2" t="s">
        <v>563</v>
      </c>
      <c r="B26" s="11" t="n">
        <f aca="false">Certify!Y19</f>
        <v>0.68</v>
      </c>
      <c r="C26" s="48" t="n">
        <f aca="false">Reference_Values!B26</f>
        <v>0.68</v>
      </c>
      <c r="D26" s="21" t="n">
        <f aca="false">ABS(B26-C26)</f>
        <v>0</v>
      </c>
      <c r="E26" s="49" t="n">
        <v>1E-012</v>
      </c>
      <c r="F26" s="4" t="str">
        <f aca="false">IF(D26&lt;=E26,"PASS","FAIL")</f>
        <v>PASS</v>
      </c>
    </row>
    <row r="27" customFormat="false" ht="15" hidden="false" customHeight="false" outlineLevel="0" collapsed="false">
      <c r="A27" s="2" t="s">
        <v>564</v>
      </c>
      <c r="B27" s="11" t="n">
        <f aca="false">Certify!Y20</f>
        <v>0.0281024360230972</v>
      </c>
      <c r="C27" s="48" t="n">
        <f aca="false">Reference_Values!B27</f>
        <v>0.0281024360230972</v>
      </c>
      <c r="D27" s="21" t="n">
        <f aca="false">ABS(B27-C27)</f>
        <v>0</v>
      </c>
      <c r="E27" s="49" t="n">
        <v>1E-009</v>
      </c>
      <c r="F27" s="4" t="str">
        <f aca="false">IF(D27&lt;=E27,"PASS","FAIL")</f>
        <v>PASS</v>
      </c>
    </row>
    <row r="28" customFormat="false" ht="15" hidden="false" customHeight="false" outlineLevel="0" collapsed="false">
      <c r="A28" s="2" t="s">
        <v>565</v>
      </c>
      <c r="B28" s="11" t="n">
        <f aca="false">QLearning!B30</f>
        <v>493.357311489038</v>
      </c>
      <c r="C28" s="48" t="n">
        <f aca="false">Reference_Values!B28</f>
        <v>493.357311489038</v>
      </c>
      <c r="D28" s="21" t="n">
        <f aca="false">ABS(B28-C28)</f>
        <v>0</v>
      </c>
      <c r="E28" s="49" t="n">
        <v>1E-009</v>
      </c>
      <c r="F28" s="4" t="str">
        <f aca="false">IF(D28&lt;=E28,"PASS","FAIL")</f>
        <v>PASS</v>
      </c>
    </row>
    <row r="29" customFormat="false" ht="15" hidden="false" customHeight="false" outlineLevel="0" collapsed="false">
      <c r="A29" s="2" t="s">
        <v>567</v>
      </c>
      <c r="B29" s="11" t="n">
        <f aca="false">QLearning!C30</f>
        <v>56.69359732235</v>
      </c>
      <c r="C29" s="48" t="n">
        <f aca="false">Reference_Values!B29</f>
        <v>56.69359732235</v>
      </c>
      <c r="D29" s="21" t="n">
        <f aca="false">ABS(B29-C29)</f>
        <v>0</v>
      </c>
      <c r="E29" s="49" t="n">
        <v>1E-009</v>
      </c>
      <c r="F29" s="4" t="str">
        <f aca="false">IF(D29&lt;=E29,"PASS","FAIL")</f>
        <v>PASS</v>
      </c>
    </row>
    <row r="30" customFormat="false" ht="15" hidden="false" customHeight="false" outlineLevel="0" collapsed="false">
      <c r="A30" s="2" t="s">
        <v>568</v>
      </c>
      <c r="B30" s="11" t="n">
        <f aca="false">QLearning!D30</f>
        <v>21.9708506843016</v>
      </c>
      <c r="C30" s="48" t="n">
        <f aca="false">Reference_Values!B30</f>
        <v>21.9708506843016</v>
      </c>
      <c r="D30" s="21" t="n">
        <f aca="false">ABS(B30-C30)</f>
        <v>0</v>
      </c>
      <c r="E30" s="49" t="n">
        <v>1E-009</v>
      </c>
      <c r="F30" s="4" t="str">
        <f aca="false">IF(D30&lt;=E30,"PASS","FAIL")</f>
        <v>PASS</v>
      </c>
    </row>
    <row r="31" customFormat="false" ht="15" hidden="false" customHeight="false" outlineLevel="0" collapsed="false">
      <c r="A31" s="2" t="s">
        <v>569</v>
      </c>
      <c r="B31" s="11" t="n">
        <f aca="false">QLearning!E30</f>
        <v>1.26061112029327</v>
      </c>
      <c r="C31" s="48" t="n">
        <f aca="false">Reference_Values!B31</f>
        <v>1.26061112029327</v>
      </c>
      <c r="D31" s="21" t="n">
        <f aca="false">ABS(B31-C31)</f>
        <v>0</v>
      </c>
      <c r="E31" s="49" t="n">
        <v>1E-009</v>
      </c>
      <c r="F31" s="4" t="str">
        <f aca="false">IF(D31&lt;=E31,"PASS","FAIL")</f>
        <v>PASS</v>
      </c>
    </row>
    <row r="32" customFormat="false" ht="15" hidden="false" customHeight="false" outlineLevel="0" collapsed="false">
      <c r="A32" s="2" t="s">
        <v>570</v>
      </c>
      <c r="B32" s="11" t="n">
        <f aca="false">QLearning!F30</f>
        <v>0.552530039059249</v>
      </c>
      <c r="C32" s="48" t="n">
        <f aca="false">Reference_Values!B32</f>
        <v>0.552530039059249</v>
      </c>
      <c r="D32" s="21" t="n">
        <f aca="false">ABS(B32-C32)</f>
        <v>0</v>
      </c>
      <c r="E32" s="49" t="n">
        <v>1E-009</v>
      </c>
      <c r="F32" s="4" t="str">
        <f aca="false">IF(D32&lt;=E32,"PASS","FAIL")</f>
        <v>PASS</v>
      </c>
    </row>
    <row r="33" customFormat="false" ht="15" hidden="false" customHeight="false" outlineLevel="0" collapsed="false">
      <c r="A33" s="2" t="s">
        <v>571</v>
      </c>
      <c r="B33" s="11" t="n">
        <f aca="false">QLearning!B48</f>
        <v>567.298168832258</v>
      </c>
      <c r="C33" s="48" t="n">
        <f aca="false">Reference_Values!B33</f>
        <v>567.298168832258</v>
      </c>
      <c r="D33" s="21" t="n">
        <f aca="false">ABS(B33-C33)</f>
        <v>0</v>
      </c>
      <c r="E33" s="49" t="n">
        <v>1E-009</v>
      </c>
      <c r="F33" s="4" t="str">
        <f aca="false">IF(D33&lt;=E33,"PASS","FAIL")</f>
        <v>PASS</v>
      </c>
    </row>
    <row r="34" customFormat="false" ht="15" hidden="false" customHeight="false" outlineLevel="0" collapsed="false">
      <c r="A34" s="2" t="s">
        <v>572</v>
      </c>
      <c r="B34" s="11" t="n">
        <f aca="false">QLearning!C48</f>
        <v>199.15505638065</v>
      </c>
      <c r="C34" s="48" t="n">
        <f aca="false">Reference_Values!B34</f>
        <v>199.15505638065</v>
      </c>
      <c r="D34" s="21" t="n">
        <f aca="false">ABS(B34-C34)</f>
        <v>0</v>
      </c>
      <c r="E34" s="49" t="n">
        <v>1E-009</v>
      </c>
      <c r="F34" s="4" t="str">
        <f aca="false">IF(D34&lt;=E34,"PASS","FAIL")</f>
        <v>PASS</v>
      </c>
    </row>
    <row r="35" customFormat="false" ht="15" hidden="false" customHeight="false" outlineLevel="0" collapsed="false">
      <c r="A35" s="2" t="s">
        <v>573</v>
      </c>
      <c r="B35" s="11" t="n">
        <f aca="false">QLearning!D48</f>
        <v>31.8727320876299</v>
      </c>
      <c r="C35" s="48" t="n">
        <f aca="false">Reference_Values!B35</f>
        <v>31.8727320876299</v>
      </c>
      <c r="D35" s="21" t="n">
        <f aca="false">ABS(B35-C35)</f>
        <v>0</v>
      </c>
      <c r="E35" s="49" t="n">
        <v>1E-009</v>
      </c>
      <c r="F35" s="4" t="str">
        <f aca="false">IF(D35&lt;=E35,"PASS","FAIL")</f>
        <v>PASS</v>
      </c>
    </row>
    <row r="36" customFormat="false" ht="15" hidden="false" customHeight="false" outlineLevel="0" collapsed="false">
      <c r="A36" s="2" t="s">
        <v>574</v>
      </c>
      <c r="B36" s="11" t="n">
        <f aca="false">QLearning!E48</f>
        <v>21.7132782034929</v>
      </c>
      <c r="C36" s="48" t="n">
        <f aca="false">Reference_Values!B36</f>
        <v>21.713278203493</v>
      </c>
      <c r="D36" s="21" t="n">
        <f aca="false">ABS(B36-C36)</f>
        <v>0</v>
      </c>
      <c r="E36" s="49" t="n">
        <v>1E-009</v>
      </c>
      <c r="F36" s="4" t="str">
        <f aca="false">IF(D36&lt;=E36,"PASS","FAIL")</f>
        <v>PASS</v>
      </c>
    </row>
    <row r="37" customFormat="false" ht="15" hidden="false" customHeight="false" outlineLevel="0" collapsed="false">
      <c r="A37" s="2" t="s">
        <v>575</v>
      </c>
      <c r="B37" s="11" t="n">
        <f aca="false">QLearning!B63</f>
        <v>348.738848367773</v>
      </c>
      <c r="C37" s="48" t="n">
        <f aca="false">Reference_Values!B37</f>
        <v>348.738848367773</v>
      </c>
      <c r="D37" s="21" t="n">
        <f aca="false">ABS(B37-C37)</f>
        <v>0</v>
      </c>
      <c r="E37" s="49" t="n">
        <v>1E-009</v>
      </c>
      <c r="F37" s="4" t="str">
        <f aca="false">IF(D37&lt;=E37,"PASS","FAIL")</f>
        <v>PASS</v>
      </c>
    </row>
    <row r="38" customFormat="false" ht="15" hidden="false" customHeight="false" outlineLevel="0" collapsed="false">
      <c r="A38" s="2" t="s">
        <v>576</v>
      </c>
      <c r="B38" s="11" t="n">
        <f aca="false">QLearning!C63</f>
        <v>95.6730025085055</v>
      </c>
      <c r="C38" s="48" t="n">
        <f aca="false">Reference_Values!B38</f>
        <v>95.6730025085055</v>
      </c>
      <c r="D38" s="21" t="n">
        <f aca="false">ABS(B38-C38)</f>
        <v>0</v>
      </c>
      <c r="E38" s="49" t="n">
        <v>1E-009</v>
      </c>
      <c r="F38" s="4" t="str">
        <f aca="false">IF(D38&lt;=E38,"PASS","FAIL")</f>
        <v>PASS</v>
      </c>
    </row>
    <row r="39" customFormat="false" ht="15" hidden="false" customHeight="false" outlineLevel="0" collapsed="false">
      <c r="A39" s="2" t="s">
        <v>577</v>
      </c>
      <c r="B39" s="11" t="n">
        <f aca="false">QLearning!D63</f>
        <v>51.6504798152729</v>
      </c>
      <c r="C39" s="48" t="n">
        <f aca="false">Reference_Values!B39</f>
        <v>51.6504798152729</v>
      </c>
      <c r="D39" s="21" t="n">
        <f aca="false">ABS(B39-C39)</f>
        <v>0</v>
      </c>
      <c r="E39" s="49" t="n">
        <v>1E-009</v>
      </c>
      <c r="F39" s="4" t="str">
        <f aca="false">IF(D39&lt;=E39,"PASS","FAIL")</f>
        <v>PASS</v>
      </c>
    </row>
    <row r="40" customFormat="false" ht="15" hidden="false" customHeight="false" outlineLevel="0" collapsed="false">
      <c r="A40" s="2" t="s">
        <v>578</v>
      </c>
      <c r="B40" s="11" t="n">
        <f aca="false">QLearning!E63</f>
        <v>11.9012748988797</v>
      </c>
      <c r="C40" s="48" t="n">
        <f aca="false">Reference_Values!B40</f>
        <v>11.9012748988797</v>
      </c>
      <c r="D40" s="21" t="n">
        <f aca="false">ABS(B40-C40)</f>
        <v>0</v>
      </c>
      <c r="E40" s="49" t="n">
        <v>1E-009</v>
      </c>
      <c r="F40" s="4" t="str">
        <f aca="false">IF(D40&lt;=E40,"PASS","FAIL")</f>
        <v>PASS</v>
      </c>
    </row>
    <row r="41" customFormat="false" ht="15" hidden="false" customHeight="false" outlineLevel="0" collapsed="false">
      <c r="A41" s="2" t="s">
        <v>579</v>
      </c>
      <c r="B41" s="11" t="n">
        <f aca="false">QLearning!B78</f>
        <v>464.789721743743</v>
      </c>
      <c r="C41" s="48" t="n">
        <f aca="false">Reference_Values!B41</f>
        <v>464.789721743743</v>
      </c>
      <c r="D41" s="21" t="n">
        <f aca="false">ABS(B41-C41)</f>
        <v>0</v>
      </c>
      <c r="E41" s="49" t="n">
        <v>1E-009</v>
      </c>
      <c r="F41" s="4" t="str">
        <f aca="false">IF(D41&lt;=E41,"PASS","FAIL")</f>
        <v>PASS</v>
      </c>
    </row>
    <row r="42" customFormat="false" ht="15" hidden="false" customHeight="false" outlineLevel="0" collapsed="false">
      <c r="A42" s="2" t="s">
        <v>580</v>
      </c>
      <c r="B42" s="11" t="n">
        <f aca="false">QLearning!C78</f>
        <v>43.4681343506498</v>
      </c>
      <c r="C42" s="48" t="n">
        <f aca="false">Reference_Values!B42</f>
        <v>43.4681343506498</v>
      </c>
      <c r="D42" s="21" t="n">
        <f aca="false">ABS(B42-C42)</f>
        <v>0</v>
      </c>
      <c r="E42" s="49" t="n">
        <v>1E-009</v>
      </c>
      <c r="F42" s="4" t="str">
        <f aca="false">IF(D42&lt;=E42,"PASS","FAIL")</f>
        <v>PASS</v>
      </c>
    </row>
    <row r="43" customFormat="false" ht="15" hidden="false" customHeight="false" outlineLevel="0" collapsed="false">
      <c r="A43" s="2" t="s">
        <v>581</v>
      </c>
      <c r="B43" s="11" t="n">
        <f aca="false">QLearning!D78</f>
        <v>41.1985636678653</v>
      </c>
      <c r="C43" s="48" t="n">
        <f aca="false">Reference_Values!B43</f>
        <v>41.1985636678653</v>
      </c>
      <c r="D43" s="21" t="n">
        <f aca="false">ABS(B43-C43)</f>
        <v>0</v>
      </c>
      <c r="E43" s="49" t="n">
        <v>1E-009</v>
      </c>
      <c r="F43" s="4" t="str">
        <f aca="false">IF(D43&lt;=E43,"PASS","FAIL")</f>
        <v>PASS</v>
      </c>
    </row>
    <row r="44" customFormat="false" ht="15" hidden="false" customHeight="false" outlineLevel="0" collapsed="false">
      <c r="A44" s="2" t="s">
        <v>582</v>
      </c>
      <c r="B44" s="11" t="n">
        <f aca="false">QLearning!E78</f>
        <v>31.9493008940217</v>
      </c>
      <c r="C44" s="48" t="n">
        <f aca="false">Reference_Values!B44</f>
        <v>31.9493008940217</v>
      </c>
      <c r="D44" s="21" t="n">
        <f aca="false">ABS(B44-C44)</f>
        <v>0</v>
      </c>
      <c r="E44" s="49" t="n">
        <v>1E-009</v>
      </c>
      <c r="F44" s="4" t="str">
        <f aca="false">IF(D44&lt;=E44,"PASS","FAIL")</f>
        <v>PASS</v>
      </c>
    </row>
    <row r="45" customFormat="false" ht="15" hidden="false" customHeight="false" outlineLevel="0" collapsed="false">
      <c r="A45" s="2" t="s">
        <v>583</v>
      </c>
      <c r="B45" s="11" t="n">
        <f aca="false">QLearning!C31</f>
        <v>86.1082256633034</v>
      </c>
      <c r="C45" s="48" t="n">
        <f aca="false">Reference_Values!B45</f>
        <v>86.1082256633034</v>
      </c>
      <c r="D45" s="21" t="n">
        <f aca="false">ABS(B45-C45)</f>
        <v>0</v>
      </c>
      <c r="E45" s="49" t="n">
        <v>1E-009</v>
      </c>
      <c r="F45" s="4" t="str">
        <f aca="false">IF(D45&lt;=E45,"PASS","FAIL")</f>
        <v>PASS</v>
      </c>
    </row>
    <row r="46" customFormat="false" ht="15" hidden="false" customHeight="false" outlineLevel="0" collapsed="false">
      <c r="A46" s="2" t="s">
        <v>585</v>
      </c>
      <c r="B46" s="11" t="n">
        <f aca="false">QLearning!D31</f>
        <v>31.6336276802351</v>
      </c>
      <c r="C46" s="48" t="n">
        <f aca="false">Reference_Values!B46</f>
        <v>31.6336276802351</v>
      </c>
      <c r="D46" s="21" t="n">
        <f aca="false">ABS(B46-C46)</f>
        <v>0</v>
      </c>
      <c r="E46" s="49" t="n">
        <v>1E-009</v>
      </c>
      <c r="F46" s="4" t="str">
        <f aca="false">IF(D46&lt;=E46,"PASS","FAIL")</f>
        <v>PASS</v>
      </c>
    </row>
    <row r="47" customFormat="false" ht="15" hidden="false" customHeight="false" outlineLevel="0" collapsed="false">
      <c r="A47" s="2" t="s">
        <v>586</v>
      </c>
      <c r="B47" s="11" t="n">
        <f aca="false">QLearning!E31</f>
        <v>1.74571423618759</v>
      </c>
      <c r="C47" s="48" t="n">
        <f aca="false">Reference_Values!B47</f>
        <v>1.74571423618759</v>
      </c>
      <c r="D47" s="21" t="n">
        <f aca="false">ABS(B47-C47)</f>
        <v>0</v>
      </c>
      <c r="E47" s="49" t="n">
        <v>1E-009</v>
      </c>
      <c r="F47" s="4" t="str">
        <f aca="false">IF(D47&lt;=E47,"PASS","FAIL")</f>
        <v>PASS</v>
      </c>
    </row>
    <row r="48" customFormat="false" ht="15" hidden="false" customHeight="false" outlineLevel="0" collapsed="false">
      <c r="A48" s="2" t="s">
        <v>587</v>
      </c>
      <c r="B48" s="11" t="n">
        <f aca="false">QLearning!F31</f>
        <v>0.730561292500826</v>
      </c>
      <c r="C48" s="48" t="n">
        <f aca="false">Reference_Values!B48</f>
        <v>0.730561292500826</v>
      </c>
      <c r="D48" s="21" t="n">
        <f aca="false">ABS(B48-C48)</f>
        <v>0</v>
      </c>
      <c r="E48" s="49" t="n">
        <v>1E-009</v>
      </c>
      <c r="F48" s="4" t="str">
        <f aca="false">IF(D48&lt;=E48,"PASS","FAIL")</f>
        <v>PASS</v>
      </c>
    </row>
    <row r="49" customFormat="false" ht="15" hidden="false" customHeight="false" outlineLevel="0" collapsed="false">
      <c r="A49" s="2" t="s">
        <v>588</v>
      </c>
      <c r="B49" s="11" t="n">
        <f aca="false">QLearning!B32</f>
        <v>299.796596888353</v>
      </c>
      <c r="C49" s="48" t="n">
        <f aca="false">Reference_Values!B49</f>
        <v>299.796596888353</v>
      </c>
      <c r="D49" s="21" t="n">
        <f aca="false">ABS(B49-C49)</f>
        <v>0</v>
      </c>
      <c r="E49" s="49" t="n">
        <v>1E-009</v>
      </c>
      <c r="F49" s="4" t="str">
        <f aca="false">IF(D49&lt;=E49,"PASS","FAIL")</f>
        <v>PASS</v>
      </c>
    </row>
    <row r="50" customFormat="false" ht="15" hidden="false" customHeight="false" outlineLevel="0" collapsed="false">
      <c r="A50" s="2" t="s">
        <v>589</v>
      </c>
      <c r="B50" s="11" t="n">
        <f aca="false">QLearning!B33</f>
        <v>630.084769419286</v>
      </c>
      <c r="C50" s="48" t="n">
        <f aca="false">Reference_Values!B50</f>
        <v>630.084769419286</v>
      </c>
      <c r="D50" s="21" t="n">
        <f aca="false">ABS(B50-C50)</f>
        <v>0</v>
      </c>
      <c r="E50" s="49" t="n">
        <v>1E-009</v>
      </c>
      <c r="F50" s="4" t="str">
        <f aca="false">IF(D50&lt;=E50,"PASS","FAIL")</f>
        <v>PASS</v>
      </c>
    </row>
    <row r="51" customFormat="false" ht="15" hidden="false" customHeight="false" outlineLevel="0" collapsed="false">
      <c r="A51" s="2" t="s">
        <v>590</v>
      </c>
      <c r="B51" s="11" t="n">
        <f aca="false">QLearning!C32</f>
        <v>24.6562195998628</v>
      </c>
      <c r="C51" s="48" t="n">
        <f aca="false">Reference_Values!B51</f>
        <v>24.6562195998628</v>
      </c>
      <c r="D51" s="21" t="n">
        <f aca="false">ABS(B51-C51)</f>
        <v>0</v>
      </c>
      <c r="E51" s="49" t="n">
        <v>1E-009</v>
      </c>
      <c r="F51" s="4" t="str">
        <f aca="false">IF(D51&lt;=E51,"PASS","FAIL")</f>
        <v>PASS</v>
      </c>
    </row>
    <row r="52" customFormat="false" ht="15" hidden="false" customHeight="false" outlineLevel="0" collapsed="false">
      <c r="A52" s="2" t="s">
        <v>591</v>
      </c>
      <c r="B52" s="11" t="n">
        <f aca="false">QLearning!C33</f>
        <v>106.310752037226</v>
      </c>
      <c r="C52" s="48" t="n">
        <f aca="false">Reference_Values!B52</f>
        <v>106.310752037226</v>
      </c>
      <c r="D52" s="21" t="n">
        <f aca="false">ABS(B52-C52)</f>
        <v>0</v>
      </c>
      <c r="E52" s="49" t="n">
        <v>1E-009</v>
      </c>
      <c r="F52" s="4" t="str">
        <f aca="false">IF(D52&lt;=E52,"PASS","FAIL")</f>
        <v>PASS</v>
      </c>
    </row>
    <row r="53" customFormat="false" ht="15" hidden="false" customHeight="false" outlineLevel="0" collapsed="false">
      <c r="A53" s="2" t="s">
        <v>592</v>
      </c>
      <c r="B53" s="11" t="n">
        <f aca="false">QLearning!D32</f>
        <v>13.8309699915617</v>
      </c>
      <c r="C53" s="48" t="n">
        <f aca="false">Reference_Values!B53</f>
        <v>13.8309699915617</v>
      </c>
      <c r="D53" s="21" t="n">
        <f aca="false">ABS(B53-C53)</f>
        <v>0</v>
      </c>
      <c r="E53" s="49" t="n">
        <v>1E-009</v>
      </c>
      <c r="F53" s="4" t="str">
        <f aca="false">IF(D53&lt;=E53,"PASS","FAIL")</f>
        <v>PASS</v>
      </c>
    </row>
    <row r="54" customFormat="false" ht="15" hidden="false" customHeight="false" outlineLevel="0" collapsed="false">
      <c r="A54" s="2" t="s">
        <v>593</v>
      </c>
      <c r="B54" s="11" t="n">
        <f aca="false">QLearning!D33</f>
        <v>37.2085978117583</v>
      </c>
      <c r="C54" s="48" t="n">
        <f aca="false">Reference_Values!B54</f>
        <v>37.2085978117583</v>
      </c>
      <c r="D54" s="21" t="n">
        <f aca="false">ABS(B54-C54)</f>
        <v>0</v>
      </c>
      <c r="E54" s="49" t="n">
        <v>1E-009</v>
      </c>
      <c r="F54" s="4" t="str">
        <f aca="false">IF(D54&lt;=E54,"PASS","FAIL")</f>
        <v>PASS</v>
      </c>
    </row>
    <row r="55" customFormat="false" ht="15" hidden="false" customHeight="false" outlineLevel="0" collapsed="false">
      <c r="A55" s="2" t="s">
        <v>594</v>
      </c>
      <c r="B55" s="11" t="n">
        <f aca="false">QLearning!E32</f>
        <v>0.560559783086575</v>
      </c>
      <c r="C55" s="48" t="n">
        <f aca="false">Reference_Values!B55</f>
        <v>0.560559783086575</v>
      </c>
      <c r="D55" s="21" t="n">
        <f aca="false">ABS(B55-C55)</f>
        <v>0</v>
      </c>
      <c r="E55" s="49" t="n">
        <v>1E-009</v>
      </c>
      <c r="F55" s="4" t="str">
        <f aca="false">IF(D55&lt;=E55,"PASS","FAIL")</f>
        <v>PASS</v>
      </c>
    </row>
    <row r="56" customFormat="false" ht="15" hidden="false" customHeight="false" outlineLevel="0" collapsed="false">
      <c r="A56" s="2" t="s">
        <v>595</v>
      </c>
      <c r="B56" s="11" t="n">
        <f aca="false">QLearning!E33</f>
        <v>2.19470265147356</v>
      </c>
      <c r="C56" s="48" t="n">
        <f aca="false">Reference_Values!B56</f>
        <v>2.19470265147356</v>
      </c>
      <c r="D56" s="21" t="n">
        <f aca="false">ABS(B56-C56)</f>
        <v>0</v>
      </c>
      <c r="E56" s="49" t="n">
        <v>1E-009</v>
      </c>
      <c r="F56" s="4" t="str">
        <f aca="false">IF(D56&lt;=E56,"PASS","FAIL")</f>
        <v>PASS</v>
      </c>
    </row>
    <row r="57" customFormat="false" ht="15" hidden="false" customHeight="false" outlineLevel="0" collapsed="false">
      <c r="A57" s="2" t="s">
        <v>596</v>
      </c>
      <c r="B57" s="11" t="n">
        <f aca="false">QLearning!F34</f>
        <v>9</v>
      </c>
      <c r="C57" s="48" t="n">
        <f aca="false">Reference_Values!B57</f>
        <v>9</v>
      </c>
      <c r="D57" s="21" t="n">
        <f aca="false">ABS(B57-C57)</f>
        <v>0</v>
      </c>
      <c r="E57" s="49" t="n">
        <v>0</v>
      </c>
      <c r="F57" s="4" t="str">
        <f aca="false">IF(D57&lt;=E57,"PASS","FAIL")</f>
        <v>PASS</v>
      </c>
    </row>
    <row r="58" customFormat="false" ht="15" hidden="false" customHeight="false" outlineLevel="0" collapsed="false">
      <c r="A58" s="2" t="s">
        <v>598</v>
      </c>
      <c r="B58" s="11" t="n">
        <f aca="false">QLearning!B38</f>
        <v>0.173377456688883</v>
      </c>
      <c r="C58" s="48" t="n">
        <f aca="false">Reference_Values!B58</f>
        <v>0.173377456688883</v>
      </c>
      <c r="D58" s="21" t="n">
        <f aca="false">ABS(B58-C58)</f>
        <v>0</v>
      </c>
      <c r="E58" s="49" t="n">
        <v>1E-009</v>
      </c>
      <c r="F58" s="4" t="str">
        <f aca="false">IF(D58&lt;=E58,"PASS","FAIL")</f>
        <v>PASS</v>
      </c>
    </row>
    <row r="59" customFormat="false" ht="15" hidden="false" customHeight="false" outlineLevel="0" collapsed="false">
      <c r="A59" s="2" t="s">
        <v>599</v>
      </c>
      <c r="B59" s="11" t="n">
        <f aca="false">QLearning!C38</f>
        <v>0.290371869682531</v>
      </c>
      <c r="C59" s="48" t="n">
        <f aca="false">Reference_Values!B59</f>
        <v>0.290371869682531</v>
      </c>
      <c r="D59" s="21" t="n">
        <f aca="false">ABS(B59-C59)</f>
        <v>0</v>
      </c>
      <c r="E59" s="49" t="n">
        <v>1E-009</v>
      </c>
      <c r="F59" s="4" t="str">
        <f aca="false">IF(D59&lt;=E59,"PASS","FAIL")</f>
        <v>PASS</v>
      </c>
    </row>
    <row r="60" customFormat="false" ht="15" hidden="false" customHeight="false" outlineLevel="0" collapsed="false">
      <c r="A60" s="2" t="s">
        <v>600</v>
      </c>
      <c r="B60" s="11" t="n">
        <f aca="false">QLearning!D38</f>
        <v>0.357036289203307</v>
      </c>
      <c r="C60" s="48" t="n">
        <f aca="false">Reference_Values!B60</f>
        <v>0.357036289203307</v>
      </c>
      <c r="D60" s="21" t="n">
        <f aca="false">ABS(B60-C60)</f>
        <v>0</v>
      </c>
      <c r="E60" s="49" t="n">
        <v>1E-009</v>
      </c>
      <c r="F60" s="4" t="str">
        <f aca="false">IF(D60&lt;=E60,"PASS","FAIL")</f>
        <v>PASS</v>
      </c>
    </row>
    <row r="61" customFormat="false" ht="15" hidden="false" customHeight="false" outlineLevel="0" collapsed="false">
      <c r="A61" s="2" t="s">
        <v>601</v>
      </c>
      <c r="B61" s="11" t="n">
        <f aca="false">QLearning!E38</f>
        <v>0.375040373352817</v>
      </c>
      <c r="C61" s="48" t="n">
        <f aca="false">Reference_Values!B61</f>
        <v>0.375040373352817</v>
      </c>
      <c r="D61" s="21" t="n">
        <f aca="false">ABS(B61-C61)</f>
        <v>0</v>
      </c>
      <c r="E61" s="49" t="n">
        <v>1E-009</v>
      </c>
      <c r="F61" s="4" t="str">
        <f aca="false">IF(D61&lt;=E61,"PASS","FAIL")</f>
        <v>PASS</v>
      </c>
    </row>
    <row r="62" customFormat="false" ht="15" hidden="false" customHeight="false" outlineLevel="0" collapsed="false">
      <c r="A62" s="2" t="s">
        <v>602</v>
      </c>
      <c r="B62" s="11" t="n">
        <f aca="false">QLearning!F38</f>
        <v>0.444787535010534</v>
      </c>
      <c r="C62" s="48" t="n">
        <f aca="false">Reference_Values!B62</f>
        <v>0.444787535010534</v>
      </c>
      <c r="D62" s="21" t="n">
        <f aca="false">ABS(B62-C62)</f>
        <v>0</v>
      </c>
      <c r="E62" s="49" t="n">
        <v>1E-009</v>
      </c>
      <c r="F62" s="4" t="str">
        <f aca="false">IF(D62&lt;=E62,"PASS","FAIL")</f>
        <v>PASS</v>
      </c>
    </row>
    <row r="63" customFormat="false" ht="15" hidden="false" customHeight="false" outlineLevel="0" collapsed="false">
      <c r="A63" s="2" t="s">
        <v>603</v>
      </c>
      <c r="B63" s="11" t="n">
        <f aca="false">QLearning!G38</f>
        <v>0.548438861252038</v>
      </c>
      <c r="C63" s="48" t="n">
        <f aca="false">Reference_Values!B63</f>
        <v>0.548438861252038</v>
      </c>
      <c r="D63" s="21" t="n">
        <f aca="false">ABS(B63-C63)</f>
        <v>0</v>
      </c>
      <c r="E63" s="49" t="n">
        <v>1E-009</v>
      </c>
      <c r="F63" s="4" t="str">
        <f aca="false">IF(D63&lt;=E63,"PASS","FAIL")</f>
        <v>PASS</v>
      </c>
    </row>
    <row r="64" customFormat="false" ht="15" hidden="false" customHeight="false" outlineLevel="0" collapsed="false">
      <c r="A64" s="2" t="s">
        <v>604</v>
      </c>
      <c r="B64" s="11" t="n">
        <f aca="false">QLearning!H38</f>
        <v>0.631458403485766</v>
      </c>
      <c r="C64" s="48" t="n">
        <f aca="false">Reference_Values!B64</f>
        <v>0.631458403485766</v>
      </c>
      <c r="D64" s="21" t="n">
        <f aca="false">ABS(B64-C64)</f>
        <v>0</v>
      </c>
      <c r="E64" s="49" t="n">
        <v>1E-009</v>
      </c>
      <c r="F64" s="4" t="str">
        <f aca="false">IF(D64&lt;=E64,"PASS","FAIL")</f>
        <v>PASS</v>
      </c>
    </row>
    <row r="65" customFormat="false" ht="15" hidden="false" customHeight="false" outlineLevel="0" collapsed="false">
      <c r="A65" s="2" t="s">
        <v>605</v>
      </c>
      <c r="B65" s="11" t="n">
        <f aca="false">QLearning!I38</f>
        <v>0.64850251841014</v>
      </c>
      <c r="C65" s="48" t="n">
        <f aca="false">Reference_Values!B65</f>
        <v>0.64850251841014</v>
      </c>
      <c r="D65" s="21" t="n">
        <f aca="false">ABS(B65-C65)</f>
        <v>0</v>
      </c>
      <c r="E65" s="49" t="n">
        <v>1E-009</v>
      </c>
      <c r="F65" s="4" t="str">
        <f aca="false">IF(D65&lt;=E65,"PASS","FAIL")</f>
        <v>PASS</v>
      </c>
    </row>
    <row r="66" customFormat="false" ht="15" hidden="false" customHeight="false" outlineLevel="0" collapsed="false">
      <c r="A66" s="2" t="s">
        <v>606</v>
      </c>
      <c r="B66" s="11" t="n">
        <f aca="false">QLearning!J38</f>
        <v>0.656165730187723</v>
      </c>
      <c r="C66" s="48" t="n">
        <f aca="false">Reference_Values!B66</f>
        <v>0.656165730187723</v>
      </c>
      <c r="D66" s="21" t="n">
        <f aca="false">ABS(B66-C66)</f>
        <v>0</v>
      </c>
      <c r="E66" s="49" t="n">
        <v>1E-009</v>
      </c>
      <c r="F66" s="4" t="str">
        <f aca="false">IF(D66&lt;=E66,"PASS","FAIL")</f>
        <v>PASS</v>
      </c>
    </row>
    <row r="67" customFormat="false" ht="15" hidden="false" customHeight="false" outlineLevel="0" collapsed="false">
      <c r="A67" s="2" t="s">
        <v>607</v>
      </c>
      <c r="B67" s="11" t="n">
        <f aca="false">QLearning!K38</f>
        <v>1.40012135331875</v>
      </c>
      <c r="C67" s="48" t="n">
        <f aca="false">Reference_Values!B67</f>
        <v>1.40012135331875</v>
      </c>
      <c r="D67" s="21" t="n">
        <f aca="false">ABS(B67-C67)</f>
        <v>0</v>
      </c>
      <c r="E67" s="49" t="n">
        <v>1E-009</v>
      </c>
      <c r="F67" s="4" t="str">
        <f aca="false">IF(D67&lt;=E67,"PASS","FAIL")</f>
        <v>PASS</v>
      </c>
    </row>
    <row r="68" customFormat="false" ht="15" hidden="false" customHeight="false" outlineLevel="0" collapsed="false">
      <c r="A68" s="2" t="s">
        <v>608</v>
      </c>
      <c r="B68" s="11" t="n">
        <f aca="false">QLearning!B88</f>
        <v>52286.8528239611</v>
      </c>
      <c r="C68" s="48" t="n">
        <f aca="false">Reference_Values!B68</f>
        <v>52286.8528239611</v>
      </c>
      <c r="D68" s="21" t="n">
        <f aca="false">ABS(B68-C68)</f>
        <v>0</v>
      </c>
      <c r="E68" s="49" t="n">
        <v>1E-006</v>
      </c>
      <c r="F68" s="4" t="str">
        <f aca="false">IF(D68&lt;=E68,"PASS","FAIL")</f>
        <v>PASS</v>
      </c>
    </row>
    <row r="69" customFormat="false" ht="15" hidden="false" customHeight="false" outlineLevel="0" collapsed="false">
      <c r="A69" s="2" t="s">
        <v>609</v>
      </c>
      <c r="B69" s="11" t="n">
        <f aca="false">QLearning!B89</f>
        <v>52.2868528239611</v>
      </c>
      <c r="C69" s="48" t="n">
        <f aca="false">Reference_Values!B69</f>
        <v>52.2868528239611</v>
      </c>
      <c r="D69" s="21" t="n">
        <f aca="false">ABS(B69-C69)</f>
        <v>0</v>
      </c>
      <c r="E69" s="49" t="n">
        <v>1E-009</v>
      </c>
      <c r="F69" s="4" t="str">
        <f aca="false">IF(D69&lt;=E69,"PASS","FAIL")</f>
        <v>PASS</v>
      </c>
    </row>
    <row r="70" customFormat="false" ht="15" hidden="false" customHeight="false" outlineLevel="0" collapsed="false">
      <c r="A70" s="2" t="s">
        <v>298</v>
      </c>
      <c r="B70" s="11" t="n">
        <f aca="false">QLearning!B91</f>
        <v>500000</v>
      </c>
      <c r="C70" s="48" t="n">
        <f aca="false">Reference_Values!B70</f>
        <v>500000</v>
      </c>
      <c r="D70" s="21" t="n">
        <f aca="false">ABS(B70-C70)</f>
        <v>0</v>
      </c>
      <c r="E70" s="49" t="n">
        <v>0</v>
      </c>
      <c r="F70" s="4" t="str">
        <f aca="false">IF(D70&lt;=E70,"PASS","FAIL")</f>
        <v>PASS</v>
      </c>
    </row>
    <row r="71" customFormat="false" ht="15" hidden="false" customHeight="false" outlineLevel="0" collapsed="false">
      <c r="A71" s="2" t="s">
        <v>611</v>
      </c>
      <c r="B71" s="11" t="n">
        <f aca="false">QLearning!B98</f>
        <v>121.185972635087</v>
      </c>
      <c r="C71" s="48" t="n">
        <f aca="false">Reference_Values!B71</f>
        <v>121.185972635087</v>
      </c>
      <c r="D71" s="21" t="n">
        <f aca="false">ABS(B71-C71)</f>
        <v>0</v>
      </c>
      <c r="E71" s="49" t="n">
        <v>1E-009</v>
      </c>
      <c r="F71" s="4" t="str">
        <f aca="false">IF(D71&lt;=E71,"PASS","FAIL")</f>
        <v>PASS</v>
      </c>
    </row>
    <row r="72" customFormat="false" ht="15" hidden="false" customHeight="false" outlineLevel="0" collapsed="false">
      <c r="A72" s="2" t="s">
        <v>613</v>
      </c>
      <c r="B72" s="11" t="n">
        <f aca="false">QLearning!B99</f>
        <v>133.511176682214</v>
      </c>
      <c r="C72" s="48" t="n">
        <f aca="false">Reference_Values!B72</f>
        <v>133.511176682214</v>
      </c>
      <c r="D72" s="21" t="n">
        <f aca="false">ABS(B72-C72)</f>
        <v>0</v>
      </c>
      <c r="E72" s="49" t="n">
        <v>1E-009</v>
      </c>
      <c r="F72" s="4" t="str">
        <f aca="false">IF(D72&lt;=E72,"PASS","FAIL")</f>
        <v>PASS</v>
      </c>
    </row>
    <row r="73" customFormat="false" ht="15" hidden="false" customHeight="false" outlineLevel="0" collapsed="false">
      <c r="A73" s="2" t="s">
        <v>614</v>
      </c>
      <c r="B73" s="11" t="n">
        <f aca="false">QLearning!B100</f>
        <v>105.660304684223</v>
      </c>
      <c r="C73" s="48" t="n">
        <f aca="false">Reference_Values!B73</f>
        <v>105.660304684223</v>
      </c>
      <c r="D73" s="21" t="n">
        <f aca="false">ABS(B73-C73)</f>
        <v>0</v>
      </c>
      <c r="E73" s="49" t="n">
        <v>1E-009</v>
      </c>
      <c r="F73" s="4" t="str">
        <f aca="false">IF(D73&lt;=E73,"PASS","FAIL")</f>
        <v>PASS</v>
      </c>
    </row>
    <row r="74" customFormat="false" ht="15" hidden="false" customHeight="false" outlineLevel="0" collapsed="false">
      <c r="A74" s="2" t="s">
        <v>615</v>
      </c>
      <c r="B74" s="11" t="n">
        <f aca="false">Bandit!B29</f>
        <v>55.75</v>
      </c>
      <c r="C74" s="48" t="n">
        <f aca="false">Reference_Values!B74</f>
        <v>55.75</v>
      </c>
      <c r="D74" s="21" t="n">
        <f aca="false">ABS(B74-C74)</f>
        <v>0</v>
      </c>
      <c r="E74" s="49" t="n">
        <v>1E-009</v>
      </c>
      <c r="F74" s="4" t="str">
        <f aca="false">IF(D74&lt;=E74,"PASS","FAIL")</f>
        <v>PASS</v>
      </c>
    </row>
    <row r="75" customFormat="false" ht="15" hidden="false" customHeight="false" outlineLevel="0" collapsed="false">
      <c r="A75" s="2" t="s">
        <v>616</v>
      </c>
      <c r="B75" s="11" t="n">
        <f aca="false">Bandit!B30</f>
        <v>0.160702944613973</v>
      </c>
      <c r="C75" s="48" t="n">
        <f aca="false">Reference_Values!B75</f>
        <v>0.160702944614002</v>
      </c>
      <c r="D75" s="21" t="n">
        <f aca="false">ABS(B75-C75)</f>
        <v>2.8421709430404E-014</v>
      </c>
      <c r="E75" s="49" t="n">
        <v>1E-009</v>
      </c>
      <c r="F75" s="4" t="str">
        <f aca="false">IF(D75&lt;=E75,"PASS","FAIL")</f>
        <v>PASS</v>
      </c>
    </row>
    <row r="76" customFormat="false" ht="15" hidden="false" customHeight="false" outlineLevel="0" collapsed="false">
      <c r="A76" s="2" t="s">
        <v>617</v>
      </c>
      <c r="B76" s="11" t="n">
        <f aca="false">Bandit!B31</f>
        <v>1.00588885575738</v>
      </c>
      <c r="C76" s="48" t="n">
        <f aca="false">Reference_Values!B76</f>
        <v>1.00588885575743</v>
      </c>
      <c r="D76" s="21" t="n">
        <f aca="false">ABS(B76-C76)</f>
        <v>5.6399329650958E-014</v>
      </c>
      <c r="E76" s="49" t="n">
        <v>1E-009</v>
      </c>
      <c r="F76" s="4" t="str">
        <f aca="false">IF(D76&lt;=E76,"PASS","FAIL")</f>
        <v>PASS</v>
      </c>
    </row>
    <row r="77" customFormat="false" ht="15" hidden="false" customHeight="false" outlineLevel="0" collapsed="false">
      <c r="A77" s="2" t="s">
        <v>618</v>
      </c>
      <c r="B77" s="11" t="n">
        <f aca="false">Bandit!J21</f>
        <v>20372.4002300278</v>
      </c>
      <c r="C77" s="48" t="n">
        <f aca="false">Reference_Values!B77</f>
        <v>20372.4002300313</v>
      </c>
      <c r="D77" s="21" t="n">
        <f aca="false">ABS(B77-C77)</f>
        <v>3.57249518856406E-009</v>
      </c>
      <c r="E77" s="49" t="n">
        <v>1E-006</v>
      </c>
      <c r="F77" s="4" t="str">
        <f aca="false">IF(D77&lt;=E77,"PASS","FAIL")</f>
        <v>PASS</v>
      </c>
    </row>
    <row r="78" customFormat="false" ht="15" hidden="false" customHeight="false" outlineLevel="0" collapsed="false">
      <c r="A78" s="2" t="s">
        <v>620</v>
      </c>
      <c r="B78" s="11" t="n">
        <f aca="false">Bandit!K21</f>
        <v>12497.9563847629</v>
      </c>
      <c r="C78" s="48" t="n">
        <f aca="false">Reference_Values!B78</f>
        <v>12497.9563847616</v>
      </c>
      <c r="D78" s="21" t="n">
        <f aca="false">ABS(B78-C78)</f>
        <v>1.27511157188565E-009</v>
      </c>
      <c r="E78" s="49" t="n">
        <v>1E-006</v>
      </c>
      <c r="F78" s="4" t="str">
        <f aca="false">IF(D78&lt;=E78,"PASS","FAIL")</f>
        <v>PASS</v>
      </c>
    </row>
    <row r="79" customFormat="false" ht="15" hidden="false" customHeight="false" outlineLevel="0" collapsed="false">
      <c r="A79" s="2" t="s">
        <v>622</v>
      </c>
      <c r="B79" s="11" t="n">
        <f aca="false">Bandit!L21</f>
        <v>7357.32244097352</v>
      </c>
      <c r="C79" s="48" t="n">
        <f aca="false">Reference_Values!B79</f>
        <v>7357.32244097391</v>
      </c>
      <c r="D79" s="21" t="n">
        <f aca="false">ABS(B79-C79)</f>
        <v>3.91082721762359E-010</v>
      </c>
      <c r="E79" s="49" t="n">
        <v>1E-006</v>
      </c>
      <c r="F79" s="4" t="str">
        <f aca="false">IF(D79&lt;=E79,"PASS","FAIL")</f>
        <v>PASS</v>
      </c>
    </row>
    <row r="80" customFormat="false" ht="15" hidden="false" customHeight="false" outlineLevel="0" collapsed="false">
      <c r="A80" s="2" t="s">
        <v>624</v>
      </c>
      <c r="B80" s="11" t="n">
        <f aca="false">Bandit!B49</f>
        <v>55.5</v>
      </c>
      <c r="C80" s="48" t="n">
        <f aca="false">Reference_Values!B80</f>
        <v>55.5</v>
      </c>
      <c r="D80" s="21" t="n">
        <f aca="false">ABS(B80-C80)</f>
        <v>0</v>
      </c>
      <c r="E80" s="49" t="n">
        <v>1E-009</v>
      </c>
      <c r="F80" s="4" t="str">
        <f aca="false">IF(D80&lt;=E80,"PASS","FAIL")</f>
        <v>PASS</v>
      </c>
    </row>
    <row r="81" customFormat="false" ht="15" hidden="false" customHeight="false" outlineLevel="0" collapsed="false">
      <c r="A81" s="2" t="s">
        <v>626</v>
      </c>
      <c r="B81" s="11" t="n">
        <f aca="false">Bandit!B51</f>
        <v>20000</v>
      </c>
      <c r="C81" s="48" t="n">
        <f aca="false">Reference_Values!B81</f>
        <v>20000</v>
      </c>
      <c r="D81" s="21" t="n">
        <f aca="false">ABS(B81-C81)</f>
        <v>0</v>
      </c>
      <c r="E81" s="49" t="n">
        <v>1E-009</v>
      </c>
      <c r="F81" s="4" t="str">
        <f aca="false">IF(D81&lt;=E81,"PASS","FAIL")</f>
        <v>PASS</v>
      </c>
    </row>
    <row r="82" customFormat="false" ht="15" hidden="false" customHeight="false" outlineLevel="0" collapsed="false">
      <c r="A82" s="2" t="s">
        <v>317</v>
      </c>
      <c r="B82" s="11" t="n">
        <f aca="false">Bandit!B5</f>
        <v>200000</v>
      </c>
      <c r="C82" s="48" t="n">
        <f aca="false">Reference_Values!B82</f>
        <v>200000</v>
      </c>
      <c r="D82" s="21" t="n">
        <f aca="false">ABS(B82-C82)</f>
        <v>0</v>
      </c>
      <c r="E82" s="49" t="n">
        <v>0</v>
      </c>
      <c r="F82" s="4" t="str">
        <f aca="false">IF(D82&lt;=E82,"PASS","FAIL")</f>
        <v>PASS</v>
      </c>
    </row>
    <row r="83" customFormat="false" ht="15" hidden="false" customHeight="false" outlineLevel="0" collapsed="false">
      <c r="A83" s="2" t="s">
        <v>628</v>
      </c>
      <c r="B83" s="11" t="n">
        <f aca="false">Swings!B5</f>
        <v>88.0624698490895</v>
      </c>
      <c r="C83" s="48" t="n">
        <f aca="false">Reference_Values!B83</f>
        <v>88.0624698490895</v>
      </c>
      <c r="D83" s="21" t="n">
        <f aca="false">ABS(B83-C83)</f>
        <v>0</v>
      </c>
      <c r="E83" s="49" t="n">
        <v>1E-009</v>
      </c>
      <c r="F83" s="4" t="str">
        <f aca="false">IF(D83&lt;=E83,"PASS","FAIL")</f>
        <v>PASS</v>
      </c>
    </row>
    <row r="84" customFormat="false" ht="15" hidden="false" customHeight="false" outlineLevel="0" collapsed="false">
      <c r="A84" s="2" t="s">
        <v>630</v>
      </c>
      <c r="B84" s="11" t="n">
        <f aca="false">Swings!E10</f>
        <v>1.16972062879334</v>
      </c>
      <c r="C84" s="48" t="n">
        <f aca="false">Reference_Values!B84</f>
        <v>1.16972062879334</v>
      </c>
      <c r="D84" s="21" t="n">
        <f aca="false">ABS(B84-C84)</f>
        <v>0</v>
      </c>
      <c r="E84" s="49" t="n">
        <v>1E-009</v>
      </c>
      <c r="F84" s="4" t="str">
        <f aca="false">IF(D84&lt;=E84,"PASS","FAIL")</f>
        <v>PASS</v>
      </c>
    </row>
    <row r="85" customFormat="false" ht="15" hidden="false" customHeight="false" outlineLevel="0" collapsed="false">
      <c r="A85" s="2" t="s">
        <v>631</v>
      </c>
      <c r="B85" s="11" t="n">
        <f aca="false">Swings!F10</f>
        <v>5.03615287384906</v>
      </c>
      <c r="C85" s="48" t="n">
        <f aca="false">Reference_Values!B85</f>
        <v>5.03615287384906</v>
      </c>
      <c r="D85" s="21" t="n">
        <f aca="false">ABS(B85-C85)</f>
        <v>0</v>
      </c>
      <c r="E85" s="49" t="n">
        <v>1E-009</v>
      </c>
      <c r="F85" s="4" t="str">
        <f aca="false">IF(D85&lt;=E85,"PASS","FAIL")</f>
        <v>PASS</v>
      </c>
    </row>
    <row r="86" customFormat="false" ht="15" hidden="false" customHeight="false" outlineLevel="0" collapsed="false">
      <c r="A86" s="2" t="s">
        <v>632</v>
      </c>
      <c r="B86" s="11" t="n">
        <f aca="false">Swings!D10</f>
        <v>5.03615287384906</v>
      </c>
      <c r="C86" s="48" t="n">
        <f aca="false">Reference_Values!B86</f>
        <v>5.03615287384906</v>
      </c>
      <c r="D86" s="21" t="n">
        <f aca="false">ABS(B86-C86)</f>
        <v>0</v>
      </c>
      <c r="E86" s="49" t="n">
        <v>1E-009</v>
      </c>
      <c r="F86" s="4" t="str">
        <f aca="false">IF(D86&lt;=E86,"PASS","FAIL")</f>
        <v>PASS</v>
      </c>
    </row>
    <row r="87" customFormat="false" ht="15" hidden="false" customHeight="false" outlineLevel="0" collapsed="false">
      <c r="A87" s="2" t="s">
        <v>633</v>
      </c>
      <c r="B87" s="11" t="n">
        <f aca="false">Swings!G10</f>
        <v>86</v>
      </c>
      <c r="C87" s="48" t="n">
        <f aca="false">Reference_Values!B87</f>
        <v>86</v>
      </c>
      <c r="D87" s="21" t="n">
        <f aca="false">ABS(B87-C87)</f>
        <v>0</v>
      </c>
      <c r="E87" s="49" t="n">
        <v>0</v>
      </c>
      <c r="F87" s="4" t="str">
        <f aca="false">IF(D87&lt;=E87,"PASS","FAIL")</f>
        <v>PASS</v>
      </c>
    </row>
    <row r="88" customFormat="false" ht="15" hidden="false" customHeight="false" outlineLevel="0" collapsed="false">
      <c r="A88" s="2" t="s">
        <v>634</v>
      </c>
      <c r="B88" s="11" t="n">
        <f aca="false">Swings!E11</f>
        <v>0.301937157254348</v>
      </c>
      <c r="C88" s="48" t="n">
        <f aca="false">Reference_Values!B88</f>
        <v>0.301937157254348</v>
      </c>
      <c r="D88" s="21" t="n">
        <f aca="false">ABS(B88-C88)</f>
        <v>0</v>
      </c>
      <c r="E88" s="49" t="n">
        <v>1E-009</v>
      </c>
      <c r="F88" s="4" t="str">
        <f aca="false">IF(D88&lt;=E88,"PASS","FAIL")</f>
        <v>PASS</v>
      </c>
    </row>
    <row r="89" customFormat="false" ht="15" hidden="false" customHeight="false" outlineLevel="0" collapsed="false">
      <c r="A89" s="2" t="s">
        <v>635</v>
      </c>
      <c r="B89" s="11" t="n">
        <f aca="false">Swings!F11</f>
        <v>0.713021460896897</v>
      </c>
      <c r="C89" s="48" t="n">
        <f aca="false">Reference_Values!B89</f>
        <v>0.713021460896897</v>
      </c>
      <c r="D89" s="21" t="n">
        <f aca="false">ABS(B89-C89)</f>
        <v>0</v>
      </c>
      <c r="E89" s="49" t="n">
        <v>1E-009</v>
      </c>
      <c r="F89" s="4" t="str">
        <f aca="false">IF(D89&lt;=E89,"PASS","FAIL")</f>
        <v>PASS</v>
      </c>
    </row>
    <row r="90" customFormat="false" ht="15" hidden="false" customHeight="false" outlineLevel="0" collapsed="false">
      <c r="A90" s="2" t="s">
        <v>636</v>
      </c>
      <c r="B90" s="11" t="n">
        <f aca="false">Swings!D11</f>
        <v>5.03615287384906</v>
      </c>
      <c r="C90" s="48" t="n">
        <f aca="false">Reference_Values!B90</f>
        <v>5.03615287384906</v>
      </c>
      <c r="D90" s="21" t="n">
        <f aca="false">ABS(B90-C90)</f>
        <v>0</v>
      </c>
      <c r="E90" s="49" t="n">
        <v>1E-009</v>
      </c>
      <c r="F90" s="4" t="str">
        <f aca="false">IF(D90&lt;=E90,"PASS","FAIL")</f>
        <v>PASS</v>
      </c>
    </row>
    <row r="91" customFormat="false" ht="15" hidden="false" customHeight="false" outlineLevel="0" collapsed="false">
      <c r="A91" s="2" t="s">
        <v>637</v>
      </c>
      <c r="B91" s="11" t="n">
        <f aca="false">Swings!G11</f>
        <v>137</v>
      </c>
      <c r="C91" s="48" t="n">
        <f aca="false">Reference_Values!B91</f>
        <v>137</v>
      </c>
      <c r="D91" s="21" t="n">
        <f aca="false">ABS(B91-C91)</f>
        <v>0</v>
      </c>
      <c r="E91" s="49" t="n">
        <v>0</v>
      </c>
      <c r="F91" s="4" t="str">
        <f aca="false">IF(D91&lt;=E91,"PASS","FAIL")</f>
        <v>PASS</v>
      </c>
    </row>
    <row r="92" customFormat="false" ht="15" hidden="false" customHeight="false" outlineLevel="0" collapsed="false">
      <c r="A92" s="2" t="s">
        <v>638</v>
      </c>
      <c r="B92" s="11" t="n">
        <f aca="false">Swings!E12</f>
        <v>0.0524303406587127</v>
      </c>
      <c r="C92" s="48" t="n">
        <f aca="false">Reference_Values!B92</f>
        <v>0.0524303406587127</v>
      </c>
      <c r="D92" s="21" t="n">
        <f aca="false">ABS(B92-C92)</f>
        <v>0</v>
      </c>
      <c r="E92" s="49" t="n">
        <v>1E-009</v>
      </c>
      <c r="F92" s="4" t="str">
        <f aca="false">IF(D92&lt;=E92,"PASS","FAIL")</f>
        <v>PASS</v>
      </c>
    </row>
    <row r="93" customFormat="false" ht="15" hidden="false" customHeight="false" outlineLevel="0" collapsed="false">
      <c r="A93" s="2" t="s">
        <v>639</v>
      </c>
      <c r="B93" s="11" t="n">
        <f aca="false">Swings!F12</f>
        <v>0.115817627028463</v>
      </c>
      <c r="C93" s="48" t="n">
        <f aca="false">Reference_Values!B93</f>
        <v>0.115817627028463</v>
      </c>
      <c r="D93" s="21" t="n">
        <f aca="false">ABS(B93-C93)</f>
        <v>0</v>
      </c>
      <c r="E93" s="49" t="n">
        <v>1E-009</v>
      </c>
      <c r="F93" s="4" t="str">
        <f aca="false">IF(D93&lt;=E93,"PASS","FAIL")</f>
        <v>PASS</v>
      </c>
    </row>
    <row r="94" customFormat="false" ht="15" hidden="false" customHeight="false" outlineLevel="0" collapsed="false">
      <c r="A94" s="2" t="s">
        <v>640</v>
      </c>
      <c r="B94" s="11" t="n">
        <f aca="false">Swings!D12</f>
        <v>2.12010750248993</v>
      </c>
      <c r="C94" s="48" t="n">
        <f aca="false">Reference_Values!B94</f>
        <v>2.12010750248993</v>
      </c>
      <c r="D94" s="21" t="n">
        <f aca="false">ABS(B94-C94)</f>
        <v>0</v>
      </c>
      <c r="E94" s="49" t="n">
        <v>1E-009</v>
      </c>
      <c r="F94" s="4" t="str">
        <f aca="false">IF(D94&lt;=E94,"PASS","FAIL")</f>
        <v>PASS</v>
      </c>
    </row>
    <row r="95" customFormat="false" ht="15" hidden="false" customHeight="false" outlineLevel="0" collapsed="false">
      <c r="A95" s="2" t="s">
        <v>641</v>
      </c>
      <c r="B95" s="11" t="n">
        <f aca="false">Swings!G12</f>
        <v>171</v>
      </c>
      <c r="C95" s="48" t="n">
        <f aca="false">Reference_Values!B95</f>
        <v>171</v>
      </c>
      <c r="D95" s="21" t="n">
        <f aca="false">ABS(B95-C95)</f>
        <v>0</v>
      </c>
      <c r="E95" s="49" t="n">
        <v>0</v>
      </c>
      <c r="F95" s="4" t="str">
        <f aca="false">IF(D95&lt;=E95,"PASS","FAIL")</f>
        <v>PASS</v>
      </c>
    </row>
    <row r="96" customFormat="false" ht="15" hidden="false" customHeight="false" outlineLevel="0" collapsed="false">
      <c r="A96" s="2" t="s">
        <v>642</v>
      </c>
      <c r="B96" s="11" t="n">
        <f aca="false">Practice!J5</f>
        <v>-63.4622588659392</v>
      </c>
      <c r="C96" s="48" t="n">
        <f aca="false">Reference_Values!B96</f>
        <v>-63.4622588659371</v>
      </c>
      <c r="D96" s="21" t="n">
        <f aca="false">ABS(B96-C96)</f>
        <v>2.1387336346379E-012</v>
      </c>
      <c r="E96" s="49" t="n">
        <v>1E-006</v>
      </c>
      <c r="F96" s="4" t="str">
        <f aca="false">IF(D96&lt;=E96,"PASS","FAIL")</f>
        <v>PASS</v>
      </c>
    </row>
    <row r="97" customFormat="false" ht="15" hidden="false" customHeight="false" outlineLevel="0" collapsed="false">
      <c r="A97" s="2" t="s">
        <v>643</v>
      </c>
      <c r="B97" s="11" t="n">
        <f aca="false">Practice!J6</f>
        <v>2.03560989867498</v>
      </c>
      <c r="C97" s="48" t="n">
        <f aca="false">Reference_Values!B97</f>
        <v>2.03560989867494</v>
      </c>
      <c r="D97" s="21" t="n">
        <f aca="false">ABS(B97-C97)</f>
        <v>3.68594044175552E-014</v>
      </c>
      <c r="E97" s="49" t="n">
        <v>1E-008</v>
      </c>
      <c r="F97" s="4" t="str">
        <f aca="false">IF(D97&lt;=E97,"PASS","FAIL")</f>
        <v>PASS</v>
      </c>
    </row>
    <row r="98" customFormat="false" ht="15" hidden="false" customHeight="false" outlineLevel="0" collapsed="false">
      <c r="A98" s="2" t="s">
        <v>644</v>
      </c>
      <c r="B98" s="11" t="n">
        <f aca="false">Practice!J7</f>
        <v>2.21940763834762</v>
      </c>
      <c r="C98" s="48" t="n">
        <f aca="false">Reference_Values!B98</f>
        <v>2.21940763834758</v>
      </c>
      <c r="D98" s="21" t="n">
        <f aca="false">ABS(B98-C98)</f>
        <v>4.08562073062058E-014</v>
      </c>
      <c r="E98" s="49" t="n">
        <v>1E-008</v>
      </c>
      <c r="F98" s="4" t="str">
        <f aca="false">IF(D98&lt;=E98,"PASS","FAIL")</f>
        <v>PASS</v>
      </c>
    </row>
    <row r="99" customFormat="false" ht="15" hidden="false" customHeight="false" outlineLevel="0" collapsed="false">
      <c r="A99" s="2" t="s">
        <v>646</v>
      </c>
      <c r="B99" s="11" t="n">
        <f aca="false">Practice!J8</f>
        <v>-0.984954830075938</v>
      </c>
      <c r="C99" s="48" t="n">
        <f aca="false">Reference_Values!B99</f>
        <v>-0.984954830075938</v>
      </c>
      <c r="D99" s="21" t="n">
        <f aca="false">ABS(B99-C99)</f>
        <v>0</v>
      </c>
      <c r="E99" s="49" t="n">
        <v>1E-009</v>
      </c>
      <c r="F99" s="4" t="str">
        <f aca="false">IF(D99&lt;=E99,"PASS","FAIL")</f>
        <v>PASS</v>
      </c>
    </row>
    <row r="100" customFormat="false" ht="15" hidden="false" customHeight="false" outlineLevel="0" collapsed="false">
      <c r="A100" s="2" t="s">
        <v>648</v>
      </c>
      <c r="B100" s="11" t="n">
        <f aca="false">Practice!T6</f>
        <v>-4.54191114836661</v>
      </c>
      <c r="C100" s="48" t="n">
        <f aca="false">Reference_Values!B100</f>
        <v>-4.54191114836661</v>
      </c>
      <c r="D100" s="21" t="n">
        <f aca="false">ABS(B100-C100)</f>
        <v>0</v>
      </c>
      <c r="E100" s="49" t="n">
        <v>1E-009</v>
      </c>
      <c r="F100" s="4" t="str">
        <f aca="false">IF(D100&lt;=E100,"PASS","FAIL")</f>
        <v>PASS</v>
      </c>
    </row>
    <row r="101" customFormat="false" ht="15" hidden="false" customHeight="false" outlineLevel="0" collapsed="false">
      <c r="A101" s="2" t="s">
        <v>649</v>
      </c>
      <c r="B101" s="11" t="n">
        <f aca="false">Practice!T7</f>
        <v>5.35412361450326</v>
      </c>
      <c r="C101" s="48" t="n">
        <f aca="false">Reference_Values!B101</f>
        <v>5.35412361450326</v>
      </c>
      <c r="D101" s="21" t="n">
        <f aca="false">ABS(B101-C101)</f>
        <v>0</v>
      </c>
      <c r="E101" s="49" t="n">
        <v>1E-009</v>
      </c>
      <c r="F101" s="4" t="str">
        <f aca="false">IF(D101&lt;=E101,"PASS","FAIL")</f>
        <v>PASS</v>
      </c>
    </row>
    <row r="102" customFormat="false" ht="15" hidden="false" customHeight="false" outlineLevel="0" collapsed="false">
      <c r="A102" s="2" t="s">
        <v>650</v>
      </c>
      <c r="B102" s="11" t="n">
        <f aca="false">Practice!T8</f>
        <v>76</v>
      </c>
      <c r="C102" s="48" t="n">
        <f aca="false">Reference_Values!B102</f>
        <v>76</v>
      </c>
      <c r="D102" s="21" t="n">
        <f aca="false">ABS(B102-C102)</f>
        <v>0</v>
      </c>
      <c r="E102" s="49" t="n">
        <v>0</v>
      </c>
      <c r="F102" s="4" t="str">
        <f aca="false">IF(D102&lt;=E102,"PASS","FAIL")</f>
        <v>PASS</v>
      </c>
    </row>
    <row r="103" customFormat="false" ht="15" hidden="false" customHeight="false" outlineLevel="0" collapsed="false">
      <c r="A103" s="2" t="s">
        <v>651</v>
      </c>
      <c r="B103" s="11" t="n">
        <f aca="false">Practice!T9</f>
        <v>66</v>
      </c>
      <c r="C103" s="48" t="n">
        <f aca="false">Reference_Values!B103</f>
        <v>66</v>
      </c>
      <c r="D103" s="21" t="n">
        <f aca="false">ABS(B103-C103)</f>
        <v>0</v>
      </c>
      <c r="E103" s="49" t="n">
        <v>0</v>
      </c>
      <c r="F103" s="4" t="str">
        <f aca="false">IF(D103&lt;=E103,"PASS","FAIL")</f>
        <v>PASS</v>
      </c>
    </row>
    <row r="104" customFormat="false" ht="15" hidden="false" customHeight="false" outlineLevel="0" collapsed="false">
      <c r="A104" s="2" t="s">
        <v>652</v>
      </c>
      <c r="B104" s="11" t="n">
        <f aca="false">Practice!T10</f>
        <v>0</v>
      </c>
      <c r="C104" s="48" t="n">
        <f aca="false">Reference_Values!B104</f>
        <v>0</v>
      </c>
      <c r="D104" s="21" t="n">
        <f aca="false">ABS(B104-C104)</f>
        <v>0</v>
      </c>
      <c r="E104" s="49" t="n">
        <v>0</v>
      </c>
      <c r="F104" s="4" t="str">
        <f aca="false">IF(D104&lt;=E104,"PASS","FAIL")</f>
        <v>PASS</v>
      </c>
    </row>
    <row r="105" customFormat="false" ht="15" hidden="false" customHeight="false" outlineLevel="0" collapsed="false">
      <c r="A105" s="2" t="s">
        <v>654</v>
      </c>
      <c r="B105" s="11" t="n">
        <f aca="false">Practice!T11</f>
        <v>28</v>
      </c>
      <c r="C105" s="48" t="n">
        <f aca="false">Reference_Values!B105</f>
        <v>28</v>
      </c>
      <c r="D105" s="21" t="n">
        <f aca="false">ABS(B105-C105)</f>
        <v>0</v>
      </c>
      <c r="E105" s="49" t="n">
        <v>0</v>
      </c>
      <c r="F105" s="4" t="str">
        <f aca="false">IF(D105&lt;=E105,"PASS","FAIL")</f>
        <v>PASS</v>
      </c>
    </row>
    <row r="106" customFormat="false" ht="15" hidden="false" customHeight="false" outlineLevel="0" collapsed="false">
      <c r="A106" s="2" t="s">
        <v>655</v>
      </c>
      <c r="B106" s="11" t="n">
        <f aca="false">Practice!T12</f>
        <v>42.6993657760755</v>
      </c>
      <c r="C106" s="48" t="n">
        <f aca="false">Reference_Values!B106</f>
        <v>42.6993657760755</v>
      </c>
      <c r="D106" s="21" t="n">
        <f aca="false">ABS(B106-C106)</f>
        <v>0</v>
      </c>
      <c r="E106" s="49" t="n">
        <v>1E-009</v>
      </c>
      <c r="F106" s="4" t="str">
        <f aca="false">IF(D106&lt;=E106,"PASS","FAIL")</f>
        <v>PASS</v>
      </c>
    </row>
    <row r="107" customFormat="false" ht="15" hidden="false" customHeight="false" outlineLevel="0" collapsed="false">
      <c r="A107" s="2" t="s">
        <v>656</v>
      </c>
      <c r="B107" s="11" t="n">
        <f aca="false">Practice!T13</f>
        <v>1029.74334219024</v>
      </c>
      <c r="C107" s="48" t="n">
        <f aca="false">Reference_Values!B107</f>
        <v>1029.74334219024</v>
      </c>
      <c r="D107" s="21" t="n">
        <f aca="false">ABS(B107-C107)</f>
        <v>0</v>
      </c>
      <c r="E107" s="49" t="n">
        <v>1E-009</v>
      </c>
      <c r="F107" s="4" t="str">
        <f aca="false">IF(D107&lt;=E107,"PASS","FAIL")</f>
        <v>PASS</v>
      </c>
    </row>
    <row r="108" customFormat="false" ht="15" hidden="false" customHeight="false" outlineLevel="0" collapsed="false">
      <c r="A108" s="2" t="s">
        <v>657</v>
      </c>
      <c r="B108" s="11" t="n">
        <f aca="false">Company!B12</f>
        <v>1</v>
      </c>
      <c r="C108" s="48" t="n">
        <f aca="false">Reference_Values!B108</f>
        <v>1</v>
      </c>
      <c r="D108" s="21" t="n">
        <f aca="false">ABS(B108-C108)</f>
        <v>0</v>
      </c>
      <c r="E108" s="49" t="n">
        <v>0</v>
      </c>
      <c r="F108" s="4" t="str">
        <f aca="false">IF(D108&lt;=E108,"PASS","FAIL")</f>
        <v>PASS</v>
      </c>
    </row>
    <row r="109" customFormat="false" ht="15" hidden="false" customHeight="false" outlineLevel="0" collapsed="false">
      <c r="A109" s="2" t="s">
        <v>659</v>
      </c>
      <c r="B109" s="11" t="n">
        <f aca="false">Table14_3!C9</f>
        <v>1.26061112029327</v>
      </c>
      <c r="C109" s="48" t="n">
        <f aca="false">Reference_Values!B109</f>
        <v>1.26061112029327</v>
      </c>
      <c r="D109" s="21" t="n">
        <f aca="false">ABS(B109-C109)</f>
        <v>0</v>
      </c>
      <c r="E109" s="49" t="n">
        <v>1E-009</v>
      </c>
      <c r="F109" s="4" t="str">
        <f aca="false">IF(D109&lt;=E109,"PASS","FAIL")</f>
        <v>PASS</v>
      </c>
    </row>
    <row r="110" customFormat="false" ht="15" hidden="false" customHeight="false" outlineLevel="0" collapsed="false">
      <c r="A110" s="2" t="s">
        <v>661</v>
      </c>
      <c r="B110" s="11" t="n">
        <f aca="false">Examples!B26</f>
        <v>20</v>
      </c>
      <c r="C110" s="48" t="n">
        <f aca="false">Reference_Values!B110</f>
        <v>20</v>
      </c>
      <c r="D110" s="21" t="n">
        <f aca="false">ABS(B110-C110)</f>
        <v>0</v>
      </c>
      <c r="E110" s="49" t="n">
        <v>0</v>
      </c>
      <c r="F110" s="4" t="str">
        <f aca="false">IF(D110&lt;=E110,"PASS","FAIL")</f>
        <v>PASS</v>
      </c>
    </row>
    <row r="111" customFormat="false" ht="15" hidden="false" customHeight="false" outlineLevel="0" collapsed="false">
      <c r="A111" s="2" t="s">
        <v>663</v>
      </c>
      <c r="B111" s="11" t="n">
        <f aca="false">Examples!B27</f>
        <v>0</v>
      </c>
      <c r="C111" s="48" t="n">
        <f aca="false">Reference_Values!B111</f>
        <v>0</v>
      </c>
      <c r="D111" s="21" t="n">
        <f aca="false">ABS(B111-C111)</f>
        <v>0</v>
      </c>
      <c r="E111" s="49" t="n">
        <v>0</v>
      </c>
      <c r="F111" s="4" t="str">
        <f aca="false">IF(D111&lt;=E111,"PASS","FAIL")</f>
        <v>PASS</v>
      </c>
    </row>
    <row r="112" customFormat="false" ht="15" hidden="false" customHeight="false" outlineLevel="0" collapsed="false">
      <c r="A112" s="2" t="s">
        <v>665</v>
      </c>
      <c r="B112" s="11" t="n">
        <f aca="false">Examples!B28</f>
        <v>0.5</v>
      </c>
      <c r="C112" s="48" t="n">
        <f aca="false">Reference_Values!B112</f>
        <v>0.5</v>
      </c>
      <c r="D112" s="21" t="n">
        <f aca="false">ABS(B112-C112)</f>
        <v>0</v>
      </c>
      <c r="E112" s="49" t="n">
        <v>1E-012</v>
      </c>
      <c r="F112" s="4" t="str">
        <f aca="false">IF(D112&lt;=E112,"PASS","FAIL")</f>
        <v>PASS</v>
      </c>
    </row>
    <row r="113" customFormat="false" ht="15" hidden="false" customHeight="false" outlineLevel="0" collapsed="false">
      <c r="A113" s="2" t="s">
        <v>667</v>
      </c>
      <c r="B113" s="11" t="n">
        <f aca="false">Examples!B41</f>
        <v>2</v>
      </c>
      <c r="C113" s="48" t="n">
        <f aca="false">Reference_Values!B113</f>
        <v>2</v>
      </c>
      <c r="D113" s="21" t="n">
        <f aca="false">ABS(B113-C113)</f>
        <v>0</v>
      </c>
      <c r="E113" s="49" t="n">
        <v>0</v>
      </c>
      <c r="F113" s="4" t="str">
        <f aca="false">IF(D113&lt;=E113,"PASS","FAIL")</f>
        <v>PASS</v>
      </c>
    </row>
    <row r="114" customFormat="false" ht="15" hidden="false" customHeight="false" outlineLevel="0" collapsed="false">
      <c r="A114" s="2" t="s">
        <v>668</v>
      </c>
      <c r="B114" s="11" t="n">
        <f aca="false">Examples!B42</f>
        <v>6</v>
      </c>
      <c r="C114" s="48" t="n">
        <f aca="false">Reference_Values!B114</f>
        <v>6</v>
      </c>
      <c r="D114" s="21" t="n">
        <f aca="false">ABS(B114-C114)</f>
        <v>0</v>
      </c>
      <c r="E114" s="49" t="n">
        <v>0</v>
      </c>
      <c r="F114" s="4" t="str">
        <f aca="false">IF(D114&lt;=E114,"PASS","FAIL")</f>
        <v>PASS</v>
      </c>
    </row>
    <row r="115" customFormat="false" ht="15" hidden="false" customHeight="false" outlineLevel="0" collapsed="false">
      <c r="A115" s="2" t="s">
        <v>669</v>
      </c>
      <c r="B115" s="11" t="n">
        <f aca="false">Examples!B46</f>
        <v>2.90581635870524</v>
      </c>
      <c r="C115" s="48" t="n">
        <f aca="false">Reference_Values!B115</f>
        <v>2.90581635870524</v>
      </c>
      <c r="D115" s="21" t="n">
        <f aca="false">ABS(B115-C115)</f>
        <v>0</v>
      </c>
      <c r="E115" s="49" t="n">
        <v>1E-012</v>
      </c>
      <c r="F115" s="4" t="str">
        <f aca="false">IF(D115&lt;=E115,"PASS","FAIL")</f>
        <v>PASS</v>
      </c>
    </row>
    <row r="116" customFormat="false" ht="15" hidden="false" customHeight="false" outlineLevel="0" collapsed="false">
      <c r="A116" s="2" t="s">
        <v>671</v>
      </c>
      <c r="B116" s="11" t="n">
        <f aca="false">Examples!B47</f>
        <v>0.128014211135556</v>
      </c>
      <c r="C116" s="48" t="n">
        <f aca="false">Reference_Values!B116</f>
        <v>0.128014211135556</v>
      </c>
      <c r="D116" s="21" t="n">
        <f aca="false">ABS(B116-C116)</f>
        <v>0</v>
      </c>
      <c r="E116" s="49" t="n">
        <v>1E-012</v>
      </c>
      <c r="F116" s="4" t="str">
        <f aca="false">IF(D116&lt;=E116,"PASS","FAIL")</f>
        <v>PASS</v>
      </c>
    </row>
    <row r="118" customFormat="false" ht="15" hidden="false" customHeight="false" outlineLevel="0" collapsed="false">
      <c r="A118" s="4" t="s">
        <v>677</v>
      </c>
      <c r="F118" s="4" t="str">
        <f aca="false">IF(COUNTIF(F2:F116,"PASS")=115,"ALL PASS","CHECK")</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2026-10-06T00:30:09Z</dcterms:created>
  <dc:creator>openpyxl</dc:creator>
  <dc:description/>
  <dc:language>en-US</dc:language>
  <cp:lastModifiedBy/>
  <dcterms:modified xsi:type="dcterms:W3CDTF">2026-10-06T00:30:09Z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