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Declarations" sheetId="2" state="visible" r:id="rId4"/>
    <sheet name="Sync" sheetId="3" state="visible" r:id="rId5"/>
    <sheet name="Decide" sheetId="4" state="visible" r:id="rId6"/>
    <sheet name="Program" sheetId="5" state="visible" r:id="rId7"/>
    <sheet name="Readings" sheetId="6" state="visible" r:id="rId8"/>
    <sheet name="Bias" sheetId="7" state="visible" r:id="rId9"/>
    <sheet name="Monitor" sheetId="8" state="visible" r:id="rId10"/>
    <sheet name="Drift" sheetId="9" state="visible" r:id="rId11"/>
    <sheet name="Envelope" sheetId="10" state="visible" r:id="rId12"/>
    <sheet name="Table15_3" sheetId="11" state="visible" r:id="rId13"/>
    <sheet name="Reference_Values" sheetId="12" state="visible" r:id="rId14"/>
    <sheet name="Checks" sheetId="13" state="visible" r:id="rId15"/>
  </sheets>
  <definedNames>
    <definedName function="false" hidden="false" name="Alpha_keep" vbProcedure="false">Declarations!$B$7</definedName>
    <definedName function="false" hidden="false" name="Beta_q" vbProcedure="false">Declarations!$B$5</definedName>
    <definedName function="false" hidden="false" name="Cap_h" vbProcedure="false">Declarations!$B$9</definedName>
    <definedName function="false" hidden="false" name="Cost7" vbProcedure="false">Declarations!$B$14</definedName>
    <definedName function="false" hidden="false" name="Cost_k" vbProcedure="false">Declarations!$B$8</definedName>
    <definedName function="false" hidden="false" name="Drift_d" vbProcedure="false">Declarations!$B$26</definedName>
    <definedName function="false" hidden="false" name="Drift_q" vbProcedure="false">Declarations!$B$25</definedName>
    <definedName function="false" hidden="false" name="Every1" vbProcedure="false">Declarations!$B$20</definedName>
    <definedName function="false" hidden="false" name="Every2" vbProcedure="false">Declarations!$B$19</definedName>
    <definedName function="false" hidden="false" name="FA_surveys" vbProcedure="false">Declarations!$B$24</definedName>
    <definedName function="false" hidden="false" name="Floor_c" vbProcedure="false">Declarations!$B$10</definedName>
    <definedName function="false" hidden="false" name="Kappa" vbProcedure="false">Declarations!$B$23</definedName>
    <definedName function="false" hidden="false" name="Long_from" vbProcedure="false">Declarations!$B$22</definedName>
    <definedName function="false" hidden="false" name="Loss_p" vbProcedure="false">Declarations!$B$31:$B$35</definedName>
    <definedName function="false" hidden="false" name="Loss_w" vbProcedure="false">Declarations!$A$31:$A$35</definedName>
    <definedName function="false" hidden="false" name="Paths_fresh" vbProcedure="false">Declarations!$B$28</definedName>
    <definedName function="false" hidden="false" name="Q_var" vbProcedure="false">Declarations!$B$38</definedName>
    <definedName function="false" hidden="false" name="R_s" vbProcedure="false">Declarations!$B$16</definedName>
    <definedName function="false" hidden="false" name="R_sharp" vbProcedure="false">Declarations!$B$18</definedName>
    <definedName function="false" hidden="false" name="SD_s" vbProcedure="false">Declarations!$B$15</definedName>
    <definedName function="false" hidden="false" name="SD_sharp" vbProcedure="false">Declarations!$B$17</definedName>
    <definedName function="false" hidden="false" name="Short_p" vbProcedure="false">Declarations!$B$11</definedName>
    <definedName function="false" hidden="false" name="Start_c" vbProcedure="false">Declarations!$B$12</definedName>
    <definedName function="false" hidden="false" name="Target7" vbProcedure="false">Declarations!$B$13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<sst xmlns="http://schemas.openxmlformats.org/spreadsheetml/2006/main" count="791" uniqueCount="534">
  <si>
    <t xml:space="preserve">DCT Laboratory — Vol II, Ch 15: Enterprise Digital Twins and Autonomous Enterprise Transformation</t>
  </si>
  <si>
    <t xml:space="preserve">Seed 26215 · Companion to DCT_V2_Ch15_Lab.ipynb and AXIOM Lab 2.15 (module AXIOM-15). Money in $ million.</t>
  </si>
  <si>
    <t xml:space="preserve">Worked Example 15.1, Can a Digital Twin Replace the Engineering Office's Count?, with the book's declarations: Chapter 7's law and costs, an audited start at 58, the skills survey twice a year with an error of 2.5 points, the twin (a Kalman filter) running Chapter 7's target rule on its estimate, the monitor and the audit on an alarm, and a drift from quarter 8. Seeds as in Online Appendix Remark 15.B.1.</t>
  </si>
  <si>
    <t xml:space="preserve">Declarations: the law, the costs, the discount, the swings, the survey, the monitor, the drift, the seeds.</t>
  </si>
  <si>
    <t xml:space="preserve">Sync: the twin's error variance quarter by quarter for four surveys, the survey read as exact and no readings; the periodic fixed points in closed form; precisions add; a biased survey (Step 2; Theorem 15.1; Proposition 15.1).</t>
  </si>
  <si>
    <t xml:space="preserve">Program: one program from the audited 58 (Figure 15.1(a), seed 1503), run by formulas on the engine's draws.</t>
  </si>
  <si>
    <t xml:space="preserve">Decide: the design-path searches' best targets, Table 15.3's costs above the count and their yearly worth, the certification on fresh paths, and Theorem 15.2(iii)'s margins (Steps 3 and 6; Figure 15.2(a)).</t>
  </si>
  <si>
    <t xml:space="preserve">Readings: what better surveys are worth, and the readings study (Step 4; Figure 15.2(b)).</t>
  </si>
  <si>
    <t xml:space="preserve">Bias, Monitor, Drift: the twin that never questions its law, the cumulative sum and its threshold on a printed sample of innovations, the drift's costs and the detection delays (Step 5; Theorem 15.3; Figure 15.3).</t>
  </si>
  <si>
    <t xml:space="preserve">Envelope: the guardrail, the calendar of uncertainty, the loop's modes (Step 6; Proposition 15.3). Table15_3: the Worked Example's table, linked to the sheets.</t>
  </si>
  <si>
    <t xml:space="preserve">Engine values (green) are what needs simulation: costs on the design and fresh paths, shares below the floor, false-alarm rates, the drift's costs and delays, and the sample's innovations.</t>
  </si>
  <si>
    <t xml:space="preserve">Reference_Values and Checks: the engine's numbers and a PASS/FAIL comparison with this workbook's formulas.</t>
  </si>
  <si>
    <t xml:space="preserve">LEGEND</t>
  </si>
  <si>
    <t xml:space="preserve">Input: blue on pale gold. A declaration from the book; change it to explore.</t>
  </si>
  <si>
    <t xml:space="preserve">Formula: black. Recalculates from the inputs.</t>
  </si>
  <si>
    <t xml:space="preserve">Engine value: green on pale green. Computed by the notebook's engine (the book's numbers); the Checks sheet compares the workbook's formulas with them.</t>
  </si>
  <si>
    <t xml:space="preserve">Cross-sheet link: green.</t>
  </si>
  <si>
    <t xml:space="preserve">Declarations (Worked Example 15.1, Step 1; Chapter 7's law and costs; the twin, its survey and its monitor; Online Appendix Remark 15.B.1). Money in $ million; capability in points.</t>
  </si>
  <si>
    <t xml:space="preserve">Quantity</t>
  </si>
  <si>
    <t xml:space="preserve">Value</t>
  </si>
  <si>
    <t xml:space="preserve">Source</t>
  </si>
  <si>
    <t xml:space="preserve">Discount rate a year</t>
  </si>
  <si>
    <t xml:space="preserve">The board's 10 percent</t>
  </si>
  <si>
    <t xml:space="preserve">Discount factor a quarter, beta</t>
  </si>
  <si>
    <t xml:space="preserve">beta = 1.1^(-1/4)</t>
  </si>
  <si>
    <t xml:space="preserve">Effective horizon 1/(1 - beta), quarters</t>
  </si>
  <si>
    <t xml:space="preserve">Capability kept each quarter, a</t>
  </si>
  <si>
    <t xml:space="preserve">Chapter 7</t>
  </si>
  <si>
    <t xml:space="preserve">Cost of a point hired and trained, k</t>
  </si>
  <si>
    <t xml:space="preserve">$4 million a point</t>
  </si>
  <si>
    <t xml:space="preserve">Hiring cap a quarter (points)</t>
  </si>
  <si>
    <t xml:space="preserve">Capability floor</t>
  </si>
  <si>
    <t xml:space="preserve">Cost of a point-quarter short</t>
  </si>
  <si>
    <t xml:space="preserve">$1.6 million (Chapter 7)</t>
  </si>
  <si>
    <t xml:space="preserve">The audited start</t>
  </si>
  <si>
    <t xml:space="preserve">Every design is priced from 58</t>
  </si>
  <si>
    <t xml:space="preserve">Chapter 7's target for planned capability</t>
  </si>
  <si>
    <t xml:space="preserve">Worked Example 7.1, on the count</t>
  </si>
  <si>
    <t xml:space="preserve">Chapter 7's cost from 58 (its 0.05-point grid)</t>
  </si>
  <si>
    <t xml:space="preserve">Worked Example 7.1</t>
  </si>
  <si>
    <t xml:space="preserve">The skills survey's error, sd (points)</t>
  </si>
  <si>
    <t xml:space="preserve">95 percent of readings within +/-5 (Volume I, Table 5.2)</t>
  </si>
  <si>
    <t xml:space="preserve">  its variance r</t>
  </si>
  <si>
    <t xml:space="preserve">A survey twice as sharp, sd</t>
  </si>
  <si>
    <t xml:space="preserve">1.25 points</t>
  </si>
  <si>
    <t xml:space="preserve">  its variance</t>
  </si>
  <si>
    <t xml:space="preserve">The survey runs every (quarters)</t>
  </si>
  <si>
    <t xml:space="preserve">Twice a year, at the start of quarters 2, 4, 6, ...</t>
  </si>
  <si>
    <t xml:space="preserve">A quarterly survey runs every (quarters)</t>
  </si>
  <si>
    <t xml:space="preserve">Quarters of present value</t>
  </si>
  <si>
    <t xml:space="preserve">120 years</t>
  </si>
  <si>
    <t xml:space="preserve">Long-run shares from quarter</t>
  </si>
  <si>
    <t xml:space="preserve">Quarters 40-479</t>
  </si>
  <si>
    <t xml:space="preserve">The monitor's reference, kappa</t>
  </si>
  <si>
    <t xml:space="preserve">Detects a shift of one standard deviation</t>
  </si>
  <si>
    <t xml:space="preserve">At most one false alarm in so many surveys</t>
  </si>
  <si>
    <t xml:space="preserve">The threshold's calibration</t>
  </si>
  <si>
    <t xml:space="preserve">The drift begins at the start of quarter</t>
  </si>
  <si>
    <t xml:space="preserve">A tighter labor market (Step 5)</t>
  </si>
  <si>
    <t xml:space="preserve">  extra points lost each quarter</t>
  </si>
  <si>
    <t xml:space="preserve">Design paths</t>
  </si>
  <si>
    <t xml:space="preserve">Seed 1500</t>
  </si>
  <si>
    <t xml:space="preserve">Fresh paths (and drift paths)</t>
  </si>
  <si>
    <t xml:space="preserve">Seeds 1501 and 1507</t>
  </si>
  <si>
    <t xml:space="preserve">Swing w (points lost)</t>
  </si>
  <si>
    <t xml:space="preserve">Chance</t>
  </si>
  <si>
    <t xml:space="preserve">Total</t>
  </si>
  <si>
    <t xml:space="preserve">Mean swing</t>
  </si>
  <si>
    <t xml:space="preserve">A swing's variance q</t>
  </si>
  <si>
    <t xml:space="preserve">0.45</t>
  </si>
  <si>
    <t xml:space="preserve">  its standard deviation</t>
  </si>
  <si>
    <t xml:space="preserve">0.67 points (Section 15.2)</t>
  </si>
  <si>
    <t xml:space="preserve">c' = 0.975c + h - w; a quarter costs 4h + 1.6(55 - c)^+. The twin knows the law and its hires, not the swings: its filter uses the swings' mean 0 and variance q, and a variance of 0 at the audited start.</t>
  </si>
  <si>
    <t xml:space="preserve">Seeds (Online Appendix Remark 15.B.1)</t>
  </si>
  <si>
    <t xml:space="preserve">Design paths (20,000)</t>
  </si>
  <si>
    <t xml:space="preserve">Each design's best target</t>
  </si>
  <si>
    <t xml:space="preserve">Fresh paths (100,000)</t>
  </si>
  <si>
    <t xml:space="preserve">Table 15.3's costs</t>
  </si>
  <si>
    <t xml:space="preserve">The program of Figure 15.1(a)</t>
  </si>
  <si>
    <t xml:space="preserve">The Program sheet</t>
  </si>
  <si>
    <t xml:space="preserve">The monitor's calibration (20,000 paths, no drift)</t>
  </si>
  <si>
    <t xml:space="preserve">The drift (100,000 paths)</t>
  </si>
  <si>
    <t xml:space="preserve">The exact filter's check (300 programs of 40 quarters)</t>
  </si>
  <si>
    <t xml:space="preserve">The lab's seed (new draws only)</t>
  </si>
  <si>
    <t xml:space="preserve">The notebook's Panels 2 and 5</t>
  </si>
  <si>
    <t xml:space="preserve">Synchronize: the twin's error, quarter by quarter (Equation 15.1; Theorem 15.1(iii)-(iv); Proposition 15.1; Worked Example 15.1, Step 2; Figure 15.1(b); AXIOM Lab 2.15, step 1)</t>
  </si>
  <si>
    <t xml:space="preserve">Prior P- = a^2 P + q; at a survey the gain K = P-/(P- + r) and the posterior (1 - K) P-; no survey, no correction. The variances do not depend on the readings (Proposition 15.3(iii)). Quarter 0 is the audited start, variance 0.</t>
  </si>
  <si>
    <t xml:space="preserve">Twin, survey twice a year</t>
  </si>
  <si>
    <t xml:space="preserve">Twin, quarterly survey</t>
  </si>
  <si>
    <t xml:space="preserve">Twin, survey twice as sharp</t>
  </si>
  <si>
    <t xml:space="preserve">Twin, both</t>
  </si>
  <si>
    <t xml:space="preserve">Survey read as exact</t>
  </si>
  <si>
    <t xml:space="preserve">No readings after the audit</t>
  </si>
  <si>
    <t xml:space="preserve">Steady state (closed form)</t>
  </si>
  <si>
    <t xml:space="preserve">Survey every k</t>
  </si>
  <si>
    <t xml:space="preserve">Variance r</t>
  </si>
  <si>
    <t xml:space="preserve">a^(2k)</t>
  </si>
  <si>
    <t xml:space="preserve">c_k = q(1 - a^(2k))/(1 - a^2)</t>
  </si>
  <si>
    <t xml:space="preserve">P just after a survey (fixed point)</t>
  </si>
  <si>
    <t xml:space="preserve">Error just after (sd)</t>
  </si>
  <si>
    <t xml:space="preserve">A quarter later (sd)</t>
  </si>
  <si>
    <t xml:space="preserve">Just before the next (sd)</t>
  </si>
  <si>
    <t xml:space="preserve">Gain</t>
  </si>
  <si>
    <t xml:space="preserve">The recursion at quarter 60 (sd)</t>
  </si>
  <si>
    <t xml:space="preserve">Quarter</t>
  </si>
  <si>
    <t xml:space="preserve">Survey (1 = yes)</t>
  </si>
  <si>
    <t xml:space="preserve">Prior P-</t>
  </si>
  <si>
    <t xml:space="preserve">Gain K</t>
  </si>
  <si>
    <t xml:space="preserve">Posterior P</t>
  </si>
  <si>
    <t xml:space="preserve">Error the twin decides with (sd)</t>
  </si>
  <si>
    <t xml:space="preserve">Variance</t>
  </si>
  <si>
    <t xml:space="preserve">Error (sd)</t>
  </si>
  <si>
    <t xml:space="preserve">No readings: the limit sqrt(q/(1 - a^2))</t>
  </si>
  <si>
    <t xml:space="preserve">Theorem 15.1(iii): the variance just after a survey solves P = r psi(P)/(psi(P) + r), psi(P) = a^(2k) P + c_k, a quadratic with one positive root; the recursion reaches it from any start.</t>
  </si>
  <si>
    <t xml:space="preserve">Proposition 15.1(i): precisions add (the twin, just before a survey)</t>
  </si>
  <si>
    <t xml:space="preserve">The law's prediction: variance P-</t>
  </si>
  <si>
    <t xml:space="preserve">The survey: variance r</t>
  </si>
  <si>
    <t xml:space="preserve">Combined by precisions: 1/(1/P- + 1/r)</t>
  </si>
  <si>
    <t xml:space="preserve">The fixed point just after a survey</t>
  </si>
  <si>
    <t xml:space="preserve">The same (1 = yes)</t>
  </si>
  <si>
    <t xml:space="preserve">Proposition 15.1(ii)-(iii): what a reading is worth, and a bias that survives (try your own)</t>
  </si>
  <si>
    <t xml:space="preserve">Variance before a reading, P</t>
  </si>
  <si>
    <t xml:space="preserve">The reading's variance</t>
  </si>
  <si>
    <t xml:space="preserve">Variance after, P r/(P + r)</t>
  </si>
  <si>
    <t xml:space="preserve">Share of P the reading removes, P/(P + r)</t>
  </si>
  <si>
    <t xml:space="preserve">Large when the twin knows little</t>
  </si>
  <si>
    <t xml:space="preserve">A survey biased by beta0 (points)</t>
  </si>
  <si>
    <t xml:space="preserve">Illustration</t>
  </si>
  <si>
    <t xml:space="preserve">The twin's mean error just after a survey, K beta0/(1 - (1 - K) a^k), k = 2</t>
  </si>
  <si>
    <t xml:space="preserve">Online Appendix 15.B, Proposition 15.1(iii)</t>
  </si>
  <si>
    <t xml:space="preserve">The innovations' mean, beta0 (1 - a^k)/(1 - (1 - K) a^k)</t>
  </si>
  <si>
    <t xml:space="preserve">Only part of the bias shows</t>
  </si>
  <si>
    <t xml:space="preserve">  as a share of the bias</t>
  </si>
  <si>
    <t xml:space="preserve">An audit, an independent reading, finds the rest</t>
  </si>
  <si>
    <t xml:space="preserve">Decide on the twin: each design's best target and its cost (Theorem 15.2; Proposition 15.2; Worked Example 15.1, Steps 3 and 6; Table 15.3; Figure 15.2(a); AXIOM Lab 2.15, step 2)</t>
  </si>
  <si>
    <t xml:space="preserve">Mean costs from 58 on the 20,000 design paths (seed 1500) for seven targets around the book's best, and the best target's cost on the 100,000 fresh paths (seed 1501), are the engine's; every design runs on the same draws. The best targets, costs above the count and their yearly worth are formulas.</t>
  </si>
  <si>
    <t xml:space="preserve">Design</t>
  </si>
  <si>
    <t xml:space="preserve">Survey</t>
  </si>
  <si>
    <t xml:space="preserve">The book's best (window centre)</t>
  </si>
  <si>
    <t xml:space="preserve">Target 1</t>
  </si>
  <si>
    <t xml:space="preserve">Target 2</t>
  </si>
  <si>
    <t xml:space="preserve">Target 3</t>
  </si>
  <si>
    <t xml:space="preserve">Target 4</t>
  </si>
  <si>
    <t xml:space="preserve">Target 5</t>
  </si>
  <si>
    <t xml:space="preserve">Target 6</t>
  </si>
  <si>
    <t xml:space="preserve">Target 7</t>
  </si>
  <si>
    <t xml:space="preserve">Design-path cost 1 (engine)</t>
  </si>
  <si>
    <t xml:space="preserve">Design-path cost 2 (engine)</t>
  </si>
  <si>
    <t xml:space="preserve">Design-path cost 3 (engine)</t>
  </si>
  <si>
    <t xml:space="preserve">Design-path cost 4 (engine)</t>
  </si>
  <si>
    <t xml:space="preserve">Design-path cost 5 (engine)</t>
  </si>
  <si>
    <t xml:space="preserve">Design-path cost 6 (engine)</t>
  </si>
  <si>
    <t xml:space="preserve">Design-path cost 7 (engine)</t>
  </si>
  <si>
    <t xml:space="preserve">Best target</t>
  </si>
  <si>
    <t xml:space="preserve">Its design-path cost</t>
  </si>
  <si>
    <t xml:space="preserve">Margin over 55</t>
  </si>
  <si>
    <t xml:space="preserve">Inside the window (1 = yes)</t>
  </si>
  <si>
    <t xml:space="preserve">Count (Chapter 7)</t>
  </si>
  <si>
    <t xml:space="preserve">--</t>
  </si>
  <si>
    <t xml:space="preserve">Twin</t>
  </si>
  <si>
    <t xml:space="preserve">twice a year</t>
  </si>
  <si>
    <t xml:space="preserve">quarterly</t>
  </si>
  <si>
    <t xml:space="preserve">twice as sharp</t>
  </si>
  <si>
    <t xml:space="preserve">both</t>
  </si>
  <si>
    <t xml:space="preserve">none</t>
  </si>
  <si>
    <t xml:space="preserve">Design (100,000 fresh paths)</t>
  </si>
  <si>
    <t xml:space="preserve">Target</t>
  </si>
  <si>
    <t xml:space="preserve">Cost from 58 (engine)</t>
  </si>
  <si>
    <t xml:space="preserve">Standard error (engine)</t>
  </si>
  <si>
    <t xml:space="preserve">Above the count</t>
  </si>
  <si>
    <t xml:space="preserve">Below the floor (engine)</t>
  </si>
  <si>
    <t xml:space="preserve">Worth a year, 4(1 - beta) x above</t>
  </si>
  <si>
    <t xml:space="preserve">Decisions at a hiring limit (engine)</t>
  </si>
  <si>
    <t xml:space="preserve">Twin, Chapter 7's target</t>
  </si>
  <si>
    <t xml:space="preserve">Survey read as exact, Chapter 7's target</t>
  </si>
  <si>
    <t xml:space="preserve">Survey read as exact, the whole error guarded</t>
  </si>
  <si>
    <t xml:space="preserve">60.75 guards the survey's whole error, the five planned points Chapter 7 priced.</t>
  </si>
  <si>
    <t xml:space="preserve">Theorem 15.2(i): count &lt; both &lt; quarterly, sharper &lt; twin &lt; survey as exact &lt; no readings (1 = yes)</t>
  </si>
  <si>
    <t xml:space="preserve">Readings never cost</t>
  </si>
  <si>
    <t xml:space="preserve">The twin costs less than the survey read as exact by</t>
  </si>
  <si>
    <t xml:space="preserve">$4.8 million (the abstract)</t>
  </si>
  <si>
    <t xml:space="preserve">Proposition 15.2(i): the twin's target on its design paths</t>
  </si>
  <si>
    <t xml:space="preserve">241.85</t>
  </si>
  <si>
    <t xml:space="preserve">  on the fresh paths</t>
  </si>
  <si>
    <t xml:space="preserve">241.94</t>
  </si>
  <si>
    <t xml:space="preserve">  the design paths' standard error (engine)</t>
  </si>
  <si>
    <t xml:space="preserve">  the difference, in standard errors</t>
  </si>
  <si>
    <t xml:space="preserve">Within the simulation's error (Step 6)</t>
  </si>
  <si>
    <t xml:space="preserve">Theorem 15.2(iii): the margin is the (1 - k/b)-quantile of the swing less the twin's error</t>
  </si>
  <si>
    <t xml:space="preserve">k: holding a planned point a quarter, 4(1 - a beta)</t>
  </si>
  <si>
    <t xml:space="preserve">b: a point short next quarter, 1.6 beta</t>
  </si>
  <si>
    <t xml:space="preserve">Critical ratio k/b</t>
  </si>
  <si>
    <t xml:space="preserve">0.1228 (Chapter 7)</t>
  </si>
  <si>
    <t xml:space="preserve">1 - k/b</t>
  </si>
  <si>
    <t xml:space="preserve">Swing w, ascending</t>
  </si>
  <si>
    <t xml:space="preserve">P(w &lt;= x)</t>
  </si>
  <si>
    <t xml:space="preserve">On the count, the swing's (1 - k/b)-quantile: the margin</t>
  </si>
  <si>
    <t xml:space="preserve">0.75: Chapter 7's margin</t>
  </si>
  <si>
    <t xml:space="preserve">With normal swings and errors, z_(1 - k/b)</t>
  </si>
  <si>
    <t xml:space="preserve">Twin's error s, at a survey (sd)</t>
  </si>
  <si>
    <t xml:space="preserve">s a quarter later</t>
  </si>
  <si>
    <t xml:space="preserve">z sqrt(q + (a s)^2), at a survey</t>
  </si>
  <si>
    <t xml:space="preserve">a quarter later</t>
  </si>
  <si>
    <t xml:space="preserve">The simulated best margin</t>
  </si>
  <si>
    <t xml:space="preserve">The twin's planned level is off by a times its error, so the margin is z times the error a quarter later. One quarter at a time, the formula sizes the count's and the twins' margins, where the hiring limits seldom bind; not the survey read as exact, whose readings push hires to 0 or to the cap in over half the quarters, nor no readings, whose error grows from 0 after the audit.</t>
  </si>
  <si>
    <t xml:space="preserve">One program from the audited 58, run by the twin (Figure 15.1(a); seed 1503; Worked Example 15.1, Step 2; AXIOM Lab 2.15, step 1)</t>
  </si>
  <si>
    <t xml:space="preserve">The swings w and the survey's standard errors e are the engine's draws for seed 1503; everything else is a formula: capability, the readings z = c + 2.5 e, the filter, the twin's hires to its target, the costs, and the survey read as exact on the same readings and hires.</t>
  </si>
  <si>
    <t xml:space="preserve">Swing w (engine)</t>
  </si>
  <si>
    <t xml:space="preserve">Survey draw e (engine)</t>
  </si>
  <si>
    <t xml:space="preserve">Capability c</t>
  </si>
  <si>
    <t xml:space="preserve">Reading z</t>
  </si>
  <si>
    <t xml:space="preserve">Predicted estimate</t>
  </si>
  <si>
    <t xml:space="preserve">The twin's estimate</t>
  </si>
  <si>
    <t xml:space="preserve">Its error (sd)</t>
  </si>
  <si>
    <t xml:space="preserve">Hire h</t>
  </si>
  <si>
    <t xml:space="preserve">Quarter's cost</t>
  </si>
  <si>
    <t xml:space="preserve">Discount</t>
  </si>
  <si>
    <t xml:space="preserve">Present value</t>
  </si>
  <si>
    <t xml:space="preserve">Twin's error</t>
  </si>
  <si>
    <t xml:space="preserve">Survey-as-exact error</t>
  </si>
  <si>
    <t xml:space="preserve">The twin's target (Decide)</t>
  </si>
  <si>
    <t xml:space="preserve">56.70</t>
  </si>
  <si>
    <t xml:space="preserve">Present value of 25 quarters' costs</t>
  </si>
  <si>
    <t xml:space="preserve">The twin's estimate at quarter 24</t>
  </si>
  <si>
    <t xml:space="preserve">Its error at quarter 24 (sd)</t>
  </si>
  <si>
    <t xml:space="preserve">The twin's largest error</t>
  </si>
  <si>
    <t xml:space="preserve">The survey read as exact: largest error</t>
  </si>
  <si>
    <t xml:space="preserve">Price readings (Theorem 15.2(i); Worked Example 15.1, Step 4; Figure 15.2(b); AXIOM Lab 2.15, step 3)</t>
  </si>
  <si>
    <t xml:space="preserve">A rule on the true state costs no more than one on the twin's readings, which costs no more than one on coarser readings or none: each gap is the value of the information it adds. A present value V is worth 4(1 - beta) V a year, forever. The readings study (first 10,000 design and 40,000 fresh paths) is the engine's.</t>
  </si>
  <si>
    <t xml:space="preserve">A present value's yearly worth, forever: 4(1 - beta)</t>
  </si>
  <si>
    <t xml:space="preserve">The count, against the twin: a year</t>
  </si>
  <si>
    <t xml:space="preserve">About $1.0 million</t>
  </si>
  <si>
    <t xml:space="preserve">A quarterly survey: a year</t>
  </si>
  <si>
    <t xml:space="preserve">Up to $0.23 million</t>
  </si>
  <si>
    <t xml:space="preserve">A survey twice as sharp: a year</t>
  </si>
  <si>
    <t xml:space="preserve">$0.39 million</t>
  </si>
  <si>
    <t xml:space="preserve">Both: a year</t>
  </si>
  <si>
    <t xml:space="preserve">$0.58 million</t>
  </si>
  <si>
    <t xml:space="preserve">Survey every (quarters)</t>
  </si>
  <si>
    <t xml:space="preserve">Survey error (sd)</t>
  </si>
  <si>
    <t xml:space="preserve">Best target (engine)</t>
  </si>
  <si>
    <t xml:space="preserve">Above the count (engine)</t>
  </si>
  <si>
    <t xml:space="preserve">Saved against today's survey</t>
  </si>
  <si>
    <t xml:space="preserve">Worth a year</t>
  </si>
  <si>
    <t xml:space="preserve">The count on the first 40,000 fresh paths (engine)</t>
  </si>
  <si>
    <t xml:space="preserve">Twice a year: a sharper survey never costs more (1 = yes)</t>
  </si>
  <si>
    <t xml:space="preserve">Quarterly: a sharper survey never costs more (1 = yes)</t>
  </si>
  <si>
    <t xml:space="preserve">A quarterly survey costs less at every error (1 = yes)</t>
  </si>
  <si>
    <t xml:space="preserve">A twin that never questions its law (Theorem 15.3(i); Worked Example 15.1, Step 5; Section 15.4)</t>
  </si>
  <si>
    <t xml:space="preserve">From the start of quarter 8 each quarter loses an extra half point; the twin keeps mean 0. Its mean error e = estimate - capability grows by a e + d at each prediction and shrinks to (1 - K) e at each survey; the innovation is the reading less the prediction, so its mean is minus the predicted error.</t>
  </si>
  <si>
    <t xml:space="preserve">Extra points lost a quarter, d</t>
  </si>
  <si>
    <t xml:space="preserve">From the start of quarter</t>
  </si>
  <si>
    <t xml:space="preserve">Capability kept, a</t>
  </si>
  <si>
    <t xml:space="preserve">The twin's steady gain, K (Sync)</t>
  </si>
  <si>
    <t xml:space="preserve">0.284</t>
  </si>
  <si>
    <t xml:space="preserve">Bias just after a survey, b+ = (1 - K) d (1 + a)/(1 - (1 - K) a^2)</t>
  </si>
  <si>
    <t xml:space="preserve">2.210</t>
  </si>
  <si>
    <t xml:space="preserve">Bias just before the next, a^2 b+ + d (1 + a)</t>
  </si>
  <si>
    <t xml:space="preserve">3.088</t>
  </si>
  <si>
    <t xml:space="preserve">The innovation's standard deviation just before a survey, sqrt(P- + r)</t>
  </si>
  <si>
    <t xml:space="preserve">The innovations' mean, in standard deviations</t>
  </si>
  <si>
    <t xml:space="preserve">-1.045</t>
  </si>
  <si>
    <t xml:space="preserve">The recursion at quarter 40</t>
  </si>
  <si>
    <t xml:space="preserve">The recursion at quarter 60</t>
  </si>
  <si>
    <t xml:space="preserve">Gain K (Sync)</t>
  </si>
  <si>
    <t xml:space="preserve">Predicted mean error</t>
  </si>
  <si>
    <t xml:space="preserve">Innovations' mean (sd)</t>
  </si>
  <si>
    <t xml:space="preserve">Mean error after the survey</t>
  </si>
  <si>
    <t xml:space="preserve">The monitor: a cumulative sum of the surveys' surprises (Theorem 15.3(ii); Equation 15.2; Worked Example 15.1, Step 5; AXIOM Lab 2.15, step 4)</t>
  </si>
  <si>
    <t xml:space="preserve">False-alarm rates on 20,000 paths without a drift (seed 1505) are the engine's; the threshold is the least on the grid with at most one false alarm in 50 surveys. Below, the sum G = max(0, G - z - kappa) on the engine's standardized innovations of eight programs under the drift (seed 1507), restarting after each alarm.</t>
  </si>
  <si>
    <t xml:space="preserve">Threshold H</t>
  </si>
  <si>
    <t xml:space="preserve">False alarms a survey (engine)</t>
  </si>
  <si>
    <t xml:space="preserve">One in so many surveys</t>
  </si>
  <si>
    <t xml:space="preserve">One in so many years</t>
  </si>
  <si>
    <t xml:space="preserve">At most one in 50 (1 = yes)</t>
  </si>
  <si>
    <t xml:space="preserve">The threshold: the least that keeps the rate</t>
  </si>
  <si>
    <t xml:space="preserve">2.25</t>
  </si>
  <si>
    <t xml:space="preserve">  one false alarm in so many years</t>
  </si>
  <si>
    <t xml:space="preserve">About 26</t>
  </si>
  <si>
    <t xml:space="preserve">Theorem 15.3(ii): the shift detected, delta = 2 kappa (standard deviations)</t>
  </si>
  <si>
    <t xml:space="preserve">  gamma = e^(H delta): at least so many surveys between false alarms</t>
  </si>
  <si>
    <t xml:space="preserve">A guarantee</t>
  </si>
  <si>
    <t xml:space="preserve">  the simulation's surveys between false alarms</t>
  </si>
  <si>
    <t xml:space="preserve">  delay about 2 ln(gamma)/delta^2, surveys</t>
  </si>
  <si>
    <t xml:space="preserve">Once the innovations have shifted</t>
  </si>
  <si>
    <t xml:space="preserve">  in quarters</t>
  </si>
  <si>
    <t xml:space="preserve">Survey quarter</t>
  </si>
  <si>
    <t xml:space="preserve">Program 1: z (engine)</t>
  </si>
  <si>
    <t xml:space="preserve">G</t>
  </si>
  <si>
    <t xml:space="preserve">Alarm</t>
  </si>
  <si>
    <t xml:space="preserve">Program 2: z (engine)</t>
  </si>
  <si>
    <t xml:space="preserve">Program 3: z (engine)</t>
  </si>
  <si>
    <t xml:space="preserve">Program 4: z (engine)</t>
  </si>
  <si>
    <t xml:space="preserve">Program 5: z (engine)</t>
  </si>
  <si>
    <t xml:space="preserve">Program 6: z (engine)</t>
  </si>
  <si>
    <t xml:space="preserve">Program 7: z (engine)</t>
  </si>
  <si>
    <t xml:space="preserve">Program 8: z (engine)</t>
  </si>
  <si>
    <t xml:space="preserve">Program</t>
  </si>
  <si>
    <t xml:space="preserve">First alarm from the drift's quarter (formula)</t>
  </si>
  <si>
    <t xml:space="preserve">The engine's</t>
  </si>
  <si>
    <t xml:space="preserve">Same (1 = yes)</t>
  </si>
  <si>
    <t xml:space="preserve">Quarters after the drift began</t>
  </si>
  <si>
    <t xml:space="preserve">An alarm sends the engineering office to audit: the estimate is set to the count, the variance to 0, the sum restarts, and once the drift has begun the law's mean is re-estimated as the drift. The innovations after an audit are the engine's.</t>
  </si>
  <si>
    <t xml:space="preserve">A tighter labor market: the drift and the monitor (Theorem 15.3; Worked Example 15.1, Step 5; Table 15.3; Figure 15.3)</t>
  </si>
  <si>
    <t xml:space="preserve">From the start of quarter 8 each quarter loses an extra half point; 100,000 paths (seed 1507). Costs, shares below the floor and the detection delays are the engine's; the costs above the count and the delays' percentiles (numpy's linear interpolation, from the histogram) are formulas.</t>
  </si>
  <si>
    <t xml:space="preserve">Design, under the drift</t>
  </si>
  <si>
    <t xml:space="preserve">Count, the law re-estimated at once (target 56.25)</t>
  </si>
  <si>
    <t xml:space="preserve">Twin, law never questioned</t>
  </si>
  <si>
    <t xml:space="preserve">Twin with the monitor</t>
  </si>
  <si>
    <t xml:space="preserve">Twin told of the drift</t>
  </si>
  <si>
    <t xml:space="preserve">Without a drift: the monitored twin (engine)</t>
  </si>
  <si>
    <t xml:space="preserve">241.638</t>
  </si>
  <si>
    <t xml:space="preserve">  the twin without a monitor (engine)</t>
  </si>
  <si>
    <t xml:space="preserve">241.837</t>
  </si>
  <si>
    <t xml:space="preserve">  what the audits save</t>
  </si>
  <si>
    <t xml:space="preserve">  audits in 120 years (engine)</t>
  </si>
  <si>
    <t xml:space="preserve">4.6</t>
  </si>
  <si>
    <t xml:space="preserve">Delay (quarters after the drift began)</t>
  </si>
  <si>
    <t xml:space="preserve">Paths (engine)</t>
  </si>
  <si>
    <t xml:space="preserve">Cumulative</t>
  </si>
  <si>
    <t xml:space="preserve">Delays</t>
  </si>
  <si>
    <t xml:space="preserve">Rank h = (n - 1) p</t>
  </si>
  <si>
    <t xml:space="preserve">Lower rank</t>
  </si>
  <si>
    <t xml:space="preserve">Value at the lower rank</t>
  </si>
  <si>
    <t xml:space="preserve">At the next rank</t>
  </si>
  <si>
    <t xml:space="preserve">Percentile</t>
  </si>
  <si>
    <t xml:space="preserve">Paths that detect the drift</t>
  </si>
  <si>
    <t xml:space="preserve">  share of the paths: every path</t>
  </si>
  <si>
    <t xml:space="preserve">Mean delay (quarters): 12.3</t>
  </si>
  <si>
    <t xml:space="preserve">10th percentile</t>
  </si>
  <si>
    <t xml:space="preserve">Median</t>
  </si>
  <si>
    <t xml:space="preserve">90th percentile</t>
  </si>
  <si>
    <t xml:space="preserve">Monitors alarmed, drift (engine)</t>
  </si>
  <si>
    <t xml:space="preserve">Without a drift (engine)</t>
  </si>
  <si>
    <t xml:space="preserve">Half the monitors have alarmed by quarter</t>
  </si>
  <si>
    <t xml:space="preserve">  quarters after the drift began</t>
  </si>
  <si>
    <t xml:space="preserve">Figure 15.3(a): 12</t>
  </si>
  <si>
    <t xml:space="preserve">False alarms within 40 quarters, without a drift</t>
  </si>
  <si>
    <t xml:space="preserve">Set the envelope (Definition 15.3; Proposition 15.3; Worked Example 15.1, Step 6; AXIOM Lab 2.15, step 5)</t>
  </si>
  <si>
    <t xml:space="preserve">The twin hires alone inside Chapter 14's guardrail, never planning below 55 unless hiring at the cap, and escalates on its monitor's alarm. A trigger on its uncertainty would fire on a calendar: the variances do not depend on the readings.</t>
  </si>
  <si>
    <t xml:space="preserve">Design (Table 15.3)</t>
  </si>
  <si>
    <t xml:space="preserve">Plans at least 55 on its estimate unless at the cap (1 = yes)</t>
  </si>
  <si>
    <t xml:space="preserve">  whole error guarded</t>
  </si>
  <si>
    <t xml:space="preserve">  best target</t>
  </si>
  <si>
    <t xml:space="preserve">Twin, best target</t>
  </si>
  <si>
    <t xml:space="preserve">Twin, quarterly</t>
  </si>
  <si>
    <t xml:space="preserve">Twin, twice as sharp</t>
  </si>
  <si>
    <t xml:space="preserve">Targets that could break the guardrail</t>
  </si>
  <si>
    <t xml:space="preserve">Planned level on the estimate = max(target, 0.975 c-hat) unless the cap binds</t>
  </si>
  <si>
    <t xml:space="preserve">Breaches on 100,000 fresh paths x 480 quarters, all designs (engine)</t>
  </si>
  <si>
    <t xml:space="preserve">The twin's error just before (sd)</t>
  </si>
  <si>
    <t xml:space="preserve">Trigger fires (1 = yes)</t>
  </si>
  <si>
    <t xml:space="preserve">A trigger on uncertainty: escalate when the error exceeds (points)</t>
  </si>
  <si>
    <t xml:space="preserve">Try your own</t>
  </si>
  <si>
    <t xml:space="preserve">It first fires at quarter</t>
  </si>
  <si>
    <t xml:space="preserve">  and at every survey after it (1 = yes)</t>
  </si>
  <si>
    <t xml:space="preserve">A calendar, whatever the surveys say</t>
  </si>
  <si>
    <t xml:space="preserve">Proposition 15.3(i): the rule h = T - a c-hat, on the true state: mode a - a</t>
  </si>
  <si>
    <t xml:space="preserve">It restores the target in a quarter, inside the limits</t>
  </si>
  <si>
    <t xml:space="preserve">  the filter's error over a half year: mode (1 - K) a^2</t>
  </si>
  <si>
    <t xml:space="preserve">  the loop is stable (1 = yes)</t>
  </si>
  <si>
    <t xml:space="preserve">Step 6: the twin's target on its design paths</t>
  </si>
  <si>
    <t xml:space="preserve">$241.85 million</t>
  </si>
  <si>
    <t xml:space="preserve">$241.94 million</t>
  </si>
  <si>
    <t xml:space="preserve">  the difference in standard errors</t>
  </si>
  <si>
    <t xml:space="preserve">Within the simulation's error</t>
  </si>
  <si>
    <t xml:space="preserve">Table 15.3: designs for knowing capability, from an audited 58 (Worked Example 15.1)</t>
  </si>
  <si>
    <t xml:space="preserve">Target: planned capability (points); error: the estimate's standard deviation just after and just before a survey; cost above the count: present value at 10 percent, $ million, on 100,000 fresh paths; below floor: long-run share of quarters below 55. All cells link to the sheets that compute them.</t>
  </si>
  <si>
    <t xml:space="preserve">Cost above the count</t>
  </si>
  <si>
    <t xml:space="preserve">Below floor (%)</t>
  </si>
  <si>
    <t xml:space="preserve">0</t>
  </si>
  <si>
    <t xml:space="preserve">An extra half point lost each quarter from quarter 8 (cost above the count with the drift):</t>
  </si>
  <si>
    <t xml:space="preserve">Twin with monitor</t>
  </si>
  <si>
    <t xml:space="preserve">Checkpoint</t>
  </si>
  <si>
    <t xml:space="preserve">Engine value</t>
  </si>
  <si>
    <t xml:space="preserve">Meaning (where in the book)</t>
  </si>
  <si>
    <t xml:space="preserve">A swing's standard deviation</t>
  </si>
  <si>
    <t xml:space="preserve">0.67 (Section 15.2)</t>
  </si>
  <si>
    <t xml:space="preserve">No readings: the error's limit</t>
  </si>
  <si>
    <t xml:space="preserve">3.019</t>
  </si>
  <si>
    <t xml:space="preserve">Twin: error just after a survey (closed form)</t>
  </si>
  <si>
    <t xml:space="preserve">1.333</t>
  </si>
  <si>
    <t xml:space="preserve">Twin: error a quarter later</t>
  </si>
  <si>
    <t xml:space="preserve">1.463</t>
  </si>
  <si>
    <t xml:space="preserve">Twin: error just before the next survey</t>
  </si>
  <si>
    <t xml:space="preserve">1.576</t>
  </si>
  <si>
    <t xml:space="preserve">Twin: the gain</t>
  </si>
  <si>
    <t xml:space="preserve">Twin: the recursion from the audit reaches the fixed point (quarter 60)</t>
  </si>
  <si>
    <t xml:space="preserve">Theorem 15.1(iii)</t>
  </si>
  <si>
    <t xml:space="preserve">Quarterly survey: error just after</t>
  </si>
  <si>
    <t xml:space="preserve">1.169</t>
  </si>
  <si>
    <t xml:space="preserve">Quarterly survey: error just before</t>
  </si>
  <si>
    <t xml:space="preserve">1.323</t>
  </si>
  <si>
    <t xml:space="preserve">Quarterly survey: the gain</t>
  </si>
  <si>
    <t xml:space="preserve">0.219</t>
  </si>
  <si>
    <t xml:space="preserve">Twice as sharp: error just after</t>
  </si>
  <si>
    <t xml:space="preserve">0.888</t>
  </si>
  <si>
    <t xml:space="preserve">Twice as sharp: error just before</t>
  </si>
  <si>
    <t xml:space="preserve">1.261</t>
  </si>
  <si>
    <t xml:space="preserve">Both: error just after</t>
  </si>
  <si>
    <t xml:space="preserve">0.791</t>
  </si>
  <si>
    <t xml:space="preserve">Both: error just before</t>
  </si>
  <si>
    <t xml:space="preserve">1.022</t>
  </si>
  <si>
    <t xml:space="preserve">Survey read as exact: error just after</t>
  </si>
  <si>
    <t xml:space="preserve">2.500</t>
  </si>
  <si>
    <t xml:space="preserve">Survey read as exact: error just before</t>
  </si>
  <si>
    <t xml:space="preserve">2.528</t>
  </si>
  <si>
    <t xml:space="preserve">Proposition 15.1(i): precisions add</t>
  </si>
  <si>
    <t xml:space="preserve">1 = holds</t>
  </si>
  <si>
    <t xml:space="preserve">Program (seed 1503): present value of 25 quarters</t>
  </si>
  <si>
    <t xml:space="preserve">Figure 15.1(a)</t>
  </si>
  <si>
    <t xml:space="preserve">Program (seed 1503): the twin's estimate at quarter 24</t>
  </si>
  <si>
    <t xml:space="preserve">Program (seed 1503): its error at quarter 24</t>
  </si>
  <si>
    <t xml:space="preserve">Best target: count (Chapter 7)</t>
  </si>
  <si>
    <t xml:space="preserve">55.75</t>
  </si>
  <si>
    <t xml:space="preserve">Inside its window: count (Chapter 7)</t>
  </si>
  <si>
    <t xml:space="preserve">Interior</t>
  </si>
  <si>
    <t xml:space="preserve">Best target: twin, survey twice a year</t>
  </si>
  <si>
    <t xml:space="preserve">Inside its window: twin, survey twice a year</t>
  </si>
  <si>
    <t xml:space="preserve">Best target: survey read as exact</t>
  </si>
  <si>
    <t xml:space="preserve">57.35</t>
  </si>
  <si>
    <t xml:space="preserve">Inside its window: survey read as exact</t>
  </si>
  <si>
    <t xml:space="preserve">Best target: twin, quarterly survey</t>
  </si>
  <si>
    <t xml:space="preserve">56.50</t>
  </si>
  <si>
    <t xml:space="preserve">Inside its window: twin, quarterly survey</t>
  </si>
  <si>
    <t xml:space="preserve">Best target: twin, twice as sharp</t>
  </si>
  <si>
    <t xml:space="preserve">56.40</t>
  </si>
  <si>
    <t xml:space="preserve">Inside its window: twin, twice as sharp</t>
  </si>
  <si>
    <t xml:space="preserve">Best target: twin, both</t>
  </si>
  <si>
    <t xml:space="preserve">56.20</t>
  </si>
  <si>
    <t xml:space="preserve">Inside its window: twin, both</t>
  </si>
  <si>
    <t xml:space="preserve">Best target: no readings after the audit</t>
  </si>
  <si>
    <t xml:space="preserve">57.80</t>
  </si>
  <si>
    <t xml:space="preserve">Inside its window: no readings after the audit</t>
  </si>
  <si>
    <t xml:space="preserve">Count: design-path cost</t>
  </si>
  <si>
    <t xml:space="preserve">230.747</t>
  </si>
  <si>
    <t xml:space="preserve">Twin: design-path cost</t>
  </si>
  <si>
    <t xml:space="preserve">241.852</t>
  </si>
  <si>
    <t xml:space="preserve">Twin: margin</t>
  </si>
  <si>
    <t xml:space="preserve">1.70</t>
  </si>
  <si>
    <t xml:space="preserve">Twin: above the count</t>
  </si>
  <si>
    <t xml:space="preserve">11.101</t>
  </si>
  <si>
    <t xml:space="preserve">Survey read as exact: above the count</t>
  </si>
  <si>
    <t xml:space="preserve">15.950</t>
  </si>
  <si>
    <t xml:space="preserve">Quarterly survey: above the count</t>
  </si>
  <si>
    <t xml:space="preserve">8.634</t>
  </si>
  <si>
    <t xml:space="preserve">Twice as sharp: above the count</t>
  </si>
  <si>
    <t xml:space="preserve">7.005</t>
  </si>
  <si>
    <t xml:space="preserve">Both: above the count</t>
  </si>
  <si>
    <t xml:space="preserve">4.921</t>
  </si>
  <si>
    <t xml:space="preserve">No readings: above the count</t>
  </si>
  <si>
    <t xml:space="preserve">25.433</t>
  </si>
  <si>
    <t xml:space="preserve">Twin at Chapter 7's 55.75: above the count</t>
  </si>
  <si>
    <t xml:space="preserve">16.313</t>
  </si>
  <si>
    <t xml:space="preserve">Survey as exact at 55.75: above the count</t>
  </si>
  <si>
    <t xml:space="preserve">27.509</t>
  </si>
  <si>
    <t xml:space="preserve">Survey as exact at 60.75: above the count</t>
  </si>
  <si>
    <t xml:space="preserve">34.396</t>
  </si>
  <si>
    <t xml:space="preserve">The twin costs less than the survey read as exact</t>
  </si>
  <si>
    <t xml:space="preserve">4.8 (the abstract)</t>
  </si>
  <si>
    <t xml:space="preserve">Theorem 15.2(i): the costs in order</t>
  </si>
  <si>
    <t xml:space="preserve">Step 6: design-path and fresh costs, in standard errors</t>
  </si>
  <si>
    <t xml:space="preserve">Chapter 7's critical ratio k/b</t>
  </si>
  <si>
    <t xml:space="preserve">0.1228</t>
  </si>
  <si>
    <t xml:space="preserve">Theorem 15.2(iii): the count's margin, the swing's quantile</t>
  </si>
  <si>
    <t xml:space="preserve">0.75</t>
  </si>
  <si>
    <t xml:space="preserve">Theorem 15.2(iii): z</t>
  </si>
  <si>
    <t xml:space="preserve">NORMSINV(1 - k/b)</t>
  </si>
  <si>
    <t xml:space="preserve">Theorem 15.2(iii): the twin's normal margin at a survey</t>
  </si>
  <si>
    <t xml:space="preserve">The count is worth a year against the twin</t>
  </si>
  <si>
    <t xml:space="preserve">$1.0 million</t>
  </si>
  <si>
    <t xml:space="preserve">A quarterly survey is worth a year</t>
  </si>
  <si>
    <t xml:space="preserve">$0.23 million</t>
  </si>
  <si>
    <t xml:space="preserve">A survey twice as sharp is worth a year</t>
  </si>
  <si>
    <t xml:space="preserve">Both are worth a year</t>
  </si>
  <si>
    <t xml:space="preserve">Readings study: a sharper survey never costs more, twice a year</t>
  </si>
  <si>
    <t xml:space="preserve">Figure 15.2(b)</t>
  </si>
  <si>
    <t xml:space="preserve">Readings study: a sharper survey never costs more, quarterly</t>
  </si>
  <si>
    <t xml:space="preserve">Readings study: a quarterly survey costs less at every error</t>
  </si>
  <si>
    <t xml:space="preserve">Drift: the twin's bias just after a survey</t>
  </si>
  <si>
    <t xml:space="preserve">Drift: the twin's bias just before the next</t>
  </si>
  <si>
    <t xml:space="preserve">Drift: the innovations' mean, in sd</t>
  </si>
  <si>
    <t xml:space="preserve">Drift: the bias recursion at quarter 40</t>
  </si>
  <si>
    <t xml:space="preserve">Toward 2.210</t>
  </si>
  <si>
    <t xml:space="preserve">Calibration: one false alarm in so many years at 1.5</t>
  </si>
  <si>
    <t xml:space="preserve">Example 15.B.2</t>
  </si>
  <si>
    <t xml:space="preserve">Calibration: one false alarm in so many years at 1.75</t>
  </si>
  <si>
    <t xml:space="preserve">Calibration: one false alarm in so many years at 2.0</t>
  </si>
  <si>
    <t xml:space="preserve">Calibration: one false alarm in so many years at 2.25</t>
  </si>
  <si>
    <t xml:space="preserve">Calibration: one false alarm in so many years at 2.5</t>
  </si>
  <si>
    <t xml:space="preserve">Calibration: one false alarm in so many years at 3.0</t>
  </si>
  <si>
    <t xml:space="preserve">The threshold</t>
  </si>
  <si>
    <t xml:space="preserve">Theorem 15.3(ii): gamma = e^(H delta)</t>
  </si>
  <si>
    <t xml:space="preserve">At least 9.5 surveys</t>
  </si>
  <si>
    <t xml:space="preserve">Drift: law never questioned, above the count</t>
  </si>
  <si>
    <t xml:space="preserve">56.47</t>
  </si>
  <si>
    <t xml:space="preserve">Drift: with the monitor, above the count</t>
  </si>
  <si>
    <t xml:space="preserve">18.18</t>
  </si>
  <si>
    <t xml:space="preserve">Drift: told of the drift, above the count</t>
  </si>
  <si>
    <t xml:space="preserve">10.29</t>
  </si>
  <si>
    <t xml:space="preserve">Drift: delay, median</t>
  </si>
  <si>
    <t xml:space="preserve">12</t>
  </si>
  <si>
    <t xml:space="preserve">Drift: delay, 10th percentile</t>
  </si>
  <si>
    <t xml:space="preserve">4</t>
  </si>
  <si>
    <t xml:space="preserve">Drift: delay, 90th percentile</t>
  </si>
  <si>
    <t xml:space="preserve">22</t>
  </si>
  <si>
    <t xml:space="preserve">Drift: delay, mean</t>
  </si>
  <si>
    <t xml:space="preserve">12.3</t>
  </si>
  <si>
    <t xml:space="preserve">Figure 15.3(a): half the monitors alarmed, quarters after the drift</t>
  </si>
  <si>
    <t xml:space="preserve">Median 12</t>
  </si>
  <si>
    <t xml:space="preserve">Cumulative sum: program 1's first alarm from quarter 8</t>
  </si>
  <si>
    <t xml:space="preserve">Equation 15.2 on the engine's innovations</t>
  </si>
  <si>
    <t xml:space="preserve">Cumulative sum: program 2's first alarm from quarter 8</t>
  </si>
  <si>
    <t xml:space="preserve">Cumulative sum: program 3's first alarm from quarter 8</t>
  </si>
  <si>
    <t xml:space="preserve">Cumulative sum: program 4's first alarm from quarter 8</t>
  </si>
  <si>
    <t xml:space="preserve">Cumulative sum: program 5's first alarm from quarter 8</t>
  </si>
  <si>
    <t xml:space="preserve">Cumulative sum: program 6's first alarm from quarter 8</t>
  </si>
  <si>
    <t xml:space="preserve">Cumulative sum: program 7's first alarm from quarter 8</t>
  </si>
  <si>
    <t xml:space="preserve">Cumulative sum: program 8's first alarm from quarter 8</t>
  </si>
  <si>
    <t xml:space="preserve">Envelope: targets that could break the guardrail</t>
  </si>
  <si>
    <t xml:space="preserve">None</t>
  </si>
  <si>
    <t xml:space="preserve">Envelope: an uncertainty trigger at 1.5 first fires at quarter</t>
  </si>
  <si>
    <t xml:space="preserve">Then on the eve of every survey</t>
  </si>
  <si>
    <t xml:space="preserve">Envelope: and at every survey after it</t>
  </si>
  <si>
    <t xml:space="preserve">A calendar</t>
  </si>
  <si>
    <t xml:space="preserve">Proposition 15.3(i): the loop is stable</t>
  </si>
  <si>
    <t xml:space="preserve">Table 15.3: the twin's cost above the count</t>
  </si>
  <si>
    <t xml:space="preserve">11.10</t>
  </si>
  <si>
    <t xml:space="preserve">Table 15.3: law never questioned</t>
  </si>
  <si>
    <t xml:space="preserve">Workbook formula value</t>
  </si>
  <si>
    <t xml:space="preserve">|diff|</t>
  </si>
  <si>
    <t xml:space="preserve">Tolerance</t>
  </si>
  <si>
    <t xml:space="preserve">Status</t>
  </si>
  <si>
    <t xml:space="preserve">All checkpoints</t>
  </si>
</sst>
</file>

<file path=xl/styles.xml><?xml version="1.0" encoding="utf-8"?>
<styleSheet xmlns="http://schemas.openxmlformats.org/spreadsheetml/2006/main">
  <numFmts count="11">
    <numFmt numFmtId="164" formatCode="General"/>
    <numFmt numFmtId="165" formatCode="0.00"/>
    <numFmt numFmtId="166" formatCode="0.000000"/>
    <numFmt numFmtId="167" formatCode="0.000"/>
    <numFmt numFmtId="168" formatCode="0.0000"/>
    <numFmt numFmtId="169" formatCode="0"/>
    <numFmt numFmtId="170" formatCode="#,##0"/>
    <numFmt numFmtId="171" formatCode="0.0%"/>
    <numFmt numFmtId="172" formatCode="0.00000"/>
    <numFmt numFmtId="173" formatCode="0.0"/>
    <numFmt numFmtId="174" formatCode="0.0E+00"/>
  </numFmts>
  <fonts count="12">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name val="Arial"/>
      <family val="0"/>
      <charset val="1"/>
    </font>
    <font>
      <sz val="10"/>
      <color rgb="FF0000FF"/>
      <name val="Arial"/>
      <family val="0"/>
      <charset val="1"/>
    </font>
    <font>
      <b val="true"/>
      <sz val="10"/>
      <color rgb="FF008000"/>
      <name val="Arial"/>
      <family val="0"/>
      <charset val="1"/>
    </font>
    <font>
      <sz val="10"/>
      <color rgb="FF008000"/>
      <name val="Arial"/>
      <family val="0"/>
      <charset val="1"/>
    </font>
    <font>
      <b val="true"/>
      <sz val="10"/>
      <color rgb="FFFFFFFF"/>
      <name val="Arial"/>
      <family val="0"/>
      <charset val="1"/>
    </font>
    <font>
      <i val="true"/>
      <sz val="9"/>
      <color rgb="FF555555"/>
      <name val="Arial"/>
      <family val="0"/>
      <charset val="1"/>
    </font>
  </fonts>
  <fills count="5">
    <fill>
      <patternFill patternType="none"/>
    </fill>
    <fill>
      <patternFill patternType="gray125"/>
    </fill>
    <fill>
      <patternFill patternType="solid">
        <fgColor rgb="FFFFF3D6"/>
        <bgColor rgb="FFE8F0EC"/>
      </patternFill>
    </fill>
    <fill>
      <patternFill patternType="solid">
        <fgColor rgb="FFE8F0EC"/>
        <bgColor rgb="FFFFF3D6"/>
      </patternFill>
    </fill>
    <fill>
      <patternFill patternType="solid">
        <fgColor rgb="FF0B3D2E"/>
        <bgColor rgb="FF003366"/>
      </patternFill>
    </fill>
  </fills>
  <borders count="2">
    <border diagonalUp="false" diagonalDown="false">
      <left/>
      <right/>
      <top/>
      <bottom/>
      <diagonal/>
    </border>
    <border diagonalUp="false" diagonalDown="false">
      <left/>
      <right/>
      <top/>
      <bottom style="thin">
        <color rgb="FFB4BEC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general" vertical="center" textRotation="0" wrapText="true" indent="0" shrinkToFit="false"/>
      <protection locked="true" hidden="false"/>
    </xf>
    <xf numFmtId="165" fontId="7" fillId="2"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7" fontId="7" fillId="2"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9" fontId="7" fillId="2" borderId="0" xfId="0" applyFont="true" applyBorder="false" applyAlignment="false" applyProtection="false">
      <alignment horizontal="general" vertical="bottom" textRotation="0" wrapText="false" indent="0" shrinkToFit="false"/>
      <protection locked="true" hidden="false"/>
    </xf>
    <xf numFmtId="170" fontId="7" fillId="2"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66" fontId="7" fillId="2" borderId="0" xfId="0" applyFont="true" applyBorder="false" applyAlignment="false" applyProtection="false">
      <alignment horizontal="general"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71" fontId="5" fillId="0" borderId="0" xfId="0" applyFont="true" applyBorder="false" applyAlignment="false" applyProtection="false">
      <alignment horizontal="general" vertical="bottom" textRotation="0" wrapText="false" indent="0" shrinkToFit="false"/>
      <protection locked="true" hidden="false"/>
    </xf>
    <xf numFmtId="167" fontId="8" fillId="3" borderId="0" xfId="0" applyFont="true" applyBorder="false" applyAlignment="false" applyProtection="false">
      <alignment horizontal="general" vertical="bottom" textRotation="0" wrapText="false" indent="0" shrinkToFit="false"/>
      <protection locked="true" hidden="false"/>
    </xf>
    <xf numFmtId="171" fontId="8" fillId="3"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72" fontId="5" fillId="0" borderId="0" xfId="0" applyFont="true" applyBorder="false" applyAlignment="false" applyProtection="false">
      <alignment horizontal="general" vertical="bottom" textRotation="0" wrapText="false" indent="0" shrinkToFit="false"/>
      <protection locked="true" hidden="false"/>
    </xf>
    <xf numFmtId="171" fontId="9" fillId="0" borderId="0" xfId="0" applyFont="true" applyBorder="false" applyAlignment="false" applyProtection="false">
      <alignment horizontal="general" vertical="bottom" textRotation="0" wrapText="false" indent="0" shrinkToFit="false"/>
      <protection locked="true" hidden="false"/>
    </xf>
    <xf numFmtId="165" fontId="8" fillId="3" borderId="0" xfId="0" applyFont="true" applyBorder="false" applyAlignment="false" applyProtection="false">
      <alignment horizontal="general" vertical="bottom" textRotation="0" wrapText="false" indent="0" shrinkToFit="false"/>
      <protection locked="true" hidden="false"/>
    </xf>
    <xf numFmtId="168" fontId="8" fillId="3" borderId="0" xfId="0" applyFont="true" applyBorder="false" applyAlignment="false" applyProtection="false">
      <alignment horizontal="general" vertical="bottom" textRotation="0" wrapText="false" indent="0" shrinkToFit="false"/>
      <protection locked="true" hidden="false"/>
    </xf>
    <xf numFmtId="168" fontId="7" fillId="2" borderId="0" xfId="0" applyFont="true" applyBorder="false" applyAlignment="false" applyProtection="false">
      <alignment horizontal="general" vertical="bottom" textRotation="0" wrapText="false" indent="0" shrinkToFit="false"/>
      <protection locked="true" hidden="false"/>
    </xf>
    <xf numFmtId="173" fontId="5" fillId="0" borderId="0" xfId="0" applyFont="true" applyBorder="false" applyAlignment="false" applyProtection="false">
      <alignment horizontal="general" vertical="bottom" textRotation="0" wrapText="false" indent="0" shrinkToFit="false"/>
      <protection locked="true" hidden="false"/>
    </xf>
    <xf numFmtId="169" fontId="8" fillId="3" borderId="0" xfId="0" applyFont="true" applyBorder="false" applyAlignment="false" applyProtection="false">
      <alignment horizontal="general" vertical="bottom" textRotation="0" wrapText="false" indent="0" shrinkToFit="false"/>
      <protection locked="true" hidden="false"/>
    </xf>
    <xf numFmtId="170" fontId="8" fillId="3" borderId="0" xfId="0" applyFont="true" applyBorder="false" applyAlignment="false" applyProtection="false">
      <alignment horizontal="general" vertical="bottom" textRotation="0" wrapText="false" indent="0" shrinkToFit="false"/>
      <protection locked="true" hidden="false"/>
    </xf>
    <xf numFmtId="170" fontId="5" fillId="0" borderId="0" xfId="0" applyFont="true" applyBorder="false" applyAlignment="false" applyProtection="false">
      <alignment horizontal="general" vertical="bottom" textRotation="0" wrapText="false" indent="0" shrinkToFit="false"/>
      <protection locked="true" hidden="false"/>
    </xf>
    <xf numFmtId="173" fontId="7" fillId="2" borderId="0" xfId="0" applyFont="true" applyBorder="false" applyAlignment="false" applyProtection="false">
      <alignment horizontal="general" vertical="bottom" textRotation="0" wrapText="false" indent="0" shrinkToFit="false"/>
      <protection locked="true" hidden="false"/>
    </xf>
    <xf numFmtId="173" fontId="9" fillId="0" borderId="0" xfId="0" applyFont="true" applyBorder="false" applyAlignment="false" applyProtection="false">
      <alignment horizontal="general" vertical="bottom" textRotation="0" wrapText="false" indent="0" shrinkToFit="false"/>
      <protection locked="true" hidden="false"/>
    </xf>
    <xf numFmtId="166" fontId="8" fillId="3" borderId="0" xfId="0" applyFont="true" applyBorder="false" applyAlignment="false" applyProtection="false">
      <alignment horizontal="general" vertical="bottom" textRotation="0" wrapText="false" indent="0" shrinkToFit="false"/>
      <protection locked="true" hidden="false"/>
    </xf>
    <xf numFmtId="174" fontId="5" fillId="0" borderId="0" xfId="0" applyFont="true" applyBorder="false" applyAlignment="false" applyProtection="false">
      <alignment horizontal="general" vertical="bottom" textRotation="0" wrapText="false" indent="0" shrinkToFit="false"/>
      <protection locked="true" hidden="false"/>
    </xf>
    <xf numFmtId="174" fontId="7" fillId="2"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BECE"/>
      <rgbColor rgb="FF808080"/>
      <rgbColor rgb="FF9999FF"/>
      <rgbColor rgb="FF993366"/>
      <rgbColor rgb="FFFFF3D6"/>
      <rgbColor rgb="FFE8F0EC"/>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B3D2E"/>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20"/>
  </cols>
  <sheetData>
    <row r="1" customFormat="false" ht="15" hidden="false" customHeight="false" outlineLevel="0" collapsed="false">
      <c r="B1" s="1" t="s">
        <v>0</v>
      </c>
    </row>
    <row r="2" customFormat="false" ht="15" hidden="false" customHeight="false" outlineLevel="0" collapsed="false">
      <c r="B2" s="2" t="s">
        <v>1</v>
      </c>
    </row>
    <row r="4" customFormat="false" ht="35.05" hidden="false" customHeight="false" outlineLevel="0" collapsed="false">
      <c r="B4" s="3" t="s">
        <v>2</v>
      </c>
    </row>
    <row r="5" customFormat="false" ht="15" hidden="false" customHeight="false" outlineLevel="0" collapsed="false">
      <c r="B5" s="3" t="s">
        <v>3</v>
      </c>
    </row>
    <row r="6" customFormat="false" ht="23.85" hidden="false" customHeight="false" outlineLevel="0" collapsed="false">
      <c r="B6" s="3" t="s">
        <v>4</v>
      </c>
    </row>
    <row r="7" customFormat="false" ht="15" hidden="false" customHeight="false" outlineLevel="0" collapsed="false">
      <c r="B7" s="3" t="s">
        <v>5</v>
      </c>
    </row>
    <row r="8" customFormat="false" ht="23.85" hidden="false" customHeight="false" outlineLevel="0" collapsed="false">
      <c r="B8" s="3" t="s">
        <v>6</v>
      </c>
    </row>
    <row r="9" customFormat="false" ht="15" hidden="false" customHeight="false" outlineLevel="0" collapsed="false">
      <c r="B9" s="3" t="s">
        <v>7</v>
      </c>
    </row>
    <row r="10" customFormat="false" ht="23.85" hidden="false" customHeight="false" outlineLevel="0" collapsed="false">
      <c r="B10" s="3" t="s">
        <v>8</v>
      </c>
    </row>
    <row r="11" customFormat="false" ht="23.85" hidden="false" customHeight="false" outlineLevel="0" collapsed="false">
      <c r="B11" s="3" t="s">
        <v>9</v>
      </c>
    </row>
    <row r="12" customFormat="false" ht="23.85" hidden="false" customHeight="false" outlineLevel="0" collapsed="false">
      <c r="B12" s="3" t="s">
        <v>10</v>
      </c>
    </row>
    <row r="13" customFormat="false" ht="15" hidden="false" customHeight="false" outlineLevel="0" collapsed="false">
      <c r="B13" s="3" t="s">
        <v>11</v>
      </c>
    </row>
    <row r="15" customFormat="false" ht="15" hidden="false" customHeight="false" outlineLevel="0" collapsed="false">
      <c r="B15" s="4" t="s">
        <v>12</v>
      </c>
    </row>
    <row r="16" customFormat="false" ht="15" hidden="false" customHeight="false" outlineLevel="0" collapsed="false">
      <c r="B16" s="5" t="s">
        <v>13</v>
      </c>
    </row>
    <row r="17" customFormat="false" ht="15" hidden="false" customHeight="false" outlineLevel="0" collapsed="false">
      <c r="B17" s="2" t="s">
        <v>14</v>
      </c>
    </row>
    <row r="18" customFormat="false" ht="15" hidden="false" customHeight="false" outlineLevel="0" collapsed="false">
      <c r="B18" s="6" t="s">
        <v>15</v>
      </c>
    </row>
    <row r="19" customFormat="false" ht="15" hidden="false" customHeight="false" outlineLevel="0" collapsed="false">
      <c r="B19" s="7"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6"/>
    <col collapsed="false" customWidth="true" hidden="false" outlineLevel="0" max="2" min="2" style="0" width="14"/>
    <col collapsed="false" customWidth="true" hidden="false" outlineLevel="0" max="3" min="3" style="0" width="52"/>
  </cols>
  <sheetData>
    <row r="1" customFormat="false" ht="15" hidden="false" customHeight="false" outlineLevel="0" collapsed="false">
      <c r="A1" s="1" t="s">
        <v>17</v>
      </c>
    </row>
    <row r="3" customFormat="false" ht="15" hidden="false" customHeight="false" outlineLevel="0" collapsed="false">
      <c r="A3" s="8" t="s">
        <v>18</v>
      </c>
      <c r="B3" s="8" t="s">
        <v>19</v>
      </c>
      <c r="C3" s="8" t="s">
        <v>20</v>
      </c>
    </row>
    <row r="4" customFormat="false" ht="15" hidden="false" customHeight="false" outlineLevel="0" collapsed="false">
      <c r="A4" s="2" t="s">
        <v>21</v>
      </c>
      <c r="B4" s="9" t="n">
        <v>0.1</v>
      </c>
      <c r="C4" s="10" t="s">
        <v>22</v>
      </c>
    </row>
    <row r="5" customFormat="false" ht="15" hidden="false" customHeight="false" outlineLevel="0" collapsed="false">
      <c r="A5" s="2" t="s">
        <v>23</v>
      </c>
      <c r="B5" s="11" t="n">
        <f aca="false">(1+B4)^(-1/4)</f>
        <v>0.976454089676311</v>
      </c>
      <c r="C5" s="10" t="s">
        <v>24</v>
      </c>
    </row>
    <row r="6" customFormat="false" ht="15" hidden="false" customHeight="false" outlineLevel="0" collapsed="false">
      <c r="A6" s="2" t="s">
        <v>25</v>
      </c>
      <c r="B6" s="12" t="n">
        <f aca="false">1/(1-B5)</f>
        <v>42.4702203589854</v>
      </c>
    </row>
    <row r="7" customFormat="false" ht="15" hidden="false" customHeight="false" outlineLevel="0" collapsed="false">
      <c r="A7" s="2" t="s">
        <v>26</v>
      </c>
      <c r="B7" s="13" t="n">
        <v>0.975</v>
      </c>
      <c r="C7" s="10" t="s">
        <v>27</v>
      </c>
    </row>
    <row r="8" customFormat="false" ht="15" hidden="false" customHeight="false" outlineLevel="0" collapsed="false">
      <c r="A8" s="2" t="s">
        <v>28</v>
      </c>
      <c r="B8" s="9" t="n">
        <v>4</v>
      </c>
      <c r="C8" s="10" t="s">
        <v>29</v>
      </c>
    </row>
    <row r="9" customFormat="false" ht="15" hidden="false" customHeight="false" outlineLevel="0" collapsed="false">
      <c r="A9" s="2" t="s">
        <v>30</v>
      </c>
      <c r="B9" s="9" t="n">
        <v>2.5</v>
      </c>
    </row>
    <row r="10" customFormat="false" ht="15" hidden="false" customHeight="false" outlineLevel="0" collapsed="false">
      <c r="A10" s="2" t="s">
        <v>31</v>
      </c>
      <c r="B10" s="9" t="n">
        <v>55</v>
      </c>
    </row>
    <row r="11" customFormat="false" ht="15" hidden="false" customHeight="false" outlineLevel="0" collapsed="false">
      <c r="A11" s="2" t="s">
        <v>32</v>
      </c>
      <c r="B11" s="9" t="n">
        <v>1.6</v>
      </c>
      <c r="C11" s="10" t="s">
        <v>33</v>
      </c>
    </row>
    <row r="12" customFormat="false" ht="15" hidden="false" customHeight="false" outlineLevel="0" collapsed="false">
      <c r="A12" s="2" t="s">
        <v>34</v>
      </c>
      <c r="B12" s="9" t="n">
        <v>58</v>
      </c>
      <c r="C12" s="10" t="s">
        <v>35</v>
      </c>
    </row>
    <row r="13" customFormat="false" ht="15" hidden="false" customHeight="false" outlineLevel="0" collapsed="false">
      <c r="A13" s="2" t="s">
        <v>36</v>
      </c>
      <c r="B13" s="9" t="n">
        <v>55.75</v>
      </c>
      <c r="C13" s="10" t="s">
        <v>37</v>
      </c>
    </row>
    <row r="14" customFormat="false" ht="15" hidden="false" customHeight="false" outlineLevel="0" collapsed="false">
      <c r="A14" s="2" t="s">
        <v>38</v>
      </c>
      <c r="B14" s="13" t="n">
        <v>230.755</v>
      </c>
      <c r="C14" s="10" t="s">
        <v>39</v>
      </c>
    </row>
    <row r="15" customFormat="false" ht="15" hidden="false" customHeight="false" outlineLevel="0" collapsed="false">
      <c r="A15" s="2" t="s">
        <v>40</v>
      </c>
      <c r="B15" s="9" t="n">
        <v>2.5</v>
      </c>
      <c r="C15" s="10" t="s">
        <v>41</v>
      </c>
    </row>
    <row r="16" customFormat="false" ht="15" hidden="false" customHeight="false" outlineLevel="0" collapsed="false">
      <c r="A16" s="2" t="s">
        <v>42</v>
      </c>
      <c r="B16" s="14" t="n">
        <f aca="false">B15^2</f>
        <v>6.25</v>
      </c>
    </row>
    <row r="17" customFormat="false" ht="15" hidden="false" customHeight="false" outlineLevel="0" collapsed="false">
      <c r="A17" s="2" t="s">
        <v>43</v>
      </c>
      <c r="B17" s="12" t="n">
        <f aca="false">B15/2</f>
        <v>1.25</v>
      </c>
      <c r="C17" s="10" t="s">
        <v>44</v>
      </c>
    </row>
    <row r="18" customFormat="false" ht="15" hidden="false" customHeight="false" outlineLevel="0" collapsed="false">
      <c r="A18" s="2" t="s">
        <v>45</v>
      </c>
      <c r="B18" s="14" t="n">
        <f aca="false">B17^2</f>
        <v>1.5625</v>
      </c>
    </row>
    <row r="19" customFormat="false" ht="15" hidden="false" customHeight="false" outlineLevel="0" collapsed="false">
      <c r="A19" s="2" t="s">
        <v>46</v>
      </c>
      <c r="B19" s="15" t="n">
        <v>2</v>
      </c>
      <c r="C19" s="10" t="s">
        <v>47</v>
      </c>
    </row>
    <row r="20" customFormat="false" ht="15" hidden="false" customHeight="false" outlineLevel="0" collapsed="false">
      <c r="A20" s="2" t="s">
        <v>48</v>
      </c>
      <c r="B20" s="15" t="n">
        <v>1</v>
      </c>
    </row>
    <row r="21" customFormat="false" ht="15" hidden="false" customHeight="false" outlineLevel="0" collapsed="false">
      <c r="A21" s="2" t="s">
        <v>49</v>
      </c>
      <c r="B21" s="15" t="n">
        <v>480</v>
      </c>
      <c r="C21" s="10" t="s">
        <v>50</v>
      </c>
    </row>
    <row r="22" customFormat="false" ht="15" hidden="false" customHeight="false" outlineLevel="0" collapsed="false">
      <c r="A22" s="2" t="s">
        <v>51</v>
      </c>
      <c r="B22" s="15" t="n">
        <v>40</v>
      </c>
      <c r="C22" s="10" t="s">
        <v>52</v>
      </c>
    </row>
    <row r="23" customFormat="false" ht="15" hidden="false" customHeight="false" outlineLevel="0" collapsed="false">
      <c r="A23" s="2" t="s">
        <v>53</v>
      </c>
      <c r="B23" s="9" t="n">
        <v>0.5</v>
      </c>
      <c r="C23" s="10" t="s">
        <v>54</v>
      </c>
    </row>
    <row r="24" customFormat="false" ht="15" hidden="false" customHeight="false" outlineLevel="0" collapsed="false">
      <c r="A24" s="2" t="s">
        <v>55</v>
      </c>
      <c r="B24" s="15" t="n">
        <v>50</v>
      </c>
      <c r="C24" s="10" t="s">
        <v>56</v>
      </c>
    </row>
    <row r="25" customFormat="false" ht="15" hidden="false" customHeight="false" outlineLevel="0" collapsed="false">
      <c r="A25" s="2" t="s">
        <v>57</v>
      </c>
      <c r="B25" s="15" t="n">
        <v>8</v>
      </c>
      <c r="C25" s="10" t="s">
        <v>58</v>
      </c>
    </row>
    <row r="26" customFormat="false" ht="15" hidden="false" customHeight="false" outlineLevel="0" collapsed="false">
      <c r="A26" s="2" t="s">
        <v>59</v>
      </c>
      <c r="B26" s="9" t="n">
        <v>0.5</v>
      </c>
    </row>
    <row r="27" customFormat="false" ht="15" hidden="false" customHeight="false" outlineLevel="0" collapsed="false">
      <c r="A27" s="2" t="s">
        <v>60</v>
      </c>
      <c r="B27" s="16" t="n">
        <v>20000</v>
      </c>
      <c r="C27" s="10" t="s">
        <v>61</v>
      </c>
    </row>
    <row r="28" customFormat="false" ht="15" hidden="false" customHeight="false" outlineLevel="0" collapsed="false">
      <c r="A28" s="2" t="s">
        <v>62</v>
      </c>
      <c r="B28" s="16" t="n">
        <v>100000</v>
      </c>
      <c r="C28" s="10" t="s">
        <v>63</v>
      </c>
    </row>
    <row r="30" customFormat="false" ht="15" hidden="false" customHeight="false" outlineLevel="0" collapsed="false">
      <c r="A30" s="8" t="s">
        <v>64</v>
      </c>
      <c r="B30" s="8" t="s">
        <v>65</v>
      </c>
    </row>
    <row r="31" customFormat="false" ht="15" hidden="false" customHeight="false" outlineLevel="0" collapsed="false">
      <c r="A31" s="9" t="n">
        <v>1.5</v>
      </c>
      <c r="B31" s="9" t="n">
        <v>0.05</v>
      </c>
    </row>
    <row r="32" customFormat="false" ht="15" hidden="false" customHeight="false" outlineLevel="0" collapsed="false">
      <c r="A32" s="9" t="n">
        <v>0.75</v>
      </c>
      <c r="B32" s="9" t="n">
        <v>0.2</v>
      </c>
    </row>
    <row r="33" customFormat="false" ht="15" hidden="false" customHeight="false" outlineLevel="0" collapsed="false">
      <c r="A33" s="9" t="n">
        <v>0</v>
      </c>
      <c r="B33" s="9" t="n">
        <v>0.5</v>
      </c>
    </row>
    <row r="34" customFormat="false" ht="15" hidden="false" customHeight="false" outlineLevel="0" collapsed="false">
      <c r="A34" s="9" t="n">
        <v>-0.75</v>
      </c>
      <c r="B34" s="9" t="n">
        <v>0.2</v>
      </c>
    </row>
    <row r="35" customFormat="false" ht="15" hidden="false" customHeight="false" outlineLevel="0" collapsed="false">
      <c r="A35" s="9" t="n">
        <v>-1.5</v>
      </c>
      <c r="B35" s="9" t="n">
        <v>0.05</v>
      </c>
    </row>
    <row r="36" customFormat="false" ht="15" hidden="false" customHeight="false" outlineLevel="0" collapsed="false">
      <c r="A36" s="2" t="s">
        <v>66</v>
      </c>
      <c r="B36" s="12" t="n">
        <f aca="false">SUM(B31:B35)</f>
        <v>1</v>
      </c>
    </row>
    <row r="37" customFormat="false" ht="15" hidden="false" customHeight="false" outlineLevel="0" collapsed="false">
      <c r="A37" s="2" t="s">
        <v>67</v>
      </c>
      <c r="B37" s="17" t="n">
        <f aca="false">SUMPRODUCT(A31:A35,B31:B35)</f>
        <v>0</v>
      </c>
    </row>
    <row r="38" customFormat="false" ht="15" hidden="false" customHeight="false" outlineLevel="0" collapsed="false">
      <c r="A38" s="2" t="s">
        <v>68</v>
      </c>
      <c r="B38" s="14" t="n">
        <f aca="false">SUMPRODUCT(A31:A35,A31:A35,B31:B35)-B37^2</f>
        <v>0.45</v>
      </c>
      <c r="C38" s="10" t="s">
        <v>69</v>
      </c>
    </row>
    <row r="39" customFormat="false" ht="15" hidden="false" customHeight="false" outlineLevel="0" collapsed="false">
      <c r="A39" s="2" t="s">
        <v>70</v>
      </c>
      <c r="B39" s="17" t="n">
        <f aca="false">SQRT(B38)</f>
        <v>0.670820393249937</v>
      </c>
      <c r="C39" s="10" t="s">
        <v>71</v>
      </c>
    </row>
    <row r="40" customFormat="false" ht="15" hidden="false" customHeight="false" outlineLevel="0" collapsed="false">
      <c r="A40" s="10" t="s">
        <v>72</v>
      </c>
    </row>
    <row r="42" customFormat="false" ht="15" hidden="false" customHeight="false" outlineLevel="0" collapsed="false">
      <c r="A42" s="4" t="s">
        <v>73</v>
      </c>
    </row>
    <row r="43" customFormat="false" ht="15" hidden="false" customHeight="false" outlineLevel="0" collapsed="false">
      <c r="A43" s="2" t="s">
        <v>74</v>
      </c>
      <c r="B43" s="15" t="n">
        <v>1500</v>
      </c>
      <c r="C43" s="10" t="s">
        <v>75</v>
      </c>
    </row>
    <row r="44" customFormat="false" ht="15" hidden="false" customHeight="false" outlineLevel="0" collapsed="false">
      <c r="A44" s="2" t="s">
        <v>76</v>
      </c>
      <c r="B44" s="15" t="n">
        <v>1501</v>
      </c>
      <c r="C44" s="10" t="s">
        <v>77</v>
      </c>
    </row>
    <row r="45" customFormat="false" ht="15" hidden="false" customHeight="false" outlineLevel="0" collapsed="false">
      <c r="A45" s="2" t="s">
        <v>78</v>
      </c>
      <c r="B45" s="15" t="n">
        <v>1503</v>
      </c>
      <c r="C45" s="10" t="s">
        <v>79</v>
      </c>
    </row>
    <row r="46" customFormat="false" ht="15" hidden="false" customHeight="false" outlineLevel="0" collapsed="false">
      <c r="A46" s="2" t="s">
        <v>80</v>
      </c>
      <c r="B46" s="15" t="n">
        <v>1505</v>
      </c>
    </row>
    <row r="47" customFormat="false" ht="15" hidden="false" customHeight="false" outlineLevel="0" collapsed="false">
      <c r="A47" s="2" t="s">
        <v>81</v>
      </c>
      <c r="B47" s="15" t="n">
        <v>1507</v>
      </c>
    </row>
    <row r="48" customFormat="false" ht="15" hidden="false" customHeight="false" outlineLevel="0" collapsed="false">
      <c r="A48" s="2" t="s">
        <v>82</v>
      </c>
      <c r="B48" s="15" t="n">
        <v>1509</v>
      </c>
    </row>
    <row r="49" customFormat="false" ht="15" hidden="false" customHeight="false" outlineLevel="0" collapsed="false">
      <c r="A49" s="2" t="s">
        <v>83</v>
      </c>
      <c r="B49" s="15" t="n">
        <v>26215</v>
      </c>
      <c r="C49" s="10" t="s">
        <v>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2" min="2" style="0" width="11"/>
    <col collapsed="false" customWidth="true" hidden="false" outlineLevel="0" max="23" min="23" style="0" width="10"/>
    <col collapsed="false" customWidth="true" hidden="false" outlineLevel="0" max="24" min="24" style="0" width="11"/>
    <col collapsed="false" customWidth="true" hidden="false" outlineLevel="0" max="25" min="25" style="0" width="10"/>
    <col collapsed="false" customWidth="true" hidden="false" outlineLevel="0" max="26" min="26" style="0" width="3"/>
    <col collapsed="false" customWidth="true" hidden="false" outlineLevel="0" max="27" min="27" style="0" width="58"/>
    <col collapsed="false" customWidth="true" hidden="false" outlineLevel="0" max="29" min="28" style="0" width="12"/>
    <col collapsed="false" customWidth="true" hidden="false" outlineLevel="0" max="30" min="30" style="0" width="10"/>
    <col collapsed="false" customWidth="true" hidden="false" outlineLevel="0" max="31" min="31" style="0" width="14"/>
    <col collapsed="false" customWidth="true" hidden="false" outlineLevel="0" max="32" min="32" style="0" width="16"/>
    <col collapsed="false" customWidth="true" hidden="false" outlineLevel="0" max="35" min="33" style="0" width="12"/>
    <col collapsed="false" customWidth="true" hidden="false" outlineLevel="0" max="36" min="36" style="0" width="10"/>
    <col collapsed="false" customWidth="true" hidden="false" outlineLevel="0" max="37" min="37" style="0" width="14"/>
  </cols>
  <sheetData>
    <row r="1" customFormat="false" ht="15" hidden="false" customHeight="false" outlineLevel="0" collapsed="false">
      <c r="A1" s="1" t="s">
        <v>85</v>
      </c>
    </row>
    <row r="2" customFormat="false" ht="15" hidden="false" customHeight="false" outlineLevel="0" collapsed="false">
      <c r="A2" s="10" t="s">
        <v>86</v>
      </c>
    </row>
    <row r="4" customFormat="false" ht="35.05" hidden="false" customHeight="false" outlineLevel="0" collapsed="false">
      <c r="B4" s="4" t="s">
        <v>87</v>
      </c>
      <c r="G4" s="4" t="s">
        <v>88</v>
      </c>
      <c r="L4" s="4" t="s">
        <v>89</v>
      </c>
      <c r="Q4" s="4" t="s">
        <v>90</v>
      </c>
      <c r="V4" s="4" t="s">
        <v>91</v>
      </c>
      <c r="X4" s="4" t="s">
        <v>92</v>
      </c>
      <c r="AA4" s="8" t="s">
        <v>93</v>
      </c>
      <c r="AB4" s="8" t="s">
        <v>94</v>
      </c>
      <c r="AC4" s="8" t="s">
        <v>95</v>
      </c>
      <c r="AD4" s="8" t="s">
        <v>96</v>
      </c>
      <c r="AE4" s="8" t="s">
        <v>97</v>
      </c>
      <c r="AF4" s="8" t="s">
        <v>98</v>
      </c>
      <c r="AG4" s="8" t="s">
        <v>99</v>
      </c>
      <c r="AH4" s="8" t="s">
        <v>100</v>
      </c>
      <c r="AI4" s="8" t="s">
        <v>101</v>
      </c>
      <c r="AJ4" s="8" t="s">
        <v>102</v>
      </c>
      <c r="AK4" s="8" t="s">
        <v>103</v>
      </c>
    </row>
    <row r="5" customFormat="false" ht="46.25" hidden="false" customHeight="false" outlineLevel="0" collapsed="false">
      <c r="A5" s="8" t="s">
        <v>104</v>
      </c>
      <c r="B5" s="8" t="s">
        <v>105</v>
      </c>
      <c r="C5" s="8" t="s">
        <v>106</v>
      </c>
      <c r="D5" s="8" t="s">
        <v>107</v>
      </c>
      <c r="E5" s="8" t="s">
        <v>108</v>
      </c>
      <c r="F5" s="8" t="s">
        <v>109</v>
      </c>
      <c r="G5" s="8" t="s">
        <v>105</v>
      </c>
      <c r="H5" s="8" t="s">
        <v>106</v>
      </c>
      <c r="I5" s="8" t="s">
        <v>107</v>
      </c>
      <c r="J5" s="8" t="s">
        <v>108</v>
      </c>
      <c r="K5" s="8" t="s">
        <v>109</v>
      </c>
      <c r="L5" s="8" t="s">
        <v>105</v>
      </c>
      <c r="M5" s="8" t="s">
        <v>106</v>
      </c>
      <c r="N5" s="8" t="s">
        <v>107</v>
      </c>
      <c r="O5" s="8" t="s">
        <v>108</v>
      </c>
      <c r="P5" s="8" t="s">
        <v>109</v>
      </c>
      <c r="Q5" s="8" t="s">
        <v>105</v>
      </c>
      <c r="R5" s="8" t="s">
        <v>106</v>
      </c>
      <c r="S5" s="8" t="s">
        <v>107</v>
      </c>
      <c r="T5" s="8" t="s">
        <v>108</v>
      </c>
      <c r="U5" s="8" t="s">
        <v>109</v>
      </c>
      <c r="V5" s="8" t="s">
        <v>110</v>
      </c>
      <c r="W5" s="8" t="s">
        <v>111</v>
      </c>
      <c r="X5" s="8" t="s">
        <v>110</v>
      </c>
      <c r="Y5" s="8" t="s">
        <v>111</v>
      </c>
    </row>
    <row r="6" customFormat="false" ht="15" hidden="false" customHeight="false" outlineLevel="0" collapsed="false">
      <c r="A6" s="18" t="n">
        <v>0</v>
      </c>
      <c r="B6" s="18" t="n">
        <f aca="false">IF(AND($A6&gt;0,MOD($A6,Every2)=0),1,0)</f>
        <v>0</v>
      </c>
      <c r="C6" s="19" t="n">
        <v>0</v>
      </c>
      <c r="D6" s="11" t="n">
        <f aca="false">IF(B6=1,C6/(C6+R_s),0)</f>
        <v>0</v>
      </c>
      <c r="E6" s="11" t="n">
        <f aca="false">(1-D6)*C6</f>
        <v>0</v>
      </c>
      <c r="F6" s="14" t="n">
        <f aca="false">SQRT(E6)</f>
        <v>0</v>
      </c>
      <c r="G6" s="18" t="n">
        <f aca="false">IF(AND($A6&gt;0,MOD($A6,Every1)=0),1,0)</f>
        <v>0</v>
      </c>
      <c r="H6" s="19" t="n">
        <v>0</v>
      </c>
      <c r="I6" s="11" t="n">
        <f aca="false">IF(G6=1,H6/(H6+R_s),0)</f>
        <v>0</v>
      </c>
      <c r="J6" s="11" t="n">
        <f aca="false">(1-I6)*H6</f>
        <v>0</v>
      </c>
      <c r="K6" s="14" t="n">
        <f aca="false">SQRT(J6)</f>
        <v>0</v>
      </c>
      <c r="L6" s="18" t="n">
        <f aca="false">IF(AND($A6&gt;0,MOD($A6,Every2)=0),1,0)</f>
        <v>0</v>
      </c>
      <c r="M6" s="19" t="n">
        <v>0</v>
      </c>
      <c r="N6" s="11" t="n">
        <f aca="false">IF(L6=1,M6/(M6+R_sharp),0)</f>
        <v>0</v>
      </c>
      <c r="O6" s="11" t="n">
        <f aca="false">(1-N6)*M6</f>
        <v>0</v>
      </c>
      <c r="P6" s="14" t="n">
        <f aca="false">SQRT(O6)</f>
        <v>0</v>
      </c>
      <c r="Q6" s="18" t="n">
        <f aca="false">IF(AND($A6&gt;0,MOD($A6,Every1)=0),1,0)</f>
        <v>0</v>
      </c>
      <c r="R6" s="19" t="n">
        <v>0</v>
      </c>
      <c r="S6" s="11" t="n">
        <f aca="false">IF(Q6=1,R6/(R6+R_sharp),0)</f>
        <v>0</v>
      </c>
      <c r="T6" s="11" t="n">
        <f aca="false">(1-S6)*R6</f>
        <v>0</v>
      </c>
      <c r="U6" s="14" t="n">
        <f aca="false">SQRT(T6)</f>
        <v>0</v>
      </c>
      <c r="V6" s="19" t="n">
        <v>0</v>
      </c>
      <c r="W6" s="14" t="n">
        <f aca="false">SQRT(V6)</f>
        <v>0</v>
      </c>
      <c r="X6" s="19" t="n">
        <v>0</v>
      </c>
      <c r="Y6" s="14" t="n">
        <f aca="false">SQRT(X6)</f>
        <v>0</v>
      </c>
      <c r="AA6" s="4" t="s">
        <v>87</v>
      </c>
      <c r="AB6" s="20" t="n">
        <f aca="false">Every2</f>
        <v>2</v>
      </c>
      <c r="AC6" s="21" t="n">
        <f aca="false">R_s</f>
        <v>6.25</v>
      </c>
      <c r="AD6" s="11" t="n">
        <f aca="false">Alpha_keep^(2*AB6)</f>
        <v>0.903687890625</v>
      </c>
      <c r="AE6" s="11" t="n">
        <f aca="false">Q_var*(1-AD6)/(1-Alpha_keep^2)</f>
        <v>0.87778125</v>
      </c>
      <c r="AF6" s="11" t="n">
        <f aca="false">(-(AE6+AC6-AC6*AD6)+SQRT((AE6+AC6-AC6*AD6)^2+4*AD6*AC6*AE6))/(2*AD6)</f>
        <v>1.77764955043543</v>
      </c>
      <c r="AG6" s="17" t="n">
        <f aca="false">SQRT(AF6)</f>
        <v>1.33328524721285</v>
      </c>
      <c r="AH6" s="17" t="n">
        <f aca="false">IF(AB6=2,SQRT(Alpha_keep^2*AF6+Q_var),"")</f>
        <v>1.46283222000429</v>
      </c>
      <c r="AI6" s="17" t="n">
        <f aca="false">SQRT(AD6*AF6+AE6)</f>
        <v>1.57614137135711</v>
      </c>
      <c r="AJ6" s="17" t="n">
        <f aca="false">(AD6*AF6+AE6)/(AD6*AF6+AE6+AC6)</f>
        <v>0.284423928069669</v>
      </c>
      <c r="AK6" s="22" t="n">
        <f aca="false">F66</f>
        <v>1.33328524712042</v>
      </c>
    </row>
    <row r="7" customFormat="false" ht="15" hidden="false" customHeight="false" outlineLevel="0" collapsed="false">
      <c r="A7" s="18" t="n">
        <v>1</v>
      </c>
      <c r="B7" s="18" t="n">
        <f aca="false">IF(AND($A7&gt;0,MOD($A7,Every2)=0),1,0)</f>
        <v>0</v>
      </c>
      <c r="C7" s="11" t="n">
        <f aca="false">Alpha_keep^2*E6+Q_var</f>
        <v>0.45</v>
      </c>
      <c r="D7" s="11" t="n">
        <f aca="false">IF(B7=1,C7/(C7+R_s),0)</f>
        <v>0</v>
      </c>
      <c r="E7" s="11" t="n">
        <f aca="false">(1-D7)*C7</f>
        <v>0.45</v>
      </c>
      <c r="F7" s="14" t="n">
        <f aca="false">SQRT(E7)</f>
        <v>0.670820393249937</v>
      </c>
      <c r="G7" s="18" t="n">
        <f aca="false">IF(AND($A7&gt;0,MOD($A7,Every1)=0),1,0)</f>
        <v>1</v>
      </c>
      <c r="H7" s="11" t="n">
        <f aca="false">Alpha_keep^2*J6+Q_var</f>
        <v>0.45</v>
      </c>
      <c r="I7" s="11" t="n">
        <f aca="false">IF(G7=1,H7/(H7+R_s),0)</f>
        <v>0.0671641791044776</v>
      </c>
      <c r="J7" s="11" t="n">
        <f aca="false">(1-I7)*H7</f>
        <v>0.419776119402985</v>
      </c>
      <c r="K7" s="14" t="n">
        <f aca="false">SQRT(J7)</f>
        <v>0.64790131918602</v>
      </c>
      <c r="L7" s="18" t="n">
        <f aca="false">IF(AND($A7&gt;0,MOD($A7,Every2)=0),1,0)</f>
        <v>0</v>
      </c>
      <c r="M7" s="11" t="n">
        <f aca="false">Alpha_keep^2*O6+Q_var</f>
        <v>0.45</v>
      </c>
      <c r="N7" s="11" t="n">
        <f aca="false">IF(L7=1,M7/(M7+R_sharp),0)</f>
        <v>0</v>
      </c>
      <c r="O7" s="11" t="n">
        <f aca="false">(1-N7)*M7</f>
        <v>0.45</v>
      </c>
      <c r="P7" s="14" t="n">
        <f aca="false">SQRT(O7)</f>
        <v>0.670820393249937</v>
      </c>
      <c r="Q7" s="18" t="n">
        <f aca="false">IF(AND($A7&gt;0,MOD($A7,Every1)=0),1,0)</f>
        <v>1</v>
      </c>
      <c r="R7" s="11" t="n">
        <f aca="false">Alpha_keep^2*T6+Q_var</f>
        <v>0.45</v>
      </c>
      <c r="S7" s="11" t="n">
        <f aca="false">IF(Q7=1,R7/(R7+R_sharp),0)</f>
        <v>0.22360248447205</v>
      </c>
      <c r="T7" s="11" t="n">
        <f aca="false">(1-S7)*R7</f>
        <v>0.349378881987578</v>
      </c>
      <c r="U7" s="14" t="n">
        <f aca="false">SQRT(T7)</f>
        <v>0.591082804679326</v>
      </c>
      <c r="V7" s="11" t="n">
        <f aca="false">IF(MOD($A7,Every2)=0,R_s,Alpha_keep^2*V6+Q_var)</f>
        <v>0.45</v>
      </c>
      <c r="W7" s="14" t="n">
        <f aca="false">SQRT(V7)</f>
        <v>0.670820393249937</v>
      </c>
      <c r="X7" s="11" t="n">
        <f aca="false">Alpha_keep^2*X6+Q_var</f>
        <v>0.45</v>
      </c>
      <c r="Y7" s="14" t="n">
        <f aca="false">SQRT(X7)</f>
        <v>0.670820393249937</v>
      </c>
      <c r="AA7" s="4" t="s">
        <v>88</v>
      </c>
      <c r="AB7" s="20" t="n">
        <f aca="false">Every1</f>
        <v>1</v>
      </c>
      <c r="AC7" s="21" t="n">
        <f aca="false">R_s</f>
        <v>6.25</v>
      </c>
      <c r="AD7" s="11" t="n">
        <f aca="false">Alpha_keep^(2*AB7)</f>
        <v>0.950625</v>
      </c>
      <c r="AE7" s="11" t="n">
        <f aca="false">Q_var*(1-AD7)/(1-Alpha_keep^2)</f>
        <v>0.45</v>
      </c>
      <c r="AF7" s="11" t="n">
        <f aca="false">(-(AE7+AC7-AC7*AD7)+SQRT((AE7+AC7-AC7*AD7)^2+4*AD7*AC7*AE7))/(2*AD7)</f>
        <v>1.3667259329301</v>
      </c>
      <c r="AG7" s="17" t="n">
        <f aca="false">SQRT(AF7)</f>
        <v>1.16907054232416</v>
      </c>
      <c r="AH7" s="17" t="str">
        <f aca="false">IF(AB7=2,SQRT(Alpha_keep^2*AF7+Q_var),"")</f>
        <v/>
      </c>
      <c r="AI7" s="17" t="n">
        <f aca="false">SQRT(AD7*AF7+AE7)</f>
        <v>1.32258982303346</v>
      </c>
      <c r="AJ7" s="17" t="n">
        <f aca="false">(AD7*AF7+AE7)/(AD7*AF7+AE7+AC7)</f>
        <v>0.218676149268816</v>
      </c>
      <c r="AK7" s="22" t="n">
        <f aca="false">K66</f>
        <v>1.16907054232415</v>
      </c>
    </row>
    <row r="8" customFormat="false" ht="15" hidden="false" customHeight="false" outlineLevel="0" collapsed="false">
      <c r="A8" s="18" t="n">
        <v>2</v>
      </c>
      <c r="B8" s="18" t="n">
        <f aca="false">IF(AND($A8&gt;0,MOD($A8,Every2)=0),1,0)</f>
        <v>1</v>
      </c>
      <c r="C8" s="11" t="n">
        <f aca="false">Alpha_keep^2*E7+Q_var</f>
        <v>0.87778125</v>
      </c>
      <c r="D8" s="11" t="n">
        <f aca="false">IF(B8=1,C8/(C8+R_s),0)</f>
        <v>0.123149296984949</v>
      </c>
      <c r="E8" s="11" t="n">
        <f aca="false">(1-D8)*C8</f>
        <v>0.769683106155931</v>
      </c>
      <c r="F8" s="14" t="n">
        <f aca="false">SQRT(E8)</f>
        <v>0.877315853131545</v>
      </c>
      <c r="G8" s="18" t="n">
        <f aca="false">IF(AND($A8&gt;0,MOD($A8,Every1)=0),1,0)</f>
        <v>1</v>
      </c>
      <c r="H8" s="11" t="n">
        <f aca="false">Alpha_keep^2*J7+Q_var</f>
        <v>0.849049673507463</v>
      </c>
      <c r="I8" s="11" t="n">
        <f aca="false">IF(G8=1,H8/(H8+R_s),0)</f>
        <v>0.119600469436914</v>
      </c>
      <c r="J8" s="11" t="n">
        <f aca="false">(1-I8)*H8</f>
        <v>0.747502933980712</v>
      </c>
      <c r="K8" s="14" t="n">
        <f aca="false">SQRT(J8)</f>
        <v>0.86458252005272</v>
      </c>
      <c r="L8" s="18" t="n">
        <f aca="false">IF(AND($A8&gt;0,MOD($A8,Every2)=0),1,0)</f>
        <v>1</v>
      </c>
      <c r="M8" s="11" t="n">
        <f aca="false">Alpha_keep^2*O7+Q_var</f>
        <v>0.87778125</v>
      </c>
      <c r="N8" s="11" t="n">
        <f aca="false">IF(L8=1,M8/(M8+R_sharp),0)</f>
        <v>0.359704952041901</v>
      </c>
      <c r="O8" s="11" t="n">
        <f aca="false">(1-N8)*M8</f>
        <v>0.56203898756547</v>
      </c>
      <c r="P8" s="14" t="n">
        <f aca="false">SQRT(O8)</f>
        <v>0.749692595378579</v>
      </c>
      <c r="Q8" s="18" t="n">
        <f aca="false">IF(AND($A8&gt;0,MOD($A8,Every1)=0),1,0)</f>
        <v>1</v>
      </c>
      <c r="R8" s="11" t="n">
        <f aca="false">Alpha_keep^2*T7+Q_var</f>
        <v>0.782128299689441</v>
      </c>
      <c r="S8" s="11" t="n">
        <f aca="false">IF(Q8=1,R8/(R8+R_sharp),0)</f>
        <v>0.333583067214977</v>
      </c>
      <c r="T8" s="11" t="n">
        <f aca="false">(1-S8)*R8</f>
        <v>0.521223542523402</v>
      </c>
      <c r="U8" s="14" t="n">
        <f aca="false">SQRT(T8)</f>
        <v>0.7219581307274</v>
      </c>
      <c r="V8" s="11" t="n">
        <f aca="false">IF(MOD($A8,Every2)=0,R_s,Alpha_keep^2*V7+Q_var)</f>
        <v>6.25</v>
      </c>
      <c r="W8" s="14" t="n">
        <f aca="false">SQRT(V8)</f>
        <v>2.5</v>
      </c>
      <c r="X8" s="11" t="n">
        <f aca="false">Alpha_keep^2*X7+Q_var</f>
        <v>0.87778125</v>
      </c>
      <c r="Y8" s="14" t="n">
        <f aca="false">SQRT(X8)</f>
        <v>0.936899807877022</v>
      </c>
      <c r="AA8" s="4" t="s">
        <v>89</v>
      </c>
      <c r="AB8" s="20" t="n">
        <f aca="false">Every2</f>
        <v>2</v>
      </c>
      <c r="AC8" s="21" t="n">
        <f aca="false">R_sharp</f>
        <v>1.5625</v>
      </c>
      <c r="AD8" s="11" t="n">
        <f aca="false">Alpha_keep^(2*AB8)</f>
        <v>0.903687890625</v>
      </c>
      <c r="AE8" s="11" t="n">
        <f aca="false">Q_var*(1-AD8)/(1-Alpha_keep^2)</f>
        <v>0.87778125</v>
      </c>
      <c r="AF8" s="11" t="n">
        <f aca="false">(-(AE8+AC8-AC8*AD8)+SQRT((AE8+AC8-AC8*AD8)^2+4*AD8*AC8*AE8))/(2*AD8)</f>
        <v>0.78804799948174</v>
      </c>
      <c r="AG8" s="17" t="n">
        <f aca="false">SQRT(AF8)</f>
        <v>0.887720676497816</v>
      </c>
      <c r="AH8" s="17" t="n">
        <f aca="false">IF(AB8=2,SQRT(Alpha_keep^2*AF8+Q_var),"")</f>
        <v>1.09505165609086</v>
      </c>
      <c r="AI8" s="17" t="n">
        <f aca="false">SQRT(AD8*AF8+AE8)</f>
        <v>1.26092453555433</v>
      </c>
      <c r="AJ8" s="17" t="n">
        <f aca="false">(AD8*AF8+AE8)/(AD8*AF8+AE8+AC8)</f>
        <v>0.504350719668313</v>
      </c>
      <c r="AK8" s="22" t="n">
        <f aca="false">P66</f>
        <v>0.887720676497816</v>
      </c>
    </row>
    <row r="9" customFormat="false" ht="15" hidden="false" customHeight="false" outlineLevel="0" collapsed="false">
      <c r="A9" s="18" t="n">
        <v>3</v>
      </c>
      <c r="B9" s="18" t="n">
        <f aca="false">IF(AND($A9&gt;0,MOD($A9,Every2)=0),1,0)</f>
        <v>0</v>
      </c>
      <c r="C9" s="11" t="n">
        <f aca="false">Alpha_keep^2*E8+Q_var</f>
        <v>1.18168000278948</v>
      </c>
      <c r="D9" s="11" t="n">
        <f aca="false">IF(B9=1,C9/(C9+R_s),0)</f>
        <v>0</v>
      </c>
      <c r="E9" s="11" t="n">
        <f aca="false">(1-D9)*C9</f>
        <v>1.18168000278948</v>
      </c>
      <c r="F9" s="14" t="n">
        <f aca="false">SQRT(E9)</f>
        <v>1.08705105804166</v>
      </c>
      <c r="G9" s="18" t="n">
        <f aca="false">IF(AND($A9&gt;0,MOD($A9,Every1)=0),1,0)</f>
        <v>1</v>
      </c>
      <c r="H9" s="11" t="n">
        <f aca="false">Alpha_keep^2*J8+Q_var</f>
        <v>1.16059497661541</v>
      </c>
      <c r="I9" s="11" t="n">
        <f aca="false">IF(G9=1,H9/(H9+R_s),0)</f>
        <v>0.156612927879306</v>
      </c>
      <c r="J9" s="11" t="n">
        <f aca="false">(1-I9)*H9</f>
        <v>0.97883079924566</v>
      </c>
      <c r="K9" s="14" t="n">
        <f aca="false">SQRT(J9)</f>
        <v>0.98935878186109</v>
      </c>
      <c r="L9" s="18" t="n">
        <f aca="false">IF(AND($A9&gt;0,MOD($A9,Every2)=0),1,0)</f>
        <v>0</v>
      </c>
      <c r="M9" s="11" t="n">
        <f aca="false">Alpha_keep^2*O8+Q_var</f>
        <v>0.984288312554425</v>
      </c>
      <c r="N9" s="11" t="n">
        <f aca="false">IF(L9=1,M9/(M9+R_sharp),0)</f>
        <v>0</v>
      </c>
      <c r="O9" s="11" t="n">
        <f aca="false">(1-N9)*M9</f>
        <v>0.984288312554425</v>
      </c>
      <c r="P9" s="14" t="n">
        <f aca="false">SQRT(O9)</f>
        <v>0.992113054321142</v>
      </c>
      <c r="Q9" s="18" t="n">
        <f aca="false">IF(AND($A9&gt;0,MOD($A9,Every1)=0),1,0)</f>
        <v>1</v>
      </c>
      <c r="R9" s="11" t="n">
        <f aca="false">Alpha_keep^2*T8+Q_var</f>
        <v>0.945488130111309</v>
      </c>
      <c r="S9" s="11" t="n">
        <f aca="false">IF(Q9=1,R9/(R9+R_sharp),0)</f>
        <v>0.376990671829594</v>
      </c>
      <c r="T9" s="11" t="n">
        <f aca="false">(1-S9)*R9</f>
        <v>0.58904792473374</v>
      </c>
      <c r="U9" s="14" t="n">
        <f aca="false">SQRT(T9)</f>
        <v>0.767494576354609</v>
      </c>
      <c r="V9" s="11" t="n">
        <f aca="false">IF(MOD($A9,Every2)=0,R_s,Alpha_keep^2*V8+Q_var)</f>
        <v>6.39140625</v>
      </c>
      <c r="W9" s="14" t="n">
        <f aca="false">SQRT(V9)</f>
        <v>2.52812306860248</v>
      </c>
      <c r="X9" s="11" t="n">
        <f aca="false">Alpha_keep^2*X8+Q_var</f>
        <v>1.28444080078125</v>
      </c>
      <c r="Y9" s="14" t="n">
        <f aca="false">SQRT(X9)</f>
        <v>1.13333172583373</v>
      </c>
      <c r="AA9" s="4" t="s">
        <v>90</v>
      </c>
      <c r="AB9" s="20" t="n">
        <f aca="false">Every1</f>
        <v>1</v>
      </c>
      <c r="AC9" s="21" t="n">
        <f aca="false">R_sharp</f>
        <v>1.5625</v>
      </c>
      <c r="AD9" s="11" t="n">
        <f aca="false">Alpha_keep^(2*AB9)</f>
        <v>0.950625</v>
      </c>
      <c r="AE9" s="11" t="n">
        <f aca="false">Q_var*(1-AD9)/(1-Alpha_keep^2)</f>
        <v>0.45</v>
      </c>
      <c r="AF9" s="11" t="n">
        <f aca="false">(-(AE9+AC9-AC9*AD9)+SQRT((AE9+AC9-AC9*AD9)^2+4*AD9*AC9*AE9))/(2*AD9)</f>
        <v>0.626351032216555</v>
      </c>
      <c r="AG9" s="17" t="n">
        <f aca="false">SQRT(AF9)</f>
        <v>0.791423421574416</v>
      </c>
      <c r="AH9" s="17" t="str">
        <f aca="false">IF(AB9=2,SQRT(Alpha_keep^2*AF9+Q_var),"")</f>
        <v/>
      </c>
      <c r="AI9" s="17" t="n">
        <f aca="false">SQRT(AD9*AF9+AE9)</f>
        <v>1.02246024372631</v>
      </c>
      <c r="AJ9" s="17" t="n">
        <f aca="false">(AD9*AF9+AE9)/(AD9*AF9+AE9+AC9)</f>
        <v>0.400864660618595</v>
      </c>
      <c r="AK9" s="22" t="n">
        <f aca="false">U66</f>
        <v>0.791423421574416</v>
      </c>
    </row>
    <row r="10" customFormat="false" ht="15" hidden="false" customHeight="false" outlineLevel="0" collapsed="false">
      <c r="A10" s="18" t="n">
        <v>4</v>
      </c>
      <c r="B10" s="18" t="n">
        <f aca="false">IF(AND($A10&gt;0,MOD($A10,Every2)=0),1,0)</f>
        <v>1</v>
      </c>
      <c r="C10" s="11" t="n">
        <f aca="false">Alpha_keep^2*E9+Q_var</f>
        <v>1.57333455265175</v>
      </c>
      <c r="D10" s="11" t="n">
        <f aca="false">IF(B10=1,C10/(C10+R_s),0)</f>
        <v>0.201107921700532</v>
      </c>
      <c r="E10" s="11" t="n">
        <f aca="false">(1-D10)*C10</f>
        <v>1.25692451062832</v>
      </c>
      <c r="F10" s="14" t="n">
        <f aca="false">SQRT(E10)</f>
        <v>1.12112644720759</v>
      </c>
      <c r="G10" s="18" t="n">
        <f aca="false">IF(AND($A10&gt;0,MOD($A10,Every1)=0),1,0)</f>
        <v>1</v>
      </c>
      <c r="H10" s="11" t="n">
        <f aca="false">Alpha_keep^2*J9+Q_var</f>
        <v>1.38050102853291</v>
      </c>
      <c r="I10" s="11" t="n">
        <f aca="false">IF(G10=1,H10/(H10+R_s),0)</f>
        <v>0.180918792012578</v>
      </c>
      <c r="J10" s="11" t="n">
        <f aca="false">(1-I10)*H10</f>
        <v>1.13074245007861</v>
      </c>
      <c r="K10" s="14" t="n">
        <f aca="false">SQRT(J10)</f>
        <v>1.0633637430713</v>
      </c>
      <c r="L10" s="18" t="n">
        <f aca="false">IF(AND($A10&gt;0,MOD($A10,Every2)=0),1,0)</f>
        <v>1</v>
      </c>
      <c r="M10" s="11" t="n">
        <f aca="false">Alpha_keep^2*O9+Q_var</f>
        <v>1.38568907712205</v>
      </c>
      <c r="N10" s="11" t="n">
        <f aca="false">IF(L10=1,M10/(M10+R_sharp),0)</f>
        <v>0.47001363917769</v>
      </c>
      <c r="O10" s="11" t="n">
        <f aca="false">(1-N10)*M10</f>
        <v>0.734396311215141</v>
      </c>
      <c r="P10" s="14" t="n">
        <f aca="false">SQRT(O10)</f>
        <v>0.856969259200784</v>
      </c>
      <c r="Q10" s="18" t="n">
        <f aca="false">IF(AND($A10&gt;0,MOD($A10,Every1)=0),1,0)</f>
        <v>1</v>
      </c>
      <c r="R10" s="11" t="n">
        <f aca="false">Alpha_keep^2*T9+Q_var</f>
        <v>1.00996368345001</v>
      </c>
      <c r="S10" s="11" t="n">
        <f aca="false">IF(Q10=1,R10/(R10+R_sharp),0)</f>
        <v>0.392605613812016</v>
      </c>
      <c r="T10" s="11" t="n">
        <f aca="false">(1-S10)*R10</f>
        <v>0.613446271581275</v>
      </c>
      <c r="U10" s="14" t="n">
        <f aca="false">SQRT(T10)</f>
        <v>0.783228109544898</v>
      </c>
      <c r="V10" s="11" t="n">
        <f aca="false">IF(MOD($A10,Every2)=0,R_s,Alpha_keep^2*V9+Q_var)</f>
        <v>6.25</v>
      </c>
      <c r="W10" s="14" t="n">
        <f aca="false">SQRT(V10)</f>
        <v>2.5</v>
      </c>
      <c r="X10" s="11" t="n">
        <f aca="false">Alpha_keep^2*X9+Q_var</f>
        <v>1.67102153624268</v>
      </c>
      <c r="Y10" s="14" t="n">
        <f aca="false">SQRT(X10)</f>
        <v>1.29267998214666</v>
      </c>
      <c r="AA10" s="4" t="s">
        <v>91</v>
      </c>
      <c r="AB10" s="20" t="n">
        <f aca="false">Every2</f>
        <v>2</v>
      </c>
      <c r="AC10" s="21" t="n">
        <f aca="false">R_s</f>
        <v>6.25</v>
      </c>
      <c r="AG10" s="17" t="n">
        <f aca="false">SQRT(AC10)</f>
        <v>2.5</v>
      </c>
      <c r="AI10" s="17" t="n">
        <f aca="false">SQRT(Alpha_keep^2*AC10+Q_var)</f>
        <v>2.52812306860248</v>
      </c>
    </row>
    <row r="11" customFormat="false" ht="15" hidden="false" customHeight="false" outlineLevel="0" collapsed="false">
      <c r="A11" s="18" t="n">
        <v>5</v>
      </c>
      <c r="B11" s="18" t="n">
        <f aca="false">IF(AND($A11&gt;0,MOD($A11,Every2)=0),1,0)</f>
        <v>0</v>
      </c>
      <c r="C11" s="11" t="n">
        <f aca="false">Alpha_keep^2*E10+Q_var</f>
        <v>1.64486386291605</v>
      </c>
      <c r="D11" s="11" t="n">
        <f aca="false">IF(B11=1,C11/(C11+R_s),0)</f>
        <v>0</v>
      </c>
      <c r="E11" s="11" t="n">
        <f aca="false">(1-D11)*C11</f>
        <v>1.64486386291605</v>
      </c>
      <c r="F11" s="14" t="n">
        <f aca="false">SQRT(E11)</f>
        <v>1.28252246097916</v>
      </c>
      <c r="G11" s="18" t="n">
        <f aca="false">IF(AND($A11&gt;0,MOD($A11,Every1)=0),1,0)</f>
        <v>1</v>
      </c>
      <c r="H11" s="11" t="n">
        <f aca="false">Alpha_keep^2*J10+Q_var</f>
        <v>1.52491204160598</v>
      </c>
      <c r="I11" s="11" t="n">
        <f aca="false">IF(G11=1,H11/(H11+R_s),0)</f>
        <v>0.196132384964061</v>
      </c>
      <c r="J11" s="11" t="n">
        <f aca="false">(1-I11)*H11</f>
        <v>1.22582740602538</v>
      </c>
      <c r="K11" s="14" t="n">
        <f aca="false">SQRT(J11)</f>
        <v>1.10717090190511</v>
      </c>
      <c r="L11" s="18" t="n">
        <f aca="false">IF(AND($A11&gt;0,MOD($A11,Every2)=0),1,0)</f>
        <v>0</v>
      </c>
      <c r="M11" s="11" t="n">
        <f aca="false">Alpha_keep^2*O10+Q_var</f>
        <v>1.14813549334889</v>
      </c>
      <c r="N11" s="11" t="n">
        <f aca="false">IF(L11=1,M11/(M11+R_sharp),0)</f>
        <v>0</v>
      </c>
      <c r="O11" s="11" t="n">
        <f aca="false">(1-N11)*M11</f>
        <v>1.14813549334889</v>
      </c>
      <c r="P11" s="14" t="n">
        <f aca="false">SQRT(O11)</f>
        <v>1.07151084611818</v>
      </c>
      <c r="Q11" s="18" t="n">
        <f aca="false">IF(AND($A11&gt;0,MOD($A11,Every1)=0),1,0)</f>
        <v>1</v>
      </c>
      <c r="R11" s="11" t="n">
        <f aca="false">Alpha_keep^2*T10+Q_var</f>
        <v>1.03315736192195</v>
      </c>
      <c r="S11" s="11" t="n">
        <f aca="false">IF(Q11=1,R11/(R11+R_sharp),0)</f>
        <v>0.398033028965329</v>
      </c>
      <c r="T11" s="11" t="n">
        <f aca="false">(1-S11)*R11</f>
        <v>0.621926607758327</v>
      </c>
      <c r="U11" s="14" t="n">
        <f aca="false">SQRT(T11)</f>
        <v>0.788623235619093</v>
      </c>
      <c r="V11" s="11" t="n">
        <f aca="false">IF(MOD($A11,Every2)=0,R_s,Alpha_keep^2*V10+Q_var)</f>
        <v>6.39140625</v>
      </c>
      <c r="W11" s="14" t="n">
        <f aca="false">SQRT(V11)</f>
        <v>2.52812306860248</v>
      </c>
      <c r="X11" s="11" t="n">
        <f aca="false">Alpha_keep^2*X10+Q_var</f>
        <v>2.03851484789069</v>
      </c>
      <c r="Y11" s="14" t="n">
        <f aca="false">SQRT(X11)</f>
        <v>1.42776568381884</v>
      </c>
      <c r="AA11" s="4" t="s">
        <v>112</v>
      </c>
      <c r="AG11" s="17" t="n">
        <f aca="false">SQRT(Q_var/(1-Alpha_keep^2))</f>
        <v>3.01892763255976</v>
      </c>
      <c r="AK11" s="22" t="n">
        <f aca="false">Y66</f>
        <v>2.94569983626814</v>
      </c>
    </row>
    <row r="12" customFormat="false" ht="15" hidden="false" customHeight="false" outlineLevel="0" collapsed="false">
      <c r="A12" s="18" t="n">
        <v>6</v>
      </c>
      <c r="B12" s="18" t="n">
        <f aca="false">IF(AND($A12&gt;0,MOD($A12,Every2)=0),1,0)</f>
        <v>1</v>
      </c>
      <c r="C12" s="11" t="n">
        <f aca="false">Alpha_keep^2*E11+Q_var</f>
        <v>2.01364870968457</v>
      </c>
      <c r="D12" s="11" t="n">
        <f aca="false">IF(B12=1,C12/(C12+R_s),0)</f>
        <v>0.243675497401611</v>
      </c>
      <c r="E12" s="11" t="n">
        <f aca="false">(1-D12)*C12</f>
        <v>1.52297185876007</v>
      </c>
      <c r="F12" s="14" t="n">
        <f aca="false">SQRT(E12)</f>
        <v>1.23408745993145</v>
      </c>
      <c r="G12" s="18" t="n">
        <f aca="false">IF(AND($A12&gt;0,MOD($A12,Every1)=0),1,0)</f>
        <v>1</v>
      </c>
      <c r="H12" s="11" t="n">
        <f aca="false">Alpha_keep^2*J11+Q_var</f>
        <v>1.61530217785288</v>
      </c>
      <c r="I12" s="11" t="n">
        <f aca="false">IF(G12=1,H12/(H12+R_s),0)</f>
        <v>0.205370644550854</v>
      </c>
      <c r="J12" s="11" t="n">
        <f aca="false">(1-I12)*H12</f>
        <v>1.28356652844284</v>
      </c>
      <c r="K12" s="14" t="n">
        <f aca="false">SQRT(J12)</f>
        <v>1.13294595124518</v>
      </c>
      <c r="L12" s="18" t="n">
        <f aca="false">IF(AND($A12&gt;0,MOD($A12,Every2)=0),1,0)</f>
        <v>1</v>
      </c>
      <c r="M12" s="11" t="n">
        <f aca="false">Alpha_keep^2*O11+Q_var</f>
        <v>1.54144630336479</v>
      </c>
      <c r="N12" s="11" t="n">
        <f aca="false">IF(L12=1,M12/(M12+R_sharp),0)</f>
        <v>0.496608559785267</v>
      </c>
      <c r="O12" s="11" t="n">
        <f aca="false">(1-N12)*M12</f>
        <v>0.775950874664479</v>
      </c>
      <c r="P12" s="14" t="n">
        <f aca="false">SQRT(O12)</f>
        <v>0.880880738048278</v>
      </c>
      <c r="Q12" s="18" t="n">
        <f aca="false">IF(AND($A12&gt;0,MOD($A12,Every1)=0),1,0)</f>
        <v>1</v>
      </c>
      <c r="R12" s="11" t="n">
        <f aca="false">Alpha_keep^2*T11+Q_var</f>
        <v>1.04121898150026</v>
      </c>
      <c r="S12" s="11" t="n">
        <f aca="false">IF(Q12=1,R12/(R12+R_sharp),0)</f>
        <v>0.399896835602554</v>
      </c>
      <c r="T12" s="11" t="n">
        <f aca="false">(1-S12)*R12</f>
        <v>0.624838805628991</v>
      </c>
      <c r="U12" s="14" t="n">
        <f aca="false">SQRT(T12)</f>
        <v>0.790467460196175</v>
      </c>
      <c r="V12" s="11" t="n">
        <f aca="false">IF(MOD($A12,Every2)=0,R_s,Alpha_keep^2*V11+Q_var)</f>
        <v>6.25</v>
      </c>
      <c r="W12" s="14" t="n">
        <f aca="false">SQRT(V12)</f>
        <v>2.5</v>
      </c>
      <c r="X12" s="11" t="n">
        <f aca="false">Alpha_keep^2*X11+Q_var</f>
        <v>2.38786317727609</v>
      </c>
      <c r="Y12" s="14" t="n">
        <f aca="false">SQRT(X12)</f>
        <v>1.54527123097406</v>
      </c>
      <c r="AA12" s="10" t="s">
        <v>113</v>
      </c>
    </row>
    <row r="13" customFormat="false" ht="15" hidden="false" customHeight="false" outlineLevel="0" collapsed="false">
      <c r="A13" s="18" t="n">
        <v>7</v>
      </c>
      <c r="B13" s="18" t="n">
        <f aca="false">IF(AND($A13&gt;0,MOD($A13,Every2)=0),1,0)</f>
        <v>0</v>
      </c>
      <c r="C13" s="11" t="n">
        <f aca="false">Alpha_keep^2*E12+Q_var</f>
        <v>1.89777512323379</v>
      </c>
      <c r="D13" s="11" t="n">
        <f aca="false">IF(B13=1,C13/(C13+R_s),0)</f>
        <v>0</v>
      </c>
      <c r="E13" s="11" t="n">
        <f aca="false">(1-D13)*C13</f>
        <v>1.89777512323379</v>
      </c>
      <c r="F13" s="14" t="n">
        <f aca="false">SQRT(E13)</f>
        <v>1.37759759118321</v>
      </c>
      <c r="G13" s="18" t="n">
        <f aca="false">IF(AND($A13&gt;0,MOD($A13,Every1)=0),1,0)</f>
        <v>1</v>
      </c>
      <c r="H13" s="11" t="n">
        <f aca="false">Alpha_keep^2*J12+Q_var</f>
        <v>1.67019043110097</v>
      </c>
      <c r="I13" s="11" t="n">
        <f aca="false">IF(G13=1,H13/(H13+R_s),0)</f>
        <v>0.210877559779683</v>
      </c>
      <c r="J13" s="11" t="n">
        <f aca="false">(1-I13)*H13</f>
        <v>1.31798474862302</v>
      </c>
      <c r="K13" s="14" t="n">
        <f aca="false">SQRT(J13)</f>
        <v>1.1480351687222</v>
      </c>
      <c r="L13" s="18" t="n">
        <f aca="false">IF(AND($A13&gt;0,MOD($A13,Every2)=0),1,0)</f>
        <v>0</v>
      </c>
      <c r="M13" s="11" t="n">
        <f aca="false">Alpha_keep^2*O12+Q_var</f>
        <v>1.18763830022792</v>
      </c>
      <c r="N13" s="11" t="n">
        <f aca="false">IF(L13=1,M13/(M13+R_sharp),0)</f>
        <v>0</v>
      </c>
      <c r="O13" s="11" t="n">
        <f aca="false">(1-N13)*M13</f>
        <v>1.18763830022792</v>
      </c>
      <c r="P13" s="14" t="n">
        <f aca="false">SQRT(O13)</f>
        <v>1.08978819053425</v>
      </c>
      <c r="Q13" s="18" t="n">
        <f aca="false">IF(AND($A13&gt;0,MOD($A13,Every1)=0),1,0)</f>
        <v>1</v>
      </c>
      <c r="R13" s="11" t="n">
        <f aca="false">Alpha_keep^2*T12+Q_var</f>
        <v>1.04398738960106</v>
      </c>
      <c r="S13" s="11" t="n">
        <f aca="false">IF(Q13=1,R13/(R13+R_sharp),0)</f>
        <v>0.400534218491212</v>
      </c>
      <c r="T13" s="11" t="n">
        <f aca="false">(1-S13)*R13</f>
        <v>0.625834716392519</v>
      </c>
      <c r="U13" s="14" t="n">
        <f aca="false">SQRT(T13)</f>
        <v>0.791097159894105</v>
      </c>
      <c r="V13" s="11" t="n">
        <f aca="false">IF(MOD($A13,Every2)=0,R_s,Alpha_keep^2*V12+Q_var)</f>
        <v>6.39140625</v>
      </c>
      <c r="W13" s="14" t="n">
        <f aca="false">SQRT(V13)</f>
        <v>2.52812306860248</v>
      </c>
      <c r="X13" s="11" t="n">
        <f aca="false">Alpha_keep^2*X12+Q_var</f>
        <v>2.71996243289808</v>
      </c>
      <c r="Y13" s="14" t="n">
        <f aca="false">SQRT(X13)</f>
        <v>1.64923086100706</v>
      </c>
    </row>
    <row r="14" customFormat="false" ht="15" hidden="false" customHeight="false" outlineLevel="0" collapsed="false">
      <c r="A14" s="18" t="n">
        <v>8</v>
      </c>
      <c r="B14" s="18" t="n">
        <f aca="false">IF(AND($A14&gt;0,MOD($A14,Every2)=0),1,0)</f>
        <v>1</v>
      </c>
      <c r="C14" s="11" t="n">
        <f aca="false">Alpha_keep^2*E13+Q_var</f>
        <v>2.25407247652412</v>
      </c>
      <c r="D14" s="11" t="n">
        <f aca="false">IF(B14=1,C14/(C14+R_s),0)</f>
        <v>0.265058004002975</v>
      </c>
      <c r="E14" s="11" t="n">
        <f aca="false">(1-D14)*C14</f>
        <v>1.6566125250186</v>
      </c>
      <c r="F14" s="14" t="n">
        <f aca="false">SQRT(E14)</f>
        <v>1.28709460608713</v>
      </c>
      <c r="G14" s="18" t="n">
        <f aca="false">IF(AND($A14&gt;0,MOD($A14,Every1)=0),1,0)</f>
        <v>1</v>
      </c>
      <c r="H14" s="11" t="n">
        <f aca="false">Alpha_keep^2*J13+Q_var</f>
        <v>1.70290925165976</v>
      </c>
      <c r="I14" s="11" t="n">
        <f aca="false">IF(G14=1,H14/(H14+R_s),0)</f>
        <v>0.21412406426043</v>
      </c>
      <c r="J14" s="11" t="n">
        <f aca="false">(1-I14)*H14</f>
        <v>1.33827540162768</v>
      </c>
      <c r="K14" s="14" t="n">
        <f aca="false">SQRT(J14)</f>
        <v>1.15683853740601</v>
      </c>
      <c r="L14" s="18" t="n">
        <f aca="false">IF(AND($A14&gt;0,MOD($A14,Every2)=0),1,0)</f>
        <v>1</v>
      </c>
      <c r="M14" s="11" t="n">
        <f aca="false">Alpha_keep^2*O13+Q_var</f>
        <v>1.57899865915417</v>
      </c>
      <c r="N14" s="11" t="n">
        <f aca="false">IF(L14=1,M14/(M14+R_sharp),0)</f>
        <v>0.502625921724667</v>
      </c>
      <c r="O14" s="11" t="n">
        <f aca="false">(1-N14)*M14</f>
        <v>0.785353002694791</v>
      </c>
      <c r="P14" s="14" t="n">
        <f aca="false">SQRT(O14)</f>
        <v>0.886201445888457</v>
      </c>
      <c r="Q14" s="18" t="n">
        <f aca="false">IF(AND($A14&gt;0,MOD($A14,Every1)=0),1,0)</f>
        <v>1</v>
      </c>
      <c r="R14" s="11" t="n">
        <f aca="false">Alpha_keep^2*T13+Q_var</f>
        <v>1.04493412727064</v>
      </c>
      <c r="S14" s="11" t="n">
        <f aca="false">IF(Q14=1,R14/(R14+R_sharp),0)</f>
        <v>0.400751879536238</v>
      </c>
      <c r="T14" s="11" t="n">
        <f aca="false">(1-S14)*R14</f>
        <v>0.626174811775372</v>
      </c>
      <c r="U14" s="14" t="n">
        <f aca="false">SQRT(T14)</f>
        <v>0.791312082414626</v>
      </c>
      <c r="V14" s="11" t="n">
        <f aca="false">IF(MOD($A14,Every2)=0,R_s,Alpha_keep^2*V13+Q_var)</f>
        <v>6.25</v>
      </c>
      <c r="W14" s="14" t="n">
        <f aca="false">SQRT(V14)</f>
        <v>2.5</v>
      </c>
      <c r="X14" s="11" t="n">
        <f aca="false">Alpha_keep^2*X13+Q_var</f>
        <v>3.03566428777374</v>
      </c>
      <c r="Y14" s="14" t="n">
        <f aca="false">SQRT(X14)</f>
        <v>1.74231578302377</v>
      </c>
      <c r="AA14" s="4" t="s">
        <v>114</v>
      </c>
    </row>
    <row r="15" customFormat="false" ht="15" hidden="false" customHeight="false" outlineLevel="0" collapsed="false">
      <c r="A15" s="18" t="n">
        <v>9</v>
      </c>
      <c r="B15" s="18" t="n">
        <f aca="false">IF(AND($A15&gt;0,MOD($A15,Every2)=0),1,0)</f>
        <v>0</v>
      </c>
      <c r="C15" s="11" t="n">
        <f aca="false">Alpha_keep^2*E14+Q_var</f>
        <v>2.0248172815958</v>
      </c>
      <c r="D15" s="11" t="n">
        <f aca="false">IF(B15=1,C15/(C15+R_s),0)</f>
        <v>0</v>
      </c>
      <c r="E15" s="11" t="n">
        <f aca="false">(1-D15)*C15</f>
        <v>2.0248172815958</v>
      </c>
      <c r="F15" s="14" t="n">
        <f aca="false">SQRT(E15)</f>
        <v>1.4229607449244</v>
      </c>
      <c r="G15" s="18" t="n">
        <f aca="false">IF(AND($A15&gt;0,MOD($A15,Every1)=0),1,0)</f>
        <v>1</v>
      </c>
      <c r="H15" s="11" t="n">
        <f aca="false">Alpha_keep^2*J14+Q_var</f>
        <v>1.72219805367232</v>
      </c>
      <c r="I15" s="11" t="n">
        <f aca="false">IF(G15=1,H15/(H15+R_s),0)</f>
        <v>0.216025497871193</v>
      </c>
      <c r="J15" s="11" t="n">
        <f aca="false">(1-I15)*H15</f>
        <v>1.35015936169496</v>
      </c>
      <c r="K15" s="14" t="n">
        <f aca="false">SQRT(J15)</f>
        <v>1.16196358019301</v>
      </c>
      <c r="L15" s="18" t="n">
        <f aca="false">IF(AND($A15&gt;0,MOD($A15,Every2)=0),1,0)</f>
        <v>0</v>
      </c>
      <c r="M15" s="11" t="n">
        <f aca="false">Alpha_keep^2*O14+Q_var</f>
        <v>1.19657619818674</v>
      </c>
      <c r="N15" s="11" t="n">
        <f aca="false">IF(L15=1,M15/(M15+R_sharp),0)</f>
        <v>0</v>
      </c>
      <c r="O15" s="11" t="n">
        <f aca="false">(1-N15)*M15</f>
        <v>1.19657619818674</v>
      </c>
      <c r="P15" s="14" t="n">
        <f aca="false">SQRT(O15)</f>
        <v>1.09388125415272</v>
      </c>
      <c r="Q15" s="18" t="n">
        <f aca="false">IF(AND($A15&gt;0,MOD($A15,Every1)=0),1,0)</f>
        <v>1</v>
      </c>
      <c r="R15" s="11" t="n">
        <f aca="false">Alpha_keep^2*T14+Q_var</f>
        <v>1.04525743044396</v>
      </c>
      <c r="S15" s="11" t="n">
        <f aca="false">IF(Q15=1,R15/(R15+R_sharp),0)</f>
        <v>0.400826172803201</v>
      </c>
      <c r="T15" s="11" t="n">
        <f aca="false">(1-S15)*R15</f>
        <v>0.626290895005001</v>
      </c>
      <c r="U15" s="14" t="n">
        <f aca="false">SQRT(T15)</f>
        <v>0.791385427592018</v>
      </c>
      <c r="V15" s="11" t="n">
        <f aca="false">IF(MOD($A15,Every2)=0,R_s,Alpha_keep^2*V14+Q_var)</f>
        <v>6.39140625</v>
      </c>
      <c r="W15" s="14" t="n">
        <f aca="false">SQRT(V15)</f>
        <v>2.52812306860248</v>
      </c>
      <c r="X15" s="11" t="n">
        <f aca="false">Alpha_keep^2*X14+Q_var</f>
        <v>3.33577836356491</v>
      </c>
      <c r="Y15" s="14" t="n">
        <f aca="false">SQRT(X15)</f>
        <v>1.82641133471212</v>
      </c>
      <c r="AA15" s="2" t="s">
        <v>115</v>
      </c>
      <c r="AB15" s="11" t="n">
        <f aca="false">AI6^2</f>
        <v>2.48422162250347</v>
      </c>
    </row>
    <row r="16" customFormat="false" ht="15" hidden="false" customHeight="false" outlineLevel="0" collapsed="false">
      <c r="A16" s="18" t="n">
        <v>10</v>
      </c>
      <c r="B16" s="18" t="n">
        <f aca="false">IF(AND($A16&gt;0,MOD($A16,Every2)=0),1,0)</f>
        <v>1</v>
      </c>
      <c r="C16" s="11" t="n">
        <f aca="false">Alpha_keep^2*E15+Q_var</f>
        <v>2.37484192831701</v>
      </c>
      <c r="D16" s="11" t="n">
        <f aca="false">IF(B16=1,C16/(C16+R_s),0)</f>
        <v>0.275349038052506</v>
      </c>
      <c r="E16" s="11" t="n">
        <f aca="false">(1-D16)*C16</f>
        <v>1.72093148782816</v>
      </c>
      <c r="F16" s="14" t="n">
        <f aca="false">SQRT(E16)</f>
        <v>1.3118427831978</v>
      </c>
      <c r="G16" s="18" t="n">
        <f aca="false">IF(AND($A16&gt;0,MOD($A16,Every1)=0),1,0)</f>
        <v>1</v>
      </c>
      <c r="H16" s="11" t="n">
        <f aca="false">Alpha_keep^2*J15+Q_var</f>
        <v>1.73349524321127</v>
      </c>
      <c r="I16" s="11" t="n">
        <f aca="false">IF(G16=1,H16/(H16+R_s),0)</f>
        <v>0.217134875189578</v>
      </c>
      <c r="J16" s="11" t="n">
        <f aca="false">(1-I16)*H16</f>
        <v>1.35709296993486</v>
      </c>
      <c r="K16" s="14" t="n">
        <f aca="false">SQRT(J16)</f>
        <v>1.16494333335783</v>
      </c>
      <c r="L16" s="18" t="n">
        <f aca="false">IF(AND($A16&gt;0,MOD($A16,Every2)=0),1,0)</f>
        <v>1</v>
      </c>
      <c r="M16" s="11" t="n">
        <f aca="false">Alpha_keep^2*O15+Q_var</f>
        <v>1.58749524840127</v>
      </c>
      <c r="N16" s="11" t="n">
        <f aca="false">IF(L16=1,M16/(M16+R_sharp),0)</f>
        <v>0.503967505730993</v>
      </c>
      <c r="O16" s="11" t="n">
        <f aca="false">(1-N16)*M16</f>
        <v>0.787449227704677</v>
      </c>
      <c r="P16" s="14" t="n">
        <f aca="false">SQRT(O16)</f>
        <v>0.887383360056226</v>
      </c>
      <c r="Q16" s="18" t="n">
        <f aca="false">IF(AND($A16&gt;0,MOD($A16,Every1)=0),1,0)</f>
        <v>1</v>
      </c>
      <c r="R16" s="11" t="n">
        <f aca="false">Alpha_keep^2*T15+Q_var</f>
        <v>1.04536778206413</v>
      </c>
      <c r="S16" s="11" t="n">
        <f aca="false">IF(Q16=1,R16/(R16+R_sharp),0)</f>
        <v>0.400851526773616</v>
      </c>
      <c r="T16" s="11" t="n">
        <f aca="false">(1-S16)*R16</f>
        <v>0.626330510583775</v>
      </c>
      <c r="U16" s="14" t="n">
        <f aca="false">SQRT(T16)</f>
        <v>0.791410456453397</v>
      </c>
      <c r="V16" s="11" t="n">
        <f aca="false">IF(MOD($A16,Every2)=0,R_s,Alpha_keep^2*V15+Q_var)</f>
        <v>6.25</v>
      </c>
      <c r="W16" s="14" t="n">
        <f aca="false">SQRT(V16)</f>
        <v>2.5</v>
      </c>
      <c r="X16" s="11" t="n">
        <f aca="false">Alpha_keep^2*X15+Q_var</f>
        <v>3.6210743068639</v>
      </c>
      <c r="Y16" s="14" t="n">
        <f aca="false">SQRT(X16)</f>
        <v>1.90291205967693</v>
      </c>
      <c r="AA16" s="2" t="s">
        <v>116</v>
      </c>
      <c r="AB16" s="22" t="n">
        <f aca="false">R_s</f>
        <v>6.25</v>
      </c>
    </row>
    <row r="17" customFormat="false" ht="15" hidden="false" customHeight="false" outlineLevel="0" collapsed="false">
      <c r="A17" s="18" t="n">
        <v>11</v>
      </c>
      <c r="B17" s="18" t="n">
        <f aca="false">IF(AND($A17&gt;0,MOD($A17,Every2)=0),1,0)</f>
        <v>0</v>
      </c>
      <c r="C17" s="11" t="n">
        <f aca="false">Alpha_keep^2*E16+Q_var</f>
        <v>2.08596049561665</v>
      </c>
      <c r="D17" s="11" t="n">
        <f aca="false">IF(B17=1,C17/(C17+R_s),0)</f>
        <v>0</v>
      </c>
      <c r="E17" s="11" t="n">
        <f aca="false">(1-D17)*C17</f>
        <v>2.08596049561665</v>
      </c>
      <c r="F17" s="14" t="n">
        <f aca="false">SQRT(E17)</f>
        <v>1.44428546195572</v>
      </c>
      <c r="G17" s="18" t="n">
        <f aca="false">IF(AND($A17&gt;0,MOD($A17,Every1)=0),1,0)</f>
        <v>1</v>
      </c>
      <c r="H17" s="11" t="n">
        <f aca="false">Alpha_keep^2*J16+Q_var</f>
        <v>1.74008650454433</v>
      </c>
      <c r="I17" s="11" t="n">
        <f aca="false">IF(G17=1,H17/(H17+R_s),0)</f>
        <v>0.217780684045744</v>
      </c>
      <c r="J17" s="11" t="n">
        <f aca="false">(1-I17)*H17</f>
        <v>1.3611292752859</v>
      </c>
      <c r="K17" s="14" t="n">
        <f aca="false">SQRT(J17)</f>
        <v>1.16667445128703</v>
      </c>
      <c r="L17" s="18" t="n">
        <f aca="false">IF(AND($A17&gt;0,MOD($A17,Every2)=0),1,0)</f>
        <v>0</v>
      </c>
      <c r="M17" s="11" t="n">
        <f aca="false">Alpha_keep^2*O16+Q_var</f>
        <v>1.19856892208676</v>
      </c>
      <c r="N17" s="11" t="n">
        <f aca="false">IF(L17=1,M17/(M17+R_sharp),0)</f>
        <v>0</v>
      </c>
      <c r="O17" s="11" t="n">
        <f aca="false">(1-N17)*M17</f>
        <v>1.19856892208676</v>
      </c>
      <c r="P17" s="14" t="n">
        <f aca="false">SQRT(O17)</f>
        <v>1.09479172543766</v>
      </c>
      <c r="Q17" s="18" t="n">
        <f aca="false">IF(AND($A17&gt;0,MOD($A17,Every1)=0),1,0)</f>
        <v>1</v>
      </c>
      <c r="R17" s="11" t="n">
        <f aca="false">Alpha_keep^2*T16+Q_var</f>
        <v>1.0454054416237</v>
      </c>
      <c r="S17" s="11" t="n">
        <f aca="false">IF(Q17=1,R17/(R17+R_sharp),0)</f>
        <v>0.400860178800357</v>
      </c>
      <c r="T17" s="11" t="n">
        <f aca="false">(1-S17)*R17</f>
        <v>0.626344029375558</v>
      </c>
      <c r="U17" s="14" t="n">
        <f aca="false">SQRT(T17)</f>
        <v>0.791418997355736</v>
      </c>
      <c r="V17" s="11" t="n">
        <f aca="false">IF(MOD($A17,Every2)=0,R_s,Alpha_keep^2*V16+Q_var)</f>
        <v>6.39140625</v>
      </c>
      <c r="W17" s="14" t="n">
        <f aca="false">SQRT(V17)</f>
        <v>2.52812306860248</v>
      </c>
      <c r="X17" s="11" t="n">
        <f aca="false">Alpha_keep^2*X16+Q_var</f>
        <v>3.89228376296249</v>
      </c>
      <c r="Y17" s="14" t="n">
        <f aca="false">SQRT(X17)</f>
        <v>1.97288716427536</v>
      </c>
      <c r="AA17" s="2" t="s">
        <v>117</v>
      </c>
      <c r="AB17" s="11" t="n">
        <f aca="false">1/(1/AB15+1/AB16)</f>
        <v>1.77764955043543</v>
      </c>
    </row>
    <row r="18" customFormat="false" ht="15" hidden="false" customHeight="false" outlineLevel="0" collapsed="false">
      <c r="A18" s="18" t="n">
        <v>12</v>
      </c>
      <c r="B18" s="18" t="n">
        <f aca="false">IF(AND($A18&gt;0,MOD($A18,Every2)=0),1,0)</f>
        <v>1</v>
      </c>
      <c r="C18" s="11" t="n">
        <f aca="false">Alpha_keep^2*E17+Q_var</f>
        <v>2.43296619614558</v>
      </c>
      <c r="D18" s="11" t="n">
        <f aca="false">IF(B18=1,C18/(C18+R_s),0)</f>
        <v>0.280199892661748</v>
      </c>
      <c r="E18" s="11" t="n">
        <f aca="false">(1-D18)*C18</f>
        <v>1.75124932913592</v>
      </c>
      <c r="F18" s="14" t="n">
        <f aca="false">SQRT(E18)</f>
        <v>1.3233477733143</v>
      </c>
      <c r="G18" s="18" t="n">
        <f aca="false">IF(AND($A18&gt;0,MOD($A18,Every1)=0),1,0)</f>
        <v>1</v>
      </c>
      <c r="H18" s="11" t="n">
        <f aca="false">Alpha_keep^2*J17+Q_var</f>
        <v>1.74392351731866</v>
      </c>
      <c r="I18" s="11" t="n">
        <f aca="false">IF(G18=1,H18/(H18+R_s),0)</f>
        <v>0.218156142417486</v>
      </c>
      <c r="J18" s="11" t="n">
        <f aca="false">(1-I18)*H18</f>
        <v>1.36347589010929</v>
      </c>
      <c r="K18" s="14" t="n">
        <f aca="false">SQRT(J18)</f>
        <v>1.16767970356142</v>
      </c>
      <c r="L18" s="18" t="n">
        <f aca="false">IF(AND($A18&gt;0,MOD($A18,Every2)=0),1,0)</f>
        <v>1</v>
      </c>
      <c r="M18" s="11" t="n">
        <f aca="false">Alpha_keep^2*O17+Q_var</f>
        <v>1.58938958155872</v>
      </c>
      <c r="N18" s="11" t="n">
        <f aca="false">IF(L18=1,M18/(M18+R_sharp),0)</f>
        <v>0.504265628738401</v>
      </c>
      <c r="O18" s="11" t="n">
        <f aca="false">(1-N18)*M18</f>
        <v>0.787915044903751</v>
      </c>
      <c r="P18" s="14" t="n">
        <f aca="false">SQRT(O18)</f>
        <v>0.887645787971616</v>
      </c>
      <c r="Q18" s="18" t="n">
        <f aca="false">IF(AND($A18&gt;0,MOD($A18,Every1)=0),1,0)</f>
        <v>1</v>
      </c>
      <c r="R18" s="11" t="n">
        <f aca="false">Alpha_keep^2*T17+Q_var</f>
        <v>1.04541829292514</v>
      </c>
      <c r="S18" s="11" t="n">
        <f aca="false">IF(Q18=1,R18/(R18+R_sharp),0)</f>
        <v>0.400863131241953</v>
      </c>
      <c r="T18" s="11" t="n">
        <f aca="false">(1-S18)*R18</f>
        <v>0.626348642565551</v>
      </c>
      <c r="U18" s="14" t="n">
        <f aca="false">SQRT(T18)</f>
        <v>0.791421911855839</v>
      </c>
      <c r="V18" s="11" t="n">
        <f aca="false">IF(MOD($A18,Every2)=0,R_s,Alpha_keep^2*V17+Q_var)</f>
        <v>6.25</v>
      </c>
      <c r="W18" s="14" t="n">
        <f aca="false">SQRT(V18)</f>
        <v>2.5</v>
      </c>
      <c r="X18" s="11" t="n">
        <f aca="false">Alpha_keep^2*X17+Q_var</f>
        <v>4.15010225216622</v>
      </c>
      <c r="Y18" s="14" t="n">
        <f aca="false">SQRT(X18)</f>
        <v>2.03717997539889</v>
      </c>
      <c r="AA18" s="2" t="s">
        <v>118</v>
      </c>
      <c r="AB18" s="22" t="n">
        <f aca="false">AF6</f>
        <v>1.77764955043543</v>
      </c>
    </row>
    <row r="19" customFormat="false" ht="15" hidden="false" customHeight="false" outlineLevel="0" collapsed="false">
      <c r="A19" s="18" t="n">
        <v>13</v>
      </c>
      <c r="B19" s="18" t="n">
        <f aca="false">IF(AND($A19&gt;0,MOD($A19,Every2)=0),1,0)</f>
        <v>0</v>
      </c>
      <c r="C19" s="11" t="n">
        <f aca="false">Alpha_keep^2*E18+Q_var</f>
        <v>2.11478139350984</v>
      </c>
      <c r="D19" s="11" t="n">
        <f aca="false">IF(B19=1,C19/(C19+R_s),0)</f>
        <v>0</v>
      </c>
      <c r="E19" s="11" t="n">
        <f aca="false">(1-D19)*C19</f>
        <v>2.11478139350984</v>
      </c>
      <c r="F19" s="14" t="n">
        <f aca="false">SQRT(E19)</f>
        <v>1.4542287968232</v>
      </c>
      <c r="G19" s="18" t="n">
        <f aca="false">IF(AND($A19&gt;0,MOD($A19,Every1)=0),1,0)</f>
        <v>1</v>
      </c>
      <c r="H19" s="11" t="n">
        <f aca="false">Alpha_keep^2*J18+Q_var</f>
        <v>1.74615426803514</v>
      </c>
      <c r="I19" s="11" t="n">
        <f aca="false">IF(G19=1,H19/(H19+R_s),0)</f>
        <v>0.218374259613205</v>
      </c>
      <c r="J19" s="11" t="n">
        <f aca="false">(1-I19)*H19</f>
        <v>1.36483912258253</v>
      </c>
      <c r="K19" s="14" t="n">
        <f aca="false">SQRT(J19)</f>
        <v>1.16826329334724</v>
      </c>
      <c r="L19" s="18" t="n">
        <f aca="false">IF(AND($A19&gt;0,MOD($A19,Every2)=0),1,0)</f>
        <v>0</v>
      </c>
      <c r="M19" s="11" t="n">
        <f aca="false">Alpha_keep^2*O18+Q_var</f>
        <v>1.19901173956163</v>
      </c>
      <c r="N19" s="11" t="n">
        <f aca="false">IF(L19=1,M19/(M19+R_sharp),0)</f>
        <v>0</v>
      </c>
      <c r="O19" s="11" t="n">
        <f aca="false">(1-N19)*M19</f>
        <v>1.19901173956163</v>
      </c>
      <c r="P19" s="14" t="n">
        <f aca="false">SQRT(O19)</f>
        <v>1.09499394498857</v>
      </c>
      <c r="Q19" s="18" t="n">
        <f aca="false">IF(AND($A19&gt;0,MOD($A19,Every1)=0),1,0)</f>
        <v>1</v>
      </c>
      <c r="R19" s="11" t="n">
        <f aca="false">Alpha_keep^2*T18+Q_var</f>
        <v>1.04542267833888</v>
      </c>
      <c r="S19" s="11" t="n">
        <f aca="false">IF(Q19=1,R19/(R19+R_sharp),0)</f>
        <v>0.400864138734651</v>
      </c>
      <c r="T19" s="11" t="n">
        <f aca="false">(1-S19)*R19</f>
        <v>0.626350216772892</v>
      </c>
      <c r="U19" s="14" t="n">
        <f aca="false">SQRT(T19)</f>
        <v>0.791422906398906</v>
      </c>
      <c r="V19" s="11" t="n">
        <f aca="false">IF(MOD($A19,Every2)=0,R_s,Alpha_keep^2*V18+Q_var)</f>
        <v>6.39140625</v>
      </c>
      <c r="W19" s="14" t="n">
        <f aca="false">SQRT(V19)</f>
        <v>2.52812306860248</v>
      </c>
      <c r="X19" s="11" t="n">
        <f aca="false">Alpha_keep^2*X18+Q_var</f>
        <v>4.39519095346551</v>
      </c>
      <c r="Y19" s="14" t="n">
        <f aca="false">SQRT(X19)</f>
        <v>2.09647107145925</v>
      </c>
      <c r="AA19" s="2" t="s">
        <v>119</v>
      </c>
      <c r="AB19" s="18" t="n">
        <f aca="false">IF(ABS(AB17-AB18)&lt;0.000000000001,1,0)</f>
        <v>1</v>
      </c>
    </row>
    <row r="20" customFormat="false" ht="15" hidden="false" customHeight="false" outlineLevel="0" collapsed="false">
      <c r="A20" s="18" t="n">
        <v>14</v>
      </c>
      <c r="B20" s="18" t="n">
        <f aca="false">IF(AND($A20&gt;0,MOD($A20,Every2)=0),1,0)</f>
        <v>1</v>
      </c>
      <c r="C20" s="11" t="n">
        <f aca="false">Alpha_keep^2*E19+Q_var</f>
        <v>2.46036406220529</v>
      </c>
      <c r="D20" s="11" t="n">
        <f aca="false">IF(B20=1,C20/(C20+R_s),0)</f>
        <v>0.28246397563116</v>
      </c>
      <c r="E20" s="11" t="n">
        <f aca="false">(1-D20)*C20</f>
        <v>1.76539984769475</v>
      </c>
      <c r="F20" s="14" t="n">
        <f aca="false">SQRT(E20)</f>
        <v>1.32868350170187</v>
      </c>
      <c r="G20" s="18" t="n">
        <f aca="false">IF(AND($A20&gt;0,MOD($A20,Every1)=0),1,0)</f>
        <v>1</v>
      </c>
      <c r="H20" s="11" t="n">
        <f aca="false">Alpha_keep^2*J19+Q_var</f>
        <v>1.74745019090502</v>
      </c>
      <c r="I20" s="11" t="n">
        <f aca="false">IF(G20=1,H20/(H20+R_s),0)</f>
        <v>0.218500915815928</v>
      </c>
      <c r="J20" s="11" t="n">
        <f aca="false">(1-I20)*H20</f>
        <v>1.36563072384955</v>
      </c>
      <c r="K20" s="14" t="n">
        <f aca="false">SQRT(J20)</f>
        <v>1.16860203827032</v>
      </c>
      <c r="L20" s="18" t="n">
        <f aca="false">IF(AND($A20&gt;0,MOD($A20,Every2)=0),1,0)</f>
        <v>1</v>
      </c>
      <c r="M20" s="11" t="n">
        <f aca="false">Alpha_keep^2*O19+Q_var</f>
        <v>1.58981053492077</v>
      </c>
      <c r="N20" s="11" t="n">
        <f aca="false">IF(L20=1,M20/(M20+R_sharp),0)</f>
        <v>0.504331828133401</v>
      </c>
      <c r="O20" s="11" t="n">
        <f aca="false">(1-N20)*M20</f>
        <v>0.788018481458439</v>
      </c>
      <c r="P20" s="14" t="n">
        <f aca="false">SQRT(O20)</f>
        <v>0.887704050603826</v>
      </c>
      <c r="Q20" s="18" t="n">
        <f aca="false">IF(AND($A20&gt;0,MOD($A20,Every1)=0),1,0)</f>
        <v>1</v>
      </c>
      <c r="R20" s="11" t="n">
        <f aca="false">Alpha_keep^2*T19+Q_var</f>
        <v>1.04542417481973</v>
      </c>
      <c r="S20" s="11" t="n">
        <f aca="false">IF(Q20=1,R20/(R20+R_sharp),0)</f>
        <v>0.400864482531205</v>
      </c>
      <c r="T20" s="11" t="n">
        <f aca="false">(1-S20)*R20</f>
        <v>0.626350753955007</v>
      </c>
      <c r="U20" s="14" t="n">
        <f aca="false">SQRT(T20)</f>
        <v>0.791423245776246</v>
      </c>
      <c r="V20" s="11" t="n">
        <f aca="false">IF(MOD($A20,Every2)=0,R_s,Alpha_keep^2*V19+Q_var)</f>
        <v>6.25</v>
      </c>
      <c r="W20" s="14" t="n">
        <f aca="false">SQRT(V20)</f>
        <v>2.5</v>
      </c>
      <c r="X20" s="11" t="n">
        <f aca="false">Alpha_keep^2*X19+Q_var</f>
        <v>4.62817840013815</v>
      </c>
      <c r="Y20" s="14" t="n">
        <f aca="false">SQRT(X20)</f>
        <v>2.1513201528685</v>
      </c>
    </row>
    <row r="21" customFormat="false" ht="15" hidden="false" customHeight="false" outlineLevel="0" collapsed="false">
      <c r="A21" s="18" t="n">
        <v>15</v>
      </c>
      <c r="B21" s="18" t="n">
        <f aca="false">IF(AND($A21&gt;0,MOD($A21,Every2)=0),1,0)</f>
        <v>0</v>
      </c>
      <c r="C21" s="11" t="n">
        <f aca="false">Alpha_keep^2*E20+Q_var</f>
        <v>2.12823323021482</v>
      </c>
      <c r="D21" s="11" t="n">
        <f aca="false">IF(B21=1,C21/(C21+R_s),0)</f>
        <v>0</v>
      </c>
      <c r="E21" s="11" t="n">
        <f aca="false">(1-D21)*C21</f>
        <v>2.12823323021482</v>
      </c>
      <c r="F21" s="14" t="n">
        <f aca="false">SQRT(E21)</f>
        <v>1.45884654100931</v>
      </c>
      <c r="G21" s="18" t="n">
        <f aca="false">IF(AND($A21&gt;0,MOD($A21,Every1)=0),1,0)</f>
        <v>1</v>
      </c>
      <c r="H21" s="11" t="n">
        <f aca="false">Alpha_keep^2*J20+Q_var</f>
        <v>1.74820270685948</v>
      </c>
      <c r="I21" s="11" t="n">
        <f aca="false">IF(G21=1,H21/(H21+R_s),0)</f>
        <v>0.218574443650968</v>
      </c>
      <c r="J21" s="11" t="n">
        <f aca="false">(1-I21)*H21</f>
        <v>1.36609027281855</v>
      </c>
      <c r="K21" s="14" t="n">
        <f aca="false">SQRT(J21)</f>
        <v>1.16879864511324</v>
      </c>
      <c r="L21" s="18" t="n">
        <f aca="false">IF(AND($A21&gt;0,MOD($A21,Every2)=0),1,0)</f>
        <v>0</v>
      </c>
      <c r="M21" s="11" t="n">
        <f aca="false">Alpha_keep^2*O20+Q_var</f>
        <v>1.19911006893643</v>
      </c>
      <c r="N21" s="11" t="n">
        <f aca="false">IF(L21=1,M21/(M21+R_sharp),0)</f>
        <v>0</v>
      </c>
      <c r="O21" s="11" t="n">
        <f aca="false">(1-N21)*M21</f>
        <v>1.19911006893643</v>
      </c>
      <c r="P21" s="14" t="n">
        <f aca="false">SQRT(O21)</f>
        <v>1.09503884357425</v>
      </c>
      <c r="Q21" s="18" t="n">
        <f aca="false">IF(AND($A21&gt;0,MOD($A21,Every1)=0),1,0)</f>
        <v>1</v>
      </c>
      <c r="R21" s="11" t="n">
        <f aca="false">Alpha_keep^2*T20+Q_var</f>
        <v>1.04542468547848</v>
      </c>
      <c r="S21" s="11" t="n">
        <f aca="false">IF(Q21=1,R21/(R21+R_sharp),0)</f>
        <v>0.400864599848164</v>
      </c>
      <c r="T21" s="11" t="n">
        <f aca="false">(1-S21)*R21</f>
        <v>0.626350937262756</v>
      </c>
      <c r="U21" s="14" t="n">
        <f aca="false">SQRT(T21)</f>
        <v>0.791423361585161</v>
      </c>
      <c r="V21" s="11" t="n">
        <f aca="false">IF(MOD($A21,Every2)=0,R_s,Alpha_keep^2*V20+Q_var)</f>
        <v>6.39140625</v>
      </c>
      <c r="W21" s="14" t="n">
        <f aca="false">SQRT(V21)</f>
        <v>2.52812306860248</v>
      </c>
      <c r="X21" s="11" t="n">
        <f aca="false">Alpha_keep^2*X20+Q_var</f>
        <v>4.84966209163133</v>
      </c>
      <c r="Y21" s="14" t="n">
        <f aca="false">SQRT(X21)</f>
        <v>2.20219483507507</v>
      </c>
      <c r="AA21" s="4" t="s">
        <v>120</v>
      </c>
    </row>
    <row r="22" customFormat="false" ht="15" hidden="false" customHeight="false" outlineLevel="0" collapsed="false">
      <c r="A22" s="18" t="n">
        <v>16</v>
      </c>
      <c r="B22" s="18" t="n">
        <f aca="false">IF(AND($A22&gt;0,MOD($A22,Every2)=0),1,0)</f>
        <v>1</v>
      </c>
      <c r="C22" s="11" t="n">
        <f aca="false">Alpha_keep^2*E21+Q_var</f>
        <v>2.47315171447297</v>
      </c>
      <c r="D22" s="11" t="n">
        <f aca="false">IF(B22=1,C22/(C22+R_s),0)</f>
        <v>0.28351584328972</v>
      </c>
      <c r="E22" s="11" t="n">
        <f aca="false">(1-D22)*C22</f>
        <v>1.77197402056075</v>
      </c>
      <c r="F22" s="14" t="n">
        <f aca="false">SQRT(E22)</f>
        <v>1.3311551451881</v>
      </c>
      <c r="G22" s="18" t="n">
        <f aca="false">IF(AND($A22&gt;0,MOD($A22,Every1)=0),1,0)</f>
        <v>1</v>
      </c>
      <c r="H22" s="11" t="n">
        <f aca="false">Alpha_keep^2*J21+Q_var</f>
        <v>1.74863956559814</v>
      </c>
      <c r="I22" s="11" t="n">
        <f aca="false">IF(G22=1,H22/(H22+R_s),0)</f>
        <v>0.21861712248155</v>
      </c>
      <c r="J22" s="11" t="n">
        <f aca="false">(1-I22)*H22</f>
        <v>1.36635701550968</v>
      </c>
      <c r="K22" s="14" t="n">
        <f aca="false">SQRT(J22)</f>
        <v>1.16891274931437</v>
      </c>
      <c r="L22" s="18" t="n">
        <f aca="false">IF(AND($A22&gt;0,MOD($A22,Every2)=0),1,0)</f>
        <v>1</v>
      </c>
      <c r="M22" s="11" t="n">
        <f aca="false">Alpha_keep^2*O21+Q_var</f>
        <v>1.58990400928269</v>
      </c>
      <c r="N22" s="11" t="n">
        <f aca="false">IF(L22=1,M22/(M22+R_sharp),0)</f>
        <v>0.504346525572547</v>
      </c>
      <c r="O22" s="11" t="n">
        <f aca="false">(1-N22)*M22</f>
        <v>0.788041446207105</v>
      </c>
      <c r="P22" s="14" t="n">
        <f aca="false">SQRT(O22)</f>
        <v>0.887716985422215</v>
      </c>
      <c r="Q22" s="18" t="n">
        <f aca="false">IF(AND($A22&gt;0,MOD($A22,Every1)=0),1,0)</f>
        <v>1</v>
      </c>
      <c r="R22" s="11" t="n">
        <f aca="false">Alpha_keep^2*T21+Q_var</f>
        <v>1.04542485973541</v>
      </c>
      <c r="S22" s="11" t="n">
        <f aca="false">IF(Q22=1,R22/(R22+R_sharp),0)</f>
        <v>0.400864639881332</v>
      </c>
      <c r="T22" s="11" t="n">
        <f aca="false">(1-S22)*R22</f>
        <v>0.626350999814581</v>
      </c>
      <c r="U22" s="14" t="n">
        <f aca="false">SQRT(T22)</f>
        <v>0.791423401103721</v>
      </c>
      <c r="V22" s="11" t="n">
        <f aca="false">IF(MOD($A22,Every2)=0,R_s,Alpha_keep^2*V21+Q_var)</f>
        <v>6.25</v>
      </c>
      <c r="W22" s="14" t="n">
        <f aca="false">SQRT(V22)</f>
        <v>2.5</v>
      </c>
      <c r="X22" s="11" t="n">
        <f aca="false">Alpha_keep^2*X21+Q_var</f>
        <v>5.06021002585703</v>
      </c>
      <c r="Y22" s="14" t="n">
        <f aca="false">SQRT(X22)</f>
        <v>2.24949105929698</v>
      </c>
      <c r="AA22" s="2" t="s">
        <v>121</v>
      </c>
      <c r="AB22" s="9" t="n">
        <v>4</v>
      </c>
    </row>
    <row r="23" customFormat="false" ht="15" hidden="false" customHeight="false" outlineLevel="0" collapsed="false">
      <c r="A23" s="18" t="n">
        <v>17</v>
      </c>
      <c r="B23" s="18" t="n">
        <f aca="false">IF(AND($A23&gt;0,MOD($A23,Every2)=0),1,0)</f>
        <v>0</v>
      </c>
      <c r="C23" s="11" t="n">
        <f aca="false">Alpha_keep^2*E22+Q_var</f>
        <v>2.13448280329556</v>
      </c>
      <c r="D23" s="11" t="n">
        <f aca="false">IF(B23=1,C23/(C23+R_s),0)</f>
        <v>0</v>
      </c>
      <c r="E23" s="11" t="n">
        <f aca="false">(1-D23)*C23</f>
        <v>2.13448280329556</v>
      </c>
      <c r="F23" s="14" t="n">
        <f aca="false">SQRT(E23)</f>
        <v>1.46098692783185</v>
      </c>
      <c r="G23" s="18" t="n">
        <f aca="false">IF(AND($A23&gt;0,MOD($A23,Every1)=0),1,0)</f>
        <v>1</v>
      </c>
      <c r="H23" s="11" t="n">
        <f aca="false">Alpha_keep^2*J22+Q_var</f>
        <v>1.74889313786889</v>
      </c>
      <c r="I23" s="11" t="n">
        <f aca="false">IF(G23=1,H23/(H23+R_s),0)</f>
        <v>0.218641893037571</v>
      </c>
      <c r="J23" s="11" t="n">
        <f aca="false">(1-I23)*H23</f>
        <v>1.36651183148482</v>
      </c>
      <c r="K23" s="14" t="n">
        <f aca="false">SQRT(J23)</f>
        <v>1.16897896965036</v>
      </c>
      <c r="L23" s="18" t="n">
        <f aca="false">IF(AND($A23&gt;0,MOD($A23,Every2)=0),1,0)</f>
        <v>0</v>
      </c>
      <c r="M23" s="11" t="n">
        <f aca="false">Alpha_keep^2*O22+Q_var</f>
        <v>1.19913189980063</v>
      </c>
      <c r="N23" s="11" t="n">
        <f aca="false">IF(L23=1,M23/(M23+R_sharp),0)</f>
        <v>0</v>
      </c>
      <c r="O23" s="11" t="n">
        <f aca="false">(1-N23)*M23</f>
        <v>1.19913189980063</v>
      </c>
      <c r="P23" s="14" t="n">
        <f aca="false">SQRT(O23)</f>
        <v>1.09504881160642</v>
      </c>
      <c r="Q23" s="18" t="n">
        <f aca="false">IF(AND($A23&gt;0,MOD($A23,Every1)=0),1,0)</f>
        <v>1</v>
      </c>
      <c r="R23" s="11" t="n">
        <f aca="false">Alpha_keep^2*T22+Q_var</f>
        <v>1.04542491919874</v>
      </c>
      <c r="S23" s="11" t="n">
        <f aca="false">IF(Q23=1,R23/(R23+R_sharp),0)</f>
        <v>0.400864653542225</v>
      </c>
      <c r="T23" s="11" t="n">
        <f aca="false">(1-S23)*R23</f>
        <v>0.626351021159727</v>
      </c>
      <c r="U23" s="14" t="n">
        <f aca="false">SQRT(T23)</f>
        <v>0.791423414589009</v>
      </c>
      <c r="V23" s="11" t="n">
        <f aca="false">IF(MOD($A23,Every2)=0,R_s,Alpha_keep^2*V22+Q_var)</f>
        <v>6.39140625</v>
      </c>
      <c r="W23" s="14" t="n">
        <f aca="false">SQRT(V23)</f>
        <v>2.52812306860248</v>
      </c>
      <c r="X23" s="11" t="n">
        <f aca="false">Alpha_keep^2*X22+Q_var</f>
        <v>5.26036215583034</v>
      </c>
      <c r="Y23" s="14" t="n">
        <f aca="false">SQRT(X23)</f>
        <v>2.29354794059997</v>
      </c>
      <c r="AA23" s="2" t="s">
        <v>122</v>
      </c>
      <c r="AB23" s="23" t="n">
        <f aca="false">R_s</f>
        <v>6.25</v>
      </c>
    </row>
    <row r="24" customFormat="false" ht="15" hidden="false" customHeight="false" outlineLevel="0" collapsed="false">
      <c r="A24" s="18" t="n">
        <v>18</v>
      </c>
      <c r="B24" s="18" t="n">
        <f aca="false">IF(AND($A24&gt;0,MOD($A24,Every2)=0),1,0)</f>
        <v>1</v>
      </c>
      <c r="C24" s="11" t="n">
        <f aca="false">Alpha_keep^2*E23+Q_var</f>
        <v>2.47909271488284</v>
      </c>
      <c r="D24" s="11" t="n">
        <f aca="false">IF(B24=1,C24/(C24+R_s),0)</f>
        <v>0.284003480757635</v>
      </c>
      <c r="E24" s="11" t="n">
        <f aca="false">(1-D24)*C24</f>
        <v>1.77502175473522</v>
      </c>
      <c r="F24" s="14" t="n">
        <f aca="false">SQRT(E24)</f>
        <v>1.33229942382905</v>
      </c>
      <c r="G24" s="18" t="n">
        <f aca="false">IF(AND($A24&gt;0,MOD($A24,Every1)=0),1,0)</f>
        <v>1</v>
      </c>
      <c r="H24" s="11" t="n">
        <f aca="false">Alpha_keep^2*J23+Q_var</f>
        <v>1.74904030980526</v>
      </c>
      <c r="I24" s="11" t="n">
        <f aca="false">IF(G24=1,H24/(H24+R_s),0)</f>
        <v>0.218656269010331</v>
      </c>
      <c r="J24" s="11" t="n">
        <f aca="false">(1-I24)*H24</f>
        <v>1.36660168131457</v>
      </c>
      <c r="K24" s="14" t="n">
        <f aca="false">SQRT(J24)</f>
        <v>1.16901739991951</v>
      </c>
      <c r="L24" s="18" t="n">
        <f aca="false">IF(AND($A24&gt;0,MOD($A24,Every2)=0),1,0)</f>
        <v>1</v>
      </c>
      <c r="M24" s="11" t="n">
        <f aca="false">Alpha_keep^2*O23+Q_var</f>
        <v>1.58992476224797</v>
      </c>
      <c r="N24" s="11" t="n">
        <f aca="false">IF(L24=1,M24/(M24+R_sharp),0)</f>
        <v>0.504349788546328</v>
      </c>
      <c r="O24" s="11" t="n">
        <f aca="false">(1-N24)*M24</f>
        <v>0.788046544603637</v>
      </c>
      <c r="P24" s="14" t="n">
        <f aca="false">SQRT(O24)</f>
        <v>0.887719857051557</v>
      </c>
      <c r="Q24" s="18" t="n">
        <f aca="false">IF(AND($A24&gt;0,MOD($A24,Every1)=0),1,0)</f>
        <v>1</v>
      </c>
      <c r="R24" s="11" t="n">
        <f aca="false">Alpha_keep^2*T23+Q_var</f>
        <v>1.04542493948997</v>
      </c>
      <c r="S24" s="11" t="n">
        <f aca="false">IF(Q24=1,R24/(R24+R_sharp),0)</f>
        <v>0.400864658203859</v>
      </c>
      <c r="T24" s="11" t="n">
        <f aca="false">(1-S24)*R24</f>
        <v>0.62635102844353</v>
      </c>
      <c r="U24" s="14" t="n">
        <f aca="false">SQRT(T24)</f>
        <v>0.79142341919072</v>
      </c>
      <c r="V24" s="11" t="n">
        <f aca="false">IF(MOD($A24,Every2)=0,R_s,Alpha_keep^2*V23+Q_var)</f>
        <v>6.25</v>
      </c>
      <c r="W24" s="14" t="n">
        <f aca="false">SQRT(V24)</f>
        <v>2.5</v>
      </c>
      <c r="X24" s="11" t="n">
        <f aca="false">Alpha_keep^2*X23+Q_var</f>
        <v>5.45063177438622</v>
      </c>
      <c r="Y24" s="14" t="n">
        <f aca="false">SQRT(X24)</f>
        <v>2.33465881327148</v>
      </c>
      <c r="AA24" s="2" t="s">
        <v>123</v>
      </c>
      <c r="AB24" s="14" t="n">
        <f aca="false">AB22*AB23/(AB22+AB23)</f>
        <v>2.4390243902439</v>
      </c>
    </row>
    <row r="25" customFormat="false" ht="15" hidden="false" customHeight="false" outlineLevel="0" collapsed="false">
      <c r="A25" s="18" t="n">
        <v>19</v>
      </c>
      <c r="B25" s="18" t="n">
        <f aca="false">IF(AND($A25&gt;0,MOD($A25,Every2)=0),1,0)</f>
        <v>0</v>
      </c>
      <c r="C25" s="11" t="n">
        <f aca="false">Alpha_keep^2*E24+Q_var</f>
        <v>2.13738005559517</v>
      </c>
      <c r="D25" s="11" t="n">
        <f aca="false">IF(B25=1,C25/(C25+R_s),0)</f>
        <v>0</v>
      </c>
      <c r="E25" s="11" t="n">
        <f aca="false">(1-D25)*C25</f>
        <v>2.13738005559517</v>
      </c>
      <c r="F25" s="14" t="n">
        <f aca="false">SQRT(E25)</f>
        <v>1.46197813102494</v>
      </c>
      <c r="G25" s="18" t="n">
        <f aca="false">IF(AND($A25&gt;0,MOD($A25,Every1)=0),1,0)</f>
        <v>1</v>
      </c>
      <c r="H25" s="11" t="n">
        <f aca="false">Alpha_keep^2*J24+Q_var</f>
        <v>1.74912572329966</v>
      </c>
      <c r="I25" s="11" t="n">
        <f aca="false">IF(G25=1,H25/(H25+R_s),0)</f>
        <v>0.218664612084399</v>
      </c>
      <c r="J25" s="11" t="n">
        <f aca="false">(1-I25)*H25</f>
        <v>1.3666538255275</v>
      </c>
      <c r="K25" s="14" t="n">
        <f aca="false">SQRT(J25)</f>
        <v>1.1690397022888</v>
      </c>
      <c r="L25" s="18" t="n">
        <f aca="false">IF(AND($A25&gt;0,MOD($A25,Every2)=0),1,0)</f>
        <v>0</v>
      </c>
      <c r="M25" s="11" t="n">
        <f aca="false">Alpha_keep^2*O24+Q_var</f>
        <v>1.19913674646383</v>
      </c>
      <c r="N25" s="11" t="n">
        <f aca="false">IF(L25=1,M25/(M25+R_sharp),0)</f>
        <v>0</v>
      </c>
      <c r="O25" s="11" t="n">
        <f aca="false">(1-N25)*M25</f>
        <v>1.19913674646383</v>
      </c>
      <c r="P25" s="14" t="n">
        <f aca="false">SQRT(O25)</f>
        <v>1.09505102459376</v>
      </c>
      <c r="Q25" s="18" t="n">
        <f aca="false">IF(AND($A25&gt;0,MOD($A25,Every1)=0),1,0)</f>
        <v>1</v>
      </c>
      <c r="R25" s="11" t="n">
        <f aca="false">Alpha_keep^2*T24+Q_var</f>
        <v>1.04542494641413</v>
      </c>
      <c r="S25" s="11" t="n">
        <f aca="false">IF(Q25=1,R25/(R25+R_sharp),0)</f>
        <v>0.400864659794592</v>
      </c>
      <c r="T25" s="11" t="n">
        <f aca="false">(1-S25)*R25</f>
        <v>0.62635103092905</v>
      </c>
      <c r="U25" s="14" t="n">
        <f aca="false">SQRT(T25)</f>
        <v>0.791423420761005</v>
      </c>
      <c r="V25" s="11" t="n">
        <f aca="false">IF(MOD($A25,Every2)=0,R_s,Alpha_keep^2*V24+Q_var)</f>
        <v>6.39140625</v>
      </c>
      <c r="W25" s="14" t="n">
        <f aca="false">SQRT(V25)</f>
        <v>2.52812306860248</v>
      </c>
      <c r="X25" s="11" t="n">
        <f aca="false">Alpha_keep^2*X24+Q_var</f>
        <v>5.6315068305259</v>
      </c>
      <c r="Y25" s="14" t="n">
        <f aca="false">SQRT(X25)</f>
        <v>2.37307960897352</v>
      </c>
      <c r="AA25" s="2" t="s">
        <v>124</v>
      </c>
      <c r="AB25" s="24" t="n">
        <f aca="false">AB22/(AB22+AB23)</f>
        <v>0.390243902439024</v>
      </c>
      <c r="AC25" s="10" t="s">
        <v>125</v>
      </c>
    </row>
    <row r="26" customFormat="false" ht="15" hidden="false" customHeight="false" outlineLevel="0" collapsed="false">
      <c r="A26" s="18" t="n">
        <v>20</v>
      </c>
      <c r="B26" s="18" t="n">
        <f aca="false">IF(AND($A26&gt;0,MOD($A26,Every2)=0),1,0)</f>
        <v>1</v>
      </c>
      <c r="C26" s="11" t="n">
        <f aca="false">Alpha_keep^2*E25+Q_var</f>
        <v>2.48184691535016</v>
      </c>
      <c r="D26" s="11" t="n">
        <f aca="false">IF(B26=1,C26/(C26+R_s),0)</f>
        <v>0.284229320487421</v>
      </c>
      <c r="E26" s="11" t="n">
        <f aca="false">(1-D26)*C26</f>
        <v>1.77643325304638</v>
      </c>
      <c r="F26" s="14" t="n">
        <f aca="false">SQRT(E26)</f>
        <v>1.3328290411926</v>
      </c>
      <c r="G26" s="18" t="n">
        <f aca="false">IF(AND($A26&gt;0,MOD($A26,Every1)=0),1,0)</f>
        <v>1</v>
      </c>
      <c r="H26" s="11" t="n">
        <f aca="false">Alpha_keep^2*J25+Q_var</f>
        <v>1.74917529289208</v>
      </c>
      <c r="I26" s="11" t="n">
        <f aca="false">IF(G26=1,H26/(H26+R_s),0)</f>
        <v>0.218669453893123</v>
      </c>
      <c r="J26" s="11" t="n">
        <f aca="false">(1-I26)*H26</f>
        <v>1.36668408683202</v>
      </c>
      <c r="K26" s="14" t="n">
        <f aca="false">SQRT(J26)</f>
        <v>1.16905264502161</v>
      </c>
      <c r="L26" s="18" t="n">
        <f aca="false">IF(AND($A26&gt;0,MOD($A26,Every2)=0),1,0)</f>
        <v>1</v>
      </c>
      <c r="M26" s="11" t="n">
        <f aca="false">Alpha_keep^2*O25+Q_var</f>
        <v>1.58992936960718</v>
      </c>
      <c r="N26" s="11" t="n">
        <f aca="false">IF(L26=1,M26/(M26+R_sharp),0)</f>
        <v>0.504350512952269</v>
      </c>
      <c r="O26" s="11" t="n">
        <f aca="false">(1-N26)*M26</f>
        <v>0.788047676487921</v>
      </c>
      <c r="P26" s="14" t="n">
        <f aca="false">SQRT(O26)</f>
        <v>0.887720494574684</v>
      </c>
      <c r="Q26" s="18" t="n">
        <f aca="false">IF(AND($A26&gt;0,MOD($A26,Every1)=0),1,0)</f>
        <v>1</v>
      </c>
      <c r="R26" s="11" t="n">
        <f aca="false">Alpha_keep^2*T25+Q_var</f>
        <v>1.04542494877693</v>
      </c>
      <c r="S26" s="11" t="n">
        <f aca="false">IF(Q26=1,R26/(R26+R_sharp),0)</f>
        <v>0.400864660337413</v>
      </c>
      <c r="T26" s="11" t="n">
        <f aca="false">(1-S26)*R26</f>
        <v>0.626351031777208</v>
      </c>
      <c r="U26" s="14" t="n">
        <f aca="false">SQRT(T26)</f>
        <v>0.791423421296848</v>
      </c>
      <c r="V26" s="11" t="n">
        <f aca="false">IF(MOD($A26,Every2)=0,R_s,Alpha_keep^2*V25+Q_var)</f>
        <v>6.25</v>
      </c>
      <c r="W26" s="14" t="n">
        <f aca="false">SQRT(V26)</f>
        <v>2.5</v>
      </c>
      <c r="X26" s="11" t="n">
        <f aca="false">Alpha_keep^2*X25+Q_var</f>
        <v>5.80345118076868</v>
      </c>
      <c r="Y26" s="14" t="n">
        <f aca="false">SQRT(X26)</f>
        <v>2.40903532161085</v>
      </c>
      <c r="AA26" s="2" t="s">
        <v>126</v>
      </c>
      <c r="AB26" s="9" t="n">
        <v>1</v>
      </c>
      <c r="AC26" s="10" t="s">
        <v>127</v>
      </c>
    </row>
    <row r="27" customFormat="false" ht="15" hidden="false" customHeight="false" outlineLevel="0" collapsed="false">
      <c r="A27" s="18" t="n">
        <v>21</v>
      </c>
      <c r="B27" s="18" t="n">
        <f aca="false">IF(AND($A27&gt;0,MOD($A27,Every2)=0),1,0)</f>
        <v>0</v>
      </c>
      <c r="C27" s="11" t="n">
        <f aca="false">Alpha_keep^2*E26+Q_var</f>
        <v>2.13872186117722</v>
      </c>
      <c r="D27" s="11" t="n">
        <f aca="false">IF(B27=1,C27/(C27+R_s),0)</f>
        <v>0</v>
      </c>
      <c r="E27" s="11" t="n">
        <f aca="false">(1-D27)*C27</f>
        <v>2.13872186117722</v>
      </c>
      <c r="F27" s="14" t="n">
        <f aca="false">SQRT(E27)</f>
        <v>1.46243695972757</v>
      </c>
      <c r="G27" s="18" t="n">
        <f aca="false">IF(AND($A27&gt;0,MOD($A27,Every1)=0),1,0)</f>
        <v>1</v>
      </c>
      <c r="H27" s="11" t="n">
        <f aca="false">Alpha_keep^2*J26+Q_var</f>
        <v>1.74920406004469</v>
      </c>
      <c r="I27" s="11" t="n">
        <f aca="false">IF(G27=1,H27/(H27+R_s),0)</f>
        <v>0.218672263754566</v>
      </c>
      <c r="J27" s="11" t="n">
        <f aca="false">(1-I27)*H27</f>
        <v>1.36670164846604</v>
      </c>
      <c r="K27" s="14" t="n">
        <f aca="false">SQRT(J27)</f>
        <v>1.16906015605102</v>
      </c>
      <c r="L27" s="18" t="n">
        <f aca="false">IF(AND($A27&gt;0,MOD($A27,Every2)=0),1,0)</f>
        <v>0</v>
      </c>
      <c r="M27" s="11" t="n">
        <f aca="false">Alpha_keep^2*O26+Q_var</f>
        <v>1.19913782246133</v>
      </c>
      <c r="N27" s="11" t="n">
        <f aca="false">IF(L27=1,M27/(M27+R_sharp),0)</f>
        <v>0</v>
      </c>
      <c r="O27" s="11" t="n">
        <f aca="false">(1-N27)*M27</f>
        <v>1.19913782246133</v>
      </c>
      <c r="P27" s="14" t="n">
        <f aca="false">SQRT(O27)</f>
        <v>1.09505151589381</v>
      </c>
      <c r="Q27" s="18" t="n">
        <f aca="false">IF(AND($A27&gt;0,MOD($A27,Every1)=0),1,0)</f>
        <v>1</v>
      </c>
      <c r="R27" s="11" t="n">
        <f aca="false">Alpha_keep^2*T26+Q_var</f>
        <v>1.04542494958321</v>
      </c>
      <c r="S27" s="11" t="n">
        <f aca="false">IF(Q27=1,R27/(R27+R_sharp),0)</f>
        <v>0.400864660522645</v>
      </c>
      <c r="T27" s="11" t="n">
        <f aca="false">(1-S27)*R27</f>
        <v>0.626351032066633</v>
      </c>
      <c r="U27" s="14" t="n">
        <f aca="false">SQRT(T27)</f>
        <v>0.791423421479699</v>
      </c>
      <c r="V27" s="11" t="n">
        <f aca="false">IF(MOD($A27,Every2)=0,R_s,Alpha_keep^2*V26+Q_var)</f>
        <v>6.39140625</v>
      </c>
      <c r="W27" s="14" t="n">
        <f aca="false">SQRT(V27)</f>
        <v>2.52812306860248</v>
      </c>
      <c r="X27" s="11" t="n">
        <f aca="false">Alpha_keep^2*X26+Q_var</f>
        <v>5.96690577871823</v>
      </c>
      <c r="Y27" s="14" t="n">
        <f aca="false">SQRT(X27)</f>
        <v>2.44272507227445</v>
      </c>
      <c r="AA27" s="2" t="s">
        <v>128</v>
      </c>
      <c r="AB27" s="14" t="n">
        <f aca="false">AJ6*AB26/(1-(1-AJ6)*Alpha_keep^AB6)</f>
        <v>0.889504421581804</v>
      </c>
      <c r="AC27" s="10" t="s">
        <v>129</v>
      </c>
    </row>
    <row r="28" customFormat="false" ht="15" hidden="false" customHeight="false" outlineLevel="0" collapsed="false">
      <c r="A28" s="18" t="n">
        <v>22</v>
      </c>
      <c r="B28" s="18" t="n">
        <f aca="false">IF(AND($A28&gt;0,MOD($A28,Every2)=0),1,0)</f>
        <v>1</v>
      </c>
      <c r="C28" s="11" t="n">
        <f aca="false">Alpha_keep^2*E27+Q_var</f>
        <v>2.48312246928159</v>
      </c>
      <c r="D28" s="11" t="n">
        <f aca="false">IF(B28=1,C28/(C28+R_s),0)</f>
        <v>0.284333865466318</v>
      </c>
      <c r="E28" s="11" t="n">
        <f aca="false">(1-D28)*C28</f>
        <v>1.77708665916449</v>
      </c>
      <c r="F28" s="14" t="n">
        <f aca="false">SQRT(E28)</f>
        <v>1.33307413866014</v>
      </c>
      <c r="G28" s="18" t="n">
        <f aca="false">IF(AND($A28&gt;0,MOD($A28,Every1)=0),1,0)</f>
        <v>1</v>
      </c>
      <c r="H28" s="11" t="n">
        <f aca="false">Alpha_keep^2*J27+Q_var</f>
        <v>1.74922075457303</v>
      </c>
      <c r="I28" s="11" t="n">
        <f aca="false">IF(G28=1,H28/(H28+R_s),0)</f>
        <v>0.218673894400655</v>
      </c>
      <c r="J28" s="11" t="n">
        <f aca="false">(1-I28)*H28</f>
        <v>1.36671184000409</v>
      </c>
      <c r="K28" s="14" t="n">
        <f aca="false">SQRT(J28)</f>
        <v>1.16906451490245</v>
      </c>
      <c r="L28" s="18" t="n">
        <f aca="false">IF(AND($A28&gt;0,MOD($A28,Every2)=0),1,0)</f>
        <v>1</v>
      </c>
      <c r="M28" s="11" t="n">
        <f aca="false">Alpha_keep^2*O27+Q_var</f>
        <v>1.5899303924773</v>
      </c>
      <c r="N28" s="11" t="n">
        <f aca="false">IF(L28=1,M28/(M28+R_sharp),0)</f>
        <v>0.504350673775821</v>
      </c>
      <c r="O28" s="11" t="n">
        <f aca="false">(1-N28)*M28</f>
        <v>0.78804792777472</v>
      </c>
      <c r="P28" s="14" t="n">
        <f aca="false">SQRT(O28)</f>
        <v>0.887720636109536</v>
      </c>
      <c r="Q28" s="18" t="n">
        <f aca="false">IF(AND($A28&gt;0,MOD($A28,Every1)=0),1,0)</f>
        <v>1</v>
      </c>
      <c r="R28" s="11" t="n">
        <f aca="false">Alpha_keep^2*T27+Q_var</f>
        <v>1.04542494985834</v>
      </c>
      <c r="S28" s="11" t="n">
        <f aca="false">IF(Q28=1,R28/(R28+R_sharp),0)</f>
        <v>0.400864660585853</v>
      </c>
      <c r="T28" s="11" t="n">
        <f aca="false">(1-S28)*R28</f>
        <v>0.626351032165396</v>
      </c>
      <c r="U28" s="14" t="n">
        <f aca="false">SQRT(T28)</f>
        <v>0.791423421542094</v>
      </c>
      <c r="V28" s="11" t="n">
        <f aca="false">IF(MOD($A28,Every2)=0,R_s,Alpha_keep^2*V27+Q_var)</f>
        <v>6.25</v>
      </c>
      <c r="W28" s="14" t="n">
        <f aca="false">SQRT(V28)</f>
        <v>2.5</v>
      </c>
      <c r="X28" s="11" t="n">
        <f aca="false">Alpha_keep^2*X27+Q_var</f>
        <v>6.12228980589402</v>
      </c>
      <c r="Y28" s="14" t="n">
        <f aca="false">SQRT(X28)</f>
        <v>2.47432613167586</v>
      </c>
      <c r="AA28" s="2" t="s">
        <v>130</v>
      </c>
      <c r="AB28" s="14" t="n">
        <f aca="false">AB26*(1-Alpha_keep^AB6)/(1-(1-AJ6)*Alpha_keep^AB6)</f>
        <v>0.154414859233797</v>
      </c>
      <c r="AC28" s="10" t="s">
        <v>131</v>
      </c>
    </row>
    <row r="29" customFormat="false" ht="15" hidden="false" customHeight="false" outlineLevel="0" collapsed="false">
      <c r="A29" s="18" t="n">
        <v>23</v>
      </c>
      <c r="B29" s="18" t="n">
        <f aca="false">IF(AND($A29&gt;0,MOD($A29,Every2)=0),1,0)</f>
        <v>0</v>
      </c>
      <c r="C29" s="11" t="n">
        <f aca="false">Alpha_keep^2*E28+Q_var</f>
        <v>2.13934300536824</v>
      </c>
      <c r="D29" s="11" t="n">
        <f aca="false">IF(B29=1,C29/(C29+R_s),0)</f>
        <v>0</v>
      </c>
      <c r="E29" s="11" t="n">
        <f aca="false">(1-D29)*C29</f>
        <v>2.13934300536824</v>
      </c>
      <c r="F29" s="14" t="n">
        <f aca="false">SQRT(E29)</f>
        <v>1.46264931045286</v>
      </c>
      <c r="G29" s="18" t="n">
        <f aca="false">IF(AND($A29&gt;0,MOD($A29,Every1)=0),1,0)</f>
        <v>1</v>
      </c>
      <c r="H29" s="11" t="n">
        <f aca="false">Alpha_keep^2*J28+Q_var</f>
        <v>1.74923044290389</v>
      </c>
      <c r="I29" s="11" t="n">
        <f aca="false">IF(G29=1,H29/(H29+R_s),0)</f>
        <v>0.218674840709912</v>
      </c>
      <c r="J29" s="11" t="n">
        <f aca="false">(1-I29)*H29</f>
        <v>1.36671775443695</v>
      </c>
      <c r="K29" s="14" t="n">
        <f aca="false">SQRT(J29)</f>
        <v>1.16906704445765</v>
      </c>
      <c r="L29" s="18" t="n">
        <f aca="false">IF(AND($A29&gt;0,MOD($A29,Every2)=0),1,0)</f>
        <v>0</v>
      </c>
      <c r="M29" s="11" t="n">
        <f aca="false">Alpha_keep^2*O28+Q_var</f>
        <v>1.19913806134084</v>
      </c>
      <c r="N29" s="11" t="n">
        <f aca="false">IF(L29=1,M29/(M29+R_sharp),0)</f>
        <v>0</v>
      </c>
      <c r="O29" s="11" t="n">
        <f aca="false">(1-N29)*M29</f>
        <v>1.19913806134084</v>
      </c>
      <c r="P29" s="14" t="n">
        <f aca="false">SQRT(O29)</f>
        <v>1.09505162496608</v>
      </c>
      <c r="Q29" s="18" t="n">
        <f aca="false">IF(AND($A29&gt;0,MOD($A29,Every1)=0),1,0)</f>
        <v>1</v>
      </c>
      <c r="R29" s="11" t="n">
        <f aca="false">Alpha_keep^2*T28+Q_var</f>
        <v>1.04542494995223</v>
      </c>
      <c r="S29" s="11" t="n">
        <f aca="false">IF(Q29=1,R29/(R29+R_sharp),0)</f>
        <v>0.400864660607422</v>
      </c>
      <c r="T29" s="11" t="n">
        <f aca="false">(1-S29)*R29</f>
        <v>0.626351032199097</v>
      </c>
      <c r="U29" s="14" t="n">
        <f aca="false">SQRT(T29)</f>
        <v>0.791423421563386</v>
      </c>
      <c r="V29" s="11" t="n">
        <f aca="false">IF(MOD($A29,Every2)=0,R_s,Alpha_keep^2*V28+Q_var)</f>
        <v>6.39140625</v>
      </c>
      <c r="W29" s="14" t="n">
        <f aca="false">SQRT(V29)</f>
        <v>2.52812306860248</v>
      </c>
      <c r="X29" s="11" t="n">
        <f aca="false">Alpha_keep^2*X28+Q_var</f>
        <v>6.270001746728</v>
      </c>
      <c r="Y29" s="14" t="n">
        <f aca="false">SQRT(X29)</f>
        <v>2.50399715389774</v>
      </c>
      <c r="AA29" s="2" t="s">
        <v>132</v>
      </c>
      <c r="AB29" s="24" t="n">
        <f aca="false">AB28/AB26</f>
        <v>0.154414859233797</v>
      </c>
      <c r="AC29" s="10" t="s">
        <v>133</v>
      </c>
    </row>
    <row r="30" customFormat="false" ht="15" hidden="false" customHeight="false" outlineLevel="0" collapsed="false">
      <c r="A30" s="18" t="n">
        <v>24</v>
      </c>
      <c r="B30" s="18" t="n">
        <f aca="false">IF(AND($A30&gt;0,MOD($A30,Every2)=0),1,0)</f>
        <v>1</v>
      </c>
      <c r="C30" s="11" t="n">
        <f aca="false">Alpha_keep^2*E29+Q_var</f>
        <v>2.48371294447818</v>
      </c>
      <c r="D30" s="11" t="n">
        <f aca="false">IF(B30=1,C30/(C30+R_s),0)</f>
        <v>0.284382250741191</v>
      </c>
      <c r="E30" s="11" t="n">
        <f aca="false">(1-D30)*C30</f>
        <v>1.77738906713245</v>
      </c>
      <c r="F30" s="14" t="n">
        <f aca="false">SQRT(E30)</f>
        <v>1.33318755887251</v>
      </c>
      <c r="G30" s="18" t="n">
        <f aca="false">IF(AND($A30&gt;0,MOD($A30,Every1)=0),1,0)</f>
        <v>1</v>
      </c>
      <c r="H30" s="11" t="n">
        <f aca="false">Alpha_keep^2*J29+Q_var</f>
        <v>1.74923606531163</v>
      </c>
      <c r="I30" s="11" t="n">
        <f aca="false">IF(G30=1,H30/(H30+R_s),0)</f>
        <v>0.218675389878431</v>
      </c>
      <c r="J30" s="11" t="n">
        <f aca="false">(1-I30)*H30</f>
        <v>1.36672118674019</v>
      </c>
      <c r="K30" s="14" t="n">
        <f aca="false">SQRT(J30)</f>
        <v>1.16906851242354</v>
      </c>
      <c r="L30" s="18" t="n">
        <f aca="false">IF(AND($A30&gt;0,MOD($A30,Every2)=0),1,0)</f>
        <v>1</v>
      </c>
      <c r="M30" s="11" t="n">
        <f aca="false">Alpha_keep^2*O29+Q_var</f>
        <v>1.58993061956214</v>
      </c>
      <c r="N30" s="11" t="n">
        <f aca="false">IF(L30=1,M30/(M30+R_sharp),0)</f>
        <v>0.504350709479841</v>
      </c>
      <c r="O30" s="11" t="n">
        <f aca="false">(1-N30)*M30</f>
        <v>0.788047983562251</v>
      </c>
      <c r="P30" s="14" t="n">
        <f aca="false">SQRT(O30)</f>
        <v>0.887720667531319</v>
      </c>
      <c r="Q30" s="18" t="n">
        <f aca="false">IF(AND($A30&gt;0,MOD($A30,Every1)=0),1,0)</f>
        <v>1</v>
      </c>
      <c r="R30" s="11" t="n">
        <f aca="false">Alpha_keep^2*T29+Q_var</f>
        <v>1.04542494998427</v>
      </c>
      <c r="S30" s="11" t="n">
        <f aca="false">IF(Q30=1,R30/(R30+R_sharp),0)</f>
        <v>0.400864660614783</v>
      </c>
      <c r="T30" s="11" t="n">
        <f aca="false">(1-S30)*R30</f>
        <v>0.626351032210598</v>
      </c>
      <c r="U30" s="14" t="n">
        <f aca="false">SQRT(T30)</f>
        <v>0.791423421570652</v>
      </c>
      <c r="V30" s="11" t="n">
        <f aca="false">IF(MOD($A30,Every2)=0,R_s,Alpha_keep^2*V29+Q_var)</f>
        <v>6.25</v>
      </c>
      <c r="W30" s="14" t="n">
        <f aca="false">SQRT(V30)</f>
        <v>2.5</v>
      </c>
      <c r="X30" s="11" t="n">
        <f aca="false">Alpha_keep^2*X29+Q_var</f>
        <v>6.4104204104833</v>
      </c>
      <c r="Y30" s="14" t="n">
        <f aca="false">SQRT(X30)</f>
        <v>2.53188080495179</v>
      </c>
    </row>
    <row r="31" customFormat="false" ht="15" hidden="false" customHeight="false" outlineLevel="0" collapsed="false">
      <c r="A31" s="18" t="n">
        <v>25</v>
      </c>
      <c r="B31" s="18" t="n">
        <f aca="false">IF(AND($A31&gt;0,MOD($A31,Every2)=0),1,0)</f>
        <v>0</v>
      </c>
      <c r="C31" s="11" t="n">
        <f aca="false">Alpha_keep^2*E30+Q_var</f>
        <v>2.13963048194278</v>
      </c>
      <c r="D31" s="11" t="n">
        <f aca="false">IF(B31=1,C31/(C31+R_s),0)</f>
        <v>0</v>
      </c>
      <c r="E31" s="11" t="n">
        <f aca="false">(1-D31)*C31</f>
        <v>2.13963048194278</v>
      </c>
      <c r="F31" s="14" t="n">
        <f aca="false">SQRT(E31)</f>
        <v>1.4627475797084</v>
      </c>
      <c r="G31" s="18" t="n">
        <f aca="false">IF(AND($A31&gt;0,MOD($A31,Every1)=0),1,0)</f>
        <v>1</v>
      </c>
      <c r="H31" s="11" t="n">
        <f aca="false">Alpha_keep^2*J30+Q_var</f>
        <v>1.7492393281449</v>
      </c>
      <c r="I31" s="11" t="n">
        <f aca="false">IF(G31=1,H31/(H31+R_s),0)</f>
        <v>0.218675708575226</v>
      </c>
      <c r="J31" s="11" t="n">
        <f aca="false">(1-I31)*H31</f>
        <v>1.36672317859516</v>
      </c>
      <c r="K31" s="14" t="n">
        <f aca="false">SQRT(J31)</f>
        <v>1.16906936432154</v>
      </c>
      <c r="L31" s="18" t="n">
        <f aca="false">IF(AND($A31&gt;0,MOD($A31,Every2)=0),1,0)</f>
        <v>0</v>
      </c>
      <c r="M31" s="11" t="n">
        <f aca="false">Alpha_keep^2*O30+Q_var</f>
        <v>1.19913811437387</v>
      </c>
      <c r="N31" s="11" t="n">
        <f aca="false">IF(L31=1,M31/(M31+R_sharp),0)</f>
        <v>0</v>
      </c>
      <c r="O31" s="11" t="n">
        <f aca="false">(1-N31)*M31</f>
        <v>1.19913811437387</v>
      </c>
      <c r="P31" s="14" t="n">
        <f aca="false">SQRT(O31)</f>
        <v>1.09505164918093</v>
      </c>
      <c r="Q31" s="18" t="n">
        <f aca="false">IF(AND($A31&gt;0,MOD($A31,Every1)=0),1,0)</f>
        <v>1</v>
      </c>
      <c r="R31" s="11" t="n">
        <f aca="false">Alpha_keep^2*T30+Q_var</f>
        <v>1.0454249499952</v>
      </c>
      <c r="S31" s="11" t="n">
        <f aca="false">IF(Q31=1,R31/(R31+R_sharp),0)</f>
        <v>0.400864660617294</v>
      </c>
      <c r="T31" s="11" t="n">
        <f aca="false">(1-S31)*R31</f>
        <v>0.626351032214522</v>
      </c>
      <c r="U31" s="14" t="n">
        <f aca="false">SQRT(T31)</f>
        <v>0.791423421573131</v>
      </c>
      <c r="V31" s="11" t="n">
        <f aca="false">IF(MOD($A31,Every2)=0,R_s,Alpha_keep^2*V30+Q_var)</f>
        <v>6.39140625</v>
      </c>
      <c r="W31" s="14" t="n">
        <f aca="false">SQRT(V31)</f>
        <v>2.52812306860248</v>
      </c>
      <c r="X31" s="11" t="n">
        <f aca="false">Alpha_keep^2*X30+Q_var</f>
        <v>6.54390590271569</v>
      </c>
      <c r="Y31" s="14" t="n">
        <f aca="false">SQRT(X31)</f>
        <v>2.55810592093363</v>
      </c>
    </row>
    <row r="32" customFormat="false" ht="15" hidden="false" customHeight="false" outlineLevel="0" collapsed="false">
      <c r="A32" s="18" t="n">
        <v>26</v>
      </c>
      <c r="B32" s="18" t="n">
        <f aca="false">IF(AND($A32&gt;0,MOD($A32,Every2)=0),1,0)</f>
        <v>1</v>
      </c>
      <c r="C32" s="11" t="n">
        <f aca="false">Alpha_keep^2*E31+Q_var</f>
        <v>2.48398622689686</v>
      </c>
      <c r="D32" s="11" t="n">
        <f aca="false">IF(B32=1,C32/(C32+R_s),0)</f>
        <v>0.284404642091977</v>
      </c>
      <c r="E32" s="11" t="n">
        <f aca="false">(1-D32)*C32</f>
        <v>1.77752901307486</v>
      </c>
      <c r="F32" s="14" t="n">
        <f aca="false">SQRT(E32)</f>
        <v>1.3332400433061</v>
      </c>
      <c r="G32" s="18" t="n">
        <f aca="false">IF(AND($A32&gt;0,MOD($A32,Every1)=0),1,0)</f>
        <v>1</v>
      </c>
      <c r="H32" s="11" t="n">
        <f aca="false">Alpha_keep^2*J31+Q_var</f>
        <v>1.74924122165202</v>
      </c>
      <c r="I32" s="11" t="n">
        <f aca="false">IF(G32=1,H32/(H32+R_s),0)</f>
        <v>0.218675893523157</v>
      </c>
      <c r="J32" s="11" t="n">
        <f aca="false">(1-I32)*H32</f>
        <v>1.36672433451973</v>
      </c>
      <c r="K32" s="14" t="n">
        <f aca="false">SQRT(J32)</f>
        <v>1.16906985869953</v>
      </c>
      <c r="L32" s="18" t="n">
        <f aca="false">IF(AND($A32&gt;0,MOD($A32,Every2)=0),1,0)</f>
        <v>1</v>
      </c>
      <c r="M32" s="11" t="n">
        <f aca="false">Alpha_keep^2*O31+Q_var</f>
        <v>1.58993066997666</v>
      </c>
      <c r="N32" s="11" t="n">
        <f aca="false">IF(L32=1,M32/(M32+R_sharp),0)</f>
        <v>0.504350717406397</v>
      </c>
      <c r="O32" s="11" t="n">
        <f aca="false">(1-N32)*M32</f>
        <v>0.788047995947496</v>
      </c>
      <c r="P32" s="14" t="n">
        <f aca="false">SQRT(O32)</f>
        <v>0.887720674507187</v>
      </c>
      <c r="Q32" s="18" t="n">
        <f aca="false">IF(AND($A32&gt;0,MOD($A32,Every1)=0),1,0)</f>
        <v>1</v>
      </c>
      <c r="R32" s="11" t="n">
        <f aca="false">Alpha_keep^2*T31+Q_var</f>
        <v>1.04542494999893</v>
      </c>
      <c r="S32" s="11" t="n">
        <f aca="false">IF(Q32=1,R32/(R32+R_sharp),0)</f>
        <v>0.400864660618151</v>
      </c>
      <c r="T32" s="11" t="n">
        <f aca="false">(1-S32)*R32</f>
        <v>0.626351032215861</v>
      </c>
      <c r="U32" s="14" t="n">
        <f aca="false">SQRT(T32)</f>
        <v>0.791423421573977</v>
      </c>
      <c r="V32" s="11" t="n">
        <f aca="false">IF(MOD($A32,Every2)=0,R_s,Alpha_keep^2*V31+Q_var)</f>
        <v>6.25</v>
      </c>
      <c r="W32" s="14" t="n">
        <f aca="false">SQRT(V32)</f>
        <v>2.5</v>
      </c>
      <c r="X32" s="11" t="n">
        <f aca="false">Alpha_keep^2*X31+Q_var</f>
        <v>6.6708005487691</v>
      </c>
      <c r="Y32" s="14" t="n">
        <f aca="false">SQRT(X32)</f>
        <v>2.58278929623946</v>
      </c>
    </row>
    <row r="33" customFormat="false" ht="15" hidden="false" customHeight="false" outlineLevel="0" collapsed="false">
      <c r="A33" s="18" t="n">
        <v>27</v>
      </c>
      <c r="B33" s="18" t="n">
        <f aca="false">IF(AND($A33&gt;0,MOD($A33,Every2)=0),1,0)</f>
        <v>0</v>
      </c>
      <c r="C33" s="11" t="n">
        <f aca="false">Alpha_keep^2*E32+Q_var</f>
        <v>2.13976351805428</v>
      </c>
      <c r="D33" s="11" t="n">
        <f aca="false">IF(B33=1,C33/(C33+R_s),0)</f>
        <v>0</v>
      </c>
      <c r="E33" s="11" t="n">
        <f aca="false">(1-D33)*C33</f>
        <v>2.13976351805428</v>
      </c>
      <c r="F33" s="14" t="n">
        <f aca="false">SQRT(E33)</f>
        <v>1.46279305373463</v>
      </c>
      <c r="G33" s="18" t="n">
        <f aca="false">IF(AND($A33&gt;0,MOD($A33,Every1)=0),1,0)</f>
        <v>1</v>
      </c>
      <c r="H33" s="11" t="n">
        <f aca="false">Alpha_keep^2*J32+Q_var</f>
        <v>1.74924232050282</v>
      </c>
      <c r="I33" s="11" t="n">
        <f aca="false">IF(G33=1,H33/(H33+R_s),0)</f>
        <v>0.218676000853149</v>
      </c>
      <c r="J33" s="11" t="n">
        <f aca="false">(1-I33)*H33</f>
        <v>1.36672500533218</v>
      </c>
      <c r="K33" s="14" t="n">
        <f aca="false">SQRT(J33)</f>
        <v>1.16907014559956</v>
      </c>
      <c r="L33" s="18" t="n">
        <f aca="false">IF(AND($A33&gt;0,MOD($A33,Every2)=0),1,0)</f>
        <v>0</v>
      </c>
      <c r="M33" s="11" t="n">
        <f aca="false">Alpha_keep^2*O32+Q_var</f>
        <v>1.19913812614759</v>
      </c>
      <c r="N33" s="11" t="n">
        <f aca="false">IF(L33=1,M33/(M33+R_sharp),0)</f>
        <v>0</v>
      </c>
      <c r="O33" s="11" t="n">
        <f aca="false">(1-N33)*M33</f>
        <v>1.19913812614759</v>
      </c>
      <c r="P33" s="14" t="n">
        <f aca="false">SQRT(O33)</f>
        <v>1.0950516545568</v>
      </c>
      <c r="Q33" s="18" t="n">
        <f aca="false">IF(AND($A33&gt;0,MOD($A33,Every1)=0),1,0)</f>
        <v>1</v>
      </c>
      <c r="R33" s="11" t="n">
        <f aca="false">Alpha_keep^2*T32+Q_var</f>
        <v>1.0454249500002</v>
      </c>
      <c r="S33" s="11" t="n">
        <f aca="false">IF(Q33=1,R33/(R33+R_sharp),0)</f>
        <v>0.400864660618444</v>
      </c>
      <c r="T33" s="11" t="n">
        <f aca="false">(1-S33)*R33</f>
        <v>0.626351032216318</v>
      </c>
      <c r="U33" s="14" t="n">
        <f aca="false">SQRT(T33)</f>
        <v>0.791423421574266</v>
      </c>
      <c r="V33" s="11" t="n">
        <f aca="false">IF(MOD($A33,Every2)=0,R_s,Alpha_keep^2*V32+Q_var)</f>
        <v>6.39140625</v>
      </c>
      <c r="W33" s="14" t="n">
        <f aca="false">SQRT(V33)</f>
        <v>2.52812306860248</v>
      </c>
      <c r="X33" s="11" t="n">
        <f aca="false">Alpha_keep^2*X32+Q_var</f>
        <v>6.79142977167363</v>
      </c>
      <c r="Y33" s="14" t="n">
        <f aca="false">SQRT(X33)</f>
        <v>2.60603717772284</v>
      </c>
    </row>
    <row r="34" customFormat="false" ht="15" hidden="false" customHeight="false" outlineLevel="0" collapsed="false">
      <c r="A34" s="18" t="n">
        <v>28</v>
      </c>
      <c r="B34" s="18" t="n">
        <f aca="false">IF(AND($A34&gt;0,MOD($A34,Every2)=0),1,0)</f>
        <v>1</v>
      </c>
      <c r="C34" s="11" t="n">
        <f aca="false">Alpha_keep^2*E33+Q_var</f>
        <v>2.48411269435035</v>
      </c>
      <c r="D34" s="11" t="n">
        <f aca="false">IF(B34=1,C34/(C34+R_s),0)</f>
        <v>0.28441500370807</v>
      </c>
      <c r="E34" s="11" t="n">
        <f aca="false">(1-D34)*C34</f>
        <v>1.77759377317544</v>
      </c>
      <c r="F34" s="14" t="n">
        <f aca="false">SQRT(E34)</f>
        <v>1.3332643298219</v>
      </c>
      <c r="G34" s="18" t="n">
        <f aca="false">IF(AND($A34&gt;0,MOD($A34,Every1)=0),1,0)</f>
        <v>1</v>
      </c>
      <c r="H34" s="11" t="n">
        <f aca="false">Alpha_keep^2*J33+Q_var</f>
        <v>1.7492429581939</v>
      </c>
      <c r="I34" s="11" t="n">
        <f aca="false">IF(G34=1,H34/(H34+R_s),0)</f>
        <v>0.218676063139462</v>
      </c>
      <c r="J34" s="11" t="n">
        <f aca="false">(1-I34)*H34</f>
        <v>1.36672539462164</v>
      </c>
      <c r="K34" s="14" t="n">
        <f aca="false">SQRT(J34)</f>
        <v>1.16907031209489</v>
      </c>
      <c r="L34" s="18" t="n">
        <f aca="false">IF(AND($A34&gt;0,MOD($A34,Every2)=0),1,0)</f>
        <v>1</v>
      </c>
      <c r="M34" s="11" t="n">
        <f aca="false">Alpha_keep^2*O33+Q_var</f>
        <v>1.58993068116905</v>
      </c>
      <c r="N34" s="11" t="n">
        <f aca="false">IF(L34=1,M34/(M34+R_sharp),0)</f>
        <v>0.504350719166151</v>
      </c>
      <c r="O34" s="11" t="n">
        <f aca="false">(1-N34)*M34</f>
        <v>0.788047998697111</v>
      </c>
      <c r="P34" s="14" t="n">
        <f aca="false">SQRT(O34)</f>
        <v>0.887720676055882</v>
      </c>
      <c r="Q34" s="18" t="n">
        <f aca="false">IF(AND($A34&gt;0,MOD($A34,Every1)=0),1,0)</f>
        <v>1</v>
      </c>
      <c r="R34" s="11" t="n">
        <f aca="false">Alpha_keep^2*T33+Q_var</f>
        <v>1.04542495000064</v>
      </c>
      <c r="S34" s="11" t="n">
        <f aca="false">IF(Q34=1,R34/(R34+R_sharp),0)</f>
        <v>0.400864660618544</v>
      </c>
      <c r="T34" s="11" t="n">
        <f aca="false">(1-S34)*R34</f>
        <v>0.626351032216474</v>
      </c>
      <c r="U34" s="14" t="n">
        <f aca="false">SQRT(T34)</f>
        <v>0.791423421574364</v>
      </c>
      <c r="V34" s="11" t="n">
        <f aca="false">IF(MOD($A34,Every2)=0,R_s,Alpha_keep^2*V33+Q_var)</f>
        <v>6.25</v>
      </c>
      <c r="W34" s="14" t="n">
        <f aca="false">SQRT(V34)</f>
        <v>2.5</v>
      </c>
      <c r="X34" s="11" t="n">
        <f aca="false">Alpha_keep^2*X33+Q_var</f>
        <v>6.90610292669724</v>
      </c>
      <c r="Y34" s="14" t="n">
        <f aca="false">SQRT(X34)</f>
        <v>2.62794652280012</v>
      </c>
    </row>
    <row r="35" customFormat="false" ht="15" hidden="false" customHeight="false" outlineLevel="0" collapsed="false">
      <c r="A35" s="18" t="n">
        <v>29</v>
      </c>
      <c r="B35" s="18" t="n">
        <f aca="false">IF(AND($A35&gt;0,MOD($A35,Every2)=0),1,0)</f>
        <v>0</v>
      </c>
      <c r="C35" s="11" t="n">
        <f aca="false">Alpha_keep^2*E34+Q_var</f>
        <v>2.1398250806249</v>
      </c>
      <c r="D35" s="11" t="n">
        <f aca="false">IF(B35=1,C35/(C35+R_s),0)</f>
        <v>0</v>
      </c>
      <c r="E35" s="11" t="n">
        <f aca="false">(1-D35)*C35</f>
        <v>2.1398250806249</v>
      </c>
      <c r="F35" s="14" t="n">
        <f aca="false">SQRT(E35)</f>
        <v>1.46281409639944</v>
      </c>
      <c r="G35" s="18" t="n">
        <f aca="false">IF(AND($A35&gt;0,MOD($A35,Every1)=0),1,0)</f>
        <v>1</v>
      </c>
      <c r="H35" s="11" t="n">
        <f aca="false">Alpha_keep^2*J34+Q_var</f>
        <v>1.74924332826219</v>
      </c>
      <c r="I35" s="11" t="n">
        <f aca="false">IF(G35=1,H35/(H35+R_s),0)</f>
        <v>0.218676099285782</v>
      </c>
      <c r="J35" s="11" t="n">
        <f aca="false">(1-I35)*H35</f>
        <v>1.36672562053614</v>
      </c>
      <c r="K35" s="14" t="n">
        <f aca="false">SQRT(J35)</f>
        <v>1.16907040871632</v>
      </c>
      <c r="L35" s="18" t="n">
        <f aca="false">IF(AND($A35&gt;0,MOD($A35,Every2)=0),1,0)</f>
        <v>0</v>
      </c>
      <c r="M35" s="11" t="n">
        <f aca="false">Alpha_keep^2*O34+Q_var</f>
        <v>1.19913812876144</v>
      </c>
      <c r="N35" s="11" t="n">
        <f aca="false">IF(L35=1,M35/(M35+R_sharp),0)</f>
        <v>0</v>
      </c>
      <c r="O35" s="11" t="n">
        <f aca="false">(1-N35)*M35</f>
        <v>1.19913812876144</v>
      </c>
      <c r="P35" s="14" t="n">
        <f aca="false">SQRT(O35)</f>
        <v>1.09505165575029</v>
      </c>
      <c r="Q35" s="18" t="n">
        <f aca="false">IF(AND($A35&gt;0,MOD($A35,Every1)=0),1,0)</f>
        <v>1</v>
      </c>
      <c r="R35" s="11" t="n">
        <f aca="false">Alpha_keep^2*T34+Q_var</f>
        <v>1.04542495000079</v>
      </c>
      <c r="S35" s="11" t="n">
        <f aca="false">IF(Q35=1,R35/(R35+R_sharp),0)</f>
        <v>0.400864660618578</v>
      </c>
      <c r="T35" s="11" t="n">
        <f aca="false">(1-S35)*R35</f>
        <v>0.626351032216527</v>
      </c>
      <c r="U35" s="14" t="n">
        <f aca="false">SQRT(T35)</f>
        <v>0.791423421574398</v>
      </c>
      <c r="V35" s="11" t="n">
        <f aca="false">IF(MOD($A35,Every2)=0,R_s,Alpha_keep^2*V34+Q_var)</f>
        <v>6.39140625</v>
      </c>
      <c r="W35" s="14" t="n">
        <f aca="false">SQRT(V35)</f>
        <v>2.52812306860248</v>
      </c>
      <c r="X35" s="11" t="n">
        <f aca="false">Alpha_keep^2*X34+Q_var</f>
        <v>7.01511409469157</v>
      </c>
      <c r="Y35" s="14" t="n">
        <f aca="false">SQRT(X35)</f>
        <v>2.64860606634727</v>
      </c>
    </row>
    <row r="36" customFormat="false" ht="15" hidden="false" customHeight="false" outlineLevel="0" collapsed="false">
      <c r="A36" s="18" t="n">
        <v>30</v>
      </c>
      <c r="B36" s="18" t="n">
        <f aca="false">IF(AND($A36&gt;0,MOD($A36,Every2)=0),1,0)</f>
        <v>1</v>
      </c>
      <c r="C36" s="11" t="n">
        <f aca="false">Alpha_keep^2*E35+Q_var</f>
        <v>2.48417121726904</v>
      </c>
      <c r="D36" s="11" t="n">
        <f aca="false">IF(B36=1,C36/(C36+R_s),0)</f>
        <v>0.28441979845293</v>
      </c>
      <c r="E36" s="11" t="n">
        <f aca="false">(1-D36)*C36</f>
        <v>1.77762374033081</v>
      </c>
      <c r="F36" s="14" t="n">
        <f aca="false">SQRT(E36)</f>
        <v>1.33327556803941</v>
      </c>
      <c r="G36" s="18" t="n">
        <f aca="false">IF(AND($A36&gt;0,MOD($A36,Every1)=0),1,0)</f>
        <v>1</v>
      </c>
      <c r="H36" s="11" t="n">
        <f aca="false">Alpha_keep^2*J35+Q_var</f>
        <v>1.74924354302217</v>
      </c>
      <c r="I36" s="11" t="n">
        <f aca="false">IF(G36=1,H36/(H36+R_s),0)</f>
        <v>0.218676120262403</v>
      </c>
      <c r="J36" s="11" t="n">
        <f aca="false">(1-I36)*H36</f>
        <v>1.36672575164002</v>
      </c>
      <c r="K36" s="14" t="n">
        <f aca="false">SQRT(J36)</f>
        <v>1.16907046478817</v>
      </c>
      <c r="L36" s="18" t="n">
        <f aca="false">IF(AND($A36&gt;0,MOD($A36,Every2)=0),1,0)</f>
        <v>1</v>
      </c>
      <c r="M36" s="11" t="n">
        <f aca="false">Alpha_keep^2*O35+Q_var</f>
        <v>1.58993068365385</v>
      </c>
      <c r="N36" s="11" t="n">
        <f aca="false">IF(L36=1,M36/(M36+R_sharp),0)</f>
        <v>0.50435071955683</v>
      </c>
      <c r="O36" s="11" t="n">
        <f aca="false">(1-N36)*M36</f>
        <v>0.788047999307546</v>
      </c>
      <c r="P36" s="14" t="n">
        <f aca="false">SQRT(O36)</f>
        <v>0.887720676399703</v>
      </c>
      <c r="Q36" s="18" t="n">
        <f aca="false">IF(AND($A36&gt;0,MOD($A36,Every1)=0),1,0)</f>
        <v>1</v>
      </c>
      <c r="R36" s="11" t="n">
        <f aca="false">Alpha_keep^2*T35+Q_var</f>
        <v>1.04542495000084</v>
      </c>
      <c r="S36" s="11" t="n">
        <f aca="false">IF(Q36=1,R36/(R36+R_sharp),0)</f>
        <v>0.400864660618589</v>
      </c>
      <c r="T36" s="11" t="n">
        <f aca="false">(1-S36)*R36</f>
        <v>0.626351032216546</v>
      </c>
      <c r="U36" s="14" t="n">
        <f aca="false">SQRT(T36)</f>
        <v>0.79142342157441</v>
      </c>
      <c r="V36" s="11" t="n">
        <f aca="false">IF(MOD($A36,Every2)=0,R_s,Alpha_keep^2*V35+Q_var)</f>
        <v>6.25</v>
      </c>
      <c r="W36" s="14" t="n">
        <f aca="false">SQRT(V36)</f>
        <v>2.5</v>
      </c>
      <c r="X36" s="11" t="n">
        <f aca="false">Alpha_keep^2*X35+Q_var</f>
        <v>7.11874283626617</v>
      </c>
      <c r="Y36" s="14" t="n">
        <f aca="false">SQRT(X36)</f>
        <v>2.66809723141159</v>
      </c>
    </row>
    <row r="37" customFormat="false" ht="15" hidden="false" customHeight="false" outlineLevel="0" collapsed="false">
      <c r="A37" s="18" t="n">
        <v>31</v>
      </c>
      <c r="B37" s="18" t="n">
        <f aca="false">IF(AND($A37&gt;0,MOD($A37,Every2)=0),1,0)</f>
        <v>0</v>
      </c>
      <c r="C37" s="11" t="n">
        <f aca="false">Alpha_keep^2*E36+Q_var</f>
        <v>2.13985356815198</v>
      </c>
      <c r="D37" s="11" t="n">
        <f aca="false">IF(B37=1,C37/(C37+R_s),0)</f>
        <v>0</v>
      </c>
      <c r="E37" s="11" t="n">
        <f aca="false">(1-D37)*C37</f>
        <v>2.13985356815198</v>
      </c>
      <c r="F37" s="14" t="n">
        <f aca="false">SQRT(E37)</f>
        <v>1.46282383360129</v>
      </c>
      <c r="G37" s="18" t="n">
        <f aca="false">IF(AND($A37&gt;0,MOD($A37,Every1)=0),1,0)</f>
        <v>1</v>
      </c>
      <c r="H37" s="11" t="n">
        <f aca="false">Alpha_keep^2*J36+Q_var</f>
        <v>1.74924366765279</v>
      </c>
      <c r="I37" s="11" t="n">
        <f aca="false">IF(G37=1,H37/(H37+R_s),0)</f>
        <v>0.218676132435664</v>
      </c>
      <c r="J37" s="11" t="n">
        <f aca="false">(1-I37)*H37</f>
        <v>1.3667258277229</v>
      </c>
      <c r="K37" s="14" t="n">
        <f aca="false">SQRT(J37)</f>
        <v>1.16907049732807</v>
      </c>
      <c r="L37" s="18" t="n">
        <f aca="false">IF(AND($A37&gt;0,MOD($A37,Every2)=0),1,0)</f>
        <v>0</v>
      </c>
      <c r="M37" s="11" t="n">
        <f aca="false">Alpha_keep^2*O36+Q_var</f>
        <v>1.19913812934174</v>
      </c>
      <c r="N37" s="11" t="n">
        <f aca="false">IF(L37=1,M37/(M37+R_sharp),0)</f>
        <v>0</v>
      </c>
      <c r="O37" s="11" t="n">
        <f aca="false">(1-N37)*M37</f>
        <v>1.19913812934174</v>
      </c>
      <c r="P37" s="14" t="n">
        <f aca="false">SQRT(O37)</f>
        <v>1.09505165601525</v>
      </c>
      <c r="Q37" s="18" t="n">
        <f aca="false">IF(AND($A37&gt;0,MOD($A37,Every1)=0),1,0)</f>
        <v>1</v>
      </c>
      <c r="R37" s="11" t="n">
        <f aca="false">Alpha_keep^2*T36+Q_var</f>
        <v>1.04542495000085</v>
      </c>
      <c r="S37" s="11" t="n">
        <f aca="false">IF(Q37=1,R37/(R37+R_sharp),0)</f>
        <v>0.400864660618593</v>
      </c>
      <c r="T37" s="11" t="n">
        <f aca="false">(1-S37)*R37</f>
        <v>0.626351032216552</v>
      </c>
      <c r="U37" s="14" t="n">
        <f aca="false">SQRT(T37)</f>
        <v>0.791423421574414</v>
      </c>
      <c r="V37" s="11" t="n">
        <f aca="false">IF(MOD($A37,Every2)=0,R_s,Alpha_keep^2*V36+Q_var)</f>
        <v>6.39140625</v>
      </c>
      <c r="W37" s="14" t="n">
        <f aca="false">SQRT(V37)</f>
        <v>2.52812306860248</v>
      </c>
      <c r="X37" s="11" t="n">
        <f aca="false">Alpha_keep^2*X36+Q_var</f>
        <v>7.21725490872553</v>
      </c>
      <c r="Y37" s="14" t="n">
        <f aca="false">SQRT(X37)</f>
        <v>2.68649491135299</v>
      </c>
    </row>
    <row r="38" customFormat="false" ht="15" hidden="false" customHeight="false" outlineLevel="0" collapsed="false">
      <c r="A38" s="18" t="n">
        <v>32</v>
      </c>
      <c r="B38" s="18" t="n">
        <f aca="false">IF(AND($A38&gt;0,MOD($A38,Every2)=0),1,0)</f>
        <v>1</v>
      </c>
      <c r="C38" s="11" t="n">
        <f aca="false">Alpha_keep^2*E37+Q_var</f>
        <v>2.48419829822447</v>
      </c>
      <c r="D38" s="11" t="n">
        <f aca="false">IF(B38=1,C38/(C38+R_s),0)</f>
        <v>0.28442201715634</v>
      </c>
      <c r="E38" s="11" t="n">
        <f aca="false">(1-D38)*C38</f>
        <v>1.77763760722712</v>
      </c>
      <c r="F38" s="14" t="n">
        <f aca="false">SQRT(E38)</f>
        <v>1.33328076834068</v>
      </c>
      <c r="G38" s="18" t="n">
        <f aca="false">IF(AND($A38&gt;0,MOD($A38,Every1)=0),1,0)</f>
        <v>1</v>
      </c>
      <c r="H38" s="11" t="n">
        <f aca="false">Alpha_keep^2*J37+Q_var</f>
        <v>1.74924373997908</v>
      </c>
      <c r="I38" s="11" t="n">
        <f aca="false">IF(G38=1,H38/(H38+R_s),0)</f>
        <v>0.218676139500115</v>
      </c>
      <c r="J38" s="11" t="n">
        <f aca="false">(1-I38)*H38</f>
        <v>1.36672587187572</v>
      </c>
      <c r="K38" s="14" t="n">
        <f aca="false">SQRT(J38)</f>
        <v>1.1690705162118</v>
      </c>
      <c r="L38" s="18" t="n">
        <f aca="false">IF(AND($A38&gt;0,MOD($A38,Every2)=0),1,0)</f>
        <v>1</v>
      </c>
      <c r="M38" s="11" t="n">
        <f aca="false">Alpha_keep^2*O37+Q_var</f>
        <v>1.58993068420549</v>
      </c>
      <c r="N38" s="11" t="n">
        <f aca="false">IF(L38=1,M38/(M38+R_sharp),0)</f>
        <v>0.504350719643563</v>
      </c>
      <c r="O38" s="11" t="n">
        <f aca="false">(1-N38)*M38</f>
        <v>0.788047999443068</v>
      </c>
      <c r="P38" s="14" t="n">
        <f aca="false">SQRT(O38)</f>
        <v>0.887720676476034</v>
      </c>
      <c r="Q38" s="18" t="n">
        <f aca="false">IF(AND($A38&gt;0,MOD($A38,Every1)=0),1,0)</f>
        <v>1</v>
      </c>
      <c r="R38" s="11" t="n">
        <f aca="false">Alpha_keep^2*T37+Q_var</f>
        <v>1.04542495000086</v>
      </c>
      <c r="S38" s="11" t="n">
        <f aca="false">IF(Q38=1,R38/(R38+R_sharp),0)</f>
        <v>0.400864660618595</v>
      </c>
      <c r="T38" s="11" t="n">
        <f aca="false">(1-S38)*R38</f>
        <v>0.626351032216554</v>
      </c>
      <c r="U38" s="14" t="n">
        <f aca="false">SQRT(T38)</f>
        <v>0.791423421574415</v>
      </c>
      <c r="V38" s="11" t="n">
        <f aca="false">IF(MOD($A38,Every2)=0,R_s,Alpha_keep^2*V37+Q_var)</f>
        <v>6.25</v>
      </c>
      <c r="W38" s="14" t="n">
        <f aca="false">SQRT(V38)</f>
        <v>2.5</v>
      </c>
      <c r="X38" s="11" t="n">
        <f aca="false">Alpha_keep^2*X37+Q_var</f>
        <v>7.3109029476072</v>
      </c>
      <c r="Y38" s="14" t="n">
        <f aca="false">SQRT(X38)</f>
        <v>2.70386814538121</v>
      </c>
    </row>
    <row r="39" customFormat="false" ht="15" hidden="false" customHeight="false" outlineLevel="0" collapsed="false">
      <c r="A39" s="18" t="n">
        <v>33</v>
      </c>
      <c r="B39" s="18" t="n">
        <f aca="false">IF(AND($A39&gt;0,MOD($A39,Every2)=0),1,0)</f>
        <v>0</v>
      </c>
      <c r="C39" s="11" t="n">
        <f aca="false">Alpha_keep^2*E38+Q_var</f>
        <v>2.13986675037028</v>
      </c>
      <c r="D39" s="11" t="n">
        <f aca="false">IF(B39=1,C39/(C39+R_s),0)</f>
        <v>0</v>
      </c>
      <c r="E39" s="11" t="n">
        <f aca="false">(1-D39)*C39</f>
        <v>2.13986675037028</v>
      </c>
      <c r="F39" s="14" t="n">
        <f aca="false">SQRT(E39)</f>
        <v>1.46282833933797</v>
      </c>
      <c r="G39" s="18" t="n">
        <f aca="false">IF(AND($A39&gt;0,MOD($A39,Every1)=0),1,0)</f>
        <v>1</v>
      </c>
      <c r="H39" s="11" t="n">
        <f aca="false">Alpha_keep^2*J38+Q_var</f>
        <v>1.74924378195185</v>
      </c>
      <c r="I39" s="11" t="n">
        <f aca="false">IF(G39=1,H39/(H39+R_s),0)</f>
        <v>0.218676143599793</v>
      </c>
      <c r="J39" s="11" t="n">
        <f aca="false">(1-I39)*H39</f>
        <v>1.3667258974987</v>
      </c>
      <c r="K39" s="14" t="n">
        <f aca="false">SQRT(J39)</f>
        <v>1.1690705271705</v>
      </c>
      <c r="L39" s="18" t="n">
        <f aca="false">IF(AND($A39&gt;0,MOD($A39,Every2)=0),1,0)</f>
        <v>0</v>
      </c>
      <c r="M39" s="11" t="n">
        <f aca="false">Alpha_keep^2*O38+Q_var</f>
        <v>1.19913812947057</v>
      </c>
      <c r="N39" s="11" t="n">
        <f aca="false">IF(L39=1,M39/(M39+R_sharp),0)</f>
        <v>0</v>
      </c>
      <c r="O39" s="11" t="n">
        <f aca="false">(1-N39)*M39</f>
        <v>1.19913812947057</v>
      </c>
      <c r="P39" s="14" t="n">
        <f aca="false">SQRT(O39)</f>
        <v>1.09505165607407</v>
      </c>
      <c r="Q39" s="18" t="n">
        <f aca="false">IF(AND($A39&gt;0,MOD($A39,Every1)=0),1,0)</f>
        <v>1</v>
      </c>
      <c r="R39" s="11" t="n">
        <f aca="false">Alpha_keep^2*T38+Q_var</f>
        <v>1.04542495000086</v>
      </c>
      <c r="S39" s="11" t="n">
        <f aca="false">IF(Q39=1,R39/(R39+R_sharp),0)</f>
        <v>0.400864660618595</v>
      </c>
      <c r="T39" s="11" t="n">
        <f aca="false">(1-S39)*R39</f>
        <v>0.626351032216555</v>
      </c>
      <c r="U39" s="14" t="n">
        <f aca="false">SQRT(T39)</f>
        <v>0.791423421574415</v>
      </c>
      <c r="V39" s="11" t="n">
        <f aca="false">IF(MOD($A39,Every2)=0,R_s,Alpha_keep^2*V38+Q_var)</f>
        <v>6.39140625</v>
      </c>
      <c r="W39" s="14" t="n">
        <f aca="false">SQRT(V39)</f>
        <v>2.52812306860248</v>
      </c>
      <c r="X39" s="11" t="n">
        <f aca="false">Alpha_keep^2*X38+Q_var</f>
        <v>7.3999271145691</v>
      </c>
      <c r="Y39" s="14" t="n">
        <f aca="false">SQRT(X39)</f>
        <v>2.72028070510547</v>
      </c>
    </row>
    <row r="40" customFormat="false" ht="15" hidden="false" customHeight="false" outlineLevel="0" collapsed="false">
      <c r="A40" s="18" t="n">
        <v>34</v>
      </c>
      <c r="B40" s="18" t="n">
        <f aca="false">IF(AND($A40&gt;0,MOD($A40,Every2)=0),1,0)</f>
        <v>1</v>
      </c>
      <c r="C40" s="11" t="n">
        <f aca="false">Alpha_keep^2*E39+Q_var</f>
        <v>2.48421082957075</v>
      </c>
      <c r="D40" s="11" t="n">
        <f aca="false">IF(B40=1,C40/(C40+R_s),0)</f>
        <v>0.284423043826713</v>
      </c>
      <c r="E40" s="11" t="n">
        <f aca="false">(1-D40)*C40</f>
        <v>1.77764402391695</v>
      </c>
      <c r="F40" s="14" t="n">
        <f aca="false">SQRT(E40)</f>
        <v>1.33328317469207</v>
      </c>
      <c r="G40" s="18" t="n">
        <f aca="false">IF(AND($A40&gt;0,MOD($A40,Every1)=0),1,0)</f>
        <v>1</v>
      </c>
      <c r="H40" s="11" t="n">
        <f aca="false">Alpha_keep^2*J39+Q_var</f>
        <v>1.74924380630971</v>
      </c>
      <c r="I40" s="11" t="n">
        <f aca="false">IF(G40=1,H40/(H40+R_s),0)</f>
        <v>0.218676145978939</v>
      </c>
      <c r="J40" s="11" t="n">
        <f aca="false">(1-I40)*H40</f>
        <v>1.36672591236837</v>
      </c>
      <c r="K40" s="14" t="n">
        <f aca="false">SQRT(J40)</f>
        <v>1.16907053353011</v>
      </c>
      <c r="L40" s="18" t="n">
        <f aca="false">IF(AND($A40&gt;0,MOD($A40,Every2)=0),1,0)</f>
        <v>1</v>
      </c>
      <c r="M40" s="11" t="n">
        <f aca="false">Alpha_keep^2*O39+Q_var</f>
        <v>1.58993068432796</v>
      </c>
      <c r="N40" s="11" t="n">
        <f aca="false">IF(L40=1,M40/(M40+R_sharp),0)</f>
        <v>0.504350719662819</v>
      </c>
      <c r="O40" s="11" t="n">
        <f aca="false">(1-N40)*M40</f>
        <v>0.788047999473154</v>
      </c>
      <c r="P40" s="14" t="n">
        <f aca="false">SQRT(O40)</f>
        <v>0.88772067649298</v>
      </c>
      <c r="Q40" s="18" t="n">
        <f aca="false">IF(AND($A40&gt;0,MOD($A40,Every1)=0),1,0)</f>
        <v>1</v>
      </c>
      <c r="R40" s="11" t="n">
        <f aca="false">Alpha_keep^2*T39+Q_var</f>
        <v>1.04542495000086</v>
      </c>
      <c r="S40" s="11" t="n">
        <f aca="false">IF(Q40=1,R40/(R40+R_sharp),0)</f>
        <v>0.400864660618595</v>
      </c>
      <c r="T40" s="11" t="n">
        <f aca="false">(1-S40)*R40</f>
        <v>0.626351032216555</v>
      </c>
      <c r="U40" s="14" t="n">
        <f aca="false">SQRT(T40)</f>
        <v>0.791423421574415</v>
      </c>
      <c r="V40" s="11" t="n">
        <f aca="false">IF(MOD($A40,Every2)=0,R_s,Alpha_keep^2*V39+Q_var)</f>
        <v>6.25</v>
      </c>
      <c r="W40" s="14" t="n">
        <f aca="false">SQRT(V40)</f>
        <v>2.5</v>
      </c>
      <c r="X40" s="11" t="n">
        <f aca="false">Alpha_keep^2*X39+Q_var</f>
        <v>7.48455571328725</v>
      </c>
      <c r="Y40" s="14" t="n">
        <f aca="false">SQRT(X40)</f>
        <v>2.73579160633394</v>
      </c>
    </row>
    <row r="41" customFormat="false" ht="15" hidden="false" customHeight="false" outlineLevel="0" collapsed="false">
      <c r="A41" s="18" t="n">
        <v>35</v>
      </c>
      <c r="B41" s="18" t="n">
        <f aca="false">IF(AND($A41&gt;0,MOD($A41,Every2)=0),1,0)</f>
        <v>0</v>
      </c>
      <c r="C41" s="11" t="n">
        <f aca="false">Alpha_keep^2*E40+Q_var</f>
        <v>2.13987285023606</v>
      </c>
      <c r="D41" s="11" t="n">
        <f aca="false">IF(B41=1,C41/(C41+R_s),0)</f>
        <v>0</v>
      </c>
      <c r="E41" s="11" t="n">
        <f aca="false">(1-D41)*C41</f>
        <v>2.13987285023606</v>
      </c>
      <c r="F41" s="14" t="n">
        <f aca="false">SQRT(E41)</f>
        <v>1.4628304242926</v>
      </c>
      <c r="G41" s="18" t="n">
        <f aca="false">IF(AND($A41&gt;0,MOD($A41,Every1)=0),1,0)</f>
        <v>1</v>
      </c>
      <c r="H41" s="11" t="n">
        <f aca="false">Alpha_keep^2*J40+Q_var</f>
        <v>1.74924382044518</v>
      </c>
      <c r="I41" s="11" t="n">
        <f aca="false">IF(G41=1,H41/(H41+R_s),0)</f>
        <v>0.218676147359618</v>
      </c>
      <c r="J41" s="11" t="n">
        <f aca="false">(1-I41)*H41</f>
        <v>1.36672592099761</v>
      </c>
      <c r="K41" s="14" t="n">
        <f aca="false">SQRT(J41)</f>
        <v>1.16907053722075</v>
      </c>
      <c r="L41" s="18" t="n">
        <f aca="false">IF(AND($A41&gt;0,MOD($A41,Every2)=0),1,0)</f>
        <v>0</v>
      </c>
      <c r="M41" s="11" t="n">
        <f aca="false">Alpha_keep^2*O40+Q_var</f>
        <v>1.19913812949917</v>
      </c>
      <c r="N41" s="11" t="n">
        <f aca="false">IF(L41=1,M41/(M41+R_sharp),0)</f>
        <v>0</v>
      </c>
      <c r="O41" s="11" t="n">
        <f aca="false">(1-N41)*M41</f>
        <v>1.19913812949917</v>
      </c>
      <c r="P41" s="14" t="n">
        <f aca="false">SQRT(O41)</f>
        <v>1.09505165608713</v>
      </c>
      <c r="Q41" s="18" t="n">
        <f aca="false">IF(AND($A41&gt;0,MOD($A41,Every1)=0),1,0)</f>
        <v>1</v>
      </c>
      <c r="R41" s="11" t="n">
        <f aca="false">Alpha_keep^2*T40+Q_var</f>
        <v>1.04542495000086</v>
      </c>
      <c r="S41" s="11" t="n">
        <f aca="false">IF(Q41=1,R41/(R41+R_sharp),0)</f>
        <v>0.400864660618595</v>
      </c>
      <c r="T41" s="11" t="n">
        <f aca="false">(1-S41)*R41</f>
        <v>0.626351032216555</v>
      </c>
      <c r="U41" s="14" t="n">
        <f aca="false">SQRT(T41)</f>
        <v>0.791423421574416</v>
      </c>
      <c r="V41" s="11" t="n">
        <f aca="false">IF(MOD($A41,Every2)=0,R_s,Alpha_keep^2*V40+Q_var)</f>
        <v>6.39140625</v>
      </c>
      <c r="W41" s="14" t="n">
        <f aca="false">SQRT(V41)</f>
        <v>2.52812306860248</v>
      </c>
      <c r="X41" s="11" t="n">
        <f aca="false">Alpha_keep^2*X40+Q_var</f>
        <v>7.56500577494369</v>
      </c>
      <c r="Y41" s="14" t="n">
        <f aca="false">SQRT(X41)</f>
        <v>2.75045555771107</v>
      </c>
    </row>
    <row r="42" customFormat="false" ht="15" hidden="false" customHeight="false" outlineLevel="0" collapsed="false">
      <c r="A42" s="18" t="n">
        <v>36</v>
      </c>
      <c r="B42" s="18" t="n">
        <f aca="false">IF(AND($A42&gt;0,MOD($A42,Every2)=0),1,0)</f>
        <v>1</v>
      </c>
      <c r="C42" s="11" t="n">
        <f aca="false">Alpha_keep^2*E41+Q_var</f>
        <v>2.48421662825565</v>
      </c>
      <c r="D42" s="11" t="n">
        <f aca="false">IF(B42=1,C42/(C42+R_s),0)</f>
        <v>0.284423518901407</v>
      </c>
      <c r="E42" s="11" t="n">
        <f aca="false">(1-D42)*C42</f>
        <v>1.77764699313379</v>
      </c>
      <c r="F42" s="14" t="n">
        <f aca="false">SQRT(E42)</f>
        <v>1.3332842881898</v>
      </c>
      <c r="G42" s="18" t="n">
        <f aca="false">IF(AND($A42&gt;0,MOD($A42,Every1)=0),1,0)</f>
        <v>1</v>
      </c>
      <c r="H42" s="11" t="n">
        <f aca="false">Alpha_keep^2*J41+Q_var</f>
        <v>1.74924382864835</v>
      </c>
      <c r="I42" s="11" t="n">
        <f aca="false">IF(G42=1,H42/(H42+R_s),0)</f>
        <v>0.21867614816086</v>
      </c>
      <c r="J42" s="11" t="n">
        <f aca="false">(1-I42)*H42</f>
        <v>1.36672592600538</v>
      </c>
      <c r="K42" s="14" t="n">
        <f aca="false">SQRT(J42)</f>
        <v>1.16907053936252</v>
      </c>
      <c r="L42" s="18" t="n">
        <f aca="false">IF(AND($A42&gt;0,MOD($A42,Every2)=0),1,0)</f>
        <v>1</v>
      </c>
      <c r="M42" s="11" t="n">
        <f aca="false">Alpha_keep^2*O41+Q_var</f>
        <v>1.58993068435515</v>
      </c>
      <c r="N42" s="11" t="n">
        <f aca="false">IF(L42=1,M42/(M42+R_sharp),0)</f>
        <v>0.504350719667093</v>
      </c>
      <c r="O42" s="11" t="n">
        <f aca="false">(1-N42)*M42</f>
        <v>0.788047999479834</v>
      </c>
      <c r="P42" s="14" t="n">
        <f aca="false">SQRT(O42)</f>
        <v>0.887720676496742</v>
      </c>
      <c r="Q42" s="18" t="n">
        <f aca="false">IF(AND($A42&gt;0,MOD($A42,Every1)=0),1,0)</f>
        <v>1</v>
      </c>
      <c r="R42" s="11" t="n">
        <f aca="false">Alpha_keep^2*T41+Q_var</f>
        <v>1.04542495000086</v>
      </c>
      <c r="S42" s="11" t="n">
        <f aca="false">IF(Q42=1,R42/(R42+R_sharp),0)</f>
        <v>0.400864660618595</v>
      </c>
      <c r="T42" s="11" t="n">
        <f aca="false">(1-S42)*R42</f>
        <v>0.626351032216555</v>
      </c>
      <c r="U42" s="14" t="n">
        <f aca="false">SQRT(T42)</f>
        <v>0.791423421574416</v>
      </c>
      <c r="V42" s="11" t="n">
        <f aca="false">IF(MOD($A42,Every2)=0,R_s,Alpha_keep^2*V41+Q_var)</f>
        <v>6.25</v>
      </c>
      <c r="W42" s="14" t="n">
        <f aca="false">SQRT(V42)</f>
        <v>2.5</v>
      </c>
      <c r="X42" s="11" t="n">
        <f aca="false">Alpha_keep^2*X41+Q_var</f>
        <v>7.64148361480584</v>
      </c>
      <c r="Y42" s="14" t="n">
        <f aca="false">SQRT(X42)</f>
        <v>2.76432335568867</v>
      </c>
    </row>
    <row r="43" customFormat="false" ht="15" hidden="false" customHeight="false" outlineLevel="0" collapsed="false">
      <c r="A43" s="18" t="n">
        <v>37</v>
      </c>
      <c r="B43" s="18" t="n">
        <f aca="false">IF(AND($A43&gt;0,MOD($A43,Every2)=0),1,0)</f>
        <v>0</v>
      </c>
      <c r="C43" s="11" t="n">
        <f aca="false">Alpha_keep^2*E42+Q_var</f>
        <v>2.13987567284781</v>
      </c>
      <c r="D43" s="11" t="n">
        <f aca="false">IF(B43=1,C43/(C43+R_s),0)</f>
        <v>0</v>
      </c>
      <c r="E43" s="11" t="n">
        <f aca="false">(1-D43)*C43</f>
        <v>2.13987567284781</v>
      </c>
      <c r="F43" s="14" t="n">
        <f aca="false">SQRT(E43)</f>
        <v>1.46283138906978</v>
      </c>
      <c r="G43" s="18" t="n">
        <f aca="false">IF(AND($A43&gt;0,MOD($A43,Every1)=0),1,0)</f>
        <v>1</v>
      </c>
      <c r="H43" s="11" t="n">
        <f aca="false">Alpha_keep^2*J42+Q_var</f>
        <v>1.74924383340886</v>
      </c>
      <c r="I43" s="11" t="n">
        <f aca="false">IF(G43=1,H43/(H43+R_s),0)</f>
        <v>0.218676148625841</v>
      </c>
      <c r="J43" s="11" t="n">
        <f aca="false">(1-I43)*H43</f>
        <v>1.36672592891151</v>
      </c>
      <c r="K43" s="14" t="n">
        <f aca="false">SQRT(J43)</f>
        <v>1.16907054060545</v>
      </c>
      <c r="L43" s="18" t="n">
        <f aca="false">IF(AND($A43&gt;0,MOD($A43,Every2)=0),1,0)</f>
        <v>0</v>
      </c>
      <c r="M43" s="11" t="n">
        <f aca="false">Alpha_keep^2*O42+Q_var</f>
        <v>1.19913812950552</v>
      </c>
      <c r="N43" s="11" t="n">
        <f aca="false">IF(L43=1,M43/(M43+R_sharp),0)</f>
        <v>0</v>
      </c>
      <c r="O43" s="11" t="n">
        <f aca="false">(1-N43)*M43</f>
        <v>1.19913812950552</v>
      </c>
      <c r="P43" s="14" t="n">
        <f aca="false">SQRT(O43)</f>
        <v>1.09505165609003</v>
      </c>
      <c r="Q43" s="18" t="n">
        <f aca="false">IF(AND($A43&gt;0,MOD($A43,Every1)=0),1,0)</f>
        <v>1</v>
      </c>
      <c r="R43" s="11" t="n">
        <f aca="false">Alpha_keep^2*T42+Q_var</f>
        <v>1.04542495000086</v>
      </c>
      <c r="S43" s="11" t="n">
        <f aca="false">IF(Q43=1,R43/(R43+R_sharp),0)</f>
        <v>0.400864660618595</v>
      </c>
      <c r="T43" s="11" t="n">
        <f aca="false">(1-S43)*R43</f>
        <v>0.626351032216555</v>
      </c>
      <c r="U43" s="14" t="n">
        <f aca="false">SQRT(T43)</f>
        <v>0.791423421574416</v>
      </c>
      <c r="V43" s="11" t="n">
        <f aca="false">IF(MOD($A43,Every2)=0,R_s,Alpha_keep^2*V42+Q_var)</f>
        <v>6.39140625</v>
      </c>
      <c r="W43" s="14" t="n">
        <f aca="false">SQRT(V43)</f>
        <v>2.52812306860248</v>
      </c>
      <c r="X43" s="11" t="n">
        <f aca="false">Alpha_keep^2*X42+Q_var</f>
        <v>7.71418536132481</v>
      </c>
      <c r="Y43" s="14" t="n">
        <f aca="false">SQRT(X43)</f>
        <v>2.77744223366118</v>
      </c>
    </row>
    <row r="44" customFormat="false" ht="15" hidden="false" customHeight="false" outlineLevel="0" collapsed="false">
      <c r="A44" s="18" t="n">
        <v>38</v>
      </c>
      <c r="B44" s="18" t="n">
        <f aca="false">IF(AND($A44&gt;0,MOD($A44,Every2)=0),1,0)</f>
        <v>1</v>
      </c>
      <c r="C44" s="11" t="n">
        <f aca="false">Alpha_keep^2*E43+Q_var</f>
        <v>2.48421931150095</v>
      </c>
      <c r="D44" s="11" t="n">
        <f aca="false">IF(B44=1,C44/(C44+R_s),0)</f>
        <v>0.284423738734131</v>
      </c>
      <c r="E44" s="11" t="n">
        <f aca="false">(1-D44)*C44</f>
        <v>1.77764836708832</v>
      </c>
      <c r="F44" s="14" t="n">
        <f aca="false">SQRT(E44)</f>
        <v>1.33328480344161</v>
      </c>
      <c r="G44" s="18" t="n">
        <f aca="false">IF(AND($A44&gt;0,MOD($A44,Every1)=0),1,0)</f>
        <v>1</v>
      </c>
      <c r="H44" s="11" t="n">
        <f aca="false">Alpha_keep^2*J43+Q_var</f>
        <v>1.7492438361715</v>
      </c>
      <c r="I44" s="11" t="n">
        <f aca="false">IF(G44=1,H44/(H44+R_s),0)</f>
        <v>0.218676148895682</v>
      </c>
      <c r="J44" s="11" t="n">
        <f aca="false">(1-I44)*H44</f>
        <v>1.36672593059801</v>
      </c>
      <c r="K44" s="14" t="n">
        <f aca="false">SQRT(J44)</f>
        <v>1.16907054132675</v>
      </c>
      <c r="L44" s="18" t="n">
        <f aca="false">IF(AND($A44&gt;0,MOD($A44,Every2)=0),1,0)</f>
        <v>1</v>
      </c>
      <c r="M44" s="11" t="n">
        <f aca="false">Alpha_keep^2*O43+Q_var</f>
        <v>1.58993068436118</v>
      </c>
      <c r="N44" s="11" t="n">
        <f aca="false">IF(L44=1,M44/(M44+R_sharp),0)</f>
        <v>0.504350719668043</v>
      </c>
      <c r="O44" s="11" t="n">
        <f aca="false">(1-N44)*M44</f>
        <v>0.788047999481317</v>
      </c>
      <c r="P44" s="14" t="n">
        <f aca="false">SQRT(O44)</f>
        <v>0.887720676497578</v>
      </c>
      <c r="Q44" s="18" t="n">
        <f aca="false">IF(AND($A44&gt;0,MOD($A44,Every1)=0),1,0)</f>
        <v>1</v>
      </c>
      <c r="R44" s="11" t="n">
        <f aca="false">Alpha_keep^2*T43+Q_var</f>
        <v>1.04542495000086</v>
      </c>
      <c r="S44" s="11" t="n">
        <f aca="false">IF(Q44=1,R44/(R44+R_sharp),0)</f>
        <v>0.400864660618595</v>
      </c>
      <c r="T44" s="11" t="n">
        <f aca="false">(1-S44)*R44</f>
        <v>0.626351032216555</v>
      </c>
      <c r="U44" s="14" t="n">
        <f aca="false">SQRT(T44)</f>
        <v>0.791423421574416</v>
      </c>
      <c r="V44" s="11" t="n">
        <f aca="false">IF(MOD($A44,Every2)=0,R_s,Alpha_keep^2*V43+Q_var)</f>
        <v>6.25</v>
      </c>
      <c r="W44" s="14" t="n">
        <f aca="false">SQRT(V44)</f>
        <v>2.5</v>
      </c>
      <c r="X44" s="11" t="n">
        <f aca="false">Alpha_keep^2*X43+Q_var</f>
        <v>7.78329745910939</v>
      </c>
      <c r="Y44" s="14" t="n">
        <f aca="false">SQRT(X44)</f>
        <v>2.78985617176036</v>
      </c>
    </row>
    <row r="45" customFormat="false" ht="15" hidden="false" customHeight="false" outlineLevel="0" collapsed="false">
      <c r="A45" s="18" t="n">
        <v>39</v>
      </c>
      <c r="B45" s="18" t="n">
        <f aca="false">IF(AND($A45&gt;0,MOD($A45,Every2)=0),1,0)</f>
        <v>0</v>
      </c>
      <c r="C45" s="11" t="n">
        <f aca="false">Alpha_keep^2*E44+Q_var</f>
        <v>2.13987697896333</v>
      </c>
      <c r="D45" s="11" t="n">
        <f aca="false">IF(B45=1,C45/(C45+R_s),0)</f>
        <v>0</v>
      </c>
      <c r="E45" s="11" t="n">
        <f aca="false">(1-D45)*C45</f>
        <v>2.13987697896333</v>
      </c>
      <c r="F45" s="14" t="n">
        <f aca="false">SQRT(E45)</f>
        <v>1.46283183550377</v>
      </c>
      <c r="G45" s="18" t="n">
        <f aca="false">IF(AND($A45&gt;0,MOD($A45,Every1)=0),1,0)</f>
        <v>1</v>
      </c>
      <c r="H45" s="11" t="n">
        <f aca="false">Alpha_keep^2*J44+Q_var</f>
        <v>1.74924383777473</v>
      </c>
      <c r="I45" s="11" t="n">
        <f aca="false">IF(G45=1,H45/(H45+R_s),0)</f>
        <v>0.218676149052277</v>
      </c>
      <c r="J45" s="11" t="n">
        <f aca="false">(1-I45)*H45</f>
        <v>1.36672593157673</v>
      </c>
      <c r="K45" s="14" t="n">
        <f aca="false">SQRT(J45)</f>
        <v>1.16907054174533</v>
      </c>
      <c r="L45" s="18" t="n">
        <f aca="false">IF(AND($A45&gt;0,MOD($A45,Every2)=0),1,0)</f>
        <v>0</v>
      </c>
      <c r="M45" s="11" t="n">
        <f aca="false">Alpha_keep^2*O44+Q_var</f>
        <v>1.19913812950693</v>
      </c>
      <c r="N45" s="11" t="n">
        <f aca="false">IF(L45=1,M45/(M45+R_sharp),0)</f>
        <v>0</v>
      </c>
      <c r="O45" s="11" t="n">
        <f aca="false">(1-N45)*M45</f>
        <v>1.19913812950693</v>
      </c>
      <c r="P45" s="14" t="n">
        <f aca="false">SQRT(O45)</f>
        <v>1.09505165609067</v>
      </c>
      <c r="Q45" s="18" t="n">
        <f aca="false">IF(AND($A45&gt;0,MOD($A45,Every1)=0),1,0)</f>
        <v>1</v>
      </c>
      <c r="R45" s="11" t="n">
        <f aca="false">Alpha_keep^2*T44+Q_var</f>
        <v>1.04542495000086</v>
      </c>
      <c r="S45" s="11" t="n">
        <f aca="false">IF(Q45=1,R45/(R45+R_sharp),0)</f>
        <v>0.400864660618595</v>
      </c>
      <c r="T45" s="11" t="n">
        <f aca="false">(1-S45)*R45</f>
        <v>0.626351032216555</v>
      </c>
      <c r="U45" s="14" t="n">
        <f aca="false">SQRT(T45)</f>
        <v>0.791423421574416</v>
      </c>
      <c r="V45" s="11" t="n">
        <f aca="false">IF(MOD($A45,Every2)=0,R_s,Alpha_keep^2*V44+Q_var)</f>
        <v>6.39140625</v>
      </c>
      <c r="W45" s="14" t="n">
        <f aca="false">SQRT(V45)</f>
        <v>2.52812306860248</v>
      </c>
      <c r="X45" s="11" t="n">
        <f aca="false">Alpha_keep^2*X44+Q_var</f>
        <v>7.84899714706587</v>
      </c>
      <c r="Y45" s="14" t="n">
        <f aca="false">SQRT(X45)</f>
        <v>2.80160617272768</v>
      </c>
    </row>
    <row r="46" customFormat="false" ht="15" hidden="false" customHeight="false" outlineLevel="0" collapsed="false">
      <c r="A46" s="18" t="n">
        <v>40</v>
      </c>
      <c r="B46" s="18" t="n">
        <f aca="false">IF(AND($A46&gt;0,MOD($A46,Every2)=0),1,0)</f>
        <v>1</v>
      </c>
      <c r="C46" s="11" t="n">
        <f aca="false">Alpha_keep^2*E45+Q_var</f>
        <v>2.48422055312702</v>
      </c>
      <c r="D46" s="11" t="n">
        <f aca="false">IF(B46=1,C46/(C46+R_s),0)</f>
        <v>0.284423840457935</v>
      </c>
      <c r="E46" s="11" t="n">
        <f aca="false">(1-D46)*C46</f>
        <v>1.7776490028621</v>
      </c>
      <c r="F46" s="14" t="n">
        <f aca="false">SQRT(E46)</f>
        <v>1.33328504186543</v>
      </c>
      <c r="G46" s="18" t="n">
        <f aca="false">IF(AND($A46&gt;0,MOD($A46,Every1)=0),1,0)</f>
        <v>1</v>
      </c>
      <c r="H46" s="11" t="n">
        <f aca="false">Alpha_keep^2*J45+Q_var</f>
        <v>1.74924383870513</v>
      </c>
      <c r="I46" s="11" t="n">
        <f aca="false">IF(G46=1,H46/(H46+R_s),0)</f>
        <v>0.218676149143153</v>
      </c>
      <c r="J46" s="11" t="n">
        <f aca="false">(1-I46)*H46</f>
        <v>1.3667259321447</v>
      </c>
      <c r="K46" s="14" t="n">
        <f aca="false">SQRT(J46)</f>
        <v>1.16907054198825</v>
      </c>
      <c r="L46" s="18" t="n">
        <f aca="false">IF(AND($A46&gt;0,MOD($A46,Every2)=0),1,0)</f>
        <v>1</v>
      </c>
      <c r="M46" s="11" t="n">
        <f aca="false">Alpha_keep^2*O45+Q_var</f>
        <v>1.58993068436252</v>
      </c>
      <c r="N46" s="11" t="n">
        <f aca="false">IF(L46=1,M46/(M46+R_sharp),0)</f>
        <v>0.504350719668253</v>
      </c>
      <c r="O46" s="11" t="n">
        <f aca="false">(1-N46)*M46</f>
        <v>0.788047999481646</v>
      </c>
      <c r="P46" s="14" t="n">
        <f aca="false">SQRT(O46)</f>
        <v>0.887720676497763</v>
      </c>
      <c r="Q46" s="18" t="n">
        <f aca="false">IF(AND($A46&gt;0,MOD($A46,Every1)=0),1,0)</f>
        <v>1</v>
      </c>
      <c r="R46" s="11" t="n">
        <f aca="false">Alpha_keep^2*T45+Q_var</f>
        <v>1.04542495000086</v>
      </c>
      <c r="S46" s="11" t="n">
        <f aca="false">IF(Q46=1,R46/(R46+R_sharp),0)</f>
        <v>0.400864660618595</v>
      </c>
      <c r="T46" s="11" t="n">
        <f aca="false">(1-S46)*R46</f>
        <v>0.626351032216555</v>
      </c>
      <c r="U46" s="14" t="n">
        <f aca="false">SQRT(T46)</f>
        <v>0.791423421574416</v>
      </c>
      <c r="V46" s="11" t="n">
        <f aca="false">IF(MOD($A46,Every2)=0,R_s,Alpha_keep^2*V45+Q_var)</f>
        <v>6.25</v>
      </c>
      <c r="W46" s="14" t="n">
        <f aca="false">SQRT(V46)</f>
        <v>2.5</v>
      </c>
      <c r="X46" s="11" t="n">
        <f aca="false">Alpha_keep^2*X45+Q_var</f>
        <v>7.91145291292949</v>
      </c>
      <c r="Y46" s="14" t="n">
        <f aca="false">SQRT(X46)</f>
        <v>2.81273050840806</v>
      </c>
    </row>
    <row r="47" customFormat="false" ht="15" hidden="false" customHeight="false" outlineLevel="0" collapsed="false">
      <c r="A47" s="18" t="n">
        <v>41</v>
      </c>
      <c r="B47" s="18" t="n">
        <f aca="false">IF(AND($A47&gt;0,MOD($A47,Every2)=0),1,0)</f>
        <v>0</v>
      </c>
      <c r="C47" s="11" t="n">
        <f aca="false">Alpha_keep^2*E46+Q_var</f>
        <v>2.13987758334578</v>
      </c>
      <c r="D47" s="11" t="n">
        <f aca="false">IF(B47=1,C47/(C47+R_s),0)</f>
        <v>0</v>
      </c>
      <c r="E47" s="11" t="n">
        <f aca="false">(1-D47)*C47</f>
        <v>2.13987758334578</v>
      </c>
      <c r="F47" s="14" t="n">
        <f aca="false">SQRT(E47)</f>
        <v>1.46283204208336</v>
      </c>
      <c r="G47" s="18" t="n">
        <f aca="false">IF(AND($A47&gt;0,MOD($A47,Every1)=0),1,0)</f>
        <v>1</v>
      </c>
      <c r="H47" s="11" t="n">
        <f aca="false">Alpha_keep^2*J46+Q_var</f>
        <v>1.74924383924506</v>
      </c>
      <c r="I47" s="11" t="n">
        <f aca="false">IF(G47=1,H47/(H47+R_s),0)</f>
        <v>0.21867614919589</v>
      </c>
      <c r="J47" s="11" t="n">
        <f aca="false">(1-I47)*H47</f>
        <v>1.36672593247431</v>
      </c>
      <c r="K47" s="14" t="n">
        <f aca="false">SQRT(J47)</f>
        <v>1.16907054212922</v>
      </c>
      <c r="L47" s="18" t="n">
        <f aca="false">IF(AND($A47&gt;0,MOD($A47,Every2)=0),1,0)</f>
        <v>0</v>
      </c>
      <c r="M47" s="11" t="n">
        <f aca="false">Alpha_keep^2*O46+Q_var</f>
        <v>1.19913812950724</v>
      </c>
      <c r="N47" s="11" t="n">
        <f aca="false">IF(L47=1,M47/(M47+R_sharp),0)</f>
        <v>0</v>
      </c>
      <c r="O47" s="11" t="n">
        <f aca="false">(1-N47)*M47</f>
        <v>1.19913812950724</v>
      </c>
      <c r="P47" s="14" t="n">
        <f aca="false">SQRT(O47)</f>
        <v>1.09505165609082</v>
      </c>
      <c r="Q47" s="18" t="n">
        <f aca="false">IF(AND($A47&gt;0,MOD($A47,Every1)=0),1,0)</f>
        <v>1</v>
      </c>
      <c r="R47" s="11" t="n">
        <f aca="false">Alpha_keep^2*T46+Q_var</f>
        <v>1.04542495000086</v>
      </c>
      <c r="S47" s="11" t="n">
        <f aca="false">IF(Q47=1,R47/(R47+R_sharp),0)</f>
        <v>0.400864660618595</v>
      </c>
      <c r="T47" s="11" t="n">
        <f aca="false">(1-S47)*R47</f>
        <v>0.626351032216555</v>
      </c>
      <c r="U47" s="14" t="n">
        <f aca="false">SQRT(T47)</f>
        <v>0.791423421574416</v>
      </c>
      <c r="V47" s="11" t="n">
        <f aca="false">IF(MOD($A47,Every2)=0,R_s,Alpha_keep^2*V46+Q_var)</f>
        <v>6.39140625</v>
      </c>
      <c r="W47" s="14" t="n">
        <f aca="false">SQRT(V47)</f>
        <v>2.52812306860248</v>
      </c>
      <c r="X47" s="11" t="n">
        <f aca="false">Alpha_keep^2*X46+Q_var</f>
        <v>7.97082492535359</v>
      </c>
      <c r="Y47" s="14" t="n">
        <f aca="false">SQRT(X47)</f>
        <v>2.8232649406943</v>
      </c>
    </row>
    <row r="48" customFormat="false" ht="15" hidden="false" customHeight="false" outlineLevel="0" collapsed="false">
      <c r="A48" s="18" t="n">
        <v>42</v>
      </c>
      <c r="B48" s="18" t="n">
        <f aca="false">IF(AND($A48&gt;0,MOD($A48,Every2)=0),1,0)</f>
        <v>1</v>
      </c>
      <c r="C48" s="11" t="n">
        <f aca="false">Alpha_keep^2*E47+Q_var</f>
        <v>2.48422112766808</v>
      </c>
      <c r="D48" s="11" t="n">
        <f aca="false">IF(B48=1,C48/(C48+R_s),0)</f>
        <v>0.284423887528863</v>
      </c>
      <c r="E48" s="11" t="n">
        <f aca="false">(1-D48)*C48</f>
        <v>1.77764929705539</v>
      </c>
      <c r="F48" s="14" t="n">
        <f aca="false">SQRT(E48)</f>
        <v>1.33328515219191</v>
      </c>
      <c r="G48" s="18" t="n">
        <f aca="false">IF(AND($A48&gt;0,MOD($A48,Every1)=0),1,0)</f>
        <v>1</v>
      </c>
      <c r="H48" s="11" t="n">
        <f aca="false">Alpha_keep^2*J47+Q_var</f>
        <v>1.7492438395584</v>
      </c>
      <c r="I48" s="11" t="n">
        <f aca="false">IF(G48=1,H48/(H48+R_s),0)</f>
        <v>0.218676149226495</v>
      </c>
      <c r="J48" s="11" t="n">
        <f aca="false">(1-I48)*H48</f>
        <v>1.3667259326656</v>
      </c>
      <c r="K48" s="14" t="n">
        <f aca="false">SQRT(J48)</f>
        <v>1.16907054221103</v>
      </c>
      <c r="L48" s="18" t="n">
        <f aca="false">IF(AND($A48&gt;0,MOD($A48,Every2)=0),1,0)</f>
        <v>1</v>
      </c>
      <c r="M48" s="11" t="n">
        <f aca="false">Alpha_keep^2*O47+Q_var</f>
        <v>1.58993068436282</v>
      </c>
      <c r="N48" s="11" t="n">
        <f aca="false">IF(L48=1,M48/(M48+R_sharp),0)</f>
        <v>0.5043507196683</v>
      </c>
      <c r="O48" s="11" t="n">
        <f aca="false">(1-N48)*M48</f>
        <v>0.788047999481719</v>
      </c>
      <c r="P48" s="14" t="n">
        <f aca="false">SQRT(O48)</f>
        <v>0.887720676497804</v>
      </c>
      <c r="Q48" s="18" t="n">
        <f aca="false">IF(AND($A48&gt;0,MOD($A48,Every1)=0),1,0)</f>
        <v>1</v>
      </c>
      <c r="R48" s="11" t="n">
        <f aca="false">Alpha_keep^2*T47+Q_var</f>
        <v>1.04542495000086</v>
      </c>
      <c r="S48" s="11" t="n">
        <f aca="false">IF(Q48=1,R48/(R48+R_sharp),0)</f>
        <v>0.400864660618595</v>
      </c>
      <c r="T48" s="11" t="n">
        <f aca="false">(1-S48)*R48</f>
        <v>0.626351032216555</v>
      </c>
      <c r="U48" s="14" t="n">
        <f aca="false">SQRT(T48)</f>
        <v>0.791423421574416</v>
      </c>
      <c r="V48" s="11" t="n">
        <f aca="false">IF(MOD($A48,Every2)=0,R_s,Alpha_keep^2*V47+Q_var)</f>
        <v>6.25</v>
      </c>
      <c r="W48" s="14" t="n">
        <f aca="false">SQRT(V48)</f>
        <v>2.5</v>
      </c>
      <c r="X48" s="11" t="n">
        <f aca="false">Alpha_keep^2*X47+Q_var</f>
        <v>8.02726544466426</v>
      </c>
      <c r="Y48" s="14" t="n">
        <f aca="false">SQRT(X48)</f>
        <v>2.83324292016485</v>
      </c>
    </row>
    <row r="49" customFormat="false" ht="15" hidden="false" customHeight="false" outlineLevel="0" collapsed="false">
      <c r="A49" s="18" t="n">
        <v>43</v>
      </c>
      <c r="B49" s="18" t="n">
        <f aca="false">IF(AND($A49&gt;0,MOD($A49,Every2)=0),1,0)</f>
        <v>0</v>
      </c>
      <c r="C49" s="11" t="n">
        <f aca="false">Alpha_keep^2*E48+Q_var</f>
        <v>2.13987786301328</v>
      </c>
      <c r="D49" s="11" t="n">
        <f aca="false">IF(B49=1,C49/(C49+R_s),0)</f>
        <v>0</v>
      </c>
      <c r="E49" s="11" t="n">
        <f aca="false">(1-D49)*C49</f>
        <v>2.13987786301328</v>
      </c>
      <c r="F49" s="14" t="n">
        <f aca="false">SQRT(E49)</f>
        <v>1.46283213767448</v>
      </c>
      <c r="G49" s="18" t="n">
        <f aca="false">IF(AND($A49&gt;0,MOD($A49,Every1)=0),1,0)</f>
        <v>1</v>
      </c>
      <c r="H49" s="11" t="n">
        <f aca="false">Alpha_keep^2*J48+Q_var</f>
        <v>1.74924383974023</v>
      </c>
      <c r="I49" s="11" t="n">
        <f aca="false">IF(G49=1,H49/(H49+R_s),0)</f>
        <v>0.218676149244256</v>
      </c>
      <c r="J49" s="11" t="n">
        <f aca="false">(1-I49)*H49</f>
        <v>1.3667259327766</v>
      </c>
      <c r="K49" s="14" t="n">
        <f aca="false">SQRT(J49)</f>
        <v>1.16907054225851</v>
      </c>
      <c r="L49" s="18" t="n">
        <f aca="false">IF(AND($A49&gt;0,MOD($A49,Every2)=0),1,0)</f>
        <v>0</v>
      </c>
      <c r="M49" s="11" t="n">
        <f aca="false">Alpha_keep^2*O48+Q_var</f>
        <v>1.19913812950731</v>
      </c>
      <c r="N49" s="11" t="n">
        <f aca="false">IF(L49=1,M49/(M49+R_sharp),0)</f>
        <v>0</v>
      </c>
      <c r="O49" s="11" t="n">
        <f aca="false">(1-N49)*M49</f>
        <v>1.19913812950731</v>
      </c>
      <c r="P49" s="14" t="n">
        <f aca="false">SQRT(O49)</f>
        <v>1.09505165609085</v>
      </c>
      <c r="Q49" s="18" t="n">
        <f aca="false">IF(AND($A49&gt;0,MOD($A49,Every1)=0),1,0)</f>
        <v>1</v>
      </c>
      <c r="R49" s="11" t="n">
        <f aca="false">Alpha_keep^2*T48+Q_var</f>
        <v>1.04542495000086</v>
      </c>
      <c r="S49" s="11" t="n">
        <f aca="false">IF(Q49=1,R49/(R49+R_sharp),0)</f>
        <v>0.400864660618595</v>
      </c>
      <c r="T49" s="11" t="n">
        <f aca="false">(1-S49)*R49</f>
        <v>0.626351032216555</v>
      </c>
      <c r="U49" s="14" t="n">
        <f aca="false">SQRT(T49)</f>
        <v>0.791423421574416</v>
      </c>
      <c r="V49" s="11" t="n">
        <f aca="false">IF(MOD($A49,Every2)=0,R_s,Alpha_keep^2*V48+Q_var)</f>
        <v>6.39140625</v>
      </c>
      <c r="W49" s="14" t="n">
        <f aca="false">SQRT(V49)</f>
        <v>2.52812306860248</v>
      </c>
      <c r="X49" s="11" t="n">
        <f aca="false">Alpha_keep^2*X48+Q_var</f>
        <v>8.08091921333396</v>
      </c>
      <c r="Y49" s="14" t="n">
        <f aca="false">SQRT(X49)</f>
        <v>2.84269576517326</v>
      </c>
    </row>
    <row r="50" customFormat="false" ht="15" hidden="false" customHeight="false" outlineLevel="0" collapsed="false">
      <c r="A50" s="18" t="n">
        <v>44</v>
      </c>
      <c r="B50" s="18" t="n">
        <f aca="false">IF(AND($A50&gt;0,MOD($A50,Every2)=0),1,0)</f>
        <v>1</v>
      </c>
      <c r="C50" s="11" t="n">
        <f aca="false">Alpha_keep^2*E49+Q_var</f>
        <v>2.484221393527</v>
      </c>
      <c r="D50" s="11" t="n">
        <f aca="false">IF(B50=1,C50/(C50+R_s),0)</f>
        <v>0.284423909310116</v>
      </c>
      <c r="E50" s="11" t="n">
        <f aca="false">(1-D50)*C50</f>
        <v>1.77764943318823</v>
      </c>
      <c r="F50" s="14" t="n">
        <f aca="false">SQRT(E50)</f>
        <v>1.33328520324356</v>
      </c>
      <c r="G50" s="18" t="n">
        <f aca="false">IF(AND($A50&gt;0,MOD($A50,Every1)=0),1,0)</f>
        <v>1</v>
      </c>
      <c r="H50" s="11" t="n">
        <f aca="false">Alpha_keep^2*J49+Q_var</f>
        <v>1.74924383984576</v>
      </c>
      <c r="I50" s="11" t="n">
        <f aca="false">IF(G50=1,H50/(H50+R_s),0)</f>
        <v>0.218676149254563</v>
      </c>
      <c r="J50" s="11" t="n">
        <f aca="false">(1-I50)*H50</f>
        <v>1.36672593284102</v>
      </c>
      <c r="K50" s="14" t="n">
        <f aca="false">SQRT(J50)</f>
        <v>1.16907054228606</v>
      </c>
      <c r="L50" s="18" t="n">
        <f aca="false">IF(AND($A50&gt;0,MOD($A50,Every2)=0),1,0)</f>
        <v>1</v>
      </c>
      <c r="M50" s="11" t="n">
        <f aca="false">Alpha_keep^2*O49+Q_var</f>
        <v>1.58993068436289</v>
      </c>
      <c r="N50" s="11" t="n">
        <f aca="false">IF(L50=1,M50/(M50+R_sharp),0)</f>
        <v>0.50435071966831</v>
      </c>
      <c r="O50" s="11" t="n">
        <f aca="false">(1-N50)*M50</f>
        <v>0.788047999481735</v>
      </c>
      <c r="P50" s="14" t="n">
        <f aca="false">SQRT(O50)</f>
        <v>0.887720676497813</v>
      </c>
      <c r="Q50" s="18" t="n">
        <f aca="false">IF(AND($A50&gt;0,MOD($A50,Every1)=0),1,0)</f>
        <v>1</v>
      </c>
      <c r="R50" s="11" t="n">
        <f aca="false">Alpha_keep^2*T49+Q_var</f>
        <v>1.04542495000086</v>
      </c>
      <c r="S50" s="11" t="n">
        <f aca="false">IF(Q50=1,R50/(R50+R_sharp),0)</f>
        <v>0.400864660618595</v>
      </c>
      <c r="T50" s="11" t="n">
        <f aca="false">(1-S50)*R50</f>
        <v>0.626351032216555</v>
      </c>
      <c r="U50" s="14" t="n">
        <f aca="false">SQRT(T50)</f>
        <v>0.791423421574416</v>
      </c>
      <c r="V50" s="11" t="n">
        <f aca="false">IF(MOD($A50,Every2)=0,R_s,Alpha_keep^2*V49+Q_var)</f>
        <v>6.25</v>
      </c>
      <c r="W50" s="14" t="n">
        <f aca="false">SQRT(V50)</f>
        <v>2.5</v>
      </c>
      <c r="X50" s="11" t="n">
        <f aca="false">Alpha_keep^2*X49+Q_var</f>
        <v>8.13192382717559</v>
      </c>
      <c r="Y50" s="14" t="n">
        <f aca="false">SQRT(X50)</f>
        <v>2.85165282374548</v>
      </c>
    </row>
    <row r="51" customFormat="false" ht="15" hidden="false" customHeight="false" outlineLevel="0" collapsed="false">
      <c r="A51" s="18" t="n">
        <v>45</v>
      </c>
      <c r="B51" s="18" t="n">
        <f aca="false">IF(AND($A51&gt;0,MOD($A51,Every2)=0),1,0)</f>
        <v>0</v>
      </c>
      <c r="C51" s="11" t="n">
        <f aca="false">Alpha_keep^2*E50+Q_var</f>
        <v>2.13987799242456</v>
      </c>
      <c r="D51" s="11" t="n">
        <f aca="false">IF(B51=1,C51/(C51+R_s),0)</f>
        <v>0</v>
      </c>
      <c r="E51" s="11" t="n">
        <f aca="false">(1-D51)*C51</f>
        <v>2.13987799242456</v>
      </c>
      <c r="F51" s="14" t="n">
        <f aca="false">SQRT(E51)</f>
        <v>1.4628321819076</v>
      </c>
      <c r="G51" s="18" t="n">
        <f aca="false">IF(AND($A51&gt;0,MOD($A51,Every1)=0),1,0)</f>
        <v>1</v>
      </c>
      <c r="H51" s="11" t="n">
        <f aca="false">Alpha_keep^2*J50+Q_var</f>
        <v>1.749243839907</v>
      </c>
      <c r="I51" s="11" t="n">
        <f aca="false">IF(G51=1,H51/(H51+R_s),0)</f>
        <v>0.218676149260545</v>
      </c>
      <c r="J51" s="11" t="n">
        <f aca="false">(1-I51)*H51</f>
        <v>1.3667259328784</v>
      </c>
      <c r="K51" s="14" t="n">
        <f aca="false">SQRT(J51)</f>
        <v>1.16907054230205</v>
      </c>
      <c r="L51" s="18" t="n">
        <f aca="false">IF(AND($A51&gt;0,MOD($A51,Every2)=0),1,0)</f>
        <v>0</v>
      </c>
      <c r="M51" s="11" t="n">
        <f aca="false">Alpha_keep^2*O50+Q_var</f>
        <v>1.19913812950732</v>
      </c>
      <c r="N51" s="11" t="n">
        <f aca="false">IF(L51=1,M51/(M51+R_sharp),0)</f>
        <v>0</v>
      </c>
      <c r="O51" s="11" t="n">
        <f aca="false">(1-N51)*M51</f>
        <v>1.19913812950732</v>
      </c>
      <c r="P51" s="14" t="n">
        <f aca="false">SQRT(O51)</f>
        <v>1.09505165609086</v>
      </c>
      <c r="Q51" s="18" t="n">
        <f aca="false">IF(AND($A51&gt;0,MOD($A51,Every1)=0),1,0)</f>
        <v>1</v>
      </c>
      <c r="R51" s="11" t="n">
        <f aca="false">Alpha_keep^2*T50+Q_var</f>
        <v>1.04542495000086</v>
      </c>
      <c r="S51" s="11" t="n">
        <f aca="false">IF(Q51=1,R51/(R51+R_sharp),0)</f>
        <v>0.400864660618595</v>
      </c>
      <c r="T51" s="11" t="n">
        <f aca="false">(1-S51)*R51</f>
        <v>0.626351032216555</v>
      </c>
      <c r="U51" s="14" t="n">
        <f aca="false">SQRT(T51)</f>
        <v>0.791423421574416</v>
      </c>
      <c r="V51" s="11" t="n">
        <f aca="false">IF(MOD($A51,Every2)=0,R_s,Alpha_keep^2*V50+Q_var)</f>
        <v>6.39140625</v>
      </c>
      <c r="W51" s="14" t="n">
        <f aca="false">SQRT(V51)</f>
        <v>2.52812306860248</v>
      </c>
      <c r="X51" s="11" t="n">
        <f aca="false">Alpha_keep^2*X50+Q_var</f>
        <v>8.1804100882088</v>
      </c>
      <c r="Y51" s="14" t="n">
        <f aca="false">SQRT(X51)</f>
        <v>2.86014162030638</v>
      </c>
    </row>
    <row r="52" customFormat="false" ht="15" hidden="false" customHeight="false" outlineLevel="0" collapsed="false">
      <c r="A52" s="18" t="n">
        <v>46</v>
      </c>
      <c r="B52" s="18" t="n">
        <f aca="false">IF(AND($A52&gt;0,MOD($A52,Every2)=0),1,0)</f>
        <v>1</v>
      </c>
      <c r="C52" s="11" t="n">
        <f aca="false">Alpha_keep^2*E51+Q_var</f>
        <v>2.4842215165486</v>
      </c>
      <c r="D52" s="11" t="n">
        <f aca="false">IF(B52=1,C52/(C52+R_s),0)</f>
        <v>0.284423919389012</v>
      </c>
      <c r="E52" s="11" t="n">
        <f aca="false">(1-D52)*C52</f>
        <v>1.77764949618133</v>
      </c>
      <c r="F52" s="14" t="n">
        <f aca="false">SQRT(E52)</f>
        <v>1.33328522686683</v>
      </c>
      <c r="G52" s="18" t="n">
        <f aca="false">IF(AND($A52&gt;0,MOD($A52,Every1)=0),1,0)</f>
        <v>1</v>
      </c>
      <c r="H52" s="11" t="n">
        <f aca="false">Alpha_keep^2*J51+Q_var</f>
        <v>1.74924383994253</v>
      </c>
      <c r="I52" s="11" t="n">
        <f aca="false">IF(G52=1,H52/(H52+R_s),0)</f>
        <v>0.218676149264016</v>
      </c>
      <c r="J52" s="11" t="n">
        <f aca="false">(1-I52)*H52</f>
        <v>1.3667259329001</v>
      </c>
      <c r="K52" s="14" t="n">
        <f aca="false">SQRT(J52)</f>
        <v>1.16907054231133</v>
      </c>
      <c r="L52" s="18" t="n">
        <f aca="false">IF(AND($A52&gt;0,MOD($A52,Every2)=0),1,0)</f>
        <v>1</v>
      </c>
      <c r="M52" s="11" t="n">
        <f aca="false">Alpha_keep^2*O51+Q_var</f>
        <v>1.5899306843629</v>
      </c>
      <c r="N52" s="11" t="n">
        <f aca="false">IF(L52=1,M52/(M52+R_sharp),0)</f>
        <v>0.504350719668313</v>
      </c>
      <c r="O52" s="11" t="n">
        <f aca="false">(1-N52)*M52</f>
        <v>0.788047999481738</v>
      </c>
      <c r="P52" s="14" t="n">
        <f aca="false">SQRT(O52)</f>
        <v>0.887720676497815</v>
      </c>
      <c r="Q52" s="18" t="n">
        <f aca="false">IF(AND($A52&gt;0,MOD($A52,Every1)=0),1,0)</f>
        <v>1</v>
      </c>
      <c r="R52" s="11" t="n">
        <f aca="false">Alpha_keep^2*T51+Q_var</f>
        <v>1.04542495000086</v>
      </c>
      <c r="S52" s="11" t="n">
        <f aca="false">IF(Q52=1,R52/(R52+R_sharp),0)</f>
        <v>0.400864660618595</v>
      </c>
      <c r="T52" s="11" t="n">
        <f aca="false">(1-S52)*R52</f>
        <v>0.626351032216555</v>
      </c>
      <c r="U52" s="14" t="n">
        <f aca="false">SQRT(T52)</f>
        <v>0.791423421574416</v>
      </c>
      <c r="V52" s="11" t="n">
        <f aca="false">IF(MOD($A52,Every2)=0,R_s,Alpha_keep^2*V51+Q_var)</f>
        <v>6.25</v>
      </c>
      <c r="W52" s="14" t="n">
        <f aca="false">SQRT(V52)</f>
        <v>2.5</v>
      </c>
      <c r="X52" s="11" t="n">
        <f aca="false">Alpha_keep^2*X51+Q_var</f>
        <v>8.22650234010349</v>
      </c>
      <c r="Y52" s="14" t="n">
        <f aca="false">SQRT(X52)</f>
        <v>2.86818798897553</v>
      </c>
    </row>
    <row r="53" customFormat="false" ht="15" hidden="false" customHeight="false" outlineLevel="0" collapsed="false">
      <c r="A53" s="18" t="n">
        <v>47</v>
      </c>
      <c r="B53" s="18" t="n">
        <f aca="false">IF(AND($A53&gt;0,MOD($A53,Every2)=0),1,0)</f>
        <v>0</v>
      </c>
      <c r="C53" s="11" t="n">
        <f aca="false">Alpha_keep^2*E52+Q_var</f>
        <v>2.13987805230737</v>
      </c>
      <c r="D53" s="11" t="n">
        <f aca="false">IF(B53=1,C53/(C53+R_s),0)</f>
        <v>0</v>
      </c>
      <c r="E53" s="11" t="n">
        <f aca="false">(1-D53)*C53</f>
        <v>2.13987805230737</v>
      </c>
      <c r="F53" s="14" t="n">
        <f aca="false">SQRT(E53)</f>
        <v>1.46283220237571</v>
      </c>
      <c r="G53" s="18" t="n">
        <f aca="false">IF(AND($A53&gt;0,MOD($A53,Every1)=0),1,0)</f>
        <v>1</v>
      </c>
      <c r="H53" s="11" t="n">
        <f aca="false">Alpha_keep^2*J52+Q_var</f>
        <v>1.74924383996316</v>
      </c>
      <c r="I53" s="11" t="n">
        <f aca="false">IF(G53=1,H53/(H53+R_s),0)</f>
        <v>0.21867614926603</v>
      </c>
      <c r="J53" s="11" t="n">
        <f aca="false">(1-I53)*H53</f>
        <v>1.36672593291269</v>
      </c>
      <c r="K53" s="14" t="n">
        <f aca="false">SQRT(J53)</f>
        <v>1.16907054231671</v>
      </c>
      <c r="L53" s="18" t="n">
        <f aca="false">IF(AND($A53&gt;0,MOD($A53,Every2)=0),1,0)</f>
        <v>0</v>
      </c>
      <c r="M53" s="11" t="n">
        <f aca="false">Alpha_keep^2*O52+Q_var</f>
        <v>1.19913812950733</v>
      </c>
      <c r="N53" s="11" t="n">
        <f aca="false">IF(L53=1,M53/(M53+R_sharp),0)</f>
        <v>0</v>
      </c>
      <c r="O53" s="11" t="n">
        <f aca="false">(1-N53)*M53</f>
        <v>1.19913812950733</v>
      </c>
      <c r="P53" s="14" t="n">
        <f aca="false">SQRT(O53)</f>
        <v>1.09505165609086</v>
      </c>
      <c r="Q53" s="18" t="n">
        <f aca="false">IF(AND($A53&gt;0,MOD($A53,Every1)=0),1,0)</f>
        <v>1</v>
      </c>
      <c r="R53" s="11" t="n">
        <f aca="false">Alpha_keep^2*T52+Q_var</f>
        <v>1.04542495000086</v>
      </c>
      <c r="S53" s="11" t="n">
        <f aca="false">IF(Q53=1,R53/(R53+R_sharp),0)</f>
        <v>0.400864660618595</v>
      </c>
      <c r="T53" s="11" t="n">
        <f aca="false">(1-S53)*R53</f>
        <v>0.626351032216555</v>
      </c>
      <c r="U53" s="14" t="n">
        <f aca="false">SQRT(T53)</f>
        <v>0.791423421574416</v>
      </c>
      <c r="V53" s="11" t="n">
        <f aca="false">IF(MOD($A53,Every2)=0,R_s,Alpha_keep^2*V52+Q_var)</f>
        <v>6.39140625</v>
      </c>
      <c r="W53" s="14" t="n">
        <f aca="false">SQRT(V53)</f>
        <v>2.52812306860248</v>
      </c>
      <c r="X53" s="11" t="n">
        <f aca="false">Alpha_keep^2*X52+Q_var</f>
        <v>8.27031878706088</v>
      </c>
      <c r="Y53" s="14" t="n">
        <f aca="false">SQRT(X53)</f>
        <v>2.87581619493682</v>
      </c>
    </row>
    <row r="54" customFormat="false" ht="15" hidden="false" customHeight="false" outlineLevel="0" collapsed="false">
      <c r="A54" s="18" t="n">
        <v>48</v>
      </c>
      <c r="B54" s="18" t="n">
        <f aca="false">IF(AND($A54&gt;0,MOD($A54,Every2)=0),1,0)</f>
        <v>1</v>
      </c>
      <c r="C54" s="11" t="n">
        <f aca="false">Alpha_keep^2*E53+Q_var</f>
        <v>2.4842215734747</v>
      </c>
      <c r="D54" s="11" t="n">
        <f aca="false">IF(B54=1,C54/(C54+R_s),0)</f>
        <v>0.284423924052846</v>
      </c>
      <c r="E54" s="11" t="n">
        <f aca="false">(1-D54)*C54</f>
        <v>1.77764952533029</v>
      </c>
      <c r="F54" s="14" t="n">
        <f aca="false">SQRT(E54)</f>
        <v>1.33328523779808</v>
      </c>
      <c r="G54" s="18" t="n">
        <f aca="false">IF(AND($A54&gt;0,MOD($A54,Every1)=0),1,0)</f>
        <v>1</v>
      </c>
      <c r="H54" s="11" t="n">
        <f aca="false">Alpha_keep^2*J53+Q_var</f>
        <v>1.74924383997513</v>
      </c>
      <c r="I54" s="11" t="n">
        <f aca="false">IF(G54=1,H54/(H54+R_s),0)</f>
        <v>0.218676149267199</v>
      </c>
      <c r="J54" s="11" t="n">
        <f aca="false">(1-I54)*H54</f>
        <v>1.36672593292</v>
      </c>
      <c r="K54" s="14" t="n">
        <f aca="false">SQRT(J54)</f>
        <v>1.16907054231984</v>
      </c>
      <c r="L54" s="18" t="n">
        <f aca="false">IF(AND($A54&gt;0,MOD($A54,Every2)=0),1,0)</f>
        <v>1</v>
      </c>
      <c r="M54" s="11" t="n">
        <f aca="false">Alpha_keep^2*O53+Q_var</f>
        <v>1.5899306843629</v>
      </c>
      <c r="N54" s="11" t="n">
        <f aca="false">IF(L54=1,M54/(M54+R_sharp),0)</f>
        <v>0.504350719668313</v>
      </c>
      <c r="O54" s="11" t="n">
        <f aca="false">(1-N54)*M54</f>
        <v>0.788047999481739</v>
      </c>
      <c r="P54" s="14" t="n">
        <f aca="false">SQRT(O54)</f>
        <v>0.887720676497816</v>
      </c>
      <c r="Q54" s="18" t="n">
        <f aca="false">IF(AND($A54&gt;0,MOD($A54,Every1)=0),1,0)</f>
        <v>1</v>
      </c>
      <c r="R54" s="11" t="n">
        <f aca="false">Alpha_keep^2*T53+Q_var</f>
        <v>1.04542495000086</v>
      </c>
      <c r="S54" s="11" t="n">
        <f aca="false">IF(Q54=1,R54/(R54+R_sharp),0)</f>
        <v>0.400864660618595</v>
      </c>
      <c r="T54" s="11" t="n">
        <f aca="false">(1-S54)*R54</f>
        <v>0.626351032216555</v>
      </c>
      <c r="U54" s="14" t="n">
        <f aca="false">SQRT(T54)</f>
        <v>0.791423421574416</v>
      </c>
      <c r="V54" s="11" t="n">
        <f aca="false">IF(MOD($A54,Every2)=0,R_s,Alpha_keep^2*V53+Q_var)</f>
        <v>6.25</v>
      </c>
      <c r="W54" s="14" t="n">
        <f aca="false">SQRT(V54)</f>
        <v>2.5</v>
      </c>
      <c r="X54" s="11" t="n">
        <f aca="false">Alpha_keep^2*X53+Q_var</f>
        <v>8.31197179694975</v>
      </c>
      <c r="Y54" s="14" t="n">
        <f aca="false">SQRT(X54)</f>
        <v>2.88304904518632</v>
      </c>
    </row>
    <row r="55" customFormat="false" ht="15" hidden="false" customHeight="false" outlineLevel="0" collapsed="false">
      <c r="A55" s="18" t="n">
        <v>49</v>
      </c>
      <c r="B55" s="18" t="n">
        <f aca="false">IF(AND($A55&gt;0,MOD($A55,Every2)=0),1,0)</f>
        <v>0</v>
      </c>
      <c r="C55" s="11" t="n">
        <f aca="false">Alpha_keep^2*E54+Q_var</f>
        <v>2.13987808001711</v>
      </c>
      <c r="D55" s="11" t="n">
        <f aca="false">IF(B55=1,C55/(C55+R_s),0)</f>
        <v>0</v>
      </c>
      <c r="E55" s="11" t="n">
        <f aca="false">(1-D55)*C55</f>
        <v>2.13987808001711</v>
      </c>
      <c r="F55" s="14" t="n">
        <f aca="false">SQRT(E55)</f>
        <v>1.46283221184697</v>
      </c>
      <c r="G55" s="18" t="n">
        <f aca="false">IF(AND($A55&gt;0,MOD($A55,Every1)=0),1,0)</f>
        <v>1</v>
      </c>
      <c r="H55" s="11" t="n">
        <f aca="false">Alpha_keep^2*J54+Q_var</f>
        <v>1.74924383998207</v>
      </c>
      <c r="I55" s="11" t="n">
        <f aca="false">IF(G55=1,H55/(H55+R_s),0)</f>
        <v>0.218676149267878</v>
      </c>
      <c r="J55" s="11" t="n">
        <f aca="false">(1-I55)*H55</f>
        <v>1.36672593292424</v>
      </c>
      <c r="K55" s="14" t="n">
        <f aca="false">SQRT(J55)</f>
        <v>1.16907054232165</v>
      </c>
      <c r="L55" s="18" t="n">
        <f aca="false">IF(AND($A55&gt;0,MOD($A55,Every2)=0),1,0)</f>
        <v>0</v>
      </c>
      <c r="M55" s="11" t="n">
        <f aca="false">Alpha_keep^2*O54+Q_var</f>
        <v>1.19913812950733</v>
      </c>
      <c r="N55" s="11" t="n">
        <f aca="false">IF(L55=1,M55/(M55+R_sharp),0)</f>
        <v>0</v>
      </c>
      <c r="O55" s="11" t="n">
        <f aca="false">(1-N55)*M55</f>
        <v>1.19913812950733</v>
      </c>
      <c r="P55" s="14" t="n">
        <f aca="false">SQRT(O55)</f>
        <v>1.09505165609086</v>
      </c>
      <c r="Q55" s="18" t="n">
        <f aca="false">IF(AND($A55&gt;0,MOD($A55,Every1)=0),1,0)</f>
        <v>1</v>
      </c>
      <c r="R55" s="11" t="n">
        <f aca="false">Alpha_keep^2*T54+Q_var</f>
        <v>1.04542495000086</v>
      </c>
      <c r="S55" s="11" t="n">
        <f aca="false">IF(Q55=1,R55/(R55+R_sharp),0)</f>
        <v>0.400864660618595</v>
      </c>
      <c r="T55" s="11" t="n">
        <f aca="false">(1-S55)*R55</f>
        <v>0.626351032216555</v>
      </c>
      <c r="U55" s="14" t="n">
        <f aca="false">SQRT(T55)</f>
        <v>0.791423421574416</v>
      </c>
      <c r="V55" s="11" t="n">
        <f aca="false">IF(MOD($A55,Every2)=0,R_s,Alpha_keep^2*V54+Q_var)</f>
        <v>6.39140625</v>
      </c>
      <c r="W55" s="14" t="n">
        <f aca="false">SQRT(V55)</f>
        <v>2.52812306860248</v>
      </c>
      <c r="X55" s="11" t="n">
        <f aca="false">Alpha_keep^2*X54+Q_var</f>
        <v>8.35156818947535</v>
      </c>
      <c r="Y55" s="14" t="n">
        <f aca="false">SQRT(X55)</f>
        <v>2.88990798979403</v>
      </c>
    </row>
    <row r="56" customFormat="false" ht="15" hidden="false" customHeight="false" outlineLevel="0" collapsed="false">
      <c r="A56" s="18" t="n">
        <v>50</v>
      </c>
      <c r="B56" s="18" t="n">
        <f aca="false">IF(AND($A56&gt;0,MOD($A56,Every2)=0),1,0)</f>
        <v>1</v>
      </c>
      <c r="C56" s="11" t="n">
        <f aca="false">Alpha_keep^2*E55+Q_var</f>
        <v>2.48422159981626</v>
      </c>
      <c r="D56" s="11" t="n">
        <f aca="false">IF(B56=1,C56/(C56+R_s),0)</f>
        <v>0.284423926210954</v>
      </c>
      <c r="E56" s="11" t="n">
        <f aca="false">(1-D56)*C56</f>
        <v>1.77764953881846</v>
      </c>
      <c r="F56" s="14" t="n">
        <f aca="false">SQRT(E56)</f>
        <v>1.33328524285633</v>
      </c>
      <c r="G56" s="18" t="n">
        <f aca="false">IF(AND($A56&gt;0,MOD($A56,Every1)=0),1,0)</f>
        <v>1</v>
      </c>
      <c r="H56" s="11" t="n">
        <f aca="false">Alpha_keep^2*J55+Q_var</f>
        <v>1.7492438399861</v>
      </c>
      <c r="I56" s="11" t="n">
        <f aca="false">IF(G56=1,H56/(H56+R_s),0)</f>
        <v>0.218676149268271</v>
      </c>
      <c r="J56" s="11" t="n">
        <f aca="false">(1-I56)*H56</f>
        <v>1.3667259329267</v>
      </c>
      <c r="K56" s="14" t="n">
        <f aca="false">SQRT(J56)</f>
        <v>1.1690705423227</v>
      </c>
      <c r="L56" s="18" t="n">
        <f aca="false">IF(AND($A56&gt;0,MOD($A56,Every2)=0),1,0)</f>
        <v>1</v>
      </c>
      <c r="M56" s="11" t="n">
        <f aca="false">Alpha_keep^2*O55+Q_var</f>
        <v>1.5899306843629</v>
      </c>
      <c r="N56" s="11" t="n">
        <f aca="false">IF(L56=1,M56/(M56+R_sharp),0)</f>
        <v>0.504350719668313</v>
      </c>
      <c r="O56" s="11" t="n">
        <f aca="false">(1-N56)*M56</f>
        <v>0.78804799948174</v>
      </c>
      <c r="P56" s="14" t="n">
        <f aca="false">SQRT(O56)</f>
        <v>0.887720676497816</v>
      </c>
      <c r="Q56" s="18" t="n">
        <f aca="false">IF(AND($A56&gt;0,MOD($A56,Every1)=0),1,0)</f>
        <v>1</v>
      </c>
      <c r="R56" s="11" t="n">
        <f aca="false">Alpha_keep^2*T55+Q_var</f>
        <v>1.04542495000086</v>
      </c>
      <c r="S56" s="11" t="n">
        <f aca="false">IF(Q56=1,R56/(R56+R_sharp),0)</f>
        <v>0.400864660618595</v>
      </c>
      <c r="T56" s="11" t="n">
        <f aca="false">(1-S56)*R56</f>
        <v>0.626351032216555</v>
      </c>
      <c r="U56" s="14" t="n">
        <f aca="false">SQRT(T56)</f>
        <v>0.791423421574416</v>
      </c>
      <c r="V56" s="11" t="n">
        <f aca="false">IF(MOD($A56,Every2)=0,R_s,Alpha_keep^2*V55+Q_var)</f>
        <v>6.25</v>
      </c>
      <c r="W56" s="14" t="n">
        <f aca="false">SQRT(V56)</f>
        <v>2.5</v>
      </c>
      <c r="X56" s="11" t="n">
        <f aca="false">Alpha_keep^2*X55+Q_var</f>
        <v>8.38920951012001</v>
      </c>
      <c r="Y56" s="14" t="n">
        <f aca="false">SQRT(X56)</f>
        <v>2.89641321467086</v>
      </c>
    </row>
    <row r="57" customFormat="false" ht="15" hidden="false" customHeight="false" outlineLevel="0" collapsed="false">
      <c r="A57" s="18" t="n">
        <v>51</v>
      </c>
      <c r="B57" s="18" t="n">
        <f aca="false">IF(AND($A57&gt;0,MOD($A57,Every2)=0),1,0)</f>
        <v>0</v>
      </c>
      <c r="C57" s="11" t="n">
        <f aca="false">Alpha_keep^2*E56+Q_var</f>
        <v>2.1398780928393</v>
      </c>
      <c r="D57" s="11" t="n">
        <f aca="false">IF(B57=1,C57/(C57+R_s),0)</f>
        <v>0</v>
      </c>
      <c r="E57" s="11" t="n">
        <f aca="false">(1-D57)*C57</f>
        <v>2.1398780928393</v>
      </c>
      <c r="F57" s="14" t="n">
        <f aca="false">SQRT(E57)</f>
        <v>1.46283221622963</v>
      </c>
      <c r="G57" s="18" t="n">
        <f aca="false">IF(AND($A57&gt;0,MOD($A57,Every1)=0),1,0)</f>
        <v>1</v>
      </c>
      <c r="H57" s="11" t="n">
        <f aca="false">Alpha_keep^2*J56+Q_var</f>
        <v>1.74924383998844</v>
      </c>
      <c r="I57" s="11" t="n">
        <f aca="false">IF(G57=1,H57/(H57+R_s),0)</f>
        <v>0.2186761492685</v>
      </c>
      <c r="J57" s="11" t="n">
        <f aca="false">(1-I57)*H57</f>
        <v>1.36672593292812</v>
      </c>
      <c r="K57" s="14" t="n">
        <f aca="false">SQRT(J57)</f>
        <v>1.16907054232331</v>
      </c>
      <c r="L57" s="18" t="n">
        <f aca="false">IF(AND($A57&gt;0,MOD($A57,Every2)=0),1,0)</f>
        <v>0</v>
      </c>
      <c r="M57" s="11" t="n">
        <f aca="false">Alpha_keep^2*O56+Q_var</f>
        <v>1.19913812950733</v>
      </c>
      <c r="N57" s="11" t="n">
        <f aca="false">IF(L57=1,M57/(M57+R_sharp),0)</f>
        <v>0</v>
      </c>
      <c r="O57" s="11" t="n">
        <f aca="false">(1-N57)*M57</f>
        <v>1.19913812950733</v>
      </c>
      <c r="P57" s="14" t="n">
        <f aca="false">SQRT(O57)</f>
        <v>1.09505165609086</v>
      </c>
      <c r="Q57" s="18" t="n">
        <f aca="false">IF(AND($A57&gt;0,MOD($A57,Every1)=0),1,0)</f>
        <v>1</v>
      </c>
      <c r="R57" s="11" t="n">
        <f aca="false">Alpha_keep^2*T56+Q_var</f>
        <v>1.04542495000086</v>
      </c>
      <c r="S57" s="11" t="n">
        <f aca="false">IF(Q57=1,R57/(R57+R_sharp),0)</f>
        <v>0.400864660618595</v>
      </c>
      <c r="T57" s="11" t="n">
        <f aca="false">(1-S57)*R57</f>
        <v>0.626351032216555</v>
      </c>
      <c r="U57" s="14" t="n">
        <f aca="false">SQRT(T57)</f>
        <v>0.791423421574416</v>
      </c>
      <c r="V57" s="11" t="n">
        <f aca="false">IF(MOD($A57,Every2)=0,R_s,Alpha_keep^2*V56+Q_var)</f>
        <v>6.39140625</v>
      </c>
      <c r="W57" s="14" t="n">
        <f aca="false">SQRT(V57)</f>
        <v>2.52812306860248</v>
      </c>
      <c r="X57" s="11" t="n">
        <f aca="false">Alpha_keep^2*X56+Q_var</f>
        <v>8.42499229055783</v>
      </c>
      <c r="Y57" s="14" t="n">
        <f aca="false">SQRT(X57)</f>
        <v>2.90258372670933</v>
      </c>
    </row>
    <row r="58" customFormat="false" ht="15" hidden="false" customHeight="false" outlineLevel="0" collapsed="false">
      <c r="A58" s="18" t="n">
        <v>52</v>
      </c>
      <c r="B58" s="18" t="n">
        <f aca="false">IF(AND($A58&gt;0,MOD($A58,Every2)=0),1,0)</f>
        <v>1</v>
      </c>
      <c r="C58" s="11" t="n">
        <f aca="false">Alpha_keep^2*E57+Q_var</f>
        <v>2.48422161200536</v>
      </c>
      <c r="D58" s="11" t="n">
        <f aca="false">IF(B58=1,C58/(C58+R_s),0)</f>
        <v>0.284423927209581</v>
      </c>
      <c r="E58" s="11" t="n">
        <f aca="false">(1-D58)*C58</f>
        <v>1.77764954505988</v>
      </c>
      <c r="F58" s="14" t="n">
        <f aca="false">SQRT(E58)</f>
        <v>1.33328524519695</v>
      </c>
      <c r="G58" s="18" t="n">
        <f aca="false">IF(AND($A58&gt;0,MOD($A58,Every1)=0),1,0)</f>
        <v>1</v>
      </c>
      <c r="H58" s="11" t="n">
        <f aca="false">Alpha_keep^2*J57+Q_var</f>
        <v>1.7492438399898</v>
      </c>
      <c r="I58" s="11" t="n">
        <f aca="false">IF(G58=1,H58/(H58+R_s),0)</f>
        <v>0.218676149268633</v>
      </c>
      <c r="J58" s="11" t="n">
        <f aca="false">(1-I58)*H58</f>
        <v>1.36672593292895</v>
      </c>
      <c r="K58" s="14" t="n">
        <f aca="false">SQRT(J58)</f>
        <v>1.16907054232367</v>
      </c>
      <c r="L58" s="18" t="n">
        <f aca="false">IF(AND($A58&gt;0,MOD($A58,Every2)=0),1,0)</f>
        <v>1</v>
      </c>
      <c r="M58" s="11" t="n">
        <f aca="false">Alpha_keep^2*O57+Q_var</f>
        <v>1.5899306843629</v>
      </c>
      <c r="N58" s="11" t="n">
        <f aca="false">IF(L58=1,M58/(M58+R_sharp),0)</f>
        <v>0.504350719668313</v>
      </c>
      <c r="O58" s="11" t="n">
        <f aca="false">(1-N58)*M58</f>
        <v>0.78804799948174</v>
      </c>
      <c r="P58" s="14" t="n">
        <f aca="false">SQRT(O58)</f>
        <v>0.887720676497816</v>
      </c>
      <c r="Q58" s="18" t="n">
        <f aca="false">IF(AND($A58&gt;0,MOD($A58,Every1)=0),1,0)</f>
        <v>1</v>
      </c>
      <c r="R58" s="11" t="n">
        <f aca="false">Alpha_keep^2*T57+Q_var</f>
        <v>1.04542495000086</v>
      </c>
      <c r="S58" s="11" t="n">
        <f aca="false">IF(Q58=1,R58/(R58+R_sharp),0)</f>
        <v>0.400864660618595</v>
      </c>
      <c r="T58" s="11" t="n">
        <f aca="false">(1-S58)*R58</f>
        <v>0.626351032216555</v>
      </c>
      <c r="U58" s="14" t="n">
        <f aca="false">SQRT(T58)</f>
        <v>0.791423421574416</v>
      </c>
      <c r="V58" s="11" t="n">
        <f aca="false">IF(MOD($A58,Every2)=0,R_s,Alpha_keep^2*V57+Q_var)</f>
        <v>6.25</v>
      </c>
      <c r="W58" s="14" t="n">
        <f aca="false">SQRT(V58)</f>
        <v>2.5</v>
      </c>
      <c r="X58" s="11" t="n">
        <f aca="false">Alpha_keep^2*X57+Q_var</f>
        <v>8.45900829621154</v>
      </c>
      <c r="Y58" s="14" t="n">
        <f aca="false">SQRT(X58)</f>
        <v>2.90843743206065</v>
      </c>
    </row>
    <row r="59" customFormat="false" ht="15" hidden="false" customHeight="false" outlineLevel="0" collapsed="false">
      <c r="A59" s="18" t="n">
        <v>53</v>
      </c>
      <c r="B59" s="18" t="n">
        <f aca="false">IF(AND($A59&gt;0,MOD($A59,Every2)=0),1,0)</f>
        <v>0</v>
      </c>
      <c r="C59" s="11" t="n">
        <f aca="false">Alpha_keep^2*E58+Q_var</f>
        <v>2.13987809877255</v>
      </c>
      <c r="D59" s="11" t="n">
        <f aca="false">IF(B59=1,C59/(C59+R_s),0)</f>
        <v>0</v>
      </c>
      <c r="E59" s="11" t="n">
        <f aca="false">(1-D59)*C59</f>
        <v>2.13987809877255</v>
      </c>
      <c r="F59" s="14" t="n">
        <f aca="false">SQRT(E59)</f>
        <v>1.46283221825763</v>
      </c>
      <c r="G59" s="18" t="n">
        <f aca="false">IF(AND($A59&gt;0,MOD($A59,Every1)=0),1,0)</f>
        <v>1</v>
      </c>
      <c r="H59" s="11" t="n">
        <f aca="false">Alpha_keep^2*J58+Q_var</f>
        <v>1.74924383999059</v>
      </c>
      <c r="I59" s="11" t="n">
        <f aca="false">IF(G59=1,H59/(H59+R_s),0)</f>
        <v>0.218676149268709</v>
      </c>
      <c r="J59" s="11" t="n">
        <f aca="false">(1-I59)*H59</f>
        <v>1.36672593292943</v>
      </c>
      <c r="K59" s="14" t="n">
        <f aca="false">SQRT(J59)</f>
        <v>1.16907054232387</v>
      </c>
      <c r="L59" s="18" t="n">
        <f aca="false">IF(AND($A59&gt;0,MOD($A59,Every2)=0),1,0)</f>
        <v>0</v>
      </c>
      <c r="M59" s="11" t="n">
        <f aca="false">Alpha_keep^2*O58+Q_var</f>
        <v>1.19913812950733</v>
      </c>
      <c r="N59" s="11" t="n">
        <f aca="false">IF(L59=1,M59/(M59+R_sharp),0)</f>
        <v>0</v>
      </c>
      <c r="O59" s="11" t="n">
        <f aca="false">(1-N59)*M59</f>
        <v>1.19913812950733</v>
      </c>
      <c r="P59" s="14" t="n">
        <f aca="false">SQRT(O59)</f>
        <v>1.09505165609086</v>
      </c>
      <c r="Q59" s="18" t="n">
        <f aca="false">IF(AND($A59&gt;0,MOD($A59,Every1)=0),1,0)</f>
        <v>1</v>
      </c>
      <c r="R59" s="11" t="n">
        <f aca="false">Alpha_keep^2*T58+Q_var</f>
        <v>1.04542495000086</v>
      </c>
      <c r="S59" s="11" t="n">
        <f aca="false">IF(Q59=1,R59/(R59+R_sharp),0)</f>
        <v>0.400864660618595</v>
      </c>
      <c r="T59" s="11" t="n">
        <f aca="false">(1-S59)*R59</f>
        <v>0.626351032216555</v>
      </c>
      <c r="U59" s="14" t="n">
        <f aca="false">SQRT(T59)</f>
        <v>0.791423421574416</v>
      </c>
      <c r="V59" s="11" t="n">
        <f aca="false">IF(MOD($A59,Every2)=0,R_s,Alpha_keep^2*V58+Q_var)</f>
        <v>6.39140625</v>
      </c>
      <c r="W59" s="14" t="n">
        <f aca="false">SQRT(V59)</f>
        <v>2.52812306860248</v>
      </c>
      <c r="X59" s="11" t="n">
        <f aca="false">Alpha_keep^2*X58+Q_var</f>
        <v>8.49134476158609</v>
      </c>
      <c r="Y59" s="14" t="n">
        <f aca="false">SQRT(X59)</f>
        <v>2.91399120822045</v>
      </c>
    </row>
    <row r="60" customFormat="false" ht="15" hidden="false" customHeight="false" outlineLevel="0" collapsed="false">
      <c r="A60" s="18" t="n">
        <v>54</v>
      </c>
      <c r="B60" s="18" t="n">
        <f aca="false">IF(AND($A60&gt;0,MOD($A60,Every2)=0),1,0)</f>
        <v>1</v>
      </c>
      <c r="C60" s="11" t="n">
        <f aca="false">Alpha_keep^2*E59+Q_var</f>
        <v>2.48422161764565</v>
      </c>
      <c r="D60" s="11" t="n">
        <f aca="false">IF(B60=1,C60/(C60+R_s),0)</f>
        <v>0.284423927671678</v>
      </c>
      <c r="E60" s="11" t="n">
        <f aca="false">(1-D60)*C60</f>
        <v>1.77764954794799</v>
      </c>
      <c r="F60" s="14" t="n">
        <f aca="false">SQRT(E60)</f>
        <v>1.33328524628003</v>
      </c>
      <c r="G60" s="18" t="n">
        <f aca="false">IF(AND($A60&gt;0,MOD($A60,Every1)=0),1,0)</f>
        <v>1</v>
      </c>
      <c r="H60" s="11" t="n">
        <f aca="false">Alpha_keep^2*J59+Q_var</f>
        <v>1.74924383999104</v>
      </c>
      <c r="I60" s="11" t="n">
        <f aca="false">IF(G60=1,H60/(H60+R_s),0)</f>
        <v>0.218676149268754</v>
      </c>
      <c r="J60" s="11" t="n">
        <f aca="false">(1-I60)*H60</f>
        <v>1.36672593292971</v>
      </c>
      <c r="K60" s="14" t="n">
        <f aca="false">SQRT(J60)</f>
        <v>1.16907054232399</v>
      </c>
      <c r="L60" s="18" t="n">
        <f aca="false">IF(AND($A60&gt;0,MOD($A60,Every2)=0),1,0)</f>
        <v>1</v>
      </c>
      <c r="M60" s="11" t="n">
        <f aca="false">Alpha_keep^2*O59+Q_var</f>
        <v>1.5899306843629</v>
      </c>
      <c r="N60" s="11" t="n">
        <f aca="false">IF(L60=1,M60/(M60+R_sharp),0)</f>
        <v>0.504350719668313</v>
      </c>
      <c r="O60" s="11" t="n">
        <f aca="false">(1-N60)*M60</f>
        <v>0.78804799948174</v>
      </c>
      <c r="P60" s="14" t="n">
        <f aca="false">SQRT(O60)</f>
        <v>0.887720676497816</v>
      </c>
      <c r="Q60" s="18" t="n">
        <f aca="false">IF(AND($A60&gt;0,MOD($A60,Every1)=0),1,0)</f>
        <v>1</v>
      </c>
      <c r="R60" s="11" t="n">
        <f aca="false">Alpha_keep^2*T59+Q_var</f>
        <v>1.04542495000086</v>
      </c>
      <c r="S60" s="11" t="n">
        <f aca="false">IF(Q60=1,R60/(R60+R_sharp),0)</f>
        <v>0.400864660618595</v>
      </c>
      <c r="T60" s="11" t="n">
        <f aca="false">(1-S60)*R60</f>
        <v>0.626351032216555</v>
      </c>
      <c r="U60" s="14" t="n">
        <f aca="false">SQRT(T60)</f>
        <v>0.791423421574416</v>
      </c>
      <c r="V60" s="11" t="n">
        <f aca="false">IF(MOD($A60,Every2)=0,R_s,Alpha_keep^2*V59+Q_var)</f>
        <v>6.25</v>
      </c>
      <c r="W60" s="14" t="n">
        <f aca="false">SQRT(V60)</f>
        <v>2.5</v>
      </c>
      <c r="X60" s="11" t="n">
        <f aca="false">Alpha_keep^2*X59+Q_var</f>
        <v>8.52208461398278</v>
      </c>
      <c r="Y60" s="14" t="n">
        <f aca="false">SQRT(X60)</f>
        <v>2.91926097051682</v>
      </c>
    </row>
    <row r="61" customFormat="false" ht="15" hidden="false" customHeight="false" outlineLevel="0" collapsed="false">
      <c r="A61" s="18" t="n">
        <v>55</v>
      </c>
      <c r="B61" s="18" t="n">
        <f aca="false">IF(AND($A61&gt;0,MOD($A61,Every2)=0),1,0)</f>
        <v>0</v>
      </c>
      <c r="C61" s="11" t="n">
        <f aca="false">Alpha_keep^2*E60+Q_var</f>
        <v>2.13987810151806</v>
      </c>
      <c r="D61" s="11" t="n">
        <f aca="false">IF(B61=1,C61/(C61+R_s),0)</f>
        <v>0</v>
      </c>
      <c r="E61" s="11" t="n">
        <f aca="false">(1-D61)*C61</f>
        <v>2.13987810151806</v>
      </c>
      <c r="F61" s="14" t="n">
        <f aca="false">SQRT(E61)</f>
        <v>1.46283221919606</v>
      </c>
      <c r="G61" s="18" t="n">
        <f aca="false">IF(AND($A61&gt;0,MOD($A61,Every1)=0),1,0)</f>
        <v>1</v>
      </c>
      <c r="H61" s="11" t="n">
        <f aca="false">Alpha_keep^2*J60+Q_var</f>
        <v>1.74924383999131</v>
      </c>
      <c r="I61" s="11" t="n">
        <f aca="false">IF(G61=1,H61/(H61+R_s),0)</f>
        <v>0.21867614926878</v>
      </c>
      <c r="J61" s="11" t="n">
        <f aca="false">(1-I61)*H61</f>
        <v>1.36672593292988</v>
      </c>
      <c r="K61" s="14" t="n">
        <f aca="false">SQRT(J61)</f>
        <v>1.16907054232406</v>
      </c>
      <c r="L61" s="18" t="n">
        <f aca="false">IF(AND($A61&gt;0,MOD($A61,Every2)=0),1,0)</f>
        <v>0</v>
      </c>
      <c r="M61" s="11" t="n">
        <f aca="false">Alpha_keep^2*O60+Q_var</f>
        <v>1.19913812950733</v>
      </c>
      <c r="N61" s="11" t="n">
        <f aca="false">IF(L61=1,M61/(M61+R_sharp),0)</f>
        <v>0</v>
      </c>
      <c r="O61" s="11" t="n">
        <f aca="false">(1-N61)*M61</f>
        <v>1.19913812950733</v>
      </c>
      <c r="P61" s="14" t="n">
        <f aca="false">SQRT(O61)</f>
        <v>1.09505165609086</v>
      </c>
      <c r="Q61" s="18" t="n">
        <f aca="false">IF(AND($A61&gt;0,MOD($A61,Every1)=0),1,0)</f>
        <v>1</v>
      </c>
      <c r="R61" s="11" t="n">
        <f aca="false">Alpha_keep^2*T60+Q_var</f>
        <v>1.04542495000086</v>
      </c>
      <c r="S61" s="11" t="n">
        <f aca="false">IF(Q61=1,R61/(R61+R_sharp),0)</f>
        <v>0.400864660618595</v>
      </c>
      <c r="T61" s="11" t="n">
        <f aca="false">(1-S61)*R61</f>
        <v>0.626351032216555</v>
      </c>
      <c r="U61" s="14" t="n">
        <f aca="false">SQRT(T61)</f>
        <v>0.791423421574416</v>
      </c>
      <c r="V61" s="11" t="n">
        <f aca="false">IF(MOD($A61,Every2)=0,R_s,Alpha_keep^2*V60+Q_var)</f>
        <v>6.39140625</v>
      </c>
      <c r="W61" s="14" t="n">
        <f aca="false">SQRT(V61)</f>
        <v>2.52812306860248</v>
      </c>
      <c r="X61" s="11" t="n">
        <f aca="false">Alpha_keep^2*X60+Q_var</f>
        <v>8.55130668616737</v>
      </c>
      <c r="Y61" s="14" t="n">
        <f aca="false">SQRT(X61)</f>
        <v>2.92426173352649</v>
      </c>
    </row>
    <row r="62" customFormat="false" ht="15" hidden="false" customHeight="false" outlineLevel="0" collapsed="false">
      <c r="A62" s="18" t="n">
        <v>56</v>
      </c>
      <c r="B62" s="18" t="n">
        <f aca="false">IF(AND($A62&gt;0,MOD($A62,Every2)=0),1,0)</f>
        <v>1</v>
      </c>
      <c r="C62" s="11" t="n">
        <f aca="false">Alpha_keep^2*E61+Q_var</f>
        <v>2.4842216202556</v>
      </c>
      <c r="D62" s="11" t="n">
        <f aca="false">IF(B62=1,C62/(C62+R_s),0)</f>
        <v>0.284423927885505</v>
      </c>
      <c r="E62" s="11" t="n">
        <f aca="false">(1-D62)*C62</f>
        <v>1.77764954928441</v>
      </c>
      <c r="F62" s="14" t="n">
        <f aca="false">SQRT(E62)</f>
        <v>1.3332852467812</v>
      </c>
      <c r="G62" s="18" t="n">
        <f aca="false">IF(AND($A62&gt;0,MOD($A62,Every1)=0),1,0)</f>
        <v>1</v>
      </c>
      <c r="H62" s="11" t="n">
        <f aca="false">Alpha_keep^2*J61+Q_var</f>
        <v>1.74924383999146</v>
      </c>
      <c r="I62" s="11" t="n">
        <f aca="false">IF(G62=1,H62/(H62+R_s),0)</f>
        <v>0.218676149268795</v>
      </c>
      <c r="J62" s="11" t="n">
        <f aca="false">(1-I62)*H62</f>
        <v>1.36672593292997</v>
      </c>
      <c r="K62" s="14" t="n">
        <f aca="false">SQRT(J62)</f>
        <v>1.1690705423241</v>
      </c>
      <c r="L62" s="18" t="n">
        <f aca="false">IF(AND($A62&gt;0,MOD($A62,Every2)=0),1,0)</f>
        <v>1</v>
      </c>
      <c r="M62" s="11" t="n">
        <f aca="false">Alpha_keep^2*O61+Q_var</f>
        <v>1.5899306843629</v>
      </c>
      <c r="N62" s="11" t="n">
        <f aca="false">IF(L62=1,M62/(M62+R_sharp),0)</f>
        <v>0.504350719668313</v>
      </c>
      <c r="O62" s="11" t="n">
        <f aca="false">(1-N62)*M62</f>
        <v>0.78804799948174</v>
      </c>
      <c r="P62" s="14" t="n">
        <f aca="false">SQRT(O62)</f>
        <v>0.887720676497816</v>
      </c>
      <c r="Q62" s="18" t="n">
        <f aca="false">IF(AND($A62&gt;0,MOD($A62,Every1)=0),1,0)</f>
        <v>1</v>
      </c>
      <c r="R62" s="11" t="n">
        <f aca="false">Alpha_keep^2*T61+Q_var</f>
        <v>1.04542495000086</v>
      </c>
      <c r="S62" s="11" t="n">
        <f aca="false">IF(Q62=1,R62/(R62+R_sharp),0)</f>
        <v>0.400864660618595</v>
      </c>
      <c r="T62" s="11" t="n">
        <f aca="false">(1-S62)*R62</f>
        <v>0.626351032216555</v>
      </c>
      <c r="U62" s="14" t="n">
        <f aca="false">SQRT(T62)</f>
        <v>0.791423421574416</v>
      </c>
      <c r="V62" s="11" t="n">
        <f aca="false">IF(MOD($A62,Every2)=0,R_s,Alpha_keep^2*V61+Q_var)</f>
        <v>6.25</v>
      </c>
      <c r="W62" s="14" t="n">
        <f aca="false">SQRT(V62)</f>
        <v>2.5</v>
      </c>
      <c r="X62" s="11" t="n">
        <f aca="false">Alpha_keep^2*X61+Q_var</f>
        <v>8.57908591853786</v>
      </c>
      <c r="Y62" s="14" t="n">
        <f aca="false">SQRT(X62)</f>
        <v>2.92900766788649</v>
      </c>
    </row>
    <row r="63" customFormat="false" ht="15" hidden="false" customHeight="false" outlineLevel="0" collapsed="false">
      <c r="A63" s="18" t="n">
        <v>57</v>
      </c>
      <c r="B63" s="18" t="n">
        <f aca="false">IF(AND($A63&gt;0,MOD($A63,Every2)=0),1,0)</f>
        <v>0</v>
      </c>
      <c r="C63" s="11" t="n">
        <f aca="false">Alpha_keep^2*E62+Q_var</f>
        <v>2.13987810278849</v>
      </c>
      <c r="D63" s="11" t="n">
        <f aca="false">IF(B63=1,C63/(C63+R_s),0)</f>
        <v>0</v>
      </c>
      <c r="E63" s="11" t="n">
        <f aca="false">(1-D63)*C63</f>
        <v>2.13987810278849</v>
      </c>
      <c r="F63" s="14" t="n">
        <f aca="false">SQRT(E63)</f>
        <v>1.46283221963029</v>
      </c>
      <c r="G63" s="18" t="n">
        <f aca="false">IF(AND($A63&gt;0,MOD($A63,Every1)=0),1,0)</f>
        <v>1</v>
      </c>
      <c r="H63" s="11" t="n">
        <f aca="false">Alpha_keep^2*J62+Q_var</f>
        <v>1.74924383999155</v>
      </c>
      <c r="I63" s="11" t="n">
        <f aca="false">IF(G63=1,H63/(H63+R_s),0)</f>
        <v>0.218676149268804</v>
      </c>
      <c r="J63" s="11" t="n">
        <f aca="false">(1-I63)*H63</f>
        <v>1.36672593293002</v>
      </c>
      <c r="K63" s="14" t="n">
        <f aca="false">SQRT(J63)</f>
        <v>1.16907054232413</v>
      </c>
      <c r="L63" s="18" t="n">
        <f aca="false">IF(AND($A63&gt;0,MOD($A63,Every2)=0),1,0)</f>
        <v>0</v>
      </c>
      <c r="M63" s="11" t="n">
        <f aca="false">Alpha_keep^2*O62+Q_var</f>
        <v>1.19913812950733</v>
      </c>
      <c r="N63" s="11" t="n">
        <f aca="false">IF(L63=1,M63/(M63+R_sharp),0)</f>
        <v>0</v>
      </c>
      <c r="O63" s="11" t="n">
        <f aca="false">(1-N63)*M63</f>
        <v>1.19913812950733</v>
      </c>
      <c r="P63" s="14" t="n">
        <f aca="false">SQRT(O63)</f>
        <v>1.09505165609086</v>
      </c>
      <c r="Q63" s="18" t="n">
        <f aca="false">IF(AND($A63&gt;0,MOD($A63,Every1)=0),1,0)</f>
        <v>1</v>
      </c>
      <c r="R63" s="11" t="n">
        <f aca="false">Alpha_keep^2*T62+Q_var</f>
        <v>1.04542495000086</v>
      </c>
      <c r="S63" s="11" t="n">
        <f aca="false">IF(Q63=1,R63/(R63+R_sharp),0)</f>
        <v>0.400864660618595</v>
      </c>
      <c r="T63" s="11" t="n">
        <f aca="false">(1-S63)*R63</f>
        <v>0.626351032216555</v>
      </c>
      <c r="U63" s="14" t="n">
        <f aca="false">SQRT(T63)</f>
        <v>0.791423421574416</v>
      </c>
      <c r="V63" s="11" t="n">
        <f aca="false">IF(MOD($A63,Every2)=0,R_s,Alpha_keep^2*V62+Q_var)</f>
        <v>6.39140625</v>
      </c>
      <c r="W63" s="14" t="n">
        <f aca="false">SQRT(V63)</f>
        <v>2.52812306860248</v>
      </c>
      <c r="X63" s="11" t="n">
        <f aca="false">Alpha_keep^2*X62+Q_var</f>
        <v>8.60549355131005</v>
      </c>
      <c r="Y63" s="14" t="n">
        <f aca="false">SQRT(X63)</f>
        <v>2.93351215291671</v>
      </c>
    </row>
    <row r="64" customFormat="false" ht="15" hidden="false" customHeight="false" outlineLevel="0" collapsed="false">
      <c r="A64" s="18" t="n">
        <v>58</v>
      </c>
      <c r="B64" s="18" t="n">
        <f aca="false">IF(AND($A64&gt;0,MOD($A64,Every2)=0),1,0)</f>
        <v>1</v>
      </c>
      <c r="C64" s="11" t="n">
        <f aca="false">Alpha_keep^2*E63+Q_var</f>
        <v>2.48422162146331</v>
      </c>
      <c r="D64" s="11" t="n">
        <f aca="false">IF(B64=1,C64/(C64+R_s),0)</f>
        <v>0.28442392798445</v>
      </c>
      <c r="E64" s="11" t="n">
        <f aca="false">(1-D64)*C64</f>
        <v>1.77764954990281</v>
      </c>
      <c r="F64" s="14" t="n">
        <f aca="false">SQRT(E64)</f>
        <v>1.33328524701311</v>
      </c>
      <c r="G64" s="18" t="n">
        <f aca="false">IF(AND($A64&gt;0,MOD($A64,Every1)=0),1,0)</f>
        <v>1</v>
      </c>
      <c r="H64" s="11" t="n">
        <f aca="false">Alpha_keep^2*J63+Q_var</f>
        <v>1.7492438399916</v>
      </c>
      <c r="I64" s="11" t="n">
        <f aca="false">IF(G64=1,H64/(H64+R_s),0)</f>
        <v>0.218676149268809</v>
      </c>
      <c r="J64" s="11" t="n">
        <f aca="false">(1-I64)*H64</f>
        <v>1.36672593293006</v>
      </c>
      <c r="K64" s="14" t="n">
        <f aca="false">SQRT(J64)</f>
        <v>1.16907054232414</v>
      </c>
      <c r="L64" s="18" t="n">
        <f aca="false">IF(AND($A64&gt;0,MOD($A64,Every2)=0),1,0)</f>
        <v>1</v>
      </c>
      <c r="M64" s="11" t="n">
        <f aca="false">Alpha_keep^2*O63+Q_var</f>
        <v>1.5899306843629</v>
      </c>
      <c r="N64" s="11" t="n">
        <f aca="false">IF(L64=1,M64/(M64+R_sharp),0)</f>
        <v>0.504350719668313</v>
      </c>
      <c r="O64" s="11" t="n">
        <f aca="false">(1-N64)*M64</f>
        <v>0.78804799948174</v>
      </c>
      <c r="P64" s="14" t="n">
        <f aca="false">SQRT(O64)</f>
        <v>0.887720676497816</v>
      </c>
      <c r="Q64" s="18" t="n">
        <f aca="false">IF(AND($A64&gt;0,MOD($A64,Every1)=0),1,0)</f>
        <v>1</v>
      </c>
      <c r="R64" s="11" t="n">
        <f aca="false">Alpha_keep^2*T63+Q_var</f>
        <v>1.04542495000086</v>
      </c>
      <c r="S64" s="11" t="n">
        <f aca="false">IF(Q64=1,R64/(R64+R_sharp),0)</f>
        <v>0.400864660618595</v>
      </c>
      <c r="T64" s="11" t="n">
        <f aca="false">(1-S64)*R64</f>
        <v>0.626351032216555</v>
      </c>
      <c r="U64" s="14" t="n">
        <f aca="false">SQRT(T64)</f>
        <v>0.791423421574416</v>
      </c>
      <c r="V64" s="11" t="n">
        <f aca="false">IF(MOD($A64,Every2)=0,R_s,Alpha_keep^2*V63+Q_var)</f>
        <v>6.25</v>
      </c>
      <c r="W64" s="14" t="n">
        <f aca="false">SQRT(V64)</f>
        <v>2.5</v>
      </c>
      <c r="X64" s="11" t="n">
        <f aca="false">Alpha_keep^2*X63+Q_var</f>
        <v>8.63059730721412</v>
      </c>
      <c r="Y64" s="14" t="n">
        <f aca="false">SQRT(X64)</f>
        <v>2.93778782542479</v>
      </c>
    </row>
    <row r="65" customFormat="false" ht="15" hidden="false" customHeight="false" outlineLevel="0" collapsed="false">
      <c r="A65" s="18" t="n">
        <v>59</v>
      </c>
      <c r="B65" s="18" t="n">
        <f aca="false">IF(AND($A65&gt;0,MOD($A65,Every2)=0),1,0)</f>
        <v>0</v>
      </c>
      <c r="C65" s="11" t="n">
        <f aca="false">Alpha_keep^2*E64+Q_var</f>
        <v>2.13987810337636</v>
      </c>
      <c r="D65" s="11" t="n">
        <f aca="false">IF(B65=1,C65/(C65+R_s),0)</f>
        <v>0</v>
      </c>
      <c r="E65" s="11" t="n">
        <f aca="false">(1-D65)*C65</f>
        <v>2.13987810337636</v>
      </c>
      <c r="F65" s="14" t="n">
        <f aca="false">SQRT(E65)</f>
        <v>1.46283221983123</v>
      </c>
      <c r="G65" s="18" t="n">
        <f aca="false">IF(AND($A65&gt;0,MOD($A65,Every1)=0),1,0)</f>
        <v>1</v>
      </c>
      <c r="H65" s="11" t="n">
        <f aca="false">Alpha_keep^2*J64+Q_var</f>
        <v>1.74924383999163</v>
      </c>
      <c r="I65" s="11" t="n">
        <f aca="false">IF(G65=1,H65/(H65+R_s),0)</f>
        <v>0.218676149268812</v>
      </c>
      <c r="J65" s="11" t="n">
        <f aca="false">(1-I65)*H65</f>
        <v>1.36672593293007</v>
      </c>
      <c r="K65" s="14" t="n">
        <f aca="false">SQRT(J65)</f>
        <v>1.16907054232415</v>
      </c>
      <c r="L65" s="18" t="n">
        <f aca="false">IF(AND($A65&gt;0,MOD($A65,Every2)=0),1,0)</f>
        <v>0</v>
      </c>
      <c r="M65" s="11" t="n">
        <f aca="false">Alpha_keep^2*O64+Q_var</f>
        <v>1.19913812950733</v>
      </c>
      <c r="N65" s="11" t="n">
        <f aca="false">IF(L65=1,M65/(M65+R_sharp),0)</f>
        <v>0</v>
      </c>
      <c r="O65" s="11" t="n">
        <f aca="false">(1-N65)*M65</f>
        <v>1.19913812950733</v>
      </c>
      <c r="P65" s="14" t="n">
        <f aca="false">SQRT(O65)</f>
        <v>1.09505165609086</v>
      </c>
      <c r="Q65" s="18" t="n">
        <f aca="false">IF(AND($A65&gt;0,MOD($A65,Every1)=0),1,0)</f>
        <v>1</v>
      </c>
      <c r="R65" s="11" t="n">
        <f aca="false">Alpha_keep^2*T64+Q_var</f>
        <v>1.04542495000086</v>
      </c>
      <c r="S65" s="11" t="n">
        <f aca="false">IF(Q65=1,R65/(R65+R_sharp),0)</f>
        <v>0.400864660618595</v>
      </c>
      <c r="T65" s="11" t="n">
        <f aca="false">(1-S65)*R65</f>
        <v>0.626351032216555</v>
      </c>
      <c r="U65" s="14" t="n">
        <f aca="false">SQRT(T65)</f>
        <v>0.791423421574416</v>
      </c>
      <c r="V65" s="11" t="n">
        <f aca="false">IF(MOD($A65,Every2)=0,R_s,Alpha_keep^2*V64+Q_var)</f>
        <v>6.39140625</v>
      </c>
      <c r="W65" s="14" t="n">
        <f aca="false">SQRT(V65)</f>
        <v>2.52812306860248</v>
      </c>
      <c r="X65" s="11" t="n">
        <f aca="false">Alpha_keep^2*X64+Q_var</f>
        <v>8.65446156517042</v>
      </c>
      <c r="Y65" s="14" t="n">
        <f aca="false">SQRT(X65)</f>
        <v>2.9418466250249</v>
      </c>
    </row>
    <row r="66" customFormat="false" ht="15" hidden="false" customHeight="false" outlineLevel="0" collapsed="false">
      <c r="A66" s="18" t="n">
        <v>60</v>
      </c>
      <c r="B66" s="18" t="n">
        <f aca="false">IF(AND($A66&gt;0,MOD($A66,Every2)=0),1,0)</f>
        <v>1</v>
      </c>
      <c r="C66" s="11" t="n">
        <f aca="false">Alpha_keep^2*E65+Q_var</f>
        <v>2.48422162202216</v>
      </c>
      <c r="D66" s="11" t="n">
        <f aca="false">IF(B66=1,C66/(C66+R_s),0)</f>
        <v>0.284423928030235</v>
      </c>
      <c r="E66" s="11" t="n">
        <f aca="false">(1-D66)*C66</f>
        <v>1.77764955018897</v>
      </c>
      <c r="F66" s="14" t="n">
        <f aca="false">SQRT(E66)</f>
        <v>1.33328524712042</v>
      </c>
      <c r="G66" s="18" t="n">
        <f aca="false">IF(AND($A66&gt;0,MOD($A66,Every1)=0),1,0)</f>
        <v>1</v>
      </c>
      <c r="H66" s="11" t="n">
        <f aca="false">Alpha_keep^2*J65+Q_var</f>
        <v>1.74924383999165</v>
      </c>
      <c r="I66" s="11" t="n">
        <f aca="false">IF(G66=1,H66/(H66+R_s),0)</f>
        <v>0.218676149268814</v>
      </c>
      <c r="J66" s="11" t="n">
        <f aca="false">(1-I66)*H66</f>
        <v>1.36672593293008</v>
      </c>
      <c r="K66" s="14" t="n">
        <f aca="false">SQRT(J66)</f>
        <v>1.16907054232415</v>
      </c>
      <c r="L66" s="18" t="n">
        <f aca="false">IF(AND($A66&gt;0,MOD($A66,Every2)=0),1,0)</f>
        <v>1</v>
      </c>
      <c r="M66" s="11" t="n">
        <f aca="false">Alpha_keep^2*O65+Q_var</f>
        <v>1.5899306843629</v>
      </c>
      <c r="N66" s="11" t="n">
        <f aca="false">IF(L66=1,M66/(M66+R_sharp),0)</f>
        <v>0.504350719668313</v>
      </c>
      <c r="O66" s="11" t="n">
        <f aca="false">(1-N66)*M66</f>
        <v>0.78804799948174</v>
      </c>
      <c r="P66" s="14" t="n">
        <f aca="false">SQRT(O66)</f>
        <v>0.887720676497816</v>
      </c>
      <c r="Q66" s="18" t="n">
        <f aca="false">IF(AND($A66&gt;0,MOD($A66,Every1)=0),1,0)</f>
        <v>1</v>
      </c>
      <c r="R66" s="11" t="n">
        <f aca="false">Alpha_keep^2*T65+Q_var</f>
        <v>1.04542495000086</v>
      </c>
      <c r="S66" s="11" t="n">
        <f aca="false">IF(Q66=1,R66/(R66+R_sharp),0)</f>
        <v>0.400864660618595</v>
      </c>
      <c r="T66" s="11" t="n">
        <f aca="false">(1-S66)*R66</f>
        <v>0.626351032216555</v>
      </c>
      <c r="U66" s="14" t="n">
        <f aca="false">SQRT(T66)</f>
        <v>0.791423421574416</v>
      </c>
      <c r="V66" s="11" t="n">
        <f aca="false">IF(MOD($A66,Every2)=0,R_s,Alpha_keep^2*V65+Q_var)</f>
        <v>6.25</v>
      </c>
      <c r="W66" s="14" t="n">
        <f aca="false">SQRT(V66)</f>
        <v>2.5</v>
      </c>
      <c r="X66" s="11" t="n">
        <f aca="false">Alpha_keep^2*X65+Q_var</f>
        <v>8.67714752539013</v>
      </c>
      <c r="Y66" s="14" t="n">
        <f aca="false">SQRT(X66)</f>
        <v>2.94569983626814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4"/>
    <col collapsed="false" customWidth="true" hidden="false" outlineLevel="0" max="3" min="2" style="0" width="16"/>
    <col collapsed="false" customWidth="true" hidden="false" outlineLevel="0" max="7" min="4" style="0" width="14"/>
    <col collapsed="false" customWidth="true" hidden="false" outlineLevel="0" max="8" min="8" style="0" width="16"/>
    <col collapsed="false" customWidth="true" hidden="false" outlineLevel="0" max="9" min="9" style="0" width="14"/>
    <col collapsed="false" customWidth="true" hidden="false" outlineLevel="0" max="17" min="11" style="0" width="12"/>
    <col collapsed="false" customWidth="true" hidden="false" outlineLevel="0" max="18" min="18" style="0" width="11"/>
    <col collapsed="false" customWidth="true" hidden="false" outlineLevel="0" max="19" min="19" style="0" width="13"/>
    <col collapsed="false" customWidth="true" hidden="false" outlineLevel="0" max="20" min="20" style="0" width="11"/>
    <col collapsed="false" customWidth="true" hidden="false" outlineLevel="0" max="21" min="21" style="0" width="12"/>
  </cols>
  <sheetData>
    <row r="1" customFormat="false" ht="15" hidden="false" customHeight="false" outlineLevel="0" collapsed="false">
      <c r="A1" s="1" t="s">
        <v>134</v>
      </c>
    </row>
    <row r="2" customFormat="false" ht="15" hidden="false" customHeight="false" outlineLevel="0" collapsed="false">
      <c r="A2" s="10" t="s">
        <v>135</v>
      </c>
    </row>
    <row r="4" customFormat="false" ht="35.05" hidden="false" customHeight="false" outlineLevel="0" collapsed="false">
      <c r="A4" s="8" t="s">
        <v>136</v>
      </c>
      <c r="B4" s="8" t="s">
        <v>137</v>
      </c>
      <c r="C4" s="8" t="s">
        <v>138</v>
      </c>
      <c r="D4" s="8" t="s">
        <v>139</v>
      </c>
      <c r="E4" s="8" t="s">
        <v>140</v>
      </c>
      <c r="F4" s="8" t="s">
        <v>141</v>
      </c>
      <c r="G4" s="8" t="s">
        <v>142</v>
      </c>
      <c r="H4" s="8" t="s">
        <v>143</v>
      </c>
      <c r="I4" s="8" t="s">
        <v>144</v>
      </c>
      <c r="J4" s="8" t="s">
        <v>145</v>
      </c>
      <c r="K4" s="8" t="s">
        <v>146</v>
      </c>
      <c r="L4" s="8" t="s">
        <v>147</v>
      </c>
      <c r="M4" s="8" t="s">
        <v>148</v>
      </c>
      <c r="N4" s="8" t="s">
        <v>149</v>
      </c>
      <c r="O4" s="8" t="s">
        <v>150</v>
      </c>
      <c r="P4" s="8" t="s">
        <v>151</v>
      </c>
      <c r="Q4" s="8" t="s">
        <v>152</v>
      </c>
      <c r="R4" s="8" t="s">
        <v>153</v>
      </c>
      <c r="S4" s="8" t="s">
        <v>154</v>
      </c>
      <c r="T4" s="8" t="s">
        <v>155</v>
      </c>
      <c r="U4" s="8" t="s">
        <v>156</v>
      </c>
    </row>
    <row r="5" customFormat="false" ht="15" hidden="false" customHeight="false" outlineLevel="0" collapsed="false">
      <c r="A5" s="4" t="s">
        <v>157</v>
      </c>
      <c r="B5" s="2" t="s">
        <v>158</v>
      </c>
      <c r="C5" s="9" t="n">
        <v>55.75</v>
      </c>
      <c r="D5" s="12" t="n">
        <f aca="false">ROUND($C5+0.05*(0-3),2)</f>
        <v>55.6</v>
      </c>
      <c r="E5" s="12" t="n">
        <f aca="false">ROUND($C5+0.05*(1-3),2)</f>
        <v>55.65</v>
      </c>
      <c r="F5" s="12" t="n">
        <f aca="false">ROUND($C5+0.05*(2-3),2)</f>
        <v>55.7</v>
      </c>
      <c r="G5" s="12" t="n">
        <f aca="false">ROUND($C5+0.05*(3-3),2)</f>
        <v>55.75</v>
      </c>
      <c r="H5" s="12" t="n">
        <f aca="false">ROUND($C5+0.05*(4-3),2)</f>
        <v>55.8</v>
      </c>
      <c r="I5" s="12" t="n">
        <f aca="false">ROUND($C5+0.05*(5-3),2)</f>
        <v>55.85</v>
      </c>
      <c r="J5" s="12" t="n">
        <f aca="false">ROUND($C5+0.05*(6-3),2)</f>
        <v>55.9</v>
      </c>
      <c r="K5" s="25" t="n">
        <v>231.934340359814</v>
      </c>
      <c r="L5" s="25" t="n">
        <v>231.524443254082</v>
      </c>
      <c r="M5" s="25" t="n">
        <v>231.126117180941</v>
      </c>
      <c r="N5" s="25" t="n">
        <v>230.74711288601</v>
      </c>
      <c r="O5" s="25" t="n">
        <v>230.949721529056</v>
      </c>
      <c r="P5" s="25" t="n">
        <v>231.152330172103</v>
      </c>
      <c r="Q5" s="25" t="n">
        <v>231.355654230272</v>
      </c>
      <c r="R5" s="12" t="n">
        <f aca="false">INDEX(D5:J5,MATCH(MIN(K5:Q5),K5:Q5,0))</f>
        <v>55.75</v>
      </c>
      <c r="S5" s="17" t="n">
        <f aca="false">MIN(K5:Q5)</f>
        <v>230.74711288601</v>
      </c>
      <c r="T5" s="12" t="n">
        <f aca="false">R5-Floor_c</f>
        <v>0.75</v>
      </c>
      <c r="U5" s="18" t="n">
        <f aca="false">IF(AND(R5&gt;D5,R5&lt;J5),1,0)</f>
        <v>1</v>
      </c>
    </row>
    <row r="6" customFormat="false" ht="15" hidden="false" customHeight="false" outlineLevel="0" collapsed="false">
      <c r="A6" s="4" t="s">
        <v>159</v>
      </c>
      <c r="B6" s="2" t="s">
        <v>160</v>
      </c>
      <c r="C6" s="9" t="n">
        <v>56.7</v>
      </c>
      <c r="D6" s="12" t="n">
        <f aca="false">ROUND($C6+0.05*(0-3),2)</f>
        <v>56.55</v>
      </c>
      <c r="E6" s="12" t="n">
        <f aca="false">ROUND($C6+0.05*(1-3),2)</f>
        <v>56.6</v>
      </c>
      <c r="F6" s="12" t="n">
        <f aca="false">ROUND($C6+0.05*(2-3),2)</f>
        <v>56.65</v>
      </c>
      <c r="G6" s="12" t="n">
        <f aca="false">ROUND($C6+0.05*(3-3),2)</f>
        <v>56.7</v>
      </c>
      <c r="H6" s="12" t="n">
        <f aca="false">ROUND($C6+0.05*(4-3),2)</f>
        <v>56.75</v>
      </c>
      <c r="I6" s="12" t="n">
        <f aca="false">ROUND($C6+0.05*(5-3),2)</f>
        <v>56.8</v>
      </c>
      <c r="J6" s="12" t="n">
        <f aca="false">ROUND($C6+0.05*(6-3),2)</f>
        <v>56.85</v>
      </c>
      <c r="K6" s="25" t="n">
        <v>241.954812506714</v>
      </c>
      <c r="L6" s="25" t="n">
        <v>241.897255728012</v>
      </c>
      <c r="M6" s="25" t="n">
        <v>241.863292978503</v>
      </c>
      <c r="N6" s="25" t="n">
        <v>241.851936756285</v>
      </c>
      <c r="O6" s="25" t="n">
        <v>241.862271574327</v>
      </c>
      <c r="P6" s="25" t="n">
        <v>241.89344694276</v>
      </c>
      <c r="Q6" s="25" t="n">
        <v>241.944859177284</v>
      </c>
      <c r="R6" s="12" t="n">
        <f aca="false">INDEX(D6:J6,MATCH(MIN(K6:Q6),K6:Q6,0))</f>
        <v>56.7</v>
      </c>
      <c r="S6" s="17" t="n">
        <f aca="false">MIN(K6:Q6)</f>
        <v>241.851936756285</v>
      </c>
      <c r="T6" s="12" t="n">
        <f aca="false">R6-Floor_c</f>
        <v>1.7</v>
      </c>
      <c r="U6" s="18" t="n">
        <f aca="false">IF(AND(R6&gt;D6,R6&lt;J6),1,0)</f>
        <v>1</v>
      </c>
    </row>
    <row r="7" customFormat="false" ht="15" hidden="false" customHeight="false" outlineLevel="0" collapsed="false">
      <c r="A7" s="4" t="s">
        <v>91</v>
      </c>
      <c r="B7" s="2" t="s">
        <v>160</v>
      </c>
      <c r="C7" s="9" t="n">
        <v>57.35</v>
      </c>
      <c r="D7" s="12" t="n">
        <f aca="false">ROUND($C7+0.05*(0-3),2)</f>
        <v>57.2</v>
      </c>
      <c r="E7" s="12" t="n">
        <f aca="false">ROUND($C7+0.05*(1-3),2)</f>
        <v>57.25</v>
      </c>
      <c r="F7" s="12" t="n">
        <f aca="false">ROUND($C7+0.05*(2-3),2)</f>
        <v>57.3</v>
      </c>
      <c r="G7" s="12" t="n">
        <f aca="false">ROUND($C7+0.05*(3-3),2)</f>
        <v>57.35</v>
      </c>
      <c r="H7" s="12" t="n">
        <f aca="false">ROUND($C7+0.05*(4-3),2)</f>
        <v>57.4</v>
      </c>
      <c r="I7" s="12" t="n">
        <f aca="false">ROUND($C7+0.05*(5-3),2)</f>
        <v>57.45</v>
      </c>
      <c r="J7" s="12" t="n">
        <f aca="false">ROUND($C7+0.05*(6-3),2)</f>
        <v>57.5</v>
      </c>
      <c r="K7" s="25" t="n">
        <v>246.775650301241</v>
      </c>
      <c r="L7" s="25" t="n">
        <v>246.731637600293</v>
      </c>
      <c r="M7" s="25" t="n">
        <v>246.705577435007</v>
      </c>
      <c r="N7" s="25" t="n">
        <v>246.696167397767</v>
      </c>
      <c r="O7" s="25" t="n">
        <v>246.702789011946</v>
      </c>
      <c r="P7" s="25" t="n">
        <v>246.725309556149</v>
      </c>
      <c r="Q7" s="25" t="n">
        <v>246.763184755364</v>
      </c>
      <c r="R7" s="12" t="n">
        <f aca="false">INDEX(D7:J7,MATCH(MIN(K7:Q7),K7:Q7,0))</f>
        <v>57.35</v>
      </c>
      <c r="S7" s="17" t="n">
        <f aca="false">MIN(K7:Q7)</f>
        <v>246.696167397767</v>
      </c>
      <c r="T7" s="12" t="n">
        <f aca="false">R7-Floor_c</f>
        <v>2.35</v>
      </c>
      <c r="U7" s="18" t="n">
        <f aca="false">IF(AND(R7&gt;D7,R7&lt;J7),1,0)</f>
        <v>1</v>
      </c>
    </row>
    <row r="8" customFormat="false" ht="15" hidden="false" customHeight="false" outlineLevel="0" collapsed="false">
      <c r="A8" s="4" t="s">
        <v>159</v>
      </c>
      <c r="B8" s="2" t="s">
        <v>161</v>
      </c>
      <c r="C8" s="9" t="n">
        <v>56.5</v>
      </c>
      <c r="D8" s="12" t="n">
        <f aca="false">ROUND($C8+0.05*(0-3),2)</f>
        <v>56.35</v>
      </c>
      <c r="E8" s="12" t="n">
        <f aca="false">ROUND($C8+0.05*(1-3),2)</f>
        <v>56.4</v>
      </c>
      <c r="F8" s="12" t="n">
        <f aca="false">ROUND($C8+0.05*(2-3),2)</f>
        <v>56.45</v>
      </c>
      <c r="G8" s="12" t="n">
        <f aca="false">ROUND($C8+0.05*(3-3),2)</f>
        <v>56.5</v>
      </c>
      <c r="H8" s="12" t="n">
        <f aca="false">ROUND($C8+0.05*(4-3),2)</f>
        <v>56.55</v>
      </c>
      <c r="I8" s="12" t="n">
        <f aca="false">ROUND($C8+0.05*(5-3),2)</f>
        <v>56.6</v>
      </c>
      <c r="J8" s="12" t="n">
        <f aca="false">ROUND($C8+0.05*(6-3),2)</f>
        <v>56.65</v>
      </c>
      <c r="K8" s="25" t="n">
        <v>239.507232296223</v>
      </c>
      <c r="L8" s="25" t="n">
        <v>239.434369342247</v>
      </c>
      <c r="M8" s="25" t="n">
        <v>239.389208785696</v>
      </c>
      <c r="N8" s="25" t="n">
        <v>239.370698521485</v>
      </c>
      <c r="O8" s="25" t="n">
        <v>239.377700230411</v>
      </c>
      <c r="P8" s="25" t="n">
        <v>239.418846012299</v>
      </c>
      <c r="Q8" s="25" t="n">
        <v>239.483180206707</v>
      </c>
      <c r="R8" s="12" t="n">
        <f aca="false">INDEX(D8:J8,MATCH(MIN(K8:Q8),K8:Q8,0))</f>
        <v>56.5</v>
      </c>
      <c r="S8" s="17" t="n">
        <f aca="false">MIN(K8:Q8)</f>
        <v>239.370698521485</v>
      </c>
      <c r="T8" s="12" t="n">
        <f aca="false">R8-Floor_c</f>
        <v>1.5</v>
      </c>
      <c r="U8" s="18" t="n">
        <f aca="false">IF(AND(R8&gt;D8,R8&lt;J8),1,0)</f>
        <v>1</v>
      </c>
    </row>
    <row r="9" customFormat="false" ht="15" hidden="false" customHeight="false" outlineLevel="0" collapsed="false">
      <c r="A9" s="4" t="s">
        <v>159</v>
      </c>
      <c r="B9" s="2" t="s">
        <v>162</v>
      </c>
      <c r="C9" s="9" t="n">
        <v>56.4</v>
      </c>
      <c r="D9" s="12" t="n">
        <f aca="false">ROUND($C9+0.05*(0-3),2)</f>
        <v>56.25</v>
      </c>
      <c r="E9" s="12" t="n">
        <f aca="false">ROUND($C9+0.05*(1-3),2)</f>
        <v>56.3</v>
      </c>
      <c r="F9" s="12" t="n">
        <f aca="false">ROUND($C9+0.05*(2-3),2)</f>
        <v>56.35</v>
      </c>
      <c r="G9" s="12" t="n">
        <f aca="false">ROUND($C9+0.05*(3-3),2)</f>
        <v>56.4</v>
      </c>
      <c r="H9" s="12" t="n">
        <f aca="false">ROUND($C9+0.05*(4-3),2)</f>
        <v>56.45</v>
      </c>
      <c r="I9" s="12" t="n">
        <f aca="false">ROUND($C9+0.05*(5-3),2)</f>
        <v>56.5</v>
      </c>
      <c r="J9" s="12" t="n">
        <f aca="false">ROUND($C9+0.05*(6-3),2)</f>
        <v>56.55</v>
      </c>
      <c r="K9" s="25" t="n">
        <v>237.847758686972</v>
      </c>
      <c r="L9" s="25" t="n">
        <v>237.790645329977</v>
      </c>
      <c r="M9" s="25" t="n">
        <v>237.762388144182</v>
      </c>
      <c r="N9" s="25" t="n">
        <v>237.761200332546</v>
      </c>
      <c r="O9" s="25" t="n">
        <v>237.786084384731</v>
      </c>
      <c r="P9" s="25" t="n">
        <v>237.838431513002</v>
      </c>
      <c r="Q9" s="25" t="n">
        <v>237.918286819282</v>
      </c>
      <c r="R9" s="12" t="n">
        <f aca="false">INDEX(D9:J9,MATCH(MIN(K9:Q9),K9:Q9,0))</f>
        <v>56.4</v>
      </c>
      <c r="S9" s="17" t="n">
        <f aca="false">MIN(K9:Q9)</f>
        <v>237.761200332546</v>
      </c>
      <c r="T9" s="12" t="n">
        <f aca="false">R9-Floor_c</f>
        <v>1.4</v>
      </c>
      <c r="U9" s="18" t="n">
        <f aca="false">IF(AND(R9&gt;D9,R9&lt;J9),1,0)</f>
        <v>1</v>
      </c>
    </row>
    <row r="10" customFormat="false" ht="15" hidden="false" customHeight="false" outlineLevel="0" collapsed="false">
      <c r="A10" s="4" t="s">
        <v>159</v>
      </c>
      <c r="B10" s="2" t="s">
        <v>163</v>
      </c>
      <c r="C10" s="9" t="n">
        <v>56.2</v>
      </c>
      <c r="D10" s="12" t="n">
        <f aca="false">ROUND($C10+0.05*(0-3),2)</f>
        <v>56.05</v>
      </c>
      <c r="E10" s="12" t="n">
        <f aca="false">ROUND($C10+0.05*(1-3),2)</f>
        <v>56.1</v>
      </c>
      <c r="F10" s="12" t="n">
        <f aca="false">ROUND($C10+0.05*(2-3),2)</f>
        <v>56.15</v>
      </c>
      <c r="G10" s="12" t="n">
        <f aca="false">ROUND($C10+0.05*(3-3),2)</f>
        <v>56.2</v>
      </c>
      <c r="H10" s="12" t="n">
        <f aca="false">ROUND($C10+0.05*(4-3),2)</f>
        <v>56.25</v>
      </c>
      <c r="I10" s="12" t="n">
        <f aca="false">ROUND($C10+0.05*(5-3),2)</f>
        <v>56.3</v>
      </c>
      <c r="J10" s="12" t="n">
        <f aca="false">ROUND($C10+0.05*(6-3),2)</f>
        <v>56.35</v>
      </c>
      <c r="K10" s="25" t="n">
        <v>235.792474128528</v>
      </c>
      <c r="L10" s="25" t="n">
        <v>235.716950530375</v>
      </c>
      <c r="M10" s="25" t="n">
        <v>235.67584177048</v>
      </c>
      <c r="N10" s="25" t="n">
        <v>235.667609288845</v>
      </c>
      <c r="O10" s="25" t="n">
        <v>235.690554094666</v>
      </c>
      <c r="P10" s="25" t="n">
        <v>235.742634247392</v>
      </c>
      <c r="Q10" s="25" t="n">
        <v>235.822423573269</v>
      </c>
      <c r="R10" s="12" t="n">
        <f aca="false">INDEX(D10:J10,MATCH(MIN(K10:Q10),K10:Q10,0))</f>
        <v>56.2</v>
      </c>
      <c r="S10" s="17" t="n">
        <f aca="false">MIN(K10:Q10)</f>
        <v>235.667609288845</v>
      </c>
      <c r="T10" s="12" t="n">
        <f aca="false">R10-Floor_c</f>
        <v>1.2</v>
      </c>
      <c r="U10" s="18" t="n">
        <f aca="false">IF(AND(R10&gt;D10,R10&lt;J10),1,0)</f>
        <v>1</v>
      </c>
    </row>
    <row r="11" customFormat="false" ht="15" hidden="false" customHeight="false" outlineLevel="0" collapsed="false">
      <c r="A11" s="4" t="s">
        <v>92</v>
      </c>
      <c r="B11" s="2" t="s">
        <v>164</v>
      </c>
      <c r="C11" s="9" t="n">
        <v>57.8</v>
      </c>
      <c r="D11" s="12" t="n">
        <f aca="false">ROUND($C11+0.05*(0-3),2)</f>
        <v>57.65</v>
      </c>
      <c r="E11" s="12" t="n">
        <f aca="false">ROUND($C11+0.05*(1-3),2)</f>
        <v>57.7</v>
      </c>
      <c r="F11" s="12" t="n">
        <f aca="false">ROUND($C11+0.05*(2-3),2)</f>
        <v>57.75</v>
      </c>
      <c r="G11" s="12" t="n">
        <f aca="false">ROUND($C11+0.05*(3-3),2)</f>
        <v>57.8</v>
      </c>
      <c r="H11" s="12" t="n">
        <f aca="false">ROUND($C11+0.05*(4-3),2)</f>
        <v>57.85</v>
      </c>
      <c r="I11" s="12" t="n">
        <f aca="false">ROUND($C11+0.05*(5-3),2)</f>
        <v>57.9</v>
      </c>
      <c r="J11" s="12" t="n">
        <f aca="false">ROUND($C11+0.05*(6-3),2)</f>
        <v>57.95</v>
      </c>
      <c r="K11" s="25" t="n">
        <v>256.214601973492</v>
      </c>
      <c r="L11" s="25" t="n">
        <v>256.177527772727</v>
      </c>
      <c r="M11" s="25" t="n">
        <v>256.154229811506</v>
      </c>
      <c r="N11" s="25" t="n">
        <v>256.145063861696</v>
      </c>
      <c r="O11" s="25" t="n">
        <v>256.150116500932</v>
      </c>
      <c r="P11" s="25" t="n">
        <v>256.169140597583</v>
      </c>
      <c r="Q11" s="25" t="n">
        <v>256.201057734647</v>
      </c>
      <c r="R11" s="12" t="n">
        <f aca="false">INDEX(D11:J11,MATCH(MIN(K11:Q11),K11:Q11,0))</f>
        <v>57.8</v>
      </c>
      <c r="S11" s="17" t="n">
        <f aca="false">MIN(K11:Q11)</f>
        <v>256.145063861696</v>
      </c>
      <c r="T11" s="12" t="n">
        <f aca="false">R11-Floor_c</f>
        <v>2.8</v>
      </c>
      <c r="U11" s="18" t="n">
        <f aca="false">IF(AND(R11&gt;D11,R11&lt;J11),1,0)</f>
        <v>1</v>
      </c>
    </row>
    <row r="14" customFormat="false" ht="35.05" hidden="false" customHeight="false" outlineLevel="0" collapsed="false">
      <c r="A14" s="8" t="s">
        <v>165</v>
      </c>
      <c r="B14" s="8" t="s">
        <v>137</v>
      </c>
      <c r="C14" s="8" t="s">
        <v>166</v>
      </c>
      <c r="D14" s="8" t="s">
        <v>167</v>
      </c>
      <c r="E14" s="8" t="s">
        <v>168</v>
      </c>
      <c r="F14" s="8" t="s">
        <v>169</v>
      </c>
      <c r="G14" s="8" t="s">
        <v>170</v>
      </c>
      <c r="H14" s="8" t="s">
        <v>171</v>
      </c>
      <c r="I14" s="8" t="s">
        <v>172</v>
      </c>
    </row>
    <row r="15" customFormat="false" ht="15" hidden="false" customHeight="false" outlineLevel="0" collapsed="false">
      <c r="A15" s="4" t="s">
        <v>157</v>
      </c>
      <c r="B15" s="2" t="s">
        <v>158</v>
      </c>
      <c r="C15" s="23" t="n">
        <f aca="false">R5</f>
        <v>55.75</v>
      </c>
      <c r="D15" s="25" t="n">
        <v>230.843714578097</v>
      </c>
      <c r="E15" s="25" t="n">
        <v>0.0395474738233326</v>
      </c>
      <c r="F15" s="17" t="n">
        <f aca="false">D15-$D$15</f>
        <v>0</v>
      </c>
      <c r="G15" s="26" t="n">
        <v>0.0602400227272727</v>
      </c>
      <c r="H15" s="17" t="n">
        <f aca="false">F15*4*(1-Beta_q)</f>
        <v>0</v>
      </c>
      <c r="I15" s="26" t="n">
        <v>0.0980358181818182</v>
      </c>
    </row>
    <row r="16" customFormat="false" ht="15" hidden="false" customHeight="false" outlineLevel="0" collapsed="false">
      <c r="A16" s="4" t="s">
        <v>159</v>
      </c>
      <c r="B16" s="2" t="s">
        <v>160</v>
      </c>
      <c r="C16" s="23" t="n">
        <f aca="false">R6</f>
        <v>56.7</v>
      </c>
      <c r="D16" s="25" t="n">
        <v>241.944310523261</v>
      </c>
      <c r="E16" s="25" t="n">
        <v>0.0415979096789323</v>
      </c>
      <c r="F16" s="17" t="n">
        <f aca="false">D16-$D$15</f>
        <v>11.1005959451636</v>
      </c>
      <c r="G16" s="26" t="n">
        <v>0.133749318181818</v>
      </c>
      <c r="H16" s="17" t="n">
        <f aca="false">F16*4*(1-Beta_q)</f>
        <v>1.04549454665733</v>
      </c>
      <c r="I16" s="26" t="n">
        <v>0.0696795681818182</v>
      </c>
    </row>
    <row r="17" customFormat="false" ht="15" hidden="false" customHeight="false" outlineLevel="0" collapsed="false">
      <c r="A17" s="4" t="s">
        <v>91</v>
      </c>
      <c r="B17" s="2" t="s">
        <v>160</v>
      </c>
      <c r="C17" s="23" t="n">
        <f aca="false">R7</f>
        <v>57.35</v>
      </c>
      <c r="D17" s="25" t="n">
        <v>246.793453258048</v>
      </c>
      <c r="E17" s="25" t="n">
        <v>0.0413054164831201</v>
      </c>
      <c r="F17" s="17" t="n">
        <f aca="false">D17-$D$15</f>
        <v>15.9497386799511</v>
      </c>
      <c r="G17" s="26" t="n">
        <v>0.132533318181818</v>
      </c>
      <c r="H17" s="17" t="n">
        <f aca="false">F17*4*(1-Beta_q)</f>
        <v>1.50220446657764</v>
      </c>
      <c r="I17" s="26" t="n">
        <v>0.556891340909091</v>
      </c>
    </row>
    <row r="18" customFormat="false" ht="15" hidden="false" customHeight="false" outlineLevel="0" collapsed="false">
      <c r="A18" s="4" t="s">
        <v>159</v>
      </c>
      <c r="B18" s="2" t="s">
        <v>161</v>
      </c>
      <c r="C18" s="23" t="n">
        <f aca="false">R8</f>
        <v>56.5</v>
      </c>
      <c r="D18" s="25" t="n">
        <v>239.477514380586</v>
      </c>
      <c r="E18" s="25" t="n">
        <v>0.0404951403669653</v>
      </c>
      <c r="F18" s="17" t="n">
        <f aca="false">D18-$D$15</f>
        <v>8.63379980248908</v>
      </c>
      <c r="G18" s="26" t="n">
        <v>0.129642159090909</v>
      </c>
      <c r="H18" s="17" t="n">
        <f aca="false">F18*4*(1-Beta_q)</f>
        <v>0.813162703608383</v>
      </c>
      <c r="I18" s="26" t="n">
        <v>0.0473024772727273</v>
      </c>
    </row>
    <row r="19" customFormat="false" ht="15" hidden="false" customHeight="false" outlineLevel="0" collapsed="false">
      <c r="A19" s="4" t="s">
        <v>159</v>
      </c>
      <c r="B19" s="2" t="s">
        <v>162</v>
      </c>
      <c r="C19" s="23" t="n">
        <f aca="false">R9</f>
        <v>56.4</v>
      </c>
      <c r="D19" s="25" t="n">
        <v>237.849072443785</v>
      </c>
      <c r="E19" s="25" t="n">
        <v>0.0398613520440361</v>
      </c>
      <c r="F19" s="17" t="n">
        <f aca="false">D19-$D$15</f>
        <v>7.00535786568798</v>
      </c>
      <c r="G19" s="26" t="n">
        <v>0.120903909090909</v>
      </c>
      <c r="H19" s="17" t="n">
        <f aca="false">F19*4*(1-Beta_q)</f>
        <v>0.659790112363368</v>
      </c>
      <c r="I19" s="26" t="n">
        <v>0.08278825</v>
      </c>
    </row>
    <row r="20" customFormat="false" ht="15" hidden="false" customHeight="false" outlineLevel="0" collapsed="false">
      <c r="A20" s="4" t="s">
        <v>159</v>
      </c>
      <c r="B20" s="2" t="s">
        <v>163</v>
      </c>
      <c r="C20" s="23" t="n">
        <f aca="false">R10</f>
        <v>56.2</v>
      </c>
      <c r="D20" s="25" t="n">
        <v>235.764929188564</v>
      </c>
      <c r="E20" s="25" t="n">
        <v>0.0396111393659805</v>
      </c>
      <c r="F20" s="17" t="n">
        <f aca="false">D20-$D$15</f>
        <v>4.9212146104671</v>
      </c>
      <c r="G20" s="26" t="n">
        <v>0.122204045454546</v>
      </c>
      <c r="H20" s="17" t="n">
        <f aca="false">F20*4*(1-Beta_q)</f>
        <v>0.463497911606755</v>
      </c>
      <c r="I20" s="26" t="n">
        <v>0.0571820909090909</v>
      </c>
    </row>
    <row r="21" customFormat="false" ht="15" hidden="false" customHeight="false" outlineLevel="0" collapsed="false">
      <c r="A21" s="4" t="s">
        <v>92</v>
      </c>
      <c r="B21" s="2" t="s">
        <v>164</v>
      </c>
      <c r="C21" s="23" t="n">
        <f aca="false">R11</f>
        <v>57.8</v>
      </c>
      <c r="D21" s="25" t="n">
        <v>256.277059814686</v>
      </c>
      <c r="E21" s="25" t="n">
        <v>0.0630876747861579</v>
      </c>
      <c r="F21" s="17" t="n">
        <f aca="false">D21-$D$15</f>
        <v>25.4333452365893</v>
      </c>
      <c r="G21" s="26" t="n">
        <v>0.176170772727273</v>
      </c>
      <c r="H21" s="17" t="n">
        <f aca="false">F21*4*(1-Beta_q)</f>
        <v>2.39540506468867</v>
      </c>
      <c r="I21" s="26" t="n">
        <v>0</v>
      </c>
    </row>
    <row r="22" customFormat="false" ht="15" hidden="false" customHeight="false" outlineLevel="0" collapsed="false">
      <c r="A22" s="4" t="s">
        <v>173</v>
      </c>
      <c r="B22" s="2" t="s">
        <v>160</v>
      </c>
      <c r="C22" s="12" t="n">
        <f aca="false">Target7</f>
        <v>55.75</v>
      </c>
      <c r="D22" s="25" t="n">
        <v>247.157156573861</v>
      </c>
      <c r="F22" s="17" t="n">
        <f aca="false">D22-$D$15</f>
        <v>16.3134419957636</v>
      </c>
      <c r="G22" s="26" t="n">
        <v>0.313203204545455</v>
      </c>
      <c r="H22" s="17" t="n">
        <f aca="false">F22*4*(1-Beta_q)</f>
        <v>1.53645936921184</v>
      </c>
    </row>
    <row r="23" customFormat="false" ht="15" hidden="false" customHeight="false" outlineLevel="0" collapsed="false">
      <c r="A23" s="4" t="s">
        <v>174</v>
      </c>
      <c r="B23" s="2" t="s">
        <v>160</v>
      </c>
      <c r="C23" s="12" t="n">
        <f aca="false">Target7</f>
        <v>55.75</v>
      </c>
      <c r="D23" s="25" t="n">
        <v>258.352375975757</v>
      </c>
      <c r="F23" s="17" t="n">
        <f aca="false">D23-$D$15</f>
        <v>27.5086613976603</v>
      </c>
      <c r="G23" s="26" t="n">
        <v>0.386065931818182</v>
      </c>
      <c r="H23" s="17" t="n">
        <f aca="false">F23*4*(1-Beta_q)</f>
        <v>2.59086589757619</v>
      </c>
    </row>
    <row r="24" customFormat="false" ht="15" hidden="false" customHeight="false" outlineLevel="0" collapsed="false">
      <c r="A24" s="4" t="s">
        <v>175</v>
      </c>
      <c r="B24" s="2" t="s">
        <v>160</v>
      </c>
      <c r="C24" s="12" t="n">
        <f aca="false">Target7+5</f>
        <v>60.75</v>
      </c>
      <c r="D24" s="25" t="n">
        <v>265.239790353773</v>
      </c>
      <c r="F24" s="17" t="n">
        <f aca="false">D24-$D$15</f>
        <v>34.3960757756762</v>
      </c>
      <c r="G24" s="26" t="n">
        <v>0.00219790909090909</v>
      </c>
      <c r="H24" s="17" t="n">
        <f aca="false">F24*4*(1-Beta_q)</f>
        <v>3.23954766280359</v>
      </c>
    </row>
    <row r="25" customFormat="false" ht="15" hidden="false" customHeight="false" outlineLevel="0" collapsed="false">
      <c r="A25" s="10" t="s">
        <v>176</v>
      </c>
    </row>
    <row r="27" customFormat="false" ht="15" hidden="false" customHeight="false" outlineLevel="0" collapsed="false">
      <c r="A27" s="2" t="s">
        <v>177</v>
      </c>
      <c r="B27" s="18" t="n">
        <f aca="false">IF(AND(D15&lt;D20,D20&lt;MIN(D19,D18),MAX(D19,D18)&lt;D16,D16&lt;D17,D17&lt;D21),1,0)</f>
        <v>1</v>
      </c>
      <c r="C27" s="10" t="s">
        <v>178</v>
      </c>
    </row>
    <row r="28" customFormat="false" ht="15" hidden="false" customHeight="false" outlineLevel="0" collapsed="false">
      <c r="A28" s="2" t="s">
        <v>179</v>
      </c>
      <c r="B28" s="17" t="n">
        <f aca="false">F17-F16</f>
        <v>4.84914273478748</v>
      </c>
      <c r="C28" s="10" t="s">
        <v>180</v>
      </c>
    </row>
    <row r="29" customFormat="false" ht="15" hidden="false" customHeight="false" outlineLevel="0" collapsed="false">
      <c r="A29" s="2" t="s">
        <v>181</v>
      </c>
      <c r="B29" s="27" t="n">
        <f aca="false">S6</f>
        <v>241.851936756285</v>
      </c>
      <c r="C29" s="10" t="s">
        <v>182</v>
      </c>
    </row>
    <row r="30" customFormat="false" ht="15" hidden="false" customHeight="false" outlineLevel="0" collapsed="false">
      <c r="A30" s="2" t="s">
        <v>183</v>
      </c>
      <c r="B30" s="27" t="n">
        <f aca="false">D16</f>
        <v>241.944310523261</v>
      </c>
      <c r="C30" s="10" t="s">
        <v>184</v>
      </c>
    </row>
    <row r="31" customFormat="false" ht="15" hidden="false" customHeight="false" outlineLevel="0" collapsed="false">
      <c r="A31" s="2" t="s">
        <v>185</v>
      </c>
      <c r="B31" s="25" t="n">
        <v>0.0927890622314413</v>
      </c>
    </row>
    <row r="32" customFormat="false" ht="15" hidden="false" customHeight="false" outlineLevel="0" collapsed="false">
      <c r="A32" s="2" t="s">
        <v>186</v>
      </c>
      <c r="B32" s="12" t="n">
        <f aca="false">(B30-B29)/SQRT(B31^2+E16^2)</f>
        <v>0.908414934660905</v>
      </c>
      <c r="C32" s="10" t="s">
        <v>187</v>
      </c>
    </row>
    <row r="35" customFormat="false" ht="15" hidden="false" customHeight="false" outlineLevel="0" collapsed="false">
      <c r="A35" s="4" t="s">
        <v>188</v>
      </c>
    </row>
    <row r="36" customFormat="false" ht="15" hidden="false" customHeight="false" outlineLevel="0" collapsed="false">
      <c r="A36" s="2" t="s">
        <v>189</v>
      </c>
      <c r="B36" s="28" t="n">
        <f aca="false">Cost_k*(1-Alpha_keep*Beta_q)</f>
        <v>0.191829050262389</v>
      </c>
      <c r="C36" s="10" t="s">
        <v>27</v>
      </c>
    </row>
    <row r="37" customFormat="false" ht="15" hidden="false" customHeight="false" outlineLevel="0" collapsed="false">
      <c r="A37" s="2" t="s">
        <v>190</v>
      </c>
      <c r="B37" s="14" t="n">
        <f aca="false">Short_p*Beta_q</f>
        <v>1.5623265434821</v>
      </c>
    </row>
    <row r="38" customFormat="false" ht="15" hidden="false" customHeight="false" outlineLevel="0" collapsed="false">
      <c r="A38" s="2" t="s">
        <v>191</v>
      </c>
      <c r="B38" s="14" t="n">
        <f aca="false">B36/B37</f>
        <v>0.122784222711113</v>
      </c>
      <c r="C38" s="10" t="s">
        <v>192</v>
      </c>
    </row>
    <row r="39" customFormat="false" ht="15" hidden="false" customHeight="false" outlineLevel="0" collapsed="false">
      <c r="A39" s="2" t="s">
        <v>193</v>
      </c>
      <c r="B39" s="14" t="n">
        <f aca="false">1-B38</f>
        <v>0.877215777288887</v>
      </c>
    </row>
    <row r="41" customFormat="false" ht="15" hidden="false" customHeight="false" outlineLevel="0" collapsed="false">
      <c r="A41" s="8" t="s">
        <v>194</v>
      </c>
      <c r="B41" s="8" t="s">
        <v>65</v>
      </c>
      <c r="C41" s="8" t="s">
        <v>195</v>
      </c>
    </row>
    <row r="42" customFormat="false" ht="15" hidden="false" customHeight="false" outlineLevel="0" collapsed="false">
      <c r="A42" s="12" t="n">
        <f aca="false">SMALL(Loss_w,1)</f>
        <v>-1.5</v>
      </c>
      <c r="B42" s="12" t="n">
        <f aca="false">SUMPRODUCT((Loss_w=A42)*Loss_p)</f>
        <v>0.05</v>
      </c>
      <c r="C42" s="12" t="n">
        <f aca="false">SUM($B$42:B42)</f>
        <v>0.05</v>
      </c>
    </row>
    <row r="43" customFormat="false" ht="15" hidden="false" customHeight="false" outlineLevel="0" collapsed="false">
      <c r="A43" s="12" t="n">
        <f aca="false">SMALL(Loss_w,2)</f>
        <v>-0.75</v>
      </c>
      <c r="B43" s="12" t="n">
        <f aca="false">SUMPRODUCT((Loss_w=A43)*Loss_p)</f>
        <v>0.2</v>
      </c>
      <c r="C43" s="12" t="n">
        <f aca="false">SUM($B$42:B43)</f>
        <v>0.25</v>
      </c>
    </row>
    <row r="44" customFormat="false" ht="15" hidden="false" customHeight="false" outlineLevel="0" collapsed="false">
      <c r="A44" s="12" t="n">
        <f aca="false">SMALL(Loss_w,3)</f>
        <v>0</v>
      </c>
      <c r="B44" s="12" t="n">
        <f aca="false">SUMPRODUCT((Loss_w=A44)*Loss_p)</f>
        <v>0.5</v>
      </c>
      <c r="C44" s="12" t="n">
        <f aca="false">SUM($B$42:B44)</f>
        <v>0.75</v>
      </c>
    </row>
    <row r="45" customFormat="false" ht="15" hidden="false" customHeight="false" outlineLevel="0" collapsed="false">
      <c r="A45" s="12" t="n">
        <f aca="false">SMALL(Loss_w,4)</f>
        <v>0.75</v>
      </c>
      <c r="B45" s="12" t="n">
        <f aca="false">SUMPRODUCT((Loss_w=A45)*Loss_p)</f>
        <v>0.2</v>
      </c>
      <c r="C45" s="12" t="n">
        <f aca="false">SUM($B$42:B45)</f>
        <v>0.95</v>
      </c>
    </row>
    <row r="46" customFormat="false" ht="15" hidden="false" customHeight="false" outlineLevel="0" collapsed="false">
      <c r="A46" s="12" t="n">
        <f aca="false">SMALL(Loss_w,5)</f>
        <v>1.5</v>
      </c>
      <c r="B46" s="12" t="n">
        <f aca="false">SUMPRODUCT((Loss_w=A46)*Loss_p)</f>
        <v>0.05</v>
      </c>
      <c r="C46" s="12" t="n">
        <f aca="false">SUM($B$42:B46)</f>
        <v>1</v>
      </c>
    </row>
    <row r="48" customFormat="false" ht="15" hidden="false" customHeight="false" outlineLevel="0" collapsed="false">
      <c r="A48" s="2" t="s">
        <v>196</v>
      </c>
      <c r="B48" s="12" t="n">
        <f aca="false">INDEX(A42:A46,COUNTIF(C42:C46,"&lt;"&amp;B39)+1)</f>
        <v>0.75</v>
      </c>
      <c r="C48" s="10" t="s">
        <v>197</v>
      </c>
    </row>
    <row r="49" customFormat="false" ht="15" hidden="false" customHeight="false" outlineLevel="0" collapsed="false">
      <c r="A49" s="2" t="s">
        <v>198</v>
      </c>
      <c r="B49" s="14" t="n">
        <f aca="false">NORMSINV(B39)</f>
        <v>1.16118064185958</v>
      </c>
    </row>
    <row r="51" customFormat="false" ht="35.05" hidden="false" customHeight="false" outlineLevel="0" collapsed="false">
      <c r="A51" s="8" t="s">
        <v>136</v>
      </c>
      <c r="B51" s="8" t="s">
        <v>199</v>
      </c>
      <c r="C51" s="8" t="s">
        <v>200</v>
      </c>
      <c r="D51" s="8" t="s">
        <v>201</v>
      </c>
      <c r="E51" s="8" t="s">
        <v>202</v>
      </c>
      <c r="F51" s="8" t="s">
        <v>203</v>
      </c>
      <c r="G51" s="8" t="s">
        <v>172</v>
      </c>
    </row>
    <row r="52" customFormat="false" ht="15" hidden="false" customHeight="false" outlineLevel="0" collapsed="false">
      <c r="A52" s="4" t="s">
        <v>157</v>
      </c>
      <c r="B52" s="27" t="n">
        <f aca="false">0</f>
        <v>0</v>
      </c>
      <c r="D52" s="12" t="n">
        <f aca="false">$B$49*SQRT(Q_var+(Alpha_keep*B52)^2)</f>
        <v>0.778943654806455</v>
      </c>
      <c r="F52" s="23" t="n">
        <f aca="false">T5</f>
        <v>0.75</v>
      </c>
      <c r="G52" s="29" t="n">
        <f aca="false">I15</f>
        <v>0.0980358181818182</v>
      </c>
    </row>
    <row r="53" customFormat="false" ht="15" hidden="false" customHeight="false" outlineLevel="0" collapsed="false">
      <c r="A53" s="4" t="s">
        <v>87</v>
      </c>
      <c r="B53" s="27" t="n">
        <f aca="false">Sync!AG6</f>
        <v>1.33328524721285</v>
      </c>
      <c r="C53" s="27" t="n">
        <f aca="false">Sync!AH6</f>
        <v>1.46283222000429</v>
      </c>
      <c r="D53" s="12" t="n">
        <f aca="false">$B$49*SQRT(Q_var+(Alpha_keep*B53)^2)</f>
        <v>1.69861245615745</v>
      </c>
      <c r="E53" s="12" t="n">
        <f aca="false">$B$49*SQRT(Q_var+(Alpha_keep*C53)^2)</f>
        <v>1.83018484925388</v>
      </c>
      <c r="F53" s="23" t="n">
        <f aca="false">T6</f>
        <v>1.7</v>
      </c>
      <c r="G53" s="29" t="n">
        <f aca="false">I16</f>
        <v>0.0696795681818182</v>
      </c>
    </row>
    <row r="54" customFormat="false" ht="15" hidden="false" customHeight="false" outlineLevel="0" collapsed="false">
      <c r="A54" s="4" t="s">
        <v>91</v>
      </c>
      <c r="B54" s="27" t="n">
        <f aca="false">Sync!AG10</f>
        <v>2.5</v>
      </c>
      <c r="C54" s="27" t="n">
        <f aca="false">Sync!AI10</f>
        <v>2.52812306860248</v>
      </c>
      <c r="D54" s="12" t="n">
        <f aca="false">$B$49*SQRT(Q_var+(Alpha_keep*B54)^2)</f>
        <v>2.93560756749982</v>
      </c>
      <c r="E54" s="12" t="n">
        <f aca="false">$B$49*SQRT(Q_var+(Alpha_keep*C54)^2)</f>
        <v>2.96631784171493</v>
      </c>
      <c r="F54" s="23" t="n">
        <f aca="false">T7</f>
        <v>2.35</v>
      </c>
      <c r="G54" s="29" t="n">
        <f aca="false">I17</f>
        <v>0.556891340909091</v>
      </c>
    </row>
    <row r="55" customFormat="false" ht="15" hidden="false" customHeight="false" outlineLevel="0" collapsed="false">
      <c r="A55" s="4" t="s">
        <v>88</v>
      </c>
      <c r="B55" s="27" t="n">
        <f aca="false">Sync!AG7</f>
        <v>1.16907054232416</v>
      </c>
      <c r="D55" s="12" t="n">
        <f aca="false">$B$49*SQRT(Q_var+(Alpha_keep*B55)^2)</f>
        <v>1.53576569962693</v>
      </c>
      <c r="F55" s="23" t="n">
        <f aca="false">T8</f>
        <v>1.5</v>
      </c>
      <c r="G55" s="29" t="n">
        <f aca="false">I18</f>
        <v>0.0473024772727273</v>
      </c>
    </row>
    <row r="56" customFormat="false" ht="15" hidden="false" customHeight="false" outlineLevel="0" collapsed="false">
      <c r="A56" s="4" t="s">
        <v>89</v>
      </c>
      <c r="B56" s="27" t="n">
        <f aca="false">Sync!AG8</f>
        <v>0.887720676497816</v>
      </c>
      <c r="C56" s="27" t="n">
        <f aca="false">SQRT(Alpha_keep^2*Sync!AF8+Q_var)</f>
        <v>1.09505165609086</v>
      </c>
      <c r="D56" s="12" t="n">
        <f aca="false">$B$49*SQRT(Q_var+(Alpha_keep*B56)^2)</f>
        <v>1.27155278488897</v>
      </c>
      <c r="E56" s="12" t="n">
        <f aca="false">$B$49*SQRT(Q_var+(Alpha_keep*C56)^2)</f>
        <v>1.46416116153147</v>
      </c>
      <c r="F56" s="23" t="n">
        <f aca="false">T9</f>
        <v>1.4</v>
      </c>
      <c r="G56" s="29" t="n">
        <f aca="false">I19</f>
        <v>0.08278825</v>
      </c>
    </row>
    <row r="57" customFormat="false" ht="15" hidden="false" customHeight="false" outlineLevel="0" collapsed="false">
      <c r="A57" s="4" t="s">
        <v>90</v>
      </c>
      <c r="B57" s="27" t="n">
        <f aca="false">Sync!AG9</f>
        <v>0.791423421574416</v>
      </c>
      <c r="D57" s="12" t="n">
        <f aca="false">$B$49*SQRT(Q_var+(Alpha_keep*B57)^2)</f>
        <v>1.18726104208601</v>
      </c>
      <c r="F57" s="23" t="n">
        <f aca="false">T10</f>
        <v>1.2</v>
      </c>
      <c r="G57" s="29" t="n">
        <f aca="false">I20</f>
        <v>0.0571820909090909</v>
      </c>
    </row>
    <row r="58" customFormat="false" ht="15" hidden="false" customHeight="false" outlineLevel="0" collapsed="false">
      <c r="A58" s="4" t="s">
        <v>92</v>
      </c>
      <c r="B58" s="27" t="n">
        <f aca="false">Sync!AG11</f>
        <v>3.01892763255976</v>
      </c>
      <c r="D58" s="12" t="n">
        <f aca="false">$B$49*SQRT(Q_var+(Alpha_keep*B58)^2)</f>
        <v>3.50552032610336</v>
      </c>
      <c r="F58" s="23" t="n">
        <f aca="false">T11</f>
        <v>2.8</v>
      </c>
      <c r="G58" s="29" t="n">
        <f aca="false">I21</f>
        <v>0</v>
      </c>
    </row>
    <row r="60" customFormat="false" ht="15" hidden="false" customHeight="false" outlineLevel="0" collapsed="false">
      <c r="A60" s="10" t="s">
        <v>204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0"/>
    <col collapsed="false" customWidth="true" hidden="false" outlineLevel="0" max="3" min="3" style="0" width="11"/>
    <col collapsed="false" customWidth="true" hidden="false" outlineLevel="0" max="4" min="4" style="0" width="9"/>
    <col collapsed="false" customWidth="true" hidden="false" outlineLevel="0" max="5" min="5" style="0" width="11"/>
    <col collapsed="false" customWidth="true" hidden="false" outlineLevel="0" max="7" min="6" style="0" width="10"/>
    <col collapsed="false" customWidth="true" hidden="false" outlineLevel="0" max="8" min="8" style="0" width="9"/>
    <col collapsed="false" customWidth="true" hidden="false" outlineLevel="0" max="9" min="9" style="0" width="10"/>
    <col collapsed="false" customWidth="true" hidden="false" outlineLevel="0" max="11" min="10" style="0" width="11"/>
    <col collapsed="false" customWidth="true" hidden="false" outlineLevel="0" max="12" min="12" style="0" width="10"/>
    <col collapsed="false" customWidth="true" hidden="false" outlineLevel="0" max="13" min="13" style="0" width="9"/>
    <col collapsed="false" customWidth="true" hidden="false" outlineLevel="0" max="14" min="14" style="0" width="10"/>
    <col collapsed="false" customWidth="true" hidden="false" outlineLevel="0" max="15" min="15" style="0" width="9"/>
    <col collapsed="false" customWidth="true" hidden="false" outlineLevel="0" max="16" min="16" style="0" width="10"/>
    <col collapsed="false" customWidth="true" hidden="false" outlineLevel="0" max="17" min="17" style="0" width="12"/>
    <col collapsed="false" customWidth="true" hidden="false" outlineLevel="0" max="18" min="18" style="0" width="10"/>
    <col collapsed="false" customWidth="true" hidden="false" outlineLevel="0" max="19" min="19" style="0" width="11"/>
    <col collapsed="false" customWidth="true" hidden="false" outlineLevel="0" max="20" min="20" style="0" width="3"/>
    <col collapsed="false" customWidth="true" hidden="false" outlineLevel="0" max="21" min="21" style="0" width="40"/>
    <col collapsed="false" customWidth="true" hidden="false" outlineLevel="0" max="22" min="22" style="0" width="12"/>
    <col collapsed="false" customWidth="true" hidden="false" outlineLevel="0" max="23" min="23" style="0" width="10"/>
  </cols>
  <sheetData>
    <row r="1" customFormat="false" ht="15" hidden="false" customHeight="false" outlineLevel="0" collapsed="false">
      <c r="A1" s="1" t="s">
        <v>205</v>
      </c>
    </row>
    <row r="2" customFormat="false" ht="15" hidden="false" customHeight="false" outlineLevel="0" collapsed="false">
      <c r="A2" s="10" t="s">
        <v>206</v>
      </c>
    </row>
    <row r="4" customFormat="false" ht="35.05" hidden="false" customHeight="false" outlineLevel="0" collapsed="false">
      <c r="A4" s="8" t="s">
        <v>104</v>
      </c>
      <c r="B4" s="8" t="s">
        <v>207</v>
      </c>
      <c r="C4" s="8" t="s">
        <v>208</v>
      </c>
      <c r="D4" s="8" t="s">
        <v>105</v>
      </c>
      <c r="E4" s="8" t="s">
        <v>209</v>
      </c>
      <c r="F4" s="8" t="s">
        <v>210</v>
      </c>
      <c r="G4" s="8" t="s">
        <v>106</v>
      </c>
      <c r="H4" s="8" t="s">
        <v>107</v>
      </c>
      <c r="I4" s="8" t="s">
        <v>108</v>
      </c>
      <c r="J4" s="8" t="s">
        <v>211</v>
      </c>
      <c r="K4" s="8" t="s">
        <v>212</v>
      </c>
      <c r="L4" s="8" t="s">
        <v>213</v>
      </c>
      <c r="M4" s="8" t="s">
        <v>214</v>
      </c>
      <c r="N4" s="8" t="s">
        <v>215</v>
      </c>
      <c r="O4" s="8" t="s">
        <v>216</v>
      </c>
      <c r="P4" s="8" t="s">
        <v>217</v>
      </c>
      <c r="Q4" s="8" t="s">
        <v>91</v>
      </c>
      <c r="R4" s="8" t="s">
        <v>218</v>
      </c>
      <c r="S4" s="8" t="s">
        <v>219</v>
      </c>
    </row>
    <row r="5" customFormat="false" ht="15" hidden="false" customHeight="false" outlineLevel="0" collapsed="false">
      <c r="A5" s="18" t="n">
        <v>0</v>
      </c>
      <c r="B5" s="30" t="n">
        <v>-0.75</v>
      </c>
      <c r="C5" s="31" t="n">
        <v>0.479956646165649</v>
      </c>
      <c r="D5" s="18" t="n">
        <f aca="false">IF(AND(A5&gt;0,MOD(A5,Every2)=0),1,0)</f>
        <v>0</v>
      </c>
      <c r="E5" s="27" t="n">
        <f aca="false">Start_c</f>
        <v>58</v>
      </c>
      <c r="F5" s="17" t="str">
        <f aca="false">IF(D5=1,E5+SD_s*C5,"")</f>
        <v/>
      </c>
      <c r="G5" s="32" t="n">
        <v>0</v>
      </c>
      <c r="H5" s="14" t="n">
        <f aca="false">IF(D5=1,G5/(G5+R_s),0)</f>
        <v>0</v>
      </c>
      <c r="I5" s="14" t="n">
        <f aca="false">(1-H5)*G5</f>
        <v>0</v>
      </c>
      <c r="J5" s="27" t="n">
        <f aca="false">Start_c</f>
        <v>58</v>
      </c>
      <c r="K5" s="17" t="n">
        <f aca="false">IF(D5=1,J5+H5*(F5-J5),J5)</f>
        <v>58</v>
      </c>
      <c r="L5" s="17" t="n">
        <f aca="false">SQRT(I5)</f>
        <v>0</v>
      </c>
      <c r="M5" s="17" t="n">
        <f aca="false">MIN(MAX($V$5-Alpha_keep*K5,0),Cap_h)</f>
        <v>0.150000000000006</v>
      </c>
      <c r="N5" s="17" t="n">
        <f aca="false">Cost_k*M5+Short_p*MAX(Floor_c-E5,0)</f>
        <v>0.600000000000023</v>
      </c>
      <c r="O5" s="14" t="n">
        <f aca="false">Beta_q^A5</f>
        <v>1</v>
      </c>
      <c r="P5" s="17" t="n">
        <f aca="false">N5*O5</f>
        <v>0.600000000000023</v>
      </c>
      <c r="Q5" s="27" t="n">
        <f aca="false">Start_c</f>
        <v>58</v>
      </c>
      <c r="R5" s="17" t="n">
        <f aca="false">K5-E5</f>
        <v>0</v>
      </c>
      <c r="S5" s="17" t="n">
        <f aca="false">Q5-E5</f>
        <v>0</v>
      </c>
      <c r="U5" s="2" t="s">
        <v>220</v>
      </c>
      <c r="V5" s="23" t="n">
        <f aca="false">Decide!R6</f>
        <v>56.7</v>
      </c>
      <c r="W5" s="10" t="s">
        <v>221</v>
      </c>
    </row>
    <row r="6" customFormat="false" ht="15" hidden="false" customHeight="false" outlineLevel="0" collapsed="false">
      <c r="A6" s="18" t="n">
        <v>1</v>
      </c>
      <c r="B6" s="30" t="n">
        <v>0</v>
      </c>
      <c r="C6" s="31" t="n">
        <v>-0.550021313531217</v>
      </c>
      <c r="D6" s="18" t="n">
        <f aca="false">IF(AND(A6&gt;0,MOD(A6,Every2)=0),1,0)</f>
        <v>0</v>
      </c>
      <c r="E6" s="17" t="n">
        <f aca="false">Alpha_keep*E5+M5-B5</f>
        <v>57.45</v>
      </c>
      <c r="F6" s="17" t="str">
        <f aca="false">IF(D6=1,E6+SD_s*C6,"")</f>
        <v/>
      </c>
      <c r="G6" s="14" t="n">
        <f aca="false">Alpha_keep^2*I5+Q_var</f>
        <v>0.45</v>
      </c>
      <c r="H6" s="14" t="n">
        <f aca="false">IF(D6=1,G6/(G6+R_s),0)</f>
        <v>0</v>
      </c>
      <c r="I6" s="14" t="n">
        <f aca="false">(1-H6)*G6</f>
        <v>0.45</v>
      </c>
      <c r="J6" s="17" t="n">
        <f aca="false">Alpha_keep*K5+M5</f>
        <v>56.7</v>
      </c>
      <c r="K6" s="17" t="n">
        <f aca="false">IF(D6=1,J6+H6*(F6-J6),J6)</f>
        <v>56.7</v>
      </c>
      <c r="L6" s="17" t="n">
        <f aca="false">SQRT(I6)</f>
        <v>0.670820393249937</v>
      </c>
      <c r="M6" s="17" t="n">
        <f aca="false">MIN(MAX($V$5-Alpha_keep*K6,0),Cap_h)</f>
        <v>1.4175</v>
      </c>
      <c r="N6" s="17" t="n">
        <f aca="false">Cost_k*M6+Short_p*MAX(Floor_c-E6,0)</f>
        <v>5.67000000000002</v>
      </c>
      <c r="O6" s="14" t="n">
        <f aca="false">Beta_q^A6</f>
        <v>0.976454089676311</v>
      </c>
      <c r="P6" s="17" t="n">
        <f aca="false">N6*O6</f>
        <v>5.5364946884647</v>
      </c>
      <c r="Q6" s="17" t="n">
        <f aca="false">IF(D6=1,F6,Alpha_keep*Q5+M5)</f>
        <v>56.7</v>
      </c>
      <c r="R6" s="17" t="n">
        <f aca="false">K6-E6</f>
        <v>-0.75</v>
      </c>
      <c r="S6" s="17" t="n">
        <f aca="false">Q6-E6</f>
        <v>-0.75</v>
      </c>
      <c r="U6" s="2" t="s">
        <v>222</v>
      </c>
      <c r="V6" s="14" t="n">
        <f aca="false">SUM(P5:P29)</f>
        <v>107.438703206098</v>
      </c>
    </row>
    <row r="7" customFormat="false" ht="15" hidden="false" customHeight="false" outlineLevel="0" collapsed="false">
      <c r="A7" s="18" t="n">
        <v>2</v>
      </c>
      <c r="B7" s="30" t="n">
        <v>0.75</v>
      </c>
      <c r="C7" s="31" t="n">
        <v>1.63313638252534</v>
      </c>
      <c r="D7" s="18" t="n">
        <f aca="false">IF(AND(A7&gt;0,MOD(A7,Every2)=0),1,0)</f>
        <v>1</v>
      </c>
      <c r="E7" s="17" t="n">
        <f aca="false">Alpha_keep*E6+M6-B6</f>
        <v>57.43125</v>
      </c>
      <c r="F7" s="17" t="n">
        <f aca="false">IF(D7=1,E7+SD_s*C7,"")</f>
        <v>61.5140909563133</v>
      </c>
      <c r="G7" s="14" t="n">
        <f aca="false">Alpha_keep^2*I6+Q_var</f>
        <v>0.87778125</v>
      </c>
      <c r="H7" s="14" t="n">
        <f aca="false">IF(D7=1,G7/(G7+R_s),0)</f>
        <v>0.123149296984949</v>
      </c>
      <c r="I7" s="14" t="n">
        <f aca="false">(1-H7)*G7</f>
        <v>0.769683106155931</v>
      </c>
      <c r="J7" s="17" t="n">
        <f aca="false">Alpha_keep*K6+M6</f>
        <v>56.7</v>
      </c>
      <c r="K7" s="17" t="n">
        <f aca="false">IF(D7=1,J7+H7*(F7-J7),J7)</f>
        <v>57.2928519168916</v>
      </c>
      <c r="L7" s="17" t="n">
        <f aca="false">SQRT(I7)</f>
        <v>0.877315853131545</v>
      </c>
      <c r="M7" s="17" t="n">
        <f aca="false">MIN(MAX($V$5-Alpha_keep*K7,0),Cap_h)</f>
        <v>0.839469381030703</v>
      </c>
      <c r="N7" s="17" t="n">
        <f aca="false">Cost_k*M7+Short_p*MAX(Floor_c-E7,0)</f>
        <v>3.35787752412281</v>
      </c>
      <c r="O7" s="14" t="n">
        <f aca="false">Beta_q^A7</f>
        <v>0.953462589245592</v>
      </c>
      <c r="P7" s="17" t="n">
        <f aca="false">N7*O7</f>
        <v>3.20161059851972</v>
      </c>
      <c r="Q7" s="17" t="n">
        <f aca="false">IF(D7=1,F7,Alpha_keep*Q6+M6)</f>
        <v>61.5140909563133</v>
      </c>
      <c r="R7" s="17" t="n">
        <f aca="false">K7-E7</f>
        <v>-0.138398083108413</v>
      </c>
      <c r="S7" s="17" t="n">
        <f aca="false">Q7-E7</f>
        <v>4.08284095631334</v>
      </c>
      <c r="U7" s="2" t="s">
        <v>223</v>
      </c>
      <c r="V7" s="21" t="n">
        <f aca="false">K29</f>
        <v>55.3018949616152</v>
      </c>
    </row>
    <row r="8" customFormat="false" ht="15" hidden="false" customHeight="false" outlineLevel="0" collapsed="false">
      <c r="A8" s="18" t="n">
        <v>3</v>
      </c>
      <c r="B8" s="30" t="n">
        <v>-0.75</v>
      </c>
      <c r="C8" s="31" t="n">
        <v>-0.225156836124414</v>
      </c>
      <c r="D8" s="18" t="n">
        <f aca="false">IF(AND(A8&gt;0,MOD(A8,Every2)=0),1,0)</f>
        <v>0</v>
      </c>
      <c r="E8" s="17" t="n">
        <f aca="false">Alpha_keep*E7+M7-B7</f>
        <v>56.0849381310307</v>
      </c>
      <c r="F8" s="17" t="str">
        <f aca="false">IF(D8=1,E8+SD_s*C8,"")</f>
        <v/>
      </c>
      <c r="G8" s="14" t="n">
        <f aca="false">Alpha_keep^2*I7+Q_var</f>
        <v>1.18168000278948</v>
      </c>
      <c r="H8" s="14" t="n">
        <f aca="false">IF(D8=1,G8/(G8+R_s),0)</f>
        <v>0</v>
      </c>
      <c r="I8" s="14" t="n">
        <f aca="false">(1-H8)*G8</f>
        <v>1.18168000278948</v>
      </c>
      <c r="J8" s="17" t="n">
        <f aca="false">Alpha_keep*K7+M7</f>
        <v>56.7</v>
      </c>
      <c r="K8" s="17" t="n">
        <f aca="false">IF(D8=1,J8+H8*(F8-J8),J8)</f>
        <v>56.7</v>
      </c>
      <c r="L8" s="17" t="n">
        <f aca="false">SQRT(I8)</f>
        <v>1.08705105804166</v>
      </c>
      <c r="M8" s="17" t="n">
        <f aca="false">MIN(MAX($V$5-Alpha_keep*K8,0),Cap_h)</f>
        <v>1.4175</v>
      </c>
      <c r="N8" s="17" t="n">
        <f aca="false">Cost_k*M8+Short_p*MAX(Floor_c-E8,0)</f>
        <v>5.67000000000002</v>
      </c>
      <c r="O8" s="14" t="n">
        <f aca="false">Beta_q^A8</f>
        <v>0.931012444622223</v>
      </c>
      <c r="P8" s="17" t="n">
        <f aca="false">N8*O8</f>
        <v>5.27884056100802</v>
      </c>
      <c r="Q8" s="17" t="n">
        <f aca="false">IF(D8=1,F8,Alpha_keep*Q7+M7)</f>
        <v>60.8157080634362</v>
      </c>
      <c r="R8" s="17" t="n">
        <f aca="false">K8-E8</f>
        <v>0.615061868969292</v>
      </c>
      <c r="S8" s="17" t="n">
        <f aca="false">Q8-E8</f>
        <v>4.7307699324055</v>
      </c>
      <c r="U8" s="2" t="s">
        <v>224</v>
      </c>
      <c r="V8" s="21" t="n">
        <f aca="false">L29</f>
        <v>1.33318755887251</v>
      </c>
    </row>
    <row r="9" customFormat="false" ht="15" hidden="false" customHeight="false" outlineLevel="0" collapsed="false">
      <c r="A9" s="18" t="n">
        <v>4</v>
      </c>
      <c r="B9" s="30" t="n">
        <v>-0.75</v>
      </c>
      <c r="C9" s="31" t="n">
        <v>-0.14443599195727</v>
      </c>
      <c r="D9" s="18" t="n">
        <f aca="false">IF(AND(A9&gt;0,MOD(A9,Every2)=0),1,0)</f>
        <v>1</v>
      </c>
      <c r="E9" s="17" t="n">
        <f aca="false">Alpha_keep*E8+M8-B8</f>
        <v>56.8503146777549</v>
      </c>
      <c r="F9" s="17" t="n">
        <f aca="false">IF(D9=1,E9+SD_s*C9,"")</f>
        <v>56.4892246978618</v>
      </c>
      <c r="G9" s="14" t="n">
        <f aca="false">Alpha_keep^2*I8+Q_var</f>
        <v>1.57333455265175</v>
      </c>
      <c r="H9" s="14" t="n">
        <f aca="false">IF(D9=1,G9/(G9+R_s),0)</f>
        <v>0.201107921700532</v>
      </c>
      <c r="I9" s="14" t="n">
        <f aca="false">(1-H9)*G9</f>
        <v>1.25692451062832</v>
      </c>
      <c r="J9" s="17" t="n">
        <f aca="false">Alpha_keep*K8+M8</f>
        <v>56.7</v>
      </c>
      <c r="K9" s="17" t="n">
        <f aca="false">IF(D9=1,J9+H9*(F9-J9),J9)</f>
        <v>56.6576114170412</v>
      </c>
      <c r="L9" s="17" t="n">
        <f aca="false">SQRT(I9)</f>
        <v>1.12112644720759</v>
      </c>
      <c r="M9" s="17" t="n">
        <f aca="false">MIN(MAX($V$5-Alpha_keep*K9,0),Cap_h)</f>
        <v>1.45882886838485</v>
      </c>
      <c r="N9" s="17" t="n">
        <f aca="false">Cost_k*M9+Short_p*MAX(Floor_c-E9,0)</f>
        <v>5.8353154735394</v>
      </c>
      <c r="O9" s="14" t="n">
        <f aca="false">Beta_q^A9</f>
        <v>0.909090909090909</v>
      </c>
      <c r="P9" s="17" t="n">
        <f aca="false">N9*O9</f>
        <v>5.30483224867218</v>
      </c>
      <c r="Q9" s="17" t="n">
        <f aca="false">IF(D9=1,F9,Alpha_keep*Q8+M8)</f>
        <v>56.4892246978618</v>
      </c>
      <c r="R9" s="17" t="n">
        <f aca="false">K9-E9</f>
        <v>-0.192703260713763</v>
      </c>
      <c r="S9" s="17" t="n">
        <f aca="false">Q9-E9</f>
        <v>-0.361089979893173</v>
      </c>
      <c r="U9" s="2" t="s">
        <v>225</v>
      </c>
      <c r="V9" s="12" t="n">
        <f aca="false">MAX(MAX(R5:R29),-MIN(R5:R29))</f>
        <v>3.2212688774095</v>
      </c>
    </row>
    <row r="10" customFormat="false" ht="15" hidden="false" customHeight="false" outlineLevel="0" collapsed="false">
      <c r="A10" s="18" t="n">
        <v>5</v>
      </c>
      <c r="B10" s="30" t="n">
        <v>0</v>
      </c>
      <c r="C10" s="31" t="n">
        <v>0.837918566954528</v>
      </c>
      <c r="D10" s="18" t="n">
        <f aca="false">IF(AND(A10&gt;0,MOD(A10,Every2)=0),1,0)</f>
        <v>0</v>
      </c>
      <c r="E10" s="17" t="n">
        <f aca="false">Alpha_keep*E9+M9-B9</f>
        <v>57.6378856791959</v>
      </c>
      <c r="F10" s="17" t="str">
        <f aca="false">IF(D10=1,E10+SD_s*C10,"")</f>
        <v/>
      </c>
      <c r="G10" s="14" t="n">
        <f aca="false">Alpha_keep^2*I9+Q_var</f>
        <v>1.64486386291605</v>
      </c>
      <c r="H10" s="14" t="n">
        <f aca="false">IF(D10=1,G10/(G10+R_s),0)</f>
        <v>0</v>
      </c>
      <c r="I10" s="14" t="n">
        <f aca="false">(1-H10)*G10</f>
        <v>1.64486386291605</v>
      </c>
      <c r="J10" s="17" t="n">
        <f aca="false">Alpha_keep*K9+M9</f>
        <v>56.7</v>
      </c>
      <c r="K10" s="17" t="n">
        <f aca="false">IF(D10=1,J10+H10*(F10-J10),J10)</f>
        <v>56.7</v>
      </c>
      <c r="L10" s="17" t="n">
        <f aca="false">SQRT(I10)</f>
        <v>1.28252246097916</v>
      </c>
      <c r="M10" s="17" t="n">
        <f aca="false">MIN(MAX($V$5-Alpha_keep*K10,0),Cap_h)</f>
        <v>1.4175</v>
      </c>
      <c r="N10" s="17" t="n">
        <f aca="false">Cost_k*M10+Short_p*MAX(Floor_c-E10,0)</f>
        <v>5.67000000000002</v>
      </c>
      <c r="O10" s="14" t="n">
        <f aca="false">Beta_q^A10</f>
        <v>0.887685536069373</v>
      </c>
      <c r="P10" s="17" t="n">
        <f aca="false">N10*O10</f>
        <v>5.03317698951336</v>
      </c>
      <c r="Q10" s="17" t="n">
        <f aca="false">IF(D10=1,F10,Alpha_keep*Q9+M9)</f>
        <v>56.5358229488001</v>
      </c>
      <c r="R10" s="17" t="n">
        <f aca="false">K10-E10</f>
        <v>-0.937885679195915</v>
      </c>
      <c r="S10" s="17" t="n">
        <f aca="false">Q10-E10</f>
        <v>-1.10206273039584</v>
      </c>
      <c r="U10" s="2" t="s">
        <v>226</v>
      </c>
      <c r="V10" s="12" t="n">
        <f aca="false">MAX(MAX(S5:S29),-MIN(S5:S29))</f>
        <v>7.26686327177534</v>
      </c>
    </row>
    <row r="11" customFormat="false" ht="15" hidden="false" customHeight="false" outlineLevel="0" collapsed="false">
      <c r="A11" s="18" t="n">
        <v>6</v>
      </c>
      <c r="B11" s="30" t="n">
        <v>-0.75</v>
      </c>
      <c r="C11" s="31" t="n">
        <v>1.4595409907368</v>
      </c>
      <c r="D11" s="18" t="n">
        <f aca="false">IF(AND(A11&gt;0,MOD(A11,Every2)=0),1,0)</f>
        <v>1</v>
      </c>
      <c r="E11" s="17" t="n">
        <f aca="false">Alpha_keep*E10+M10-B10</f>
        <v>57.614438537216</v>
      </c>
      <c r="F11" s="17" t="n">
        <f aca="false">IF(D11=1,E11+SD_s*C11,"")</f>
        <v>61.263291014058</v>
      </c>
      <c r="G11" s="14" t="n">
        <f aca="false">Alpha_keep^2*I10+Q_var</f>
        <v>2.01364870968457</v>
      </c>
      <c r="H11" s="14" t="n">
        <f aca="false">IF(D11=1,G11/(G11+R_s),0)</f>
        <v>0.243675497401611</v>
      </c>
      <c r="I11" s="14" t="n">
        <f aca="false">(1-H11)*G11</f>
        <v>1.52297185876007</v>
      </c>
      <c r="J11" s="17" t="n">
        <f aca="false">Alpha_keep*K10+M10</f>
        <v>56.7</v>
      </c>
      <c r="K11" s="17" t="n">
        <f aca="false">IF(D11=1,J11+H11*(F11-J11),J11)</f>
        <v>57.8119622076389</v>
      </c>
      <c r="L11" s="17" t="n">
        <f aca="false">SQRT(I11)</f>
        <v>1.23408745993145</v>
      </c>
      <c r="M11" s="17" t="n">
        <f aca="false">MIN(MAX($V$5-Alpha_keep*K11,0),Cap_h)</f>
        <v>0.333336847552083</v>
      </c>
      <c r="N11" s="17" t="n">
        <f aca="false">Cost_k*M11+Short_p*MAX(Floor_c-E11,0)</f>
        <v>1.33334739020833</v>
      </c>
      <c r="O11" s="14" t="n">
        <f aca="false">Beta_q^A11</f>
        <v>0.866784172041448</v>
      </c>
      <c r="P11" s="17" t="n">
        <f aca="false">N11*O11</f>
        <v>1.15572441366535</v>
      </c>
      <c r="Q11" s="17" t="n">
        <f aca="false">IF(D11=1,F11,Alpha_keep*Q10+M10)</f>
        <v>61.263291014058</v>
      </c>
      <c r="R11" s="17" t="n">
        <f aca="false">K11-E11</f>
        <v>0.197523670422868</v>
      </c>
      <c r="S11" s="17" t="n">
        <f aca="false">Q11-E11</f>
        <v>3.648852476842</v>
      </c>
    </row>
    <row r="12" customFormat="false" ht="15" hidden="false" customHeight="false" outlineLevel="0" collapsed="false">
      <c r="A12" s="18" t="n">
        <v>7</v>
      </c>
      <c r="B12" s="30" t="n">
        <v>0</v>
      </c>
      <c r="C12" s="31" t="n">
        <v>0.514000538654216</v>
      </c>
      <c r="D12" s="18" t="n">
        <f aca="false">IF(AND(A12&gt;0,MOD(A12,Every2)=0),1,0)</f>
        <v>0</v>
      </c>
      <c r="E12" s="17" t="n">
        <f aca="false">Alpha_keep*E11+M11-B11</f>
        <v>57.2574144213377</v>
      </c>
      <c r="F12" s="17" t="str">
        <f aca="false">IF(D12=1,E12+SD_s*C12,"")</f>
        <v/>
      </c>
      <c r="G12" s="14" t="n">
        <f aca="false">Alpha_keep^2*I11+Q_var</f>
        <v>1.89777512323379</v>
      </c>
      <c r="H12" s="14" t="n">
        <f aca="false">IF(D12=1,G12/(G12+R_s),0)</f>
        <v>0</v>
      </c>
      <c r="I12" s="14" t="n">
        <f aca="false">(1-H12)*G12</f>
        <v>1.89777512323379</v>
      </c>
      <c r="J12" s="17" t="n">
        <f aca="false">Alpha_keep*K11+M11</f>
        <v>56.7</v>
      </c>
      <c r="K12" s="17" t="n">
        <f aca="false">IF(D12=1,J12+H12*(F12-J12),J12)</f>
        <v>56.7</v>
      </c>
      <c r="L12" s="17" t="n">
        <f aca="false">SQRT(I12)</f>
        <v>1.37759759118321</v>
      </c>
      <c r="M12" s="17" t="n">
        <f aca="false">MIN(MAX($V$5-Alpha_keep*K12,0),Cap_h)</f>
        <v>1.4175</v>
      </c>
      <c r="N12" s="17" t="n">
        <f aca="false">Cost_k*M12+Short_p*MAX(Floor_c-E12,0)</f>
        <v>5.67000000000002</v>
      </c>
      <c r="O12" s="14" t="n">
        <f aca="false">Beta_q^A12</f>
        <v>0.846374949656566</v>
      </c>
      <c r="P12" s="17" t="n">
        <f aca="false">N12*O12</f>
        <v>4.79894596455274</v>
      </c>
      <c r="Q12" s="17" t="n">
        <f aca="false">IF(D12=1,F12,Alpha_keep*Q11+M11)</f>
        <v>60.0650455862587</v>
      </c>
      <c r="R12" s="17" t="n">
        <f aca="false">K12-E12</f>
        <v>-0.557414421337704</v>
      </c>
      <c r="S12" s="17" t="n">
        <f aca="false">Q12-E12</f>
        <v>2.80763116492095</v>
      </c>
    </row>
    <row r="13" customFormat="false" ht="15" hidden="false" customHeight="false" outlineLevel="0" collapsed="false">
      <c r="A13" s="18" t="n">
        <v>8</v>
      </c>
      <c r="B13" s="30" t="n">
        <v>0</v>
      </c>
      <c r="C13" s="31" t="n">
        <v>1.35673893063991</v>
      </c>
      <c r="D13" s="18" t="n">
        <f aca="false">IF(AND(A13&gt;0,MOD(A13,Every2)=0),1,0)</f>
        <v>1</v>
      </c>
      <c r="E13" s="17" t="n">
        <f aca="false">Alpha_keep*E12+M12-B12</f>
        <v>57.2434790608043</v>
      </c>
      <c r="F13" s="17" t="n">
        <f aca="false">IF(D13=1,E13+SD_s*C13,"")</f>
        <v>60.6353263874041</v>
      </c>
      <c r="G13" s="14" t="n">
        <f aca="false">Alpha_keep^2*I12+Q_var</f>
        <v>2.25407247652412</v>
      </c>
      <c r="H13" s="14" t="n">
        <f aca="false">IF(D13=1,G13/(G13+R_s),0)</f>
        <v>0.265058004002975</v>
      </c>
      <c r="I13" s="14" t="n">
        <f aca="false">(1-H13)*G13</f>
        <v>1.6566125250186</v>
      </c>
      <c r="J13" s="17" t="n">
        <f aca="false">Alpha_keep*K12+M12</f>
        <v>56.7</v>
      </c>
      <c r="K13" s="17" t="n">
        <f aca="false">IF(D13=1,J13+H13*(F13-J13),J13)</f>
        <v>57.7430897573456</v>
      </c>
      <c r="L13" s="17" t="n">
        <f aca="false">SQRT(I13)</f>
        <v>1.28709460608713</v>
      </c>
      <c r="M13" s="17" t="n">
        <f aca="false">MIN(MAX($V$5-Alpha_keep*K13,0),Cap_h)</f>
        <v>0.400487486588084</v>
      </c>
      <c r="N13" s="17" t="n">
        <f aca="false">Cost_k*M13+Short_p*MAX(Floor_c-E13,0)</f>
        <v>1.60194994635233</v>
      </c>
      <c r="O13" s="14" t="n">
        <f aca="false">Beta_q^A13</f>
        <v>0.826446280991735</v>
      </c>
      <c r="P13" s="17" t="n">
        <f aca="false">N13*O13</f>
        <v>1.3239255754978</v>
      </c>
      <c r="Q13" s="17" t="n">
        <f aca="false">IF(D13=1,F13,Alpha_keep*Q12+M12)</f>
        <v>60.6353263874041</v>
      </c>
      <c r="R13" s="17" t="n">
        <f aca="false">K13-E13</f>
        <v>0.499610696541289</v>
      </c>
      <c r="S13" s="17" t="n">
        <f aca="false">Q13-E13</f>
        <v>3.39184732659978</v>
      </c>
    </row>
    <row r="14" customFormat="false" ht="15" hidden="false" customHeight="false" outlineLevel="0" collapsed="false">
      <c r="A14" s="18" t="n">
        <v>9</v>
      </c>
      <c r="B14" s="30" t="n">
        <v>0</v>
      </c>
      <c r="C14" s="31" t="n">
        <v>0.288405845947196</v>
      </c>
      <c r="D14" s="18" t="n">
        <f aca="false">IF(AND(A14&gt;0,MOD(A14,Every2)=0),1,0)</f>
        <v>0</v>
      </c>
      <c r="E14" s="17" t="n">
        <f aca="false">Alpha_keep*E13+M13-B13</f>
        <v>56.2128795708722</v>
      </c>
      <c r="F14" s="17" t="str">
        <f aca="false">IF(D14=1,E14+SD_s*C14,"")</f>
        <v/>
      </c>
      <c r="G14" s="14" t="n">
        <f aca="false">Alpha_keep^2*I13+Q_var</f>
        <v>2.0248172815958</v>
      </c>
      <c r="H14" s="14" t="n">
        <f aca="false">IF(D14=1,G14/(G14+R_s),0)</f>
        <v>0</v>
      </c>
      <c r="I14" s="14" t="n">
        <f aca="false">(1-H14)*G14</f>
        <v>2.0248172815958</v>
      </c>
      <c r="J14" s="17" t="n">
        <f aca="false">Alpha_keep*K13+M13</f>
        <v>56.7</v>
      </c>
      <c r="K14" s="17" t="n">
        <f aca="false">IF(D14=1,J14+H14*(F14-J14),J14)</f>
        <v>56.7</v>
      </c>
      <c r="L14" s="17" t="n">
        <f aca="false">SQRT(I14)</f>
        <v>1.4229607449244</v>
      </c>
      <c r="M14" s="17" t="n">
        <f aca="false">MIN(MAX($V$5-Alpha_keep*K14,0),Cap_h)</f>
        <v>1.4175</v>
      </c>
      <c r="N14" s="17" t="n">
        <f aca="false">Cost_k*M14+Short_p*MAX(Floor_c-E14,0)</f>
        <v>5.67000000000002</v>
      </c>
      <c r="O14" s="14" t="n">
        <f aca="false">Beta_q^A14</f>
        <v>0.806986850972157</v>
      </c>
      <c r="P14" s="17" t="n">
        <f aca="false">N14*O14</f>
        <v>4.57561544501215</v>
      </c>
      <c r="Q14" s="17" t="n">
        <f aca="false">IF(D14=1,F14,Alpha_keep*Q13+M13)</f>
        <v>59.519930714307</v>
      </c>
      <c r="R14" s="17" t="n">
        <f aca="false">K14-E14</f>
        <v>0.487120429127756</v>
      </c>
      <c r="S14" s="17" t="n">
        <f aca="false">Q14-E14</f>
        <v>3.30705114343478</v>
      </c>
    </row>
    <row r="15" customFormat="false" ht="15" hidden="false" customHeight="false" outlineLevel="0" collapsed="false">
      <c r="A15" s="18" t="n">
        <v>10</v>
      </c>
      <c r="B15" s="30" t="n">
        <v>0</v>
      </c>
      <c r="C15" s="31" t="n">
        <v>0.312660563925969</v>
      </c>
      <c r="D15" s="18" t="n">
        <f aca="false">IF(AND(A15&gt;0,MOD(A15,Every2)=0),1,0)</f>
        <v>1</v>
      </c>
      <c r="E15" s="17" t="n">
        <f aca="false">Alpha_keep*E14+M14-B14</f>
        <v>56.2250575816004</v>
      </c>
      <c r="F15" s="17" t="n">
        <f aca="false">IF(D15=1,E15+SD_s*C15,"")</f>
        <v>57.0067089914154</v>
      </c>
      <c r="G15" s="14" t="n">
        <f aca="false">Alpha_keep^2*I14+Q_var</f>
        <v>2.37484192831701</v>
      </c>
      <c r="H15" s="14" t="n">
        <f aca="false">IF(D15=1,G15/(G15+R_s),0)</f>
        <v>0.275349038052506</v>
      </c>
      <c r="I15" s="14" t="n">
        <f aca="false">(1-H15)*G15</f>
        <v>1.72093148782816</v>
      </c>
      <c r="J15" s="17" t="n">
        <f aca="false">Alpha_keep*K14+M14</f>
        <v>56.7</v>
      </c>
      <c r="K15" s="17" t="n">
        <f aca="false">IF(D15=1,J15+H15*(F15-J15),J15)</f>
        <v>56.7844520257483</v>
      </c>
      <c r="L15" s="17" t="n">
        <f aca="false">SQRT(I15)</f>
        <v>1.3118427831978</v>
      </c>
      <c r="M15" s="17" t="n">
        <f aca="false">MIN(MAX($V$5-Alpha_keep*K15,0),Cap_h)</f>
        <v>1.33515927489543</v>
      </c>
      <c r="N15" s="17" t="n">
        <f aca="false">Cost_k*M15+Short_p*MAX(Floor_c-E15,0)</f>
        <v>5.34063709958173</v>
      </c>
      <c r="O15" s="14" t="n">
        <f aca="false">Beta_q^A15</f>
        <v>0.78798561094677</v>
      </c>
      <c r="P15" s="17" t="n">
        <f aca="false">N15*O15</f>
        <v>4.2083451877589</v>
      </c>
      <c r="Q15" s="17" t="n">
        <f aca="false">IF(D15=1,F15,Alpha_keep*Q14+M14)</f>
        <v>57.0067089914154</v>
      </c>
      <c r="R15" s="17" t="n">
        <f aca="false">K15-E15</f>
        <v>0.559394444147834</v>
      </c>
      <c r="S15" s="17" t="n">
        <f aca="false">Q15-E15</f>
        <v>0.78165140981492</v>
      </c>
    </row>
    <row r="16" customFormat="false" ht="15" hidden="false" customHeight="false" outlineLevel="0" collapsed="false">
      <c r="A16" s="18" t="n">
        <v>11</v>
      </c>
      <c r="B16" s="30" t="n">
        <v>0</v>
      </c>
      <c r="C16" s="31" t="n">
        <v>0.330843835667195</v>
      </c>
      <c r="D16" s="18" t="n">
        <f aca="false">IF(AND(A16&gt;0,MOD(A16,Every2)=0),1,0)</f>
        <v>0</v>
      </c>
      <c r="E16" s="17" t="n">
        <f aca="false">Alpha_keep*E15+M15-B15</f>
        <v>56.1545904169559</v>
      </c>
      <c r="F16" s="17" t="str">
        <f aca="false">IF(D16=1,E16+SD_s*C16,"")</f>
        <v/>
      </c>
      <c r="G16" s="14" t="n">
        <f aca="false">Alpha_keep^2*I15+Q_var</f>
        <v>2.08596049561665</v>
      </c>
      <c r="H16" s="14" t="n">
        <f aca="false">IF(D16=1,G16/(G16+R_s),0)</f>
        <v>0</v>
      </c>
      <c r="I16" s="14" t="n">
        <f aca="false">(1-H16)*G16</f>
        <v>2.08596049561665</v>
      </c>
      <c r="J16" s="17" t="n">
        <f aca="false">Alpha_keep*K15+M15</f>
        <v>56.7</v>
      </c>
      <c r="K16" s="17" t="n">
        <f aca="false">IF(D16=1,J16+H16*(F16-J16),J16)</f>
        <v>56.7</v>
      </c>
      <c r="L16" s="17" t="n">
        <f aca="false">SQRT(I16)</f>
        <v>1.44428546195572</v>
      </c>
      <c r="M16" s="17" t="n">
        <f aca="false">MIN(MAX($V$5-Alpha_keep*K16,0),Cap_h)</f>
        <v>1.4175</v>
      </c>
      <c r="N16" s="17" t="n">
        <f aca="false">Cost_k*M16+Short_p*MAX(Floor_c-E16,0)</f>
        <v>5.67000000000002</v>
      </c>
      <c r="O16" s="14" t="n">
        <f aca="false">Beta_q^A16</f>
        <v>0.76943177241506</v>
      </c>
      <c r="P16" s="17" t="n">
        <f aca="false">N16*O16</f>
        <v>4.3626781495934</v>
      </c>
      <c r="Q16" s="17" t="n">
        <f aca="false">IF(D16=1,F16,Alpha_keep*Q15+M15)</f>
        <v>56.9167005415254</v>
      </c>
      <c r="R16" s="17" t="n">
        <f aca="false">K16-E16</f>
        <v>0.54540958304414</v>
      </c>
      <c r="S16" s="17" t="n">
        <f aca="false">Q16-E16</f>
        <v>0.762110124569553</v>
      </c>
    </row>
    <row r="17" customFormat="false" ht="15" hidden="false" customHeight="false" outlineLevel="0" collapsed="false">
      <c r="A17" s="18" t="n">
        <v>12</v>
      </c>
      <c r="B17" s="30" t="n">
        <v>0</v>
      </c>
      <c r="C17" s="31" t="n">
        <v>0.782017726881792</v>
      </c>
      <c r="D17" s="18" t="n">
        <f aca="false">IF(AND(A17&gt;0,MOD(A17,Every2)=0),1,0)</f>
        <v>1</v>
      </c>
      <c r="E17" s="17" t="n">
        <f aca="false">Alpha_keep*E16+M16-B16</f>
        <v>56.168225656532</v>
      </c>
      <c r="F17" s="17" t="n">
        <f aca="false">IF(D17=1,E17+SD_s*C17,"")</f>
        <v>58.1232699737365</v>
      </c>
      <c r="G17" s="14" t="n">
        <f aca="false">Alpha_keep^2*I16+Q_var</f>
        <v>2.43296619614558</v>
      </c>
      <c r="H17" s="14" t="n">
        <f aca="false">IF(D17=1,G17/(G17+R_s),0)</f>
        <v>0.280199892661748</v>
      </c>
      <c r="I17" s="14" t="n">
        <f aca="false">(1-H17)*G17</f>
        <v>1.75124932913592</v>
      </c>
      <c r="J17" s="17" t="n">
        <f aca="false">Alpha_keep*K16+M16</f>
        <v>56.7</v>
      </c>
      <c r="K17" s="17" t="n">
        <f aca="false">IF(D17=1,J17+H17*(F17-J17),J17)</f>
        <v>57.0988000938696</v>
      </c>
      <c r="L17" s="17" t="n">
        <f aca="false">SQRT(I17)</f>
        <v>1.3233477733143</v>
      </c>
      <c r="M17" s="17" t="n">
        <f aca="false">MIN(MAX($V$5-Alpha_keep*K17,0),Cap_h)</f>
        <v>1.02866990847711</v>
      </c>
      <c r="N17" s="17" t="n">
        <f aca="false">Cost_k*M17+Short_p*MAX(Floor_c-E17,0)</f>
        <v>4.11467963390842</v>
      </c>
      <c r="O17" s="14" t="n">
        <f aca="false">Beta_q^A17</f>
        <v>0.751314800901578</v>
      </c>
      <c r="P17" s="17" t="n">
        <f aca="false">N17*O17</f>
        <v>3.09141970992368</v>
      </c>
      <c r="Q17" s="17" t="n">
        <f aca="false">IF(D17=1,F17,Alpha_keep*Q16+M16)</f>
        <v>58.1232699737365</v>
      </c>
      <c r="R17" s="17" t="n">
        <f aca="false">K17-E17</f>
        <v>0.930574437337675</v>
      </c>
      <c r="S17" s="17" t="n">
        <f aca="false">Q17-E17</f>
        <v>1.95504431720448</v>
      </c>
    </row>
    <row r="18" customFormat="false" ht="15" hidden="false" customHeight="false" outlineLevel="0" collapsed="false">
      <c r="A18" s="18" t="n">
        <v>13</v>
      </c>
      <c r="B18" s="30" t="n">
        <v>0.75</v>
      </c>
      <c r="C18" s="31" t="n">
        <v>-1.38761018172933</v>
      </c>
      <c r="D18" s="18" t="n">
        <f aca="false">IF(AND(A18&gt;0,MOD(A18,Every2)=0),1,0)</f>
        <v>0</v>
      </c>
      <c r="E18" s="17" t="n">
        <f aca="false">Alpha_keep*E17+M17-B17</f>
        <v>55.7926899235958</v>
      </c>
      <c r="F18" s="17" t="str">
        <f aca="false">IF(D18=1,E18+SD_s*C18,"")</f>
        <v/>
      </c>
      <c r="G18" s="14" t="n">
        <f aca="false">Alpha_keep^2*I17+Q_var</f>
        <v>2.11478139350984</v>
      </c>
      <c r="H18" s="14" t="n">
        <f aca="false">IF(D18=1,G18/(G18+R_s),0)</f>
        <v>0</v>
      </c>
      <c r="I18" s="14" t="n">
        <f aca="false">(1-H18)*G18</f>
        <v>2.11478139350984</v>
      </c>
      <c r="J18" s="17" t="n">
        <f aca="false">Alpha_keep*K17+M17</f>
        <v>56.7</v>
      </c>
      <c r="K18" s="17" t="n">
        <f aca="false">IF(D18=1,J18+H18*(F18-J18),J18)</f>
        <v>56.7</v>
      </c>
      <c r="L18" s="17" t="n">
        <f aca="false">SQRT(I18)</f>
        <v>1.4542287968232</v>
      </c>
      <c r="M18" s="17" t="n">
        <f aca="false">MIN(MAX($V$5-Alpha_keep*K18,0),Cap_h)</f>
        <v>1.4175</v>
      </c>
      <c r="N18" s="17" t="n">
        <f aca="false">Cost_k*M18+Short_p*MAX(Floor_c-E18,0)</f>
        <v>5.67000000000002</v>
      </c>
      <c r="O18" s="14" t="n">
        <f aca="false">Beta_q^A18</f>
        <v>0.733624409974689</v>
      </c>
      <c r="P18" s="17" t="n">
        <f aca="false">N18*O18</f>
        <v>4.1596504045565</v>
      </c>
      <c r="Q18" s="17" t="n">
        <f aca="false">IF(D18=1,F18,Alpha_keep*Q17+M17)</f>
        <v>57.6988581328701</v>
      </c>
      <c r="R18" s="17" t="n">
        <f aca="false">K18-E18</f>
        <v>0.907310076404229</v>
      </c>
      <c r="S18" s="17" t="n">
        <f aca="false">Q18-E18</f>
        <v>1.90616820927437</v>
      </c>
    </row>
    <row r="19" customFormat="false" ht="15" hidden="false" customHeight="false" outlineLevel="0" collapsed="false">
      <c r="A19" s="18" t="n">
        <v>14</v>
      </c>
      <c r="B19" s="30" t="n">
        <v>1.5</v>
      </c>
      <c r="C19" s="31" t="n">
        <v>0.839045026912396</v>
      </c>
      <c r="D19" s="18" t="n">
        <f aca="false">IF(AND(A19&gt;0,MOD(A19,Every2)=0),1,0)</f>
        <v>1</v>
      </c>
      <c r="E19" s="17" t="n">
        <f aca="false">Alpha_keep*E18+M18-B18</f>
        <v>55.0653726755059</v>
      </c>
      <c r="F19" s="17" t="n">
        <f aca="false">IF(D19=1,E19+SD_s*C19,"")</f>
        <v>57.1629852427869</v>
      </c>
      <c r="G19" s="14" t="n">
        <f aca="false">Alpha_keep^2*I18+Q_var</f>
        <v>2.46036406220529</v>
      </c>
      <c r="H19" s="14" t="n">
        <f aca="false">IF(D19=1,G19/(G19+R_s),0)</f>
        <v>0.28246397563116</v>
      </c>
      <c r="I19" s="14" t="n">
        <f aca="false">(1-H19)*G19</f>
        <v>1.76539984769475</v>
      </c>
      <c r="J19" s="17" t="n">
        <f aca="false">Alpha_keep*K18+M18</f>
        <v>56.7</v>
      </c>
      <c r="K19" s="17" t="n">
        <f aca="false">IF(D19=1,J19+H19*(F19-J19),J19)</f>
        <v>56.8307766523361</v>
      </c>
      <c r="L19" s="17" t="n">
        <f aca="false">SQRT(I19)</f>
        <v>1.32868350170187</v>
      </c>
      <c r="M19" s="17" t="n">
        <f aca="false">MIN(MAX($V$5-Alpha_keep*K19,0),Cap_h)</f>
        <v>1.28999276397226</v>
      </c>
      <c r="N19" s="17" t="n">
        <f aca="false">Cost_k*M19+Short_p*MAX(Floor_c-E19,0)</f>
        <v>5.15997105588906</v>
      </c>
      <c r="O19" s="14" t="n">
        <f aca="false">Beta_q^A19</f>
        <v>0.716350555406155</v>
      </c>
      <c r="P19" s="17" t="n">
        <f aca="false">N19*O19</f>
        <v>3.69634813176581</v>
      </c>
      <c r="Q19" s="17" t="n">
        <f aca="false">IF(D19=1,F19,Alpha_keep*Q18+M18)</f>
        <v>57.1629852427869</v>
      </c>
      <c r="R19" s="17" t="n">
        <f aca="false">K19-E19</f>
        <v>1.76540397683026</v>
      </c>
      <c r="S19" s="17" t="n">
        <f aca="false">Q19-E19</f>
        <v>2.09761256728099</v>
      </c>
    </row>
    <row r="20" customFormat="false" ht="15" hidden="false" customHeight="false" outlineLevel="0" collapsed="false">
      <c r="A20" s="18" t="n">
        <v>15</v>
      </c>
      <c r="B20" s="30" t="n">
        <v>0</v>
      </c>
      <c r="C20" s="31" t="n">
        <v>1.21594438006212</v>
      </c>
      <c r="D20" s="18" t="n">
        <f aca="false">IF(AND(A20&gt;0,MOD(A20,Every2)=0),1,0)</f>
        <v>0</v>
      </c>
      <c r="E20" s="17" t="n">
        <f aca="false">Alpha_keep*E19+M19-B19</f>
        <v>53.4787311225905</v>
      </c>
      <c r="F20" s="17" t="str">
        <f aca="false">IF(D20=1,E20+SD_s*C20,"")</f>
        <v/>
      </c>
      <c r="G20" s="14" t="n">
        <f aca="false">Alpha_keep^2*I19+Q_var</f>
        <v>2.12823323021482</v>
      </c>
      <c r="H20" s="14" t="n">
        <f aca="false">IF(D20=1,G20/(G20+R_s),0)</f>
        <v>0</v>
      </c>
      <c r="I20" s="14" t="n">
        <f aca="false">(1-H20)*G20</f>
        <v>2.12823323021482</v>
      </c>
      <c r="J20" s="17" t="n">
        <f aca="false">Alpha_keep*K19+M19</f>
        <v>56.7</v>
      </c>
      <c r="K20" s="17" t="n">
        <f aca="false">IF(D20=1,J20+H20*(F20-J20),J20)</f>
        <v>56.7</v>
      </c>
      <c r="L20" s="17" t="n">
        <f aca="false">SQRT(I20)</f>
        <v>1.45884654100931</v>
      </c>
      <c r="M20" s="17" t="n">
        <f aca="false">MIN(MAX($V$5-Alpha_keep*K20,0),Cap_h)</f>
        <v>1.4175</v>
      </c>
      <c r="N20" s="17" t="n">
        <f aca="false">Cost_k*M20+Short_p*MAX(Floor_c-E20,0)</f>
        <v>8.10403020385521</v>
      </c>
      <c r="O20" s="14" t="n">
        <f aca="false">Beta_q^A20</f>
        <v>0.699483429468236</v>
      </c>
      <c r="P20" s="17" t="n">
        <f aca="false">N20*O20</f>
        <v>5.66863483950681</v>
      </c>
      <c r="Q20" s="17" t="n">
        <f aca="false">IF(D20=1,F20,Alpha_keep*Q19+M19)</f>
        <v>57.0239033756895</v>
      </c>
      <c r="R20" s="17" t="n">
        <f aca="false">K20-E20</f>
        <v>3.2212688774095</v>
      </c>
      <c r="S20" s="17" t="n">
        <f aca="false">Q20-E20</f>
        <v>3.54517225309896</v>
      </c>
    </row>
    <row r="21" customFormat="false" ht="15" hidden="false" customHeight="false" outlineLevel="0" collapsed="false">
      <c r="A21" s="18" t="n">
        <v>16</v>
      </c>
      <c r="B21" s="30" t="n">
        <v>0.75</v>
      </c>
      <c r="C21" s="31" t="n">
        <v>-0.768114389139586</v>
      </c>
      <c r="D21" s="18" t="n">
        <f aca="false">IF(AND(A21&gt;0,MOD(A21,Every2)=0),1,0)</f>
        <v>1</v>
      </c>
      <c r="E21" s="17" t="n">
        <f aca="false">Alpha_keep*E20+M20-B20</f>
        <v>53.5592628445257</v>
      </c>
      <c r="F21" s="17" t="n">
        <f aca="false">IF(D21=1,E21+SD_s*C21,"")</f>
        <v>51.6389768716768</v>
      </c>
      <c r="G21" s="14" t="n">
        <f aca="false">Alpha_keep^2*I20+Q_var</f>
        <v>2.47315171447297</v>
      </c>
      <c r="H21" s="14" t="n">
        <f aca="false">IF(D21=1,G21/(G21+R_s),0)</f>
        <v>0.28351584328972</v>
      </c>
      <c r="I21" s="14" t="n">
        <f aca="false">(1-H21)*G21</f>
        <v>1.77197402056075</v>
      </c>
      <c r="J21" s="17" t="n">
        <f aca="false">Alpha_keep*K20+M20</f>
        <v>56.7</v>
      </c>
      <c r="K21" s="17" t="n">
        <f aca="false">IF(D21=1,J21+H21*(F21-J21),J21)</f>
        <v>55.2651197598647</v>
      </c>
      <c r="L21" s="17" t="n">
        <f aca="false">SQRT(I21)</f>
        <v>1.3311551451881</v>
      </c>
      <c r="M21" s="17" t="n">
        <f aca="false">MIN(MAX($V$5-Alpha_keep*K21,0),Cap_h)</f>
        <v>2.5</v>
      </c>
      <c r="N21" s="17" t="n">
        <f aca="false">Cost_k*M21+Short_p*MAX(Floor_c-E21,0)</f>
        <v>12.3051794487588</v>
      </c>
      <c r="O21" s="14" t="n">
        <f aca="false">Beta_q^A21</f>
        <v>0.683013455365071</v>
      </c>
      <c r="P21" s="17" t="n">
        <f aca="false">N21*O21</f>
        <v>8.40460313418401</v>
      </c>
      <c r="Q21" s="17" t="n">
        <f aca="false">IF(D21=1,F21,Alpha_keep*Q20+M20)</f>
        <v>51.6389768716768</v>
      </c>
      <c r="R21" s="17" t="n">
        <f aca="false">K21-E21</f>
        <v>1.70585691533893</v>
      </c>
      <c r="S21" s="17" t="n">
        <f aca="false">Q21-E21</f>
        <v>-1.92028597284897</v>
      </c>
    </row>
    <row r="22" customFormat="false" ht="15" hidden="false" customHeight="false" outlineLevel="0" collapsed="false">
      <c r="A22" s="18" t="n">
        <v>17</v>
      </c>
      <c r="B22" s="30" t="n">
        <v>0</v>
      </c>
      <c r="C22" s="31" t="n">
        <v>0.663609260006805</v>
      </c>
      <c r="D22" s="18" t="n">
        <f aca="false">IF(AND(A22&gt;0,MOD(A22,Every2)=0),1,0)</f>
        <v>0</v>
      </c>
      <c r="E22" s="17" t="n">
        <f aca="false">Alpha_keep*E21+M21-B21</f>
        <v>53.9702812734126</v>
      </c>
      <c r="F22" s="17" t="str">
        <f aca="false">IF(D22=1,E22+SD_s*C22,"")</f>
        <v/>
      </c>
      <c r="G22" s="14" t="n">
        <f aca="false">Alpha_keep^2*I21+Q_var</f>
        <v>2.13448280329556</v>
      </c>
      <c r="H22" s="14" t="n">
        <f aca="false">IF(D22=1,G22/(G22+R_s),0)</f>
        <v>0</v>
      </c>
      <c r="I22" s="14" t="n">
        <f aca="false">(1-H22)*G22</f>
        <v>2.13448280329556</v>
      </c>
      <c r="J22" s="17" t="n">
        <f aca="false">Alpha_keep*K21+M21</f>
        <v>56.3834917658681</v>
      </c>
      <c r="K22" s="17" t="n">
        <f aca="false">IF(D22=1,J22+H22*(F22-J22),J22)</f>
        <v>56.3834917658681</v>
      </c>
      <c r="L22" s="17" t="n">
        <f aca="false">SQRT(I22)</f>
        <v>1.46098692783185</v>
      </c>
      <c r="M22" s="17" t="n">
        <f aca="false">MIN(MAX($V$5-Alpha_keep*K22,0),Cap_h)</f>
        <v>1.72609552827866</v>
      </c>
      <c r="N22" s="17" t="n">
        <f aca="false">Cost_k*M22+Short_p*MAX(Floor_c-E22,0)</f>
        <v>8.55193207565447</v>
      </c>
      <c r="O22" s="14" t="n">
        <f aca="false">Beta_q^A22</f>
        <v>0.666931281795171</v>
      </c>
      <c r="P22" s="17" t="n">
        <f aca="false">N22*O22</f>
        <v>5.70355102104148</v>
      </c>
      <c r="Q22" s="17" t="n">
        <f aca="false">IF(D22=1,F22,Alpha_keep*Q21+M21)</f>
        <v>52.8480024498849</v>
      </c>
      <c r="R22" s="17" t="n">
        <f aca="false">K22-E22</f>
        <v>2.41321049245546</v>
      </c>
      <c r="S22" s="17" t="n">
        <f aca="false">Q22-E22</f>
        <v>-1.12227882352774</v>
      </c>
    </row>
    <row r="23" customFormat="false" ht="15" hidden="false" customHeight="false" outlineLevel="0" collapsed="false">
      <c r="A23" s="18" t="n">
        <v>18</v>
      </c>
      <c r="B23" s="30" t="n">
        <v>-0.75</v>
      </c>
      <c r="C23" s="31" t="n">
        <v>-2.6735849320104</v>
      </c>
      <c r="D23" s="18" t="n">
        <f aca="false">IF(AND(A23&gt;0,MOD(A23,Every2)=0),1,0)</f>
        <v>1</v>
      </c>
      <c r="E23" s="17" t="n">
        <f aca="false">Alpha_keep*E22+M22-B22</f>
        <v>54.3471197698559</v>
      </c>
      <c r="F23" s="17" t="n">
        <f aca="false">IF(D23=1,E23+SD_s*C23,"")</f>
        <v>47.6631574398299</v>
      </c>
      <c r="G23" s="14" t="n">
        <f aca="false">Alpha_keep^2*I22+Q_var</f>
        <v>2.47909271488284</v>
      </c>
      <c r="H23" s="14" t="n">
        <f aca="false">IF(D23=1,G23/(G23+R_s),0)</f>
        <v>0.284003480757635</v>
      </c>
      <c r="I23" s="14" t="n">
        <f aca="false">(1-H23)*G23</f>
        <v>1.77502175473522</v>
      </c>
      <c r="J23" s="17" t="n">
        <f aca="false">Alpha_keep*K22+M22</f>
        <v>56.7</v>
      </c>
      <c r="K23" s="17" t="n">
        <f aca="false">IF(D23=1,J23+H23*(F23-J23),J23)</f>
        <v>54.133505257853</v>
      </c>
      <c r="L23" s="17" t="n">
        <f aca="false">SQRT(I23)</f>
        <v>1.33229942382905</v>
      </c>
      <c r="M23" s="17" t="n">
        <f aca="false">MIN(MAX($V$5-Alpha_keep*K23,0),Cap_h)</f>
        <v>2.5</v>
      </c>
      <c r="N23" s="17" t="n">
        <f aca="false">Cost_k*M23+Short_p*MAX(Floor_c-E23,0)</f>
        <v>11.0446083682305</v>
      </c>
      <c r="O23" s="14" t="n">
        <f aca="false">Beta_q^A23</f>
        <v>0.651227777641959</v>
      </c>
      <c r="P23" s="17" t="n">
        <f aca="false">N23*O23</f>
        <v>7.19255576256853</v>
      </c>
      <c r="Q23" s="17" t="n">
        <f aca="false">IF(D23=1,F23,Alpha_keep*Q22+M22)</f>
        <v>47.6631574398299</v>
      </c>
      <c r="R23" s="17" t="n">
        <f aca="false">K23-E23</f>
        <v>-0.21361451200297</v>
      </c>
      <c r="S23" s="17" t="n">
        <f aca="false">Q23-E23</f>
        <v>-6.68396233002599</v>
      </c>
    </row>
    <row r="24" customFormat="false" ht="15" hidden="false" customHeight="false" outlineLevel="0" collapsed="false">
      <c r="A24" s="18" t="n">
        <v>19</v>
      </c>
      <c r="B24" s="30" t="n">
        <v>0</v>
      </c>
      <c r="C24" s="31" t="n">
        <v>-0.696510923791993</v>
      </c>
      <c r="D24" s="18" t="n">
        <f aca="false">IF(AND(A24&gt;0,MOD(A24,Every2)=0),1,0)</f>
        <v>0</v>
      </c>
      <c r="E24" s="17" t="n">
        <f aca="false">Alpha_keep*E23+M23-B23</f>
        <v>56.2384417756095</v>
      </c>
      <c r="F24" s="17" t="str">
        <f aca="false">IF(D24=1,E24+SD_s*C24,"")</f>
        <v/>
      </c>
      <c r="G24" s="14" t="n">
        <f aca="false">Alpha_keep^2*I23+Q_var</f>
        <v>2.13738005559517</v>
      </c>
      <c r="H24" s="14" t="n">
        <f aca="false">IF(D24=1,G24/(G24+R_s),0)</f>
        <v>0</v>
      </c>
      <c r="I24" s="14" t="n">
        <f aca="false">(1-H24)*G24</f>
        <v>2.13738005559517</v>
      </c>
      <c r="J24" s="17" t="n">
        <f aca="false">Alpha_keep*K23+M23</f>
        <v>55.2801676264066</v>
      </c>
      <c r="K24" s="17" t="n">
        <f aca="false">IF(D24=1,J24+H24*(F24-J24),J24)</f>
        <v>55.2801676264066</v>
      </c>
      <c r="L24" s="17" t="n">
        <f aca="false">SQRT(I24)</f>
        <v>1.46197813102494</v>
      </c>
      <c r="M24" s="17" t="n">
        <f aca="false">MIN(MAX($V$5-Alpha_keep*K24,0),Cap_h)</f>
        <v>2.5</v>
      </c>
      <c r="N24" s="17" t="n">
        <f aca="false">Cost_k*M24+Short_p*MAX(Floor_c-E24,0)</f>
        <v>10</v>
      </c>
      <c r="O24" s="14" t="n">
        <f aca="false">Beta_q^A24</f>
        <v>0.635894026789306</v>
      </c>
      <c r="P24" s="17" t="n">
        <f aca="false">N24*O24</f>
        <v>6.35894026789306</v>
      </c>
      <c r="Q24" s="17" t="n">
        <f aca="false">IF(D24=1,F24,Alpha_keep*Q23+M23)</f>
        <v>48.9715785038342</v>
      </c>
      <c r="R24" s="17" t="n">
        <f aca="false">K24-E24</f>
        <v>-0.958274149202893</v>
      </c>
      <c r="S24" s="17" t="n">
        <f aca="false">Q24-E24</f>
        <v>-7.26686327177534</v>
      </c>
    </row>
    <row r="25" customFormat="false" ht="15" hidden="false" customHeight="false" outlineLevel="0" collapsed="false">
      <c r="A25" s="18" t="n">
        <v>20</v>
      </c>
      <c r="B25" s="30" t="n">
        <v>0</v>
      </c>
      <c r="C25" s="31" t="n">
        <v>-0.685373676339002</v>
      </c>
      <c r="D25" s="18" t="n">
        <f aca="false">IF(AND(A25&gt;0,MOD(A25,Every2)=0),1,0)</f>
        <v>1</v>
      </c>
      <c r="E25" s="17" t="n">
        <f aca="false">Alpha_keep*E24+M24-B24</f>
        <v>57.3324807312193</v>
      </c>
      <c r="F25" s="17" t="n">
        <f aca="false">IF(D25=1,E25+SD_s*C25,"")</f>
        <v>55.6190465403718</v>
      </c>
      <c r="G25" s="14" t="n">
        <f aca="false">Alpha_keep^2*I24+Q_var</f>
        <v>2.48184691535016</v>
      </c>
      <c r="H25" s="14" t="n">
        <f aca="false">IF(D25=1,G25/(G25+R_s),0)</f>
        <v>0.284229320487421</v>
      </c>
      <c r="I25" s="14" t="n">
        <f aca="false">(1-H25)*G25</f>
        <v>1.77643325304638</v>
      </c>
      <c r="J25" s="17" t="n">
        <f aca="false">Alpha_keep*K24+M24</f>
        <v>56.3981634357465</v>
      </c>
      <c r="K25" s="17" t="n">
        <f aca="false">IF(D25=1,J25+H25*(F25-J25),J25)</f>
        <v>56.1767155699939</v>
      </c>
      <c r="L25" s="17" t="n">
        <f aca="false">SQRT(I25)</f>
        <v>1.3328290411926</v>
      </c>
      <c r="M25" s="17" t="n">
        <f aca="false">MIN(MAX($V$5-Alpha_keep*K25,0),Cap_h)</f>
        <v>1.92770231925599</v>
      </c>
      <c r="N25" s="17" t="n">
        <f aca="false">Cost_k*M25+Short_p*MAX(Floor_c-E25,0)</f>
        <v>7.71080927702397</v>
      </c>
      <c r="O25" s="14" t="n">
        <f aca="false">Beta_q^A25</f>
        <v>0.620921323059155</v>
      </c>
      <c r="P25" s="17" t="n">
        <f aca="false">N25*O25</f>
        <v>4.78780589814653</v>
      </c>
      <c r="Q25" s="17" t="n">
        <f aca="false">IF(D25=1,F25,Alpha_keep*Q24+M24)</f>
        <v>55.6190465403718</v>
      </c>
      <c r="R25" s="17" t="n">
        <f aca="false">K25-E25</f>
        <v>-1.15576516122544</v>
      </c>
      <c r="S25" s="17" t="n">
        <f aca="false">Q25-E25</f>
        <v>-1.71343419084751</v>
      </c>
    </row>
    <row r="26" customFormat="false" ht="15" hidden="false" customHeight="false" outlineLevel="0" collapsed="false">
      <c r="A26" s="18" t="n">
        <v>21</v>
      </c>
      <c r="B26" s="30" t="n">
        <v>-0.75</v>
      </c>
      <c r="C26" s="31" t="n">
        <v>0.391118573499187</v>
      </c>
      <c r="D26" s="18" t="n">
        <f aca="false">IF(AND(A26&gt;0,MOD(A26,Every2)=0),1,0)</f>
        <v>0</v>
      </c>
      <c r="E26" s="17" t="n">
        <f aca="false">Alpha_keep*E25+M25-B25</f>
        <v>57.8268710321948</v>
      </c>
      <c r="F26" s="17" t="str">
        <f aca="false">IF(D26=1,E26+SD_s*C26,"")</f>
        <v/>
      </c>
      <c r="G26" s="14" t="n">
        <f aca="false">Alpha_keep^2*I25+Q_var</f>
        <v>2.13872186117722</v>
      </c>
      <c r="H26" s="14" t="n">
        <f aca="false">IF(D26=1,G26/(G26+R_s),0)</f>
        <v>0</v>
      </c>
      <c r="I26" s="14" t="n">
        <f aca="false">(1-H26)*G26</f>
        <v>2.13872186117722</v>
      </c>
      <c r="J26" s="17" t="n">
        <f aca="false">Alpha_keep*K25+M25</f>
        <v>56.7</v>
      </c>
      <c r="K26" s="17" t="n">
        <f aca="false">IF(D26=1,J26+H26*(F26-J26),J26)</f>
        <v>56.7</v>
      </c>
      <c r="L26" s="17" t="n">
        <f aca="false">SQRT(I26)</f>
        <v>1.46243695972757</v>
      </c>
      <c r="M26" s="17" t="n">
        <f aca="false">MIN(MAX($V$5-Alpha_keep*K26,0),Cap_h)</f>
        <v>1.4175</v>
      </c>
      <c r="N26" s="17" t="n">
        <f aca="false">Cost_k*M26+Short_p*MAX(Floor_c-E26,0)</f>
        <v>5.67000000000002</v>
      </c>
      <c r="O26" s="14" t="n">
        <f aca="false">Beta_q^A26</f>
        <v>0.606301165268338</v>
      </c>
      <c r="P26" s="17" t="n">
        <f aca="false">N26*O26</f>
        <v>3.43772760707148</v>
      </c>
      <c r="Q26" s="17" t="n">
        <f aca="false">IF(D26=1,F26,Alpha_keep*Q25+M25)</f>
        <v>56.1562726961185</v>
      </c>
      <c r="R26" s="17" t="n">
        <f aca="false">K26-E26</f>
        <v>-1.12687103219481</v>
      </c>
      <c r="S26" s="17" t="n">
        <f aca="false">Q26-E26</f>
        <v>-1.67059833607632</v>
      </c>
    </row>
    <row r="27" customFormat="false" ht="15" hidden="false" customHeight="false" outlineLevel="0" collapsed="false">
      <c r="A27" s="18" t="n">
        <v>22</v>
      </c>
      <c r="B27" s="30" t="n">
        <v>1.5</v>
      </c>
      <c r="C27" s="31" t="n">
        <v>0.919011510625843</v>
      </c>
      <c r="D27" s="18" t="n">
        <f aca="false">IF(AND(A27&gt;0,MOD(A27,Every2)=0),1,0)</f>
        <v>1</v>
      </c>
      <c r="E27" s="17" t="n">
        <f aca="false">Alpha_keep*E26+M26-B26</f>
        <v>58.5486992563899</v>
      </c>
      <c r="F27" s="17" t="n">
        <f aca="false">IF(D27=1,E27+SD_s*C27,"")</f>
        <v>60.8462280329546</v>
      </c>
      <c r="G27" s="14" t="n">
        <f aca="false">Alpha_keep^2*I26+Q_var</f>
        <v>2.48312246928159</v>
      </c>
      <c r="H27" s="14" t="n">
        <f aca="false">IF(D27=1,G27/(G27+R_s),0)</f>
        <v>0.284333865466318</v>
      </c>
      <c r="I27" s="14" t="n">
        <f aca="false">(1-H27)*G27</f>
        <v>1.77708665916449</v>
      </c>
      <c r="J27" s="17" t="n">
        <f aca="false">Alpha_keep*K26+M26</f>
        <v>56.7</v>
      </c>
      <c r="K27" s="17" t="n">
        <f aca="false">IF(D27=1,J27+H27*(F27-J27),J27)</f>
        <v>57.8789130437148</v>
      </c>
      <c r="L27" s="17" t="n">
        <f aca="false">SQRT(I27)</f>
        <v>1.33307413866014</v>
      </c>
      <c r="M27" s="17" t="n">
        <f aca="false">MIN(MAX($V$5-Alpha_keep*K27,0),Cap_h)</f>
        <v>0.268059782378096</v>
      </c>
      <c r="N27" s="17" t="n">
        <f aca="false">Cost_k*M27+Short_p*MAX(Floor_c-E27,0)</f>
        <v>1.07223912951238</v>
      </c>
      <c r="O27" s="14" t="n">
        <f aca="false">Beta_q^A27</f>
        <v>0.592025252401781</v>
      </c>
      <c r="P27" s="17" t="n">
        <f aca="false">N27*O27</f>
        <v>0.634792641284634</v>
      </c>
      <c r="Q27" s="17" t="n">
        <f aca="false">IF(D27=1,F27,Alpha_keep*Q26+M26)</f>
        <v>60.8462280329546</v>
      </c>
      <c r="R27" s="17" t="n">
        <f aca="false">K27-E27</f>
        <v>-0.66978621267517</v>
      </c>
      <c r="S27" s="17" t="n">
        <f aca="false">Q27-E27</f>
        <v>2.2975287765646</v>
      </c>
    </row>
    <row r="28" customFormat="false" ht="15" hidden="false" customHeight="false" outlineLevel="0" collapsed="false">
      <c r="A28" s="18" t="n">
        <v>23</v>
      </c>
      <c r="B28" s="30" t="n">
        <v>0.75</v>
      </c>
      <c r="C28" s="31" t="n">
        <v>-1.73420344037119</v>
      </c>
      <c r="D28" s="18" t="n">
        <f aca="false">IF(AND(A28&gt;0,MOD(A28,Every2)=0),1,0)</f>
        <v>0</v>
      </c>
      <c r="E28" s="17" t="n">
        <f aca="false">Alpha_keep*E27+M27-B27</f>
        <v>55.8530415573583</v>
      </c>
      <c r="F28" s="17" t="str">
        <f aca="false">IF(D28=1,E28+SD_s*C28,"")</f>
        <v/>
      </c>
      <c r="G28" s="14" t="n">
        <f aca="false">Alpha_keep^2*I27+Q_var</f>
        <v>2.13934300536824</v>
      </c>
      <c r="H28" s="14" t="n">
        <f aca="false">IF(D28=1,G28/(G28+R_s),0)</f>
        <v>0</v>
      </c>
      <c r="I28" s="14" t="n">
        <f aca="false">(1-H28)*G28</f>
        <v>2.13934300536824</v>
      </c>
      <c r="J28" s="17" t="n">
        <f aca="false">Alpha_keep*K27+M27</f>
        <v>56.7</v>
      </c>
      <c r="K28" s="17" t="n">
        <f aca="false">IF(D28=1,J28+H28*(F28-J28),J28)</f>
        <v>56.7</v>
      </c>
      <c r="L28" s="17" t="n">
        <f aca="false">SQRT(I28)</f>
        <v>1.46264931045286</v>
      </c>
      <c r="M28" s="17" t="n">
        <f aca="false">MIN(MAX($V$5-Alpha_keep*K28,0),Cap_h)</f>
        <v>1.4175</v>
      </c>
      <c r="N28" s="17" t="n">
        <f aca="false">Cost_k*M28+Short_p*MAX(Floor_c-E28,0)</f>
        <v>5.67000000000002</v>
      </c>
      <c r="O28" s="14" t="n">
        <f aca="false">Beta_q^A28</f>
        <v>0.578085478899369</v>
      </c>
      <c r="P28" s="17" t="n">
        <f aca="false">N28*O28</f>
        <v>3.27774466535943</v>
      </c>
      <c r="Q28" s="17" t="n">
        <f aca="false">IF(D28=1,F28,Alpha_keep*Q27+M27)</f>
        <v>59.5931321145088</v>
      </c>
      <c r="R28" s="17" t="n">
        <f aca="false">K28-E28</f>
        <v>0.846958442641714</v>
      </c>
      <c r="S28" s="17" t="n">
        <f aca="false">Q28-E28</f>
        <v>3.74009055715049</v>
      </c>
    </row>
    <row r="29" customFormat="false" ht="15" hidden="false" customHeight="false" outlineLevel="0" collapsed="false">
      <c r="A29" s="18" t="n">
        <v>24</v>
      </c>
      <c r="B29" s="30" t="n">
        <v>0</v>
      </c>
      <c r="C29" s="31" t="n">
        <v>-1.3362013956291</v>
      </c>
      <c r="D29" s="18" t="n">
        <f aca="false">IF(AND(A29&gt;0,MOD(A29,Every2)=0),1,0)</f>
        <v>1</v>
      </c>
      <c r="E29" s="17" t="n">
        <f aca="false">Alpha_keep*E28+M28-B28</f>
        <v>55.1242155184243</v>
      </c>
      <c r="F29" s="17" t="n">
        <f aca="false">IF(D29=1,E29+SD_s*C29,"")</f>
        <v>51.7837120293516</v>
      </c>
      <c r="G29" s="14" t="n">
        <f aca="false">Alpha_keep^2*I28+Q_var</f>
        <v>2.48371294447818</v>
      </c>
      <c r="H29" s="14" t="n">
        <f aca="false">IF(D29=1,G29/(G29+R_s),0)</f>
        <v>0.284382250741191</v>
      </c>
      <c r="I29" s="14" t="n">
        <f aca="false">(1-H29)*G29</f>
        <v>1.77738906713245</v>
      </c>
      <c r="J29" s="17" t="n">
        <f aca="false">Alpha_keep*K28+M28</f>
        <v>56.7</v>
      </c>
      <c r="K29" s="17" t="n">
        <f aca="false">IF(D29=1,J29+H29*(F29-J29),J29)</f>
        <v>55.3018949616152</v>
      </c>
      <c r="L29" s="17" t="n">
        <f aca="false">SQRT(I29)</f>
        <v>1.33318755887251</v>
      </c>
      <c r="M29" s="17" t="n">
        <f aca="false">MIN(MAX($V$5-Alpha_keep*K29,0),Cap_h)</f>
        <v>2.5</v>
      </c>
      <c r="N29" s="17" t="n">
        <f aca="false">Cost_k*M29+Short_p*MAX(Floor_c-E29,0)</f>
        <v>10</v>
      </c>
      <c r="O29" s="14" t="n">
        <f aca="false">Beta_q^A29</f>
        <v>0.564473930053777</v>
      </c>
      <c r="P29" s="17" t="n">
        <f aca="false">N29*O29</f>
        <v>5.64473930053777</v>
      </c>
      <c r="Q29" s="17" t="n">
        <f aca="false">IF(D29=1,F29,Alpha_keep*Q28+M28)</f>
        <v>51.7837120293516</v>
      </c>
      <c r="R29" s="17" t="n">
        <f aca="false">K29-E29</f>
        <v>0.177679443190826</v>
      </c>
      <c r="S29" s="17" t="n">
        <f aca="false">Q29-E29</f>
        <v>-3.34050348907275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4" min="2" style="0" width="14"/>
    <col collapsed="false" customWidth="true" hidden="false" outlineLevel="0" max="5" min="5" style="0" width="16"/>
    <col collapsed="false" customWidth="true" hidden="false" outlineLevel="0" max="6" min="6" style="0" width="12"/>
  </cols>
  <sheetData>
    <row r="1" customFormat="false" ht="15" hidden="false" customHeight="false" outlineLevel="0" collapsed="false">
      <c r="A1" s="1" t="s">
        <v>227</v>
      </c>
    </row>
    <row r="2" customFormat="false" ht="15" hidden="false" customHeight="false" outlineLevel="0" collapsed="false">
      <c r="A2" s="10" t="s">
        <v>228</v>
      </c>
    </row>
    <row r="4" customFormat="false" ht="15" hidden="false" customHeight="false" outlineLevel="0" collapsed="false">
      <c r="A4" s="2" t="s">
        <v>229</v>
      </c>
      <c r="B4" s="28" t="n">
        <f aca="false">4*(1-Beta_q)</f>
        <v>0.0941836412947579</v>
      </c>
    </row>
    <row r="5" customFormat="false" ht="15" hidden="false" customHeight="false" outlineLevel="0" collapsed="false">
      <c r="A5" s="2" t="s">
        <v>230</v>
      </c>
      <c r="B5" s="17" t="n">
        <f aca="false">Decide!F16*B4</f>
        <v>1.04549454665733</v>
      </c>
      <c r="C5" s="10" t="s">
        <v>231</v>
      </c>
    </row>
    <row r="6" customFormat="false" ht="15" hidden="false" customHeight="false" outlineLevel="0" collapsed="false">
      <c r="A6" s="2" t="s">
        <v>232</v>
      </c>
      <c r="B6" s="17" t="n">
        <f aca="false">(Decide!F16-Decide!F18)*B4</f>
        <v>0.23233184304895</v>
      </c>
      <c r="C6" s="10" t="s">
        <v>233</v>
      </c>
    </row>
    <row r="7" customFormat="false" ht="15" hidden="false" customHeight="false" outlineLevel="0" collapsed="false">
      <c r="A7" s="2" t="s">
        <v>234</v>
      </c>
      <c r="B7" s="17" t="n">
        <f aca="false">(Decide!F16-Decide!F19)*B4</f>
        <v>0.385704434293965</v>
      </c>
      <c r="C7" s="10" t="s">
        <v>235</v>
      </c>
    </row>
    <row r="8" customFormat="false" ht="15" hidden="false" customHeight="false" outlineLevel="0" collapsed="false">
      <c r="A8" s="2" t="s">
        <v>236</v>
      </c>
      <c r="B8" s="17" t="n">
        <f aca="false">(Decide!F16-Decide!F20)*B4</f>
        <v>0.581996635050577</v>
      </c>
      <c r="C8" s="10" t="s">
        <v>237</v>
      </c>
    </row>
    <row r="10" customFormat="false" ht="23.85" hidden="false" customHeight="false" outlineLevel="0" collapsed="false">
      <c r="A10" s="8" t="s">
        <v>238</v>
      </c>
      <c r="B10" s="8" t="s">
        <v>239</v>
      </c>
      <c r="C10" s="8" t="s">
        <v>240</v>
      </c>
      <c r="D10" s="8" t="s">
        <v>241</v>
      </c>
      <c r="E10" s="8" t="s">
        <v>242</v>
      </c>
      <c r="F10" s="8" t="s">
        <v>243</v>
      </c>
    </row>
    <row r="11" customFormat="false" ht="15" hidden="false" customHeight="false" outlineLevel="0" collapsed="false">
      <c r="A11" s="15" t="n">
        <v>2</v>
      </c>
      <c r="B11" s="9" t="n">
        <v>0.5</v>
      </c>
      <c r="C11" s="30" t="n">
        <v>56.1</v>
      </c>
      <c r="D11" s="30" t="n">
        <v>3.90058492600332</v>
      </c>
      <c r="E11" s="12" t="n">
        <f aca="false">$D$16-D11</f>
        <v>7.19853331305398</v>
      </c>
      <c r="F11" s="17" t="n">
        <f aca="false">E11*$B$4</f>
        <v>0.677984079405041</v>
      </c>
    </row>
    <row r="12" customFormat="false" ht="15" hidden="false" customHeight="false" outlineLevel="0" collapsed="false">
      <c r="A12" s="15" t="n">
        <v>2</v>
      </c>
      <c r="B12" s="9" t="n">
        <v>1</v>
      </c>
      <c r="C12" s="30" t="n">
        <v>56.3</v>
      </c>
      <c r="D12" s="30" t="n">
        <v>6.00417576267776</v>
      </c>
      <c r="E12" s="12" t="n">
        <f aca="false">$D$16-D12</f>
        <v>5.09494247637954</v>
      </c>
      <c r="F12" s="17" t="n">
        <f aca="false">E12*$B$4</f>
        <v>0.479860234612756</v>
      </c>
    </row>
    <row r="13" customFormat="false" ht="15" hidden="false" customHeight="false" outlineLevel="0" collapsed="false">
      <c r="A13" s="15" t="n">
        <v>2</v>
      </c>
      <c r="B13" s="9" t="n">
        <v>1.25</v>
      </c>
      <c r="C13" s="30" t="n">
        <v>56.4</v>
      </c>
      <c r="D13" s="30" t="n">
        <v>7.00770529140155</v>
      </c>
      <c r="E13" s="12" t="n">
        <f aca="false">$D$16-D13</f>
        <v>4.09141294765575</v>
      </c>
      <c r="F13" s="17" t="n">
        <f aca="false">E13*$B$4</f>
        <v>0.385344169450737</v>
      </c>
    </row>
    <row r="14" customFormat="false" ht="15" hidden="false" customHeight="false" outlineLevel="0" collapsed="false">
      <c r="A14" s="15" t="n">
        <v>2</v>
      </c>
      <c r="B14" s="9" t="n">
        <v>1.5</v>
      </c>
      <c r="C14" s="30" t="n">
        <v>56.45</v>
      </c>
      <c r="D14" s="30" t="n">
        <v>7.93959114248929</v>
      </c>
      <c r="E14" s="12" t="n">
        <f aca="false">$D$16-D14</f>
        <v>3.15952709656801</v>
      </c>
      <c r="F14" s="17" t="n">
        <f aca="false">E14*$B$4</f>
        <v>0.297575766724229</v>
      </c>
    </row>
    <row r="15" customFormat="false" ht="15" hidden="false" customHeight="false" outlineLevel="0" collapsed="false">
      <c r="A15" s="15" t="n">
        <v>2</v>
      </c>
      <c r="B15" s="9" t="n">
        <v>2</v>
      </c>
      <c r="C15" s="30" t="n">
        <v>56.6</v>
      </c>
      <c r="D15" s="30" t="n">
        <v>9.63015217525066</v>
      </c>
      <c r="E15" s="12" t="n">
        <f aca="false">$D$16-D15</f>
        <v>1.46896606380664</v>
      </c>
      <c r="F15" s="17" t="n">
        <f aca="false">E15*$B$4</f>
        <v>0.138352572827737</v>
      </c>
    </row>
    <row r="16" customFormat="false" ht="15" hidden="false" customHeight="false" outlineLevel="0" collapsed="false">
      <c r="A16" s="15" t="n">
        <v>2</v>
      </c>
      <c r="B16" s="9" t="n">
        <v>2.5</v>
      </c>
      <c r="C16" s="30" t="n">
        <v>56.7</v>
      </c>
      <c r="D16" s="30" t="n">
        <v>11.0991182390573</v>
      </c>
      <c r="E16" s="12" t="n">
        <f aca="false">$D$16-D16</f>
        <v>0</v>
      </c>
      <c r="F16" s="17" t="n">
        <f aca="false">E16*$B$4</f>
        <v>0</v>
      </c>
    </row>
    <row r="17" customFormat="false" ht="15" hidden="false" customHeight="false" outlineLevel="0" collapsed="false">
      <c r="A17" s="15" t="n">
        <v>2</v>
      </c>
      <c r="B17" s="9" t="n">
        <v>3</v>
      </c>
      <c r="C17" s="30" t="n">
        <v>56.8</v>
      </c>
      <c r="D17" s="30" t="n">
        <v>12.3756586082432</v>
      </c>
      <c r="E17" s="12" t="n">
        <f aca="false">$D$16-D17</f>
        <v>-1.27654036918594</v>
      </c>
      <c r="F17" s="17" t="n">
        <f aca="false">E17*$B$4</f>
        <v>-0.120229220229686</v>
      </c>
    </row>
    <row r="18" customFormat="false" ht="15" hidden="false" customHeight="false" outlineLevel="0" collapsed="false">
      <c r="A18" s="15" t="n">
        <v>2</v>
      </c>
      <c r="B18" s="9" t="n">
        <v>4</v>
      </c>
      <c r="C18" s="30" t="n">
        <v>57</v>
      </c>
      <c r="D18" s="30" t="n">
        <v>14.4744531141568</v>
      </c>
      <c r="E18" s="12" t="n">
        <f aca="false">$D$16-D18</f>
        <v>-3.3753348750995</v>
      </c>
      <c r="F18" s="17" t="n">
        <f aca="false">E18*$B$4</f>
        <v>-0.317901329126058</v>
      </c>
    </row>
    <row r="19" customFormat="false" ht="15" hidden="false" customHeight="false" outlineLevel="0" collapsed="false">
      <c r="A19" s="15" t="n">
        <v>2</v>
      </c>
      <c r="B19" s="9" t="n">
        <v>5</v>
      </c>
      <c r="C19" s="30" t="n">
        <v>57.1</v>
      </c>
      <c r="D19" s="30" t="n">
        <v>16.1199401988045</v>
      </c>
      <c r="E19" s="12" t="n">
        <f aca="false">$D$16-D19</f>
        <v>-5.02082195974723</v>
      </c>
      <c r="F19" s="17" t="n">
        <f aca="false">E19*$B$4</f>
        <v>-0.472879294461676</v>
      </c>
    </row>
    <row r="20" customFormat="false" ht="15" hidden="false" customHeight="false" outlineLevel="0" collapsed="false">
      <c r="A20" s="15" t="n">
        <v>1</v>
      </c>
      <c r="B20" s="9" t="n">
        <v>0.5</v>
      </c>
      <c r="C20" s="30" t="n">
        <v>55.9</v>
      </c>
      <c r="D20" s="30" t="n">
        <v>2.00884401451833</v>
      </c>
      <c r="E20" s="12" t="n">
        <f aca="false">$D$16-D20</f>
        <v>9.09027422453897</v>
      </c>
      <c r="F20" s="17" t="n">
        <f aca="false">E20*$B$4</f>
        <v>0.856155126834962</v>
      </c>
    </row>
    <row r="21" customFormat="false" ht="15" hidden="false" customHeight="false" outlineLevel="0" collapsed="false">
      <c r="A21" s="15" t="n">
        <v>1</v>
      </c>
      <c r="B21" s="9" t="n">
        <v>1</v>
      </c>
      <c r="C21" s="30" t="n">
        <v>56.1</v>
      </c>
      <c r="D21" s="30" t="n">
        <v>4.00249805621058</v>
      </c>
      <c r="E21" s="12" t="n">
        <f aca="false">$D$16-D21</f>
        <v>7.09662018284672</v>
      </c>
      <c r="F21" s="17" t="n">
        <f aca="false">E21*$B$4</f>
        <v>0.668385529706374</v>
      </c>
    </row>
    <row r="22" customFormat="false" ht="15" hidden="false" customHeight="false" outlineLevel="0" collapsed="false">
      <c r="A22" s="15" t="n">
        <v>1</v>
      </c>
      <c r="B22" s="9" t="n">
        <v>1.25</v>
      </c>
      <c r="C22" s="30" t="n">
        <v>56.2</v>
      </c>
      <c r="D22" s="30" t="n">
        <v>4.9223366882855</v>
      </c>
      <c r="E22" s="12" t="n">
        <f aca="false">$D$16-D22</f>
        <v>6.1767815507718</v>
      </c>
      <c r="F22" s="17" t="n">
        <f aca="false">E22*$B$4</f>
        <v>0.58175177793397</v>
      </c>
    </row>
    <row r="23" customFormat="false" ht="15" hidden="false" customHeight="false" outlineLevel="0" collapsed="false">
      <c r="A23" s="15" t="n">
        <v>1</v>
      </c>
      <c r="B23" s="9" t="n">
        <v>1.5</v>
      </c>
      <c r="C23" s="30" t="n">
        <v>56.25</v>
      </c>
      <c r="D23" s="30" t="n">
        <v>5.77560391645307</v>
      </c>
      <c r="E23" s="12" t="n">
        <f aca="false">$D$16-D23</f>
        <v>5.32351432260424</v>
      </c>
      <c r="F23" s="17" t="n">
        <f aca="false">E23*$B$4</f>
        <v>0.501387963387663</v>
      </c>
    </row>
    <row r="24" customFormat="false" ht="15" hidden="false" customHeight="false" outlineLevel="0" collapsed="false">
      <c r="A24" s="15" t="n">
        <v>1</v>
      </c>
      <c r="B24" s="9" t="n">
        <v>2</v>
      </c>
      <c r="C24" s="30" t="n">
        <v>56.4</v>
      </c>
      <c r="D24" s="30" t="n">
        <v>7.29915652171462</v>
      </c>
      <c r="E24" s="12" t="n">
        <f aca="false">$D$16-D24</f>
        <v>3.79996171734268</v>
      </c>
      <c r="F24" s="17" t="n">
        <f aca="false">E24*$B$4</f>
        <v>0.357894231320015</v>
      </c>
    </row>
    <row r="25" customFormat="false" ht="15" hidden="false" customHeight="false" outlineLevel="0" collapsed="false">
      <c r="A25" s="15" t="n">
        <v>1</v>
      </c>
      <c r="B25" s="9" t="n">
        <v>2.5</v>
      </c>
      <c r="C25" s="30" t="n">
        <v>56.5</v>
      </c>
      <c r="D25" s="30" t="n">
        <v>8.62832957610161</v>
      </c>
      <c r="E25" s="12" t="n">
        <f aca="false">$D$16-D25</f>
        <v>2.47078866295569</v>
      </c>
      <c r="F25" s="17" t="n">
        <f aca="false">E25*$B$4</f>
        <v>0.232707873146974</v>
      </c>
    </row>
    <row r="26" customFormat="false" ht="15" hidden="false" customHeight="false" outlineLevel="0" collapsed="false">
      <c r="A26" s="15" t="n">
        <v>1</v>
      </c>
      <c r="B26" s="9" t="n">
        <v>3</v>
      </c>
      <c r="C26" s="30" t="n">
        <v>56.6</v>
      </c>
      <c r="D26" s="30" t="n">
        <v>9.80971936279434</v>
      </c>
      <c r="E26" s="12" t="n">
        <f aca="false">$D$16-D26</f>
        <v>1.28939887626296</v>
      </c>
      <c r="F26" s="17" t="n">
        <f aca="false">E26*$B$4</f>
        <v>0.121440281247815</v>
      </c>
    </row>
    <row r="27" customFormat="false" ht="15" hidden="false" customHeight="false" outlineLevel="0" collapsed="false">
      <c r="A27" s="15" t="n">
        <v>1</v>
      </c>
      <c r="B27" s="9" t="n">
        <v>4</v>
      </c>
      <c r="C27" s="30" t="n">
        <v>56.75</v>
      </c>
      <c r="D27" s="30" t="n">
        <v>11.8254150133888</v>
      </c>
      <c r="E27" s="12" t="n">
        <f aca="false">$D$16-D27</f>
        <v>-0.726296774331528</v>
      </c>
      <c r="F27" s="17" t="n">
        <f aca="false">E27*$B$4</f>
        <v>-0.0684052748671804</v>
      </c>
    </row>
    <row r="28" customFormat="false" ht="15" hidden="false" customHeight="false" outlineLevel="0" collapsed="false">
      <c r="A28" s="15" t="n">
        <v>1</v>
      </c>
      <c r="B28" s="9" t="n">
        <v>5</v>
      </c>
      <c r="C28" s="30" t="n">
        <v>56.9</v>
      </c>
      <c r="D28" s="30" t="n">
        <v>13.468264367395</v>
      </c>
      <c r="E28" s="12" t="n">
        <f aca="false">$D$16-D28</f>
        <v>-2.36914612833769</v>
      </c>
      <c r="F28" s="17" t="n">
        <f aca="false">E28*$B$4</f>
        <v>-0.223134809126221</v>
      </c>
    </row>
    <row r="31" customFormat="false" ht="15" hidden="false" customHeight="false" outlineLevel="0" collapsed="false">
      <c r="A31" s="2" t="s">
        <v>244</v>
      </c>
      <c r="B31" s="25" t="n">
        <v>230.83811635339</v>
      </c>
    </row>
    <row r="32" customFormat="false" ht="15" hidden="false" customHeight="false" outlineLevel="0" collapsed="false">
      <c r="A32" s="2" t="s">
        <v>245</v>
      </c>
      <c r="B32" s="18" t="n">
        <f aca="false">IF(SUMPRODUCT(--(D12:D19&gt;D11:D18))=8,1,0)</f>
        <v>1</v>
      </c>
    </row>
    <row r="33" customFormat="false" ht="15" hidden="false" customHeight="false" outlineLevel="0" collapsed="false">
      <c r="A33" s="2" t="s">
        <v>246</v>
      </c>
      <c r="B33" s="18" t="n">
        <f aca="false">IF(SUMPRODUCT(--(D21:D28&gt;D20:D27))=8,1,0)</f>
        <v>1</v>
      </c>
    </row>
    <row r="34" customFormat="false" ht="15" hidden="false" customHeight="false" outlineLevel="0" collapsed="false">
      <c r="A34" s="2" t="s">
        <v>247</v>
      </c>
      <c r="B34" s="18" t="n">
        <f aca="false">IF(SUMPRODUCT(--(D20:D28&lt;D11:D19))=9,1,0)</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0"/>
    <col collapsed="false" customWidth="true" hidden="false" outlineLevel="0" max="3" min="2" style="0" width="14"/>
    <col collapsed="false" customWidth="true" hidden="false" outlineLevel="0" max="4" min="4" style="0" width="16"/>
    <col collapsed="false" customWidth="true" hidden="false" outlineLevel="0" max="6" min="5" style="0" width="18"/>
  </cols>
  <sheetData>
    <row r="1" customFormat="false" ht="15" hidden="false" customHeight="false" outlineLevel="0" collapsed="false">
      <c r="A1" s="1" t="s">
        <v>248</v>
      </c>
    </row>
    <row r="2" customFormat="false" ht="15" hidden="false" customHeight="false" outlineLevel="0" collapsed="false">
      <c r="A2" s="10" t="s">
        <v>249</v>
      </c>
    </row>
    <row r="4" customFormat="false" ht="15" hidden="false" customHeight="false" outlineLevel="0" collapsed="false">
      <c r="A4" s="2" t="s">
        <v>250</v>
      </c>
      <c r="B4" s="23" t="n">
        <f aca="false">Drift_d</f>
        <v>0.5</v>
      </c>
    </row>
    <row r="5" customFormat="false" ht="15" hidden="false" customHeight="false" outlineLevel="0" collapsed="false">
      <c r="A5" s="2" t="s">
        <v>251</v>
      </c>
      <c r="B5" s="20" t="n">
        <f aca="false">Drift_q</f>
        <v>8</v>
      </c>
    </row>
    <row r="6" customFormat="false" ht="15" hidden="false" customHeight="false" outlineLevel="0" collapsed="false">
      <c r="A6" s="2" t="s">
        <v>252</v>
      </c>
      <c r="B6" s="27" t="n">
        <f aca="false">Alpha_keep</f>
        <v>0.975</v>
      </c>
    </row>
    <row r="7" customFormat="false" ht="15" hidden="false" customHeight="false" outlineLevel="0" collapsed="false">
      <c r="A7" s="2" t="s">
        <v>253</v>
      </c>
      <c r="B7" s="21" t="n">
        <f aca="false">Sync!AJ6</f>
        <v>0.284423928069669</v>
      </c>
      <c r="C7" s="10" t="s">
        <v>254</v>
      </c>
    </row>
    <row r="8" customFormat="false" ht="15" hidden="false" customHeight="false" outlineLevel="0" collapsed="false">
      <c r="A8" s="2" t="s">
        <v>255</v>
      </c>
      <c r="B8" s="17" t="n">
        <f aca="false">(1-B7)*B4*(1+B6)/(1-(1-B7)*B6^2)</f>
        <v>2.20991156836391</v>
      </c>
      <c r="C8" s="10" t="s">
        <v>256</v>
      </c>
    </row>
    <row r="9" customFormat="false" ht="15" hidden="false" customHeight="false" outlineLevel="0" collapsed="false">
      <c r="A9" s="2" t="s">
        <v>257</v>
      </c>
      <c r="B9" s="17" t="n">
        <f aca="false">B6^2*B8+B4*(1+B6)</f>
        <v>3.08829718467595</v>
      </c>
      <c r="C9" s="10" t="s">
        <v>258</v>
      </c>
    </row>
    <row r="10" customFormat="false" ht="15" hidden="false" customHeight="false" outlineLevel="0" collapsed="false">
      <c r="A10" s="2" t="s">
        <v>259</v>
      </c>
      <c r="B10" s="17" t="n">
        <f aca="false">SQRT(Sync!AI6^2+R_s)</f>
        <v>2.95537165556271</v>
      </c>
    </row>
    <row r="11" customFormat="false" ht="15" hidden="false" customHeight="false" outlineLevel="0" collapsed="false">
      <c r="A11" s="2" t="s">
        <v>260</v>
      </c>
      <c r="B11" s="17" t="n">
        <f aca="false">-B9/B10</f>
        <v>-1.04497760167086</v>
      </c>
      <c r="C11" s="10" t="s">
        <v>261</v>
      </c>
    </row>
    <row r="12" customFormat="false" ht="15" hidden="false" customHeight="false" outlineLevel="0" collapsed="false">
      <c r="A12" s="2" t="s">
        <v>262</v>
      </c>
      <c r="B12" s="27" t="n">
        <f aca="false">F55</f>
        <v>2.20542864695914</v>
      </c>
    </row>
    <row r="13" customFormat="false" ht="15" hidden="false" customHeight="false" outlineLevel="0" collapsed="false">
      <c r="A13" s="2" t="s">
        <v>263</v>
      </c>
      <c r="B13" s="27" t="n">
        <f aca="false">F75</f>
        <v>2.20981647351372</v>
      </c>
    </row>
    <row r="14" customFormat="false" ht="23.85" hidden="false" customHeight="false" outlineLevel="0" collapsed="false">
      <c r="A14" s="8" t="s">
        <v>104</v>
      </c>
      <c r="B14" s="8" t="s">
        <v>105</v>
      </c>
      <c r="C14" s="8" t="s">
        <v>264</v>
      </c>
      <c r="D14" s="8" t="s">
        <v>265</v>
      </c>
      <c r="E14" s="8" t="s">
        <v>266</v>
      </c>
      <c r="F14" s="8" t="s">
        <v>267</v>
      </c>
    </row>
    <row r="15" customFormat="false" ht="15" hidden="false" customHeight="false" outlineLevel="0" collapsed="false">
      <c r="A15" s="18" t="n">
        <v>0</v>
      </c>
      <c r="B15" s="20" t="n">
        <f aca="false">Sync!B6</f>
        <v>0</v>
      </c>
      <c r="C15" s="21" t="n">
        <f aca="false">Sync!D6</f>
        <v>0</v>
      </c>
      <c r="D15" s="13" t="n">
        <v>0</v>
      </c>
      <c r="E15" s="17" t="str">
        <f aca="false">IF(B15=1,-D15/SQRT(Sync!C6+R_s),"")</f>
        <v/>
      </c>
      <c r="F15" s="17" t="n">
        <f aca="false">(1-C15)*D15</f>
        <v>0</v>
      </c>
    </row>
    <row r="16" customFormat="false" ht="15" hidden="false" customHeight="false" outlineLevel="0" collapsed="false">
      <c r="A16" s="18" t="n">
        <v>1</v>
      </c>
      <c r="B16" s="20" t="n">
        <f aca="false">Sync!B7</f>
        <v>0</v>
      </c>
      <c r="C16" s="21" t="n">
        <f aca="false">Sync!D7</f>
        <v>0</v>
      </c>
      <c r="D16" s="17" t="n">
        <f aca="false">Alpha_keep*F15+IF(A15&gt;=Drift_q,Drift_d,0)</f>
        <v>0</v>
      </c>
      <c r="E16" s="17" t="str">
        <f aca="false">IF(B16=1,-D16/SQRT(Sync!C7+R_s),"")</f>
        <v/>
      </c>
      <c r="F16" s="17" t="n">
        <f aca="false">(1-C16)*D16</f>
        <v>0</v>
      </c>
    </row>
    <row r="17" customFormat="false" ht="15" hidden="false" customHeight="false" outlineLevel="0" collapsed="false">
      <c r="A17" s="18" t="n">
        <v>2</v>
      </c>
      <c r="B17" s="20" t="n">
        <f aca="false">Sync!B8</f>
        <v>1</v>
      </c>
      <c r="C17" s="21" t="n">
        <f aca="false">Sync!D8</f>
        <v>0.123149296984949</v>
      </c>
      <c r="D17" s="17" t="n">
        <f aca="false">Alpha_keep*F16+IF(A16&gt;=Drift_q,Drift_d,0)</f>
        <v>0</v>
      </c>
      <c r="E17" s="17" t="n">
        <f aca="false">IF(B17=1,-D17/SQRT(Sync!C8+R_s),"")</f>
        <v>-0</v>
      </c>
      <c r="F17" s="17" t="n">
        <f aca="false">(1-C17)*D17</f>
        <v>0</v>
      </c>
    </row>
    <row r="18" customFormat="false" ht="15" hidden="false" customHeight="false" outlineLevel="0" collapsed="false">
      <c r="A18" s="18" t="n">
        <v>3</v>
      </c>
      <c r="B18" s="20" t="n">
        <f aca="false">Sync!B9</f>
        <v>0</v>
      </c>
      <c r="C18" s="21" t="n">
        <f aca="false">Sync!D9</f>
        <v>0</v>
      </c>
      <c r="D18" s="17" t="n">
        <f aca="false">Alpha_keep*F17+IF(A17&gt;=Drift_q,Drift_d,0)</f>
        <v>0</v>
      </c>
      <c r="E18" s="17" t="str">
        <f aca="false">IF(B18=1,-D18/SQRT(Sync!C9+R_s),"")</f>
        <v/>
      </c>
      <c r="F18" s="17" t="n">
        <f aca="false">(1-C18)*D18</f>
        <v>0</v>
      </c>
    </row>
    <row r="19" customFormat="false" ht="15" hidden="false" customHeight="false" outlineLevel="0" collapsed="false">
      <c r="A19" s="18" t="n">
        <v>4</v>
      </c>
      <c r="B19" s="20" t="n">
        <f aca="false">Sync!B10</f>
        <v>1</v>
      </c>
      <c r="C19" s="21" t="n">
        <f aca="false">Sync!D10</f>
        <v>0.201107921700532</v>
      </c>
      <c r="D19" s="17" t="n">
        <f aca="false">Alpha_keep*F18+IF(A18&gt;=Drift_q,Drift_d,0)</f>
        <v>0</v>
      </c>
      <c r="E19" s="17" t="n">
        <f aca="false">IF(B19=1,-D19/SQRT(Sync!C10+R_s),"")</f>
        <v>-0</v>
      </c>
      <c r="F19" s="17" t="n">
        <f aca="false">(1-C19)*D19</f>
        <v>0</v>
      </c>
    </row>
    <row r="20" customFormat="false" ht="15" hidden="false" customHeight="false" outlineLevel="0" collapsed="false">
      <c r="A20" s="18" t="n">
        <v>5</v>
      </c>
      <c r="B20" s="20" t="n">
        <f aca="false">Sync!B11</f>
        <v>0</v>
      </c>
      <c r="C20" s="21" t="n">
        <f aca="false">Sync!D11</f>
        <v>0</v>
      </c>
      <c r="D20" s="17" t="n">
        <f aca="false">Alpha_keep*F19+IF(A19&gt;=Drift_q,Drift_d,0)</f>
        <v>0</v>
      </c>
      <c r="E20" s="17" t="str">
        <f aca="false">IF(B20=1,-D20/SQRT(Sync!C11+R_s),"")</f>
        <v/>
      </c>
      <c r="F20" s="17" t="n">
        <f aca="false">(1-C20)*D20</f>
        <v>0</v>
      </c>
    </row>
    <row r="21" customFormat="false" ht="15" hidden="false" customHeight="false" outlineLevel="0" collapsed="false">
      <c r="A21" s="18" t="n">
        <v>6</v>
      </c>
      <c r="B21" s="20" t="n">
        <f aca="false">Sync!B12</f>
        <v>1</v>
      </c>
      <c r="C21" s="21" t="n">
        <f aca="false">Sync!D12</f>
        <v>0.243675497401611</v>
      </c>
      <c r="D21" s="17" t="n">
        <f aca="false">Alpha_keep*F20+IF(A20&gt;=Drift_q,Drift_d,0)</f>
        <v>0</v>
      </c>
      <c r="E21" s="17" t="n">
        <f aca="false">IF(B21=1,-D21/SQRT(Sync!C12+R_s),"")</f>
        <v>-0</v>
      </c>
      <c r="F21" s="17" t="n">
        <f aca="false">(1-C21)*D21</f>
        <v>0</v>
      </c>
    </row>
    <row r="22" customFormat="false" ht="15" hidden="false" customHeight="false" outlineLevel="0" collapsed="false">
      <c r="A22" s="18" t="n">
        <v>7</v>
      </c>
      <c r="B22" s="20" t="n">
        <f aca="false">Sync!B13</f>
        <v>0</v>
      </c>
      <c r="C22" s="21" t="n">
        <f aca="false">Sync!D13</f>
        <v>0</v>
      </c>
      <c r="D22" s="17" t="n">
        <f aca="false">Alpha_keep*F21+IF(A21&gt;=Drift_q,Drift_d,0)</f>
        <v>0</v>
      </c>
      <c r="E22" s="17" t="str">
        <f aca="false">IF(B22=1,-D22/SQRT(Sync!C13+R_s),"")</f>
        <v/>
      </c>
      <c r="F22" s="17" t="n">
        <f aca="false">(1-C22)*D22</f>
        <v>0</v>
      </c>
    </row>
    <row r="23" customFormat="false" ht="15" hidden="false" customHeight="false" outlineLevel="0" collapsed="false">
      <c r="A23" s="18" t="n">
        <v>8</v>
      </c>
      <c r="B23" s="20" t="n">
        <f aca="false">Sync!B14</f>
        <v>1</v>
      </c>
      <c r="C23" s="21" t="n">
        <f aca="false">Sync!D14</f>
        <v>0.265058004002975</v>
      </c>
      <c r="D23" s="17" t="n">
        <f aca="false">Alpha_keep*F22+IF(A22&gt;=Drift_q,Drift_d,0)</f>
        <v>0</v>
      </c>
      <c r="E23" s="17" t="n">
        <f aca="false">IF(B23=1,-D23/SQRT(Sync!C14+R_s),"")</f>
        <v>-0</v>
      </c>
      <c r="F23" s="17" t="n">
        <f aca="false">(1-C23)*D23</f>
        <v>0</v>
      </c>
    </row>
    <row r="24" customFormat="false" ht="15" hidden="false" customHeight="false" outlineLevel="0" collapsed="false">
      <c r="A24" s="18" t="n">
        <v>9</v>
      </c>
      <c r="B24" s="20" t="n">
        <f aca="false">Sync!B15</f>
        <v>0</v>
      </c>
      <c r="C24" s="21" t="n">
        <f aca="false">Sync!D15</f>
        <v>0</v>
      </c>
      <c r="D24" s="17" t="n">
        <f aca="false">Alpha_keep*F23+IF(A23&gt;=Drift_q,Drift_d,0)</f>
        <v>0.5</v>
      </c>
      <c r="E24" s="17" t="str">
        <f aca="false">IF(B24=1,-D24/SQRT(Sync!C15+R_s),"")</f>
        <v/>
      </c>
      <c r="F24" s="17" t="n">
        <f aca="false">(1-C24)*D24</f>
        <v>0.5</v>
      </c>
    </row>
    <row r="25" customFormat="false" ht="15" hidden="false" customHeight="false" outlineLevel="0" collapsed="false">
      <c r="A25" s="18" t="n">
        <v>10</v>
      </c>
      <c r="B25" s="20" t="n">
        <f aca="false">Sync!B16</f>
        <v>1</v>
      </c>
      <c r="C25" s="21" t="n">
        <f aca="false">Sync!D16</f>
        <v>0.275349038052506</v>
      </c>
      <c r="D25" s="17" t="n">
        <f aca="false">Alpha_keep*F24+IF(A24&gt;=Drift_q,Drift_d,0)</f>
        <v>0.9875</v>
      </c>
      <c r="E25" s="17" t="n">
        <f aca="false">IF(B25=1,-D25/SQRT(Sync!C16+R_s),"")</f>
        <v>-0.336249410910797</v>
      </c>
      <c r="F25" s="17" t="n">
        <f aca="false">(1-C25)*D25</f>
        <v>0.71559282492315</v>
      </c>
    </row>
    <row r="26" customFormat="false" ht="15" hidden="false" customHeight="false" outlineLevel="0" collapsed="false">
      <c r="A26" s="18" t="n">
        <v>11</v>
      </c>
      <c r="B26" s="20" t="n">
        <f aca="false">Sync!B17</f>
        <v>0</v>
      </c>
      <c r="C26" s="21" t="n">
        <f aca="false">Sync!D17</f>
        <v>0</v>
      </c>
      <c r="D26" s="17" t="n">
        <f aca="false">Alpha_keep*F25+IF(A25&gt;=Drift_q,Drift_d,0)</f>
        <v>1.19770300430007</v>
      </c>
      <c r="E26" s="17" t="str">
        <f aca="false">IF(B26=1,-D26/SQRT(Sync!C17+R_s),"")</f>
        <v/>
      </c>
      <c r="F26" s="17" t="n">
        <f aca="false">(1-C26)*D26</f>
        <v>1.19770300430007</v>
      </c>
    </row>
    <row r="27" customFormat="false" ht="15" hidden="false" customHeight="false" outlineLevel="0" collapsed="false">
      <c r="A27" s="18" t="n">
        <v>12</v>
      </c>
      <c r="B27" s="20" t="n">
        <f aca="false">Sync!B18</f>
        <v>1</v>
      </c>
      <c r="C27" s="21" t="n">
        <f aca="false">Sync!D18</f>
        <v>0.280199892661748</v>
      </c>
      <c r="D27" s="17" t="n">
        <f aca="false">Alpha_keep*F26+IF(A26&gt;=Drift_q,Drift_d,0)</f>
        <v>1.66776042919257</v>
      </c>
      <c r="E27" s="17" t="n">
        <f aca="false">IF(B27=1,-D27/SQRT(Sync!C18+R_s),"")</f>
        <v>-0.565978078019772</v>
      </c>
      <c r="F27" s="17" t="n">
        <f aca="false">(1-C27)*D27</f>
        <v>1.2004541359473</v>
      </c>
    </row>
    <row r="28" customFormat="false" ht="15" hidden="false" customHeight="false" outlineLevel="0" collapsed="false">
      <c r="A28" s="18" t="n">
        <v>13</v>
      </c>
      <c r="B28" s="20" t="n">
        <f aca="false">Sync!B19</f>
        <v>0</v>
      </c>
      <c r="C28" s="21" t="n">
        <f aca="false">Sync!D19</f>
        <v>0</v>
      </c>
      <c r="D28" s="17" t="n">
        <f aca="false">Alpha_keep*F27+IF(A27&gt;=Drift_q,Drift_d,0)</f>
        <v>1.67044278254862</v>
      </c>
      <c r="E28" s="17" t="str">
        <f aca="false">IF(B28=1,-D28/SQRT(Sync!C19+R_s),"")</f>
        <v/>
      </c>
      <c r="F28" s="17" t="n">
        <f aca="false">(1-C28)*D28</f>
        <v>1.67044278254862</v>
      </c>
    </row>
    <row r="29" customFormat="false" ht="15" hidden="false" customHeight="false" outlineLevel="0" collapsed="false">
      <c r="A29" s="18" t="n">
        <v>14</v>
      </c>
      <c r="B29" s="20" t="n">
        <f aca="false">Sync!B20</f>
        <v>1</v>
      </c>
      <c r="C29" s="21" t="n">
        <f aca="false">Sync!D20</f>
        <v>0.28246397563116</v>
      </c>
      <c r="D29" s="17" t="n">
        <f aca="false">Alpha_keep*F28+IF(A28&gt;=Drift_q,Drift_d,0)</f>
        <v>2.1286817129849</v>
      </c>
      <c r="E29" s="17" t="n">
        <f aca="false">IF(B29=1,-D29/SQRT(Sync!C20+R_s),"")</f>
        <v>-0.72126120910146</v>
      </c>
      <c r="F29" s="17" t="n">
        <f aca="false">(1-C29)*D29</f>
        <v>1.52740581348184</v>
      </c>
    </row>
    <row r="30" customFormat="false" ht="15" hidden="false" customHeight="false" outlineLevel="0" collapsed="false">
      <c r="A30" s="18" t="n">
        <v>15</v>
      </c>
      <c r="B30" s="20" t="n">
        <f aca="false">Sync!B21</f>
        <v>0</v>
      </c>
      <c r="C30" s="21" t="n">
        <f aca="false">Sync!D21</f>
        <v>0</v>
      </c>
      <c r="D30" s="17" t="n">
        <f aca="false">Alpha_keep*F29+IF(A29&gt;=Drift_q,Drift_d,0)</f>
        <v>1.98922066814479</v>
      </c>
      <c r="E30" s="17" t="str">
        <f aca="false">IF(B30=1,-D30/SQRT(Sync!C21+R_s),"")</f>
        <v/>
      </c>
      <c r="F30" s="17" t="n">
        <f aca="false">(1-C30)*D30</f>
        <v>1.98922066814479</v>
      </c>
    </row>
    <row r="31" customFormat="false" ht="15" hidden="false" customHeight="false" outlineLevel="0" collapsed="false">
      <c r="A31" s="18" t="n">
        <v>16</v>
      </c>
      <c r="B31" s="20" t="n">
        <f aca="false">Sync!B22</f>
        <v>1</v>
      </c>
      <c r="C31" s="21" t="n">
        <f aca="false">Sync!D22</f>
        <v>0.28351584328972</v>
      </c>
      <c r="D31" s="17" t="n">
        <f aca="false">Alpha_keep*F30+IF(A30&gt;=Drift_q,Drift_d,0)</f>
        <v>2.43949015144117</v>
      </c>
      <c r="E31" s="17" t="n">
        <f aca="false">IF(B31=1,-D31/SQRT(Sync!C22+R_s),"")</f>
        <v>-0.825966353346029</v>
      </c>
      <c r="F31" s="17" t="n">
        <f aca="false">(1-C31)*D31</f>
        <v>1.74785604395836</v>
      </c>
    </row>
    <row r="32" customFormat="false" ht="15" hidden="false" customHeight="false" outlineLevel="0" collapsed="false">
      <c r="A32" s="18" t="n">
        <v>17</v>
      </c>
      <c r="B32" s="20" t="n">
        <f aca="false">Sync!B23</f>
        <v>0</v>
      </c>
      <c r="C32" s="21" t="n">
        <f aca="false">Sync!D23</f>
        <v>0</v>
      </c>
      <c r="D32" s="17" t="n">
        <f aca="false">Alpha_keep*F31+IF(A31&gt;=Drift_q,Drift_d,0)</f>
        <v>2.2041596428594</v>
      </c>
      <c r="E32" s="17" t="str">
        <f aca="false">IF(B32=1,-D32/SQRT(Sync!C23+R_s),"")</f>
        <v/>
      </c>
      <c r="F32" s="17" t="n">
        <f aca="false">(1-C32)*D32</f>
        <v>2.2041596428594</v>
      </c>
    </row>
    <row r="33" customFormat="false" ht="15" hidden="false" customHeight="false" outlineLevel="0" collapsed="false">
      <c r="A33" s="18" t="n">
        <v>18</v>
      </c>
      <c r="B33" s="20" t="n">
        <f aca="false">Sync!B24</f>
        <v>1</v>
      </c>
      <c r="C33" s="21" t="n">
        <f aca="false">Sync!D24</f>
        <v>0.284003480757635</v>
      </c>
      <c r="D33" s="17" t="n">
        <f aca="false">Alpha_keep*F32+IF(A32&gt;=Drift_q,Drift_d,0)</f>
        <v>2.64905565178792</v>
      </c>
      <c r="E33" s="17" t="n">
        <f aca="false">IF(B33=1,-D33/SQRT(Sync!C24+R_s),"")</f>
        <v>-0.896616091733957</v>
      </c>
      <c r="F33" s="17" t="n">
        <f aca="false">(1-C33)*D33</f>
        <v>1.89671462595946</v>
      </c>
    </row>
    <row r="34" customFormat="false" ht="15" hidden="false" customHeight="false" outlineLevel="0" collapsed="false">
      <c r="A34" s="18" t="n">
        <v>19</v>
      </c>
      <c r="B34" s="20" t="n">
        <f aca="false">Sync!B25</f>
        <v>0</v>
      </c>
      <c r="C34" s="21" t="n">
        <f aca="false">Sync!D25</f>
        <v>0</v>
      </c>
      <c r="D34" s="17" t="n">
        <f aca="false">Alpha_keep*F33+IF(A33&gt;=Drift_q,Drift_d,0)</f>
        <v>2.34929676031048</v>
      </c>
      <c r="E34" s="17" t="str">
        <f aca="false">IF(B34=1,-D34/SQRT(Sync!C25+R_s),"")</f>
        <v/>
      </c>
      <c r="F34" s="17" t="n">
        <f aca="false">(1-C34)*D34</f>
        <v>2.34929676031048</v>
      </c>
    </row>
    <row r="35" customFormat="false" ht="15" hidden="false" customHeight="false" outlineLevel="0" collapsed="false">
      <c r="A35" s="18" t="n">
        <v>20</v>
      </c>
      <c r="B35" s="20" t="n">
        <f aca="false">Sync!B26</f>
        <v>1</v>
      </c>
      <c r="C35" s="21" t="n">
        <f aca="false">Sync!D26</f>
        <v>0.284229320487421</v>
      </c>
      <c r="D35" s="17" t="n">
        <f aca="false">Alpha_keep*F34+IF(A34&gt;=Drift_q,Drift_d,0)</f>
        <v>2.79056434130272</v>
      </c>
      <c r="E35" s="17" t="n">
        <f aca="false">IF(B35=1,-D35/SQRT(Sync!C26+R_s),"")</f>
        <v>-0.944363044913334</v>
      </c>
      <c r="F35" s="17" t="n">
        <f aca="false">(1-C35)*D35</f>
        <v>1.99740413479782</v>
      </c>
    </row>
    <row r="36" customFormat="false" ht="15" hidden="false" customHeight="false" outlineLevel="0" collapsed="false">
      <c r="A36" s="18" t="n">
        <v>21</v>
      </c>
      <c r="B36" s="20" t="n">
        <f aca="false">Sync!B27</f>
        <v>0</v>
      </c>
      <c r="C36" s="21" t="n">
        <f aca="false">Sync!D27</f>
        <v>0</v>
      </c>
      <c r="D36" s="17" t="n">
        <f aca="false">Alpha_keep*F35+IF(A35&gt;=Drift_q,Drift_d,0)</f>
        <v>2.44746903142787</v>
      </c>
      <c r="E36" s="17" t="str">
        <f aca="false">IF(B36=1,-D36/SQRT(Sync!C27+R_s),"")</f>
        <v/>
      </c>
      <c r="F36" s="17" t="n">
        <f aca="false">(1-C36)*D36</f>
        <v>2.44746903142787</v>
      </c>
    </row>
    <row r="37" customFormat="false" ht="15" hidden="false" customHeight="false" outlineLevel="0" collapsed="false">
      <c r="A37" s="18" t="n">
        <v>22</v>
      </c>
      <c r="B37" s="20" t="n">
        <f aca="false">Sync!B28</f>
        <v>1</v>
      </c>
      <c r="C37" s="21" t="n">
        <f aca="false">Sync!D28</f>
        <v>0.284333865466318</v>
      </c>
      <c r="D37" s="17" t="n">
        <f aca="false">Alpha_keep*F36+IF(A36&gt;=Drift_q,Drift_d,0)</f>
        <v>2.88628230564217</v>
      </c>
      <c r="E37" s="17" t="n">
        <f aca="false">IF(B37=1,-D37/SQRT(Sync!C28+R_s),"")</f>
        <v>-0.976683906621726</v>
      </c>
      <c r="F37" s="17" t="n">
        <f aca="false">(1-C37)*D37</f>
        <v>2.0656145008519</v>
      </c>
    </row>
    <row r="38" customFormat="false" ht="15" hidden="false" customHeight="false" outlineLevel="0" collapsed="false">
      <c r="A38" s="18" t="n">
        <v>23</v>
      </c>
      <c r="B38" s="20" t="n">
        <f aca="false">Sync!B29</f>
        <v>0</v>
      </c>
      <c r="C38" s="21" t="n">
        <f aca="false">Sync!D29</f>
        <v>0</v>
      </c>
      <c r="D38" s="17" t="n">
        <f aca="false">Alpha_keep*F37+IF(A37&gt;=Drift_q,Drift_d,0)</f>
        <v>2.5139741383306</v>
      </c>
      <c r="E38" s="17" t="str">
        <f aca="false">IF(B38=1,-D38/SQRT(Sync!C29+R_s),"")</f>
        <v/>
      </c>
      <c r="F38" s="17" t="n">
        <f aca="false">(1-C38)*D38</f>
        <v>2.5139741383306</v>
      </c>
    </row>
    <row r="39" customFormat="false" ht="15" hidden="false" customHeight="false" outlineLevel="0" collapsed="false">
      <c r="A39" s="18" t="n">
        <v>24</v>
      </c>
      <c r="B39" s="20" t="n">
        <f aca="false">Sync!B30</f>
        <v>1</v>
      </c>
      <c r="C39" s="21" t="n">
        <f aca="false">Sync!D30</f>
        <v>0.284382250741191</v>
      </c>
      <c r="D39" s="17" t="n">
        <f aca="false">Alpha_keep*F38+IF(A38&gt;=Drift_q,Drift_d,0)</f>
        <v>2.95112478487234</v>
      </c>
      <c r="E39" s="17" t="n">
        <f aca="false">IF(B39=1,-D39/SQRT(Sync!C30+R_s),"")</f>
        <v>-0.998592078702227</v>
      </c>
      <c r="F39" s="17" t="n">
        <f aca="false">(1-C39)*D39</f>
        <v>2.11187727633223</v>
      </c>
    </row>
    <row r="40" customFormat="false" ht="15" hidden="false" customHeight="false" outlineLevel="0" collapsed="false">
      <c r="A40" s="18" t="n">
        <v>25</v>
      </c>
      <c r="B40" s="20" t="n">
        <f aca="false">Sync!B31</f>
        <v>0</v>
      </c>
      <c r="C40" s="21" t="n">
        <f aca="false">Sync!D31</f>
        <v>0</v>
      </c>
      <c r="D40" s="17" t="n">
        <f aca="false">Alpha_keep*F39+IF(A39&gt;=Drift_q,Drift_d,0)</f>
        <v>2.55908034442392</v>
      </c>
      <c r="E40" s="17" t="str">
        <f aca="false">IF(B40=1,-D40/SQRT(Sync!C31+R_s),"")</f>
        <v/>
      </c>
      <c r="F40" s="17" t="n">
        <f aca="false">(1-C40)*D40</f>
        <v>2.55908034442392</v>
      </c>
    </row>
    <row r="41" customFormat="false" ht="15" hidden="false" customHeight="false" outlineLevel="0" collapsed="false">
      <c r="A41" s="18" t="n">
        <v>26</v>
      </c>
      <c r="B41" s="20" t="n">
        <f aca="false">Sync!B32</f>
        <v>1</v>
      </c>
      <c r="C41" s="21" t="n">
        <f aca="false">Sync!D32</f>
        <v>0.284404642091977</v>
      </c>
      <c r="D41" s="17" t="n">
        <f aca="false">Alpha_keep*F40+IF(A40&gt;=Drift_q,Drift_d,0)</f>
        <v>2.99510333581332</v>
      </c>
      <c r="E41" s="17" t="n">
        <f aca="false">IF(B41=1,-D41/SQRT(Sync!C32+R_s),"")</f>
        <v>-1.0134575431276</v>
      </c>
      <c r="F41" s="17" t="n">
        <f aca="false">(1-C41)*D41</f>
        <v>2.14328204356285</v>
      </c>
    </row>
    <row r="42" customFormat="false" ht="15" hidden="false" customHeight="false" outlineLevel="0" collapsed="false">
      <c r="A42" s="18" t="n">
        <v>27</v>
      </c>
      <c r="B42" s="20" t="n">
        <f aca="false">Sync!B33</f>
        <v>0</v>
      </c>
      <c r="C42" s="21" t="n">
        <f aca="false">Sync!D33</f>
        <v>0</v>
      </c>
      <c r="D42" s="17" t="n">
        <f aca="false">Alpha_keep*F41+IF(A41&gt;=Drift_q,Drift_d,0)</f>
        <v>2.58969999247378</v>
      </c>
      <c r="E42" s="17" t="str">
        <f aca="false">IF(B42=1,-D42/SQRT(Sync!C33+R_s),"")</f>
        <v/>
      </c>
      <c r="F42" s="17" t="n">
        <f aca="false">(1-C42)*D42</f>
        <v>2.58969999247378</v>
      </c>
    </row>
    <row r="43" customFormat="false" ht="15" hidden="false" customHeight="false" outlineLevel="0" collapsed="false">
      <c r="A43" s="18" t="n">
        <v>28</v>
      </c>
      <c r="B43" s="20" t="n">
        <f aca="false">Sync!B34</f>
        <v>1</v>
      </c>
      <c r="C43" s="21" t="n">
        <f aca="false">Sync!D34</f>
        <v>0.28441500370807</v>
      </c>
      <c r="D43" s="17" t="n">
        <f aca="false">Alpha_keep*F42+IF(A42&gt;=Drift_q,Drift_d,0)</f>
        <v>3.02495749266193</v>
      </c>
      <c r="E43" s="17" t="n">
        <f aca="false">IF(B43=1,-D43/SQRT(Sync!C34+R_s),"")</f>
        <v>-1.0235519278611</v>
      </c>
      <c r="F43" s="17" t="n">
        <f aca="false">(1-C43)*D43</f>
        <v>2.16461419616974</v>
      </c>
    </row>
    <row r="44" customFormat="false" ht="15" hidden="false" customHeight="false" outlineLevel="0" collapsed="false">
      <c r="A44" s="18" t="n">
        <v>29</v>
      </c>
      <c r="B44" s="20" t="n">
        <f aca="false">Sync!B35</f>
        <v>0</v>
      </c>
      <c r="C44" s="21" t="n">
        <f aca="false">Sync!D35</f>
        <v>0</v>
      </c>
      <c r="D44" s="17" t="n">
        <f aca="false">Alpha_keep*F43+IF(A43&gt;=Drift_q,Drift_d,0)</f>
        <v>2.61049884126549</v>
      </c>
      <c r="E44" s="17" t="str">
        <f aca="false">IF(B44=1,-D44/SQRT(Sync!C35+R_s),"")</f>
        <v/>
      </c>
      <c r="F44" s="17" t="n">
        <f aca="false">(1-C44)*D44</f>
        <v>2.61049884126549</v>
      </c>
    </row>
    <row r="45" customFormat="false" ht="15" hidden="false" customHeight="false" outlineLevel="0" collapsed="false">
      <c r="A45" s="18" t="n">
        <v>30</v>
      </c>
      <c r="B45" s="20" t="n">
        <f aca="false">Sync!B36</f>
        <v>1</v>
      </c>
      <c r="C45" s="21" t="n">
        <f aca="false">Sync!D36</f>
        <v>0.28441979845293</v>
      </c>
      <c r="D45" s="17" t="n">
        <f aca="false">Alpha_keep*F44+IF(A44&gt;=Drift_q,Drift_d,0)</f>
        <v>3.04523637023385</v>
      </c>
      <c r="E45" s="17" t="n">
        <f aca="false">IF(B45=1,-D45/SQRT(Sync!C36+R_s),"")</f>
        <v>-1.03041021983708</v>
      </c>
      <c r="F45" s="17" t="n">
        <f aca="false">(1-C45)*D45</f>
        <v>2.17911085557041</v>
      </c>
    </row>
    <row r="46" customFormat="false" ht="15" hidden="false" customHeight="false" outlineLevel="0" collapsed="false">
      <c r="A46" s="18" t="n">
        <v>31</v>
      </c>
      <c r="B46" s="20" t="n">
        <f aca="false">Sync!B37</f>
        <v>0</v>
      </c>
      <c r="C46" s="21" t="n">
        <f aca="false">Sync!D37</f>
        <v>0</v>
      </c>
      <c r="D46" s="17" t="n">
        <f aca="false">Alpha_keep*F45+IF(A45&gt;=Drift_q,Drift_d,0)</f>
        <v>2.62463308418115</v>
      </c>
      <c r="E46" s="17" t="str">
        <f aca="false">IF(B46=1,-D46/SQRT(Sync!C37+R_s),"")</f>
        <v/>
      </c>
      <c r="F46" s="17" t="n">
        <f aca="false">(1-C46)*D46</f>
        <v>2.62463308418115</v>
      </c>
    </row>
    <row r="47" customFormat="false" ht="15" hidden="false" customHeight="false" outlineLevel="0" collapsed="false">
      <c r="A47" s="18" t="n">
        <v>32</v>
      </c>
      <c r="B47" s="20" t="n">
        <f aca="false">Sync!B38</f>
        <v>1</v>
      </c>
      <c r="C47" s="21" t="n">
        <f aca="false">Sync!D38</f>
        <v>0.28442201715634</v>
      </c>
      <c r="D47" s="17" t="n">
        <f aca="false">Alpha_keep*F46+IF(A46&gt;=Drift_q,Drift_d,0)</f>
        <v>3.05901725707662</v>
      </c>
      <c r="E47" s="17" t="n">
        <f aca="false">IF(B47=1,-D47/SQRT(Sync!C38+R_s),"")</f>
        <v>-1.03507162484937</v>
      </c>
      <c r="F47" s="17" t="n">
        <f aca="false">(1-C47)*D47</f>
        <v>2.18896539830283</v>
      </c>
    </row>
    <row r="48" customFormat="false" ht="15" hidden="false" customHeight="false" outlineLevel="0" collapsed="false">
      <c r="A48" s="18" t="n">
        <v>33</v>
      </c>
      <c r="B48" s="20" t="n">
        <f aca="false">Sync!B39</f>
        <v>0</v>
      </c>
      <c r="C48" s="21" t="n">
        <f aca="false">Sync!D39</f>
        <v>0</v>
      </c>
      <c r="D48" s="17" t="n">
        <f aca="false">Alpha_keep*F47+IF(A47&gt;=Drift_q,Drift_d,0)</f>
        <v>2.63424126334526</v>
      </c>
      <c r="E48" s="17" t="str">
        <f aca="false">IF(B48=1,-D48/SQRT(Sync!C39+R_s),"")</f>
        <v/>
      </c>
      <c r="F48" s="17" t="n">
        <f aca="false">(1-C48)*D48</f>
        <v>2.63424126334526</v>
      </c>
    </row>
    <row r="49" customFormat="false" ht="15" hidden="false" customHeight="false" outlineLevel="0" collapsed="false">
      <c r="A49" s="18" t="n">
        <v>34</v>
      </c>
      <c r="B49" s="20" t="n">
        <f aca="false">Sync!B40</f>
        <v>1</v>
      </c>
      <c r="C49" s="21" t="n">
        <f aca="false">Sync!D40</f>
        <v>0.284423043826713</v>
      </c>
      <c r="D49" s="17" t="n">
        <f aca="false">Alpha_keep*F48+IF(A48&gt;=Drift_q,Drift_d,0)</f>
        <v>3.06838523176163</v>
      </c>
      <c r="E49" s="17" t="n">
        <f aca="false">IF(B49=1,-D49/SQRT(Sync!C40+R_s),"")</f>
        <v>-1.03824069700318</v>
      </c>
      <c r="F49" s="17" t="n">
        <f aca="false">(1-C49)*D49</f>
        <v>2.19566576451106</v>
      </c>
    </row>
    <row r="50" customFormat="false" ht="15" hidden="false" customHeight="false" outlineLevel="0" collapsed="false">
      <c r="A50" s="18" t="n">
        <v>35</v>
      </c>
      <c r="B50" s="20" t="n">
        <f aca="false">Sync!B41</f>
        <v>0</v>
      </c>
      <c r="C50" s="21" t="n">
        <f aca="false">Sync!D41</f>
        <v>0</v>
      </c>
      <c r="D50" s="17" t="n">
        <f aca="false">Alpha_keep*F49+IF(A49&gt;=Drift_q,Drift_d,0)</f>
        <v>2.64077412039828</v>
      </c>
      <c r="E50" s="17" t="str">
        <f aca="false">IF(B50=1,-D50/SQRT(Sync!C41+R_s),"")</f>
        <v/>
      </c>
      <c r="F50" s="17" t="n">
        <f aca="false">(1-C50)*D50</f>
        <v>2.64077412039828</v>
      </c>
    </row>
    <row r="51" customFormat="false" ht="15" hidden="false" customHeight="false" outlineLevel="0" collapsed="false">
      <c r="A51" s="18" t="n">
        <v>36</v>
      </c>
      <c r="B51" s="20" t="n">
        <f aca="false">Sync!B42</f>
        <v>1</v>
      </c>
      <c r="C51" s="21" t="n">
        <f aca="false">Sync!D42</f>
        <v>0.284423518901407</v>
      </c>
      <c r="D51" s="17" t="n">
        <f aca="false">Alpha_keep*F50+IF(A50&gt;=Drift_q,Drift_d,0)</f>
        <v>3.07475476738832</v>
      </c>
      <c r="E51" s="17" t="n">
        <f aca="false">IF(B51=1,-D51/SQRT(Sync!C42+R_s),"")</f>
        <v>-1.04039559311506</v>
      </c>
      <c r="F51" s="17" t="n">
        <f aca="false">(1-C51)*D51</f>
        <v>2.20022219668886</v>
      </c>
    </row>
    <row r="52" customFormat="false" ht="15" hidden="false" customHeight="false" outlineLevel="0" collapsed="false">
      <c r="A52" s="18" t="n">
        <v>37</v>
      </c>
      <c r="B52" s="20" t="n">
        <f aca="false">Sync!B43</f>
        <v>0</v>
      </c>
      <c r="C52" s="21" t="n">
        <f aca="false">Sync!D43</f>
        <v>0</v>
      </c>
      <c r="D52" s="17" t="n">
        <f aca="false">Alpha_keep*F51+IF(A51&gt;=Drift_q,Drift_d,0)</f>
        <v>2.64521664177164</v>
      </c>
      <c r="E52" s="17" t="str">
        <f aca="false">IF(B52=1,-D52/SQRT(Sync!C43+R_s),"")</f>
        <v/>
      </c>
      <c r="F52" s="17" t="n">
        <f aca="false">(1-C52)*D52</f>
        <v>2.64521664177164</v>
      </c>
    </row>
    <row r="53" customFormat="false" ht="15" hidden="false" customHeight="false" outlineLevel="0" collapsed="false">
      <c r="A53" s="18" t="n">
        <v>38</v>
      </c>
      <c r="B53" s="20" t="n">
        <f aca="false">Sync!B44</f>
        <v>1</v>
      </c>
      <c r="C53" s="21" t="n">
        <f aca="false">Sync!D44</f>
        <v>0.284423738734131</v>
      </c>
      <c r="D53" s="17" t="n">
        <f aca="false">Alpha_keep*F52+IF(A52&gt;=Drift_q,Drift_d,0)</f>
        <v>3.07908622572735</v>
      </c>
      <c r="E53" s="17" t="n">
        <f aca="false">IF(B53=1,-D53/SQRT(Sync!C44+R_s),"")</f>
        <v>-1.04186105570925</v>
      </c>
      <c r="F53" s="17" t="n">
        <f aca="false">(1-C53)*D53</f>
        <v>2.20332100952121</v>
      </c>
    </row>
    <row r="54" customFormat="false" ht="15" hidden="false" customHeight="false" outlineLevel="0" collapsed="false">
      <c r="A54" s="18" t="n">
        <v>39</v>
      </c>
      <c r="B54" s="20" t="n">
        <f aca="false">Sync!B45</f>
        <v>0</v>
      </c>
      <c r="C54" s="21" t="n">
        <f aca="false">Sync!D45</f>
        <v>0</v>
      </c>
      <c r="D54" s="17" t="n">
        <f aca="false">Alpha_keep*F53+IF(A53&gt;=Drift_q,Drift_d,0)</f>
        <v>2.64823798428318</v>
      </c>
      <c r="E54" s="17" t="str">
        <f aca="false">IF(B54=1,-D54/SQRT(Sync!C45+R_s),"")</f>
        <v/>
      </c>
      <c r="F54" s="17" t="n">
        <f aca="false">(1-C54)*D54</f>
        <v>2.64823798428318</v>
      </c>
    </row>
    <row r="55" customFormat="false" ht="15" hidden="false" customHeight="false" outlineLevel="0" collapsed="false">
      <c r="A55" s="18" t="n">
        <v>40</v>
      </c>
      <c r="B55" s="20" t="n">
        <f aca="false">Sync!B46</f>
        <v>1</v>
      </c>
      <c r="C55" s="21" t="n">
        <f aca="false">Sync!D46</f>
        <v>0.284423840457935</v>
      </c>
      <c r="D55" s="17" t="n">
        <f aca="false">Alpha_keep*F54+IF(A54&gt;=Drift_q,Drift_d,0)</f>
        <v>3.0820320346761</v>
      </c>
      <c r="E55" s="17" t="n">
        <f aca="false">IF(B55=1,-D55/SQRT(Sync!C46+R_s),"")</f>
        <v>-1.04285774601298</v>
      </c>
      <c r="F55" s="17" t="n">
        <f aca="false">(1-C55)*D55</f>
        <v>2.20542864695914</v>
      </c>
    </row>
    <row r="56" customFormat="false" ht="15" hidden="false" customHeight="false" outlineLevel="0" collapsed="false">
      <c r="A56" s="18" t="n">
        <v>41</v>
      </c>
      <c r="B56" s="20" t="n">
        <f aca="false">Sync!B47</f>
        <v>0</v>
      </c>
      <c r="C56" s="21" t="n">
        <f aca="false">Sync!D47</f>
        <v>0</v>
      </c>
      <c r="D56" s="17" t="n">
        <f aca="false">Alpha_keep*F55+IF(A55&gt;=Drift_q,Drift_d,0)</f>
        <v>2.65029293078516</v>
      </c>
      <c r="E56" s="17" t="str">
        <f aca="false">IF(B56=1,-D56/SQRT(Sync!C47+R_s),"")</f>
        <v/>
      </c>
      <c r="F56" s="17" t="n">
        <f aca="false">(1-C56)*D56</f>
        <v>2.65029293078516</v>
      </c>
    </row>
    <row r="57" customFormat="false" ht="15" hidden="false" customHeight="false" outlineLevel="0" collapsed="false">
      <c r="A57" s="18" t="n">
        <v>42</v>
      </c>
      <c r="B57" s="20" t="n">
        <f aca="false">Sync!B48</f>
        <v>1</v>
      </c>
      <c r="C57" s="21" t="n">
        <f aca="false">Sync!D48</f>
        <v>0.284423887528863</v>
      </c>
      <c r="D57" s="17" t="n">
        <f aca="false">Alpha_keep*F56+IF(A56&gt;=Drift_q,Drift_d,0)</f>
        <v>3.08403560751553</v>
      </c>
      <c r="E57" s="17" t="n">
        <f aca="false">IF(B57=1,-D57/SQRT(Sync!C48+R_s),"")</f>
        <v>-1.04353565449994</v>
      </c>
      <c r="F57" s="17" t="n">
        <f aca="false">(1-C57)*D57</f>
        <v>2.20686221074853</v>
      </c>
    </row>
    <row r="58" customFormat="false" ht="15" hidden="false" customHeight="false" outlineLevel="0" collapsed="false">
      <c r="A58" s="18" t="n">
        <v>43</v>
      </c>
      <c r="B58" s="20" t="n">
        <f aca="false">Sync!B49</f>
        <v>0</v>
      </c>
      <c r="C58" s="21" t="n">
        <f aca="false">Sync!D49</f>
        <v>0</v>
      </c>
      <c r="D58" s="17" t="n">
        <f aca="false">Alpha_keep*F57+IF(A57&gt;=Drift_q,Drift_d,0)</f>
        <v>2.65169065547981</v>
      </c>
      <c r="E58" s="17" t="str">
        <f aca="false">IF(B58=1,-D58/SQRT(Sync!C49+R_s),"")</f>
        <v/>
      </c>
      <c r="F58" s="17" t="n">
        <f aca="false">(1-C58)*D58</f>
        <v>2.65169065547981</v>
      </c>
    </row>
    <row r="59" customFormat="false" ht="15" hidden="false" customHeight="false" outlineLevel="0" collapsed="false">
      <c r="A59" s="18" t="n">
        <v>44</v>
      </c>
      <c r="B59" s="20" t="n">
        <f aca="false">Sync!B50</f>
        <v>1</v>
      </c>
      <c r="C59" s="21" t="n">
        <f aca="false">Sync!D50</f>
        <v>0.284423909310116</v>
      </c>
      <c r="D59" s="17" t="n">
        <f aca="false">Alpha_keep*F58+IF(A58&gt;=Drift_q,Drift_d,0)</f>
        <v>3.08539838909282</v>
      </c>
      <c r="E59" s="17" t="n">
        <f aca="false">IF(B59=1,-D59/SQRT(Sync!C50+R_s),"")</f>
        <v>-1.04399675882686</v>
      </c>
      <c r="F59" s="17" t="n">
        <f aca="false">(1-C59)*D59</f>
        <v>2.2078373174879</v>
      </c>
    </row>
    <row r="60" customFormat="false" ht="15" hidden="false" customHeight="false" outlineLevel="0" collapsed="false">
      <c r="A60" s="18" t="n">
        <v>45</v>
      </c>
      <c r="B60" s="20" t="n">
        <f aca="false">Sync!B51</f>
        <v>0</v>
      </c>
      <c r="C60" s="21" t="n">
        <f aca="false">Sync!D51</f>
        <v>0</v>
      </c>
      <c r="D60" s="17" t="n">
        <f aca="false">Alpha_keep*F59+IF(A59&gt;=Drift_q,Drift_d,0)</f>
        <v>2.65264138455071</v>
      </c>
      <c r="E60" s="17" t="str">
        <f aca="false">IF(B60=1,-D60/SQRT(Sync!C51+R_s),"")</f>
        <v/>
      </c>
      <c r="F60" s="17" t="n">
        <f aca="false">(1-C60)*D60</f>
        <v>2.65264138455071</v>
      </c>
    </row>
    <row r="61" customFormat="false" ht="15" hidden="false" customHeight="false" outlineLevel="0" collapsed="false">
      <c r="A61" s="18" t="n">
        <v>46</v>
      </c>
      <c r="B61" s="20" t="n">
        <f aca="false">Sync!B52</f>
        <v>1</v>
      </c>
      <c r="C61" s="21" t="n">
        <f aca="false">Sync!D52</f>
        <v>0.284423919389012</v>
      </c>
      <c r="D61" s="17" t="n">
        <f aca="false">Alpha_keep*F60+IF(A60&gt;=Drift_q,Drift_d,0)</f>
        <v>3.08632534993694</v>
      </c>
      <c r="E61" s="17" t="n">
        <f aca="false">IF(B61=1,-D61/SQRT(Sync!C52+R_s),"")</f>
        <v>-1.04431040436077</v>
      </c>
      <c r="F61" s="17" t="n">
        <f aca="false">(1-C61)*D61</f>
        <v>2.20850059739821</v>
      </c>
    </row>
    <row r="62" customFormat="false" ht="15" hidden="false" customHeight="false" outlineLevel="0" collapsed="false">
      <c r="A62" s="18" t="n">
        <v>47</v>
      </c>
      <c r="B62" s="20" t="n">
        <f aca="false">Sync!B53</f>
        <v>0</v>
      </c>
      <c r="C62" s="21" t="n">
        <f aca="false">Sync!D53</f>
        <v>0</v>
      </c>
      <c r="D62" s="17" t="n">
        <f aca="false">Alpha_keep*F61+IF(A61&gt;=Drift_q,Drift_d,0)</f>
        <v>2.65328808246325</v>
      </c>
      <c r="E62" s="17" t="str">
        <f aca="false">IF(B62=1,-D62/SQRT(Sync!C53+R_s),"")</f>
        <v/>
      </c>
      <c r="F62" s="17" t="n">
        <f aca="false">(1-C62)*D62</f>
        <v>2.65328808246325</v>
      </c>
    </row>
    <row r="63" customFormat="false" ht="15" hidden="false" customHeight="false" outlineLevel="0" collapsed="false">
      <c r="A63" s="18" t="n">
        <v>48</v>
      </c>
      <c r="B63" s="20" t="n">
        <f aca="false">Sync!B54</f>
        <v>1</v>
      </c>
      <c r="C63" s="21" t="n">
        <f aca="false">Sync!D54</f>
        <v>0.284423924052846</v>
      </c>
      <c r="D63" s="17" t="n">
        <f aca="false">Alpha_keep*F62+IF(A62&gt;=Drift_q,Drift_d,0)</f>
        <v>3.08695588040167</v>
      </c>
      <c r="E63" s="17" t="n">
        <f aca="false">IF(B63=1,-D63/SQRT(Sync!C54+R_s),"")</f>
        <v>-1.04452375160852</v>
      </c>
      <c r="F63" s="17" t="n">
        <f aca="false">(1-C63)*D63</f>
        <v>2.20895177551982</v>
      </c>
    </row>
    <row r="64" customFormat="false" ht="15" hidden="false" customHeight="false" outlineLevel="0" collapsed="false">
      <c r="A64" s="18" t="n">
        <v>49</v>
      </c>
      <c r="B64" s="20" t="n">
        <f aca="false">Sync!B55</f>
        <v>0</v>
      </c>
      <c r="C64" s="21" t="n">
        <f aca="false">Sync!D55</f>
        <v>0</v>
      </c>
      <c r="D64" s="17" t="n">
        <f aca="false">Alpha_keep*F63+IF(A63&gt;=Drift_q,Drift_d,0)</f>
        <v>2.65372798113183</v>
      </c>
      <c r="E64" s="17" t="str">
        <f aca="false">IF(B64=1,-D64/SQRT(Sync!C55+R_s),"")</f>
        <v/>
      </c>
      <c r="F64" s="17" t="n">
        <f aca="false">(1-C64)*D64</f>
        <v>2.65372798113183</v>
      </c>
    </row>
    <row r="65" customFormat="false" ht="15" hidden="false" customHeight="false" outlineLevel="0" collapsed="false">
      <c r="A65" s="18" t="n">
        <v>50</v>
      </c>
      <c r="B65" s="20" t="n">
        <f aca="false">Sync!B56</f>
        <v>1</v>
      </c>
      <c r="C65" s="21" t="n">
        <f aca="false">Sync!D56</f>
        <v>0.284423926210954</v>
      </c>
      <c r="D65" s="17" t="n">
        <f aca="false">Alpha_keep*F64+IF(A64&gt;=Drift_q,Drift_d,0)</f>
        <v>3.08738478160353</v>
      </c>
      <c r="E65" s="17" t="n">
        <f aca="false">IF(B65=1,-D65/SQRT(Sync!C56+R_s),"")</f>
        <v>-1.04466887601162</v>
      </c>
      <c r="F65" s="17" t="n">
        <f aca="false">(1-C65)*D65</f>
        <v>2.2092586802959</v>
      </c>
    </row>
    <row r="66" customFormat="false" ht="15" hidden="false" customHeight="false" outlineLevel="0" collapsed="false">
      <c r="A66" s="18" t="n">
        <v>51</v>
      </c>
      <c r="B66" s="20" t="n">
        <f aca="false">Sync!B57</f>
        <v>0</v>
      </c>
      <c r="C66" s="21" t="n">
        <f aca="false">Sync!D57</f>
        <v>0</v>
      </c>
      <c r="D66" s="17" t="n">
        <f aca="false">Alpha_keep*F65+IF(A65&gt;=Drift_q,Drift_d,0)</f>
        <v>2.65402721328851</v>
      </c>
      <c r="E66" s="17" t="str">
        <f aca="false">IF(B66=1,-D66/SQRT(Sync!C57+R_s),"")</f>
        <v/>
      </c>
      <c r="F66" s="17" t="n">
        <f aca="false">(1-C66)*D66</f>
        <v>2.65402721328851</v>
      </c>
    </row>
    <row r="67" customFormat="false" ht="15" hidden="false" customHeight="false" outlineLevel="0" collapsed="false">
      <c r="A67" s="18" t="n">
        <v>52</v>
      </c>
      <c r="B67" s="20" t="n">
        <f aca="false">Sync!B58</f>
        <v>1</v>
      </c>
      <c r="C67" s="21" t="n">
        <f aca="false">Sync!D58</f>
        <v>0.284423927209581</v>
      </c>
      <c r="D67" s="17" t="n">
        <f aca="false">Alpha_keep*F66+IF(A66&gt;=Drift_q,Drift_d,0)</f>
        <v>3.08767653295629</v>
      </c>
      <c r="E67" s="17" t="n">
        <f aca="false">IF(B67=1,-D67/SQRT(Sync!C58+R_s),"")</f>
        <v>-1.04476759428892</v>
      </c>
      <c r="F67" s="17" t="n">
        <f aca="false">(1-C67)*D67</f>
        <v>2.2094674475</v>
      </c>
    </row>
    <row r="68" customFormat="false" ht="15" hidden="false" customHeight="false" outlineLevel="0" collapsed="false">
      <c r="A68" s="18" t="n">
        <v>53</v>
      </c>
      <c r="B68" s="20" t="n">
        <f aca="false">Sync!B59</f>
        <v>0</v>
      </c>
      <c r="C68" s="21" t="n">
        <f aca="false">Sync!D59</f>
        <v>0</v>
      </c>
      <c r="D68" s="17" t="n">
        <f aca="false">Alpha_keep*F67+IF(A67&gt;=Drift_q,Drift_d,0)</f>
        <v>2.6542307613125</v>
      </c>
      <c r="E68" s="17" t="str">
        <f aca="false">IF(B68=1,-D68/SQRT(Sync!C59+R_s),"")</f>
        <v/>
      </c>
      <c r="F68" s="17" t="n">
        <f aca="false">(1-C68)*D68</f>
        <v>2.6542307613125</v>
      </c>
    </row>
    <row r="69" customFormat="false" ht="15" hidden="false" customHeight="false" outlineLevel="0" collapsed="false">
      <c r="A69" s="18" t="n">
        <v>54</v>
      </c>
      <c r="B69" s="20" t="n">
        <f aca="false">Sync!B60</f>
        <v>1</v>
      </c>
      <c r="C69" s="21" t="n">
        <f aca="false">Sync!D60</f>
        <v>0.284423927671678</v>
      </c>
      <c r="D69" s="17" t="n">
        <f aca="false">Alpha_keep*F68+IF(A68&gt;=Drift_q,Drift_d,0)</f>
        <v>3.08787499227969</v>
      </c>
      <c r="E69" s="17" t="n">
        <f aca="false">IF(B69=1,-D69/SQRT(Sync!C60+R_s),"")</f>
        <v>-1.0448347460213</v>
      </c>
      <c r="F69" s="17" t="n">
        <f aca="false">(1-C69)*D69</f>
        <v>2.20960945881635</v>
      </c>
    </row>
    <row r="70" customFormat="false" ht="15" hidden="false" customHeight="false" outlineLevel="0" collapsed="false">
      <c r="A70" s="18" t="n">
        <v>55</v>
      </c>
      <c r="B70" s="20" t="n">
        <f aca="false">Sync!B61</f>
        <v>0</v>
      </c>
      <c r="C70" s="21" t="n">
        <f aca="false">Sync!D61</f>
        <v>0</v>
      </c>
      <c r="D70" s="17" t="n">
        <f aca="false">Alpha_keep*F69+IF(A69&gt;=Drift_q,Drift_d,0)</f>
        <v>2.65436922234594</v>
      </c>
      <c r="E70" s="17" t="str">
        <f aca="false">IF(B70=1,-D70/SQRT(Sync!C61+R_s),"")</f>
        <v/>
      </c>
      <c r="F70" s="17" t="n">
        <f aca="false">(1-C70)*D70</f>
        <v>2.65436922234594</v>
      </c>
    </row>
    <row r="71" customFormat="false" ht="15" hidden="false" customHeight="false" outlineLevel="0" collapsed="false">
      <c r="A71" s="18" t="n">
        <v>56</v>
      </c>
      <c r="B71" s="20" t="n">
        <f aca="false">Sync!B62</f>
        <v>1</v>
      </c>
      <c r="C71" s="21" t="n">
        <f aca="false">Sync!D62</f>
        <v>0.284423927885505</v>
      </c>
      <c r="D71" s="17" t="n">
        <f aca="false">Alpha_keep*F70+IF(A70&gt;=Drift_q,Drift_d,0)</f>
        <v>3.08800999178729</v>
      </c>
      <c r="E71" s="17" t="n">
        <f aca="false">IF(B71=1,-D71/SQRT(Sync!C62+R_s),"")</f>
        <v>-1.04488042523257</v>
      </c>
      <c r="F71" s="17" t="n">
        <f aca="false">(1-C71)*D71</f>
        <v>2.20970606057346</v>
      </c>
    </row>
    <row r="72" customFormat="false" ht="15" hidden="false" customHeight="false" outlineLevel="0" collapsed="false">
      <c r="A72" s="18" t="n">
        <v>57</v>
      </c>
      <c r="B72" s="20" t="n">
        <f aca="false">Sync!B63</f>
        <v>0</v>
      </c>
      <c r="C72" s="21" t="n">
        <f aca="false">Sync!D63</f>
        <v>0</v>
      </c>
      <c r="D72" s="17" t="n">
        <f aca="false">Alpha_keep*F71+IF(A71&gt;=Drift_q,Drift_d,0)</f>
        <v>2.65446340905913</v>
      </c>
      <c r="E72" s="17" t="str">
        <f aca="false">IF(B72=1,-D72/SQRT(Sync!C63+R_s),"")</f>
        <v/>
      </c>
      <c r="F72" s="17" t="n">
        <f aca="false">(1-C72)*D72</f>
        <v>2.65446340905913</v>
      </c>
    </row>
    <row r="73" customFormat="false" ht="15" hidden="false" customHeight="false" outlineLevel="0" collapsed="false">
      <c r="A73" s="18" t="n">
        <v>58</v>
      </c>
      <c r="B73" s="20" t="n">
        <f aca="false">Sync!B64</f>
        <v>1</v>
      </c>
      <c r="C73" s="21" t="n">
        <f aca="false">Sync!D64</f>
        <v>0.28442392798445</v>
      </c>
      <c r="D73" s="17" t="n">
        <f aca="false">Alpha_keep*F72+IF(A72&gt;=Drift_q,Drift_d,0)</f>
        <v>3.08810182383265</v>
      </c>
      <c r="E73" s="17" t="n">
        <f aca="false">IF(B73=1,-D73/SQRT(Sync!C64+R_s),"")</f>
        <v>-1.04491149808654</v>
      </c>
      <c r="F73" s="17" t="n">
        <f aca="false">(1-C73)*D73</f>
        <v>2.20977177308222</v>
      </c>
    </row>
    <row r="74" customFormat="false" ht="15" hidden="false" customHeight="false" outlineLevel="0" collapsed="false">
      <c r="A74" s="18" t="n">
        <v>59</v>
      </c>
      <c r="B74" s="20" t="n">
        <f aca="false">Sync!B65</f>
        <v>0</v>
      </c>
      <c r="C74" s="21" t="n">
        <f aca="false">Sync!D65</f>
        <v>0</v>
      </c>
      <c r="D74" s="17" t="n">
        <f aca="false">Alpha_keep*F73+IF(A73&gt;=Drift_q,Drift_d,0)</f>
        <v>2.65452747875516</v>
      </c>
      <c r="E74" s="17" t="str">
        <f aca="false">IF(B74=1,-D74/SQRT(Sync!C65+R_s),"")</f>
        <v/>
      </c>
      <c r="F74" s="17" t="n">
        <f aca="false">(1-C74)*D74</f>
        <v>2.65452747875516</v>
      </c>
    </row>
    <row r="75" customFormat="false" ht="15" hidden="false" customHeight="false" outlineLevel="0" collapsed="false">
      <c r="A75" s="18" t="n">
        <v>60</v>
      </c>
      <c r="B75" s="20" t="n">
        <f aca="false">Sync!B66</f>
        <v>1</v>
      </c>
      <c r="C75" s="21" t="n">
        <f aca="false">Sync!D66</f>
        <v>0.284423928030235</v>
      </c>
      <c r="D75" s="17" t="n">
        <f aca="false">Alpha_keep*F74+IF(A74&gt;=Drift_q,Drift_d,0)</f>
        <v>3.08816429178629</v>
      </c>
      <c r="E75" s="17" t="n">
        <f aca="false">IF(B75=1,-D75/SQRT(Sync!C66+R_s),"")</f>
        <v>-1.04493263514209</v>
      </c>
      <c r="F75" s="17" t="n">
        <f aca="false">(1-C75)*D75</f>
        <v>2.20981647351372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0"/>
    <col collapsed="false" customWidth="true" hidden="false" outlineLevel="0" max="2" min="2" style="0" width="16"/>
    <col collapsed="false" customWidth="true" hidden="false" outlineLevel="0" max="5" min="3" style="0" width="14"/>
    <col collapsed="false" customWidth="true" hidden="false" outlineLevel="0" max="6" min="6" style="0" width="8"/>
    <col collapsed="false" customWidth="true" hidden="false" outlineLevel="0" max="7" min="7" style="0" width="7"/>
    <col collapsed="false" customWidth="true" hidden="false" outlineLevel="0" max="8" min="8" style="0" width="13"/>
    <col collapsed="false" customWidth="true" hidden="false" outlineLevel="0" max="9" min="9" style="0" width="8"/>
    <col collapsed="false" customWidth="true" hidden="false" outlineLevel="0" max="10" min="10" style="0" width="7"/>
    <col collapsed="false" customWidth="true" hidden="false" outlineLevel="0" max="11" min="11" style="0" width="13"/>
    <col collapsed="false" customWidth="true" hidden="false" outlineLevel="0" max="12" min="12" style="0" width="8"/>
    <col collapsed="false" customWidth="true" hidden="false" outlineLevel="0" max="13" min="13" style="0" width="7"/>
    <col collapsed="false" customWidth="true" hidden="false" outlineLevel="0" max="14" min="14" style="0" width="13"/>
    <col collapsed="false" customWidth="true" hidden="false" outlineLevel="0" max="15" min="15" style="0" width="8"/>
    <col collapsed="false" customWidth="true" hidden="false" outlineLevel="0" max="16" min="16" style="0" width="7"/>
    <col collapsed="false" customWidth="true" hidden="false" outlineLevel="0" max="17" min="17" style="0" width="13"/>
    <col collapsed="false" customWidth="true" hidden="false" outlineLevel="0" max="18" min="18" style="0" width="8"/>
    <col collapsed="false" customWidth="true" hidden="false" outlineLevel="0" max="19" min="19" style="0" width="7"/>
    <col collapsed="false" customWidth="true" hidden="false" outlineLevel="0" max="20" min="20" style="0" width="13"/>
    <col collapsed="false" customWidth="true" hidden="false" outlineLevel="0" max="21" min="21" style="0" width="8"/>
    <col collapsed="false" customWidth="true" hidden="false" outlineLevel="0" max="22" min="22" style="0" width="7"/>
    <col collapsed="false" customWidth="true" hidden="false" outlineLevel="0" max="23" min="23" style="0" width="13"/>
    <col collapsed="false" customWidth="true" hidden="false" outlineLevel="0" max="24" min="24" style="0" width="8"/>
    <col collapsed="false" customWidth="true" hidden="false" outlineLevel="0" max="25" min="25" style="0" width="7"/>
  </cols>
  <sheetData>
    <row r="1" customFormat="false" ht="15" hidden="false" customHeight="false" outlineLevel="0" collapsed="false">
      <c r="A1" s="1" t="s">
        <v>268</v>
      </c>
    </row>
    <row r="2" customFormat="false" ht="15" hidden="false" customHeight="false" outlineLevel="0" collapsed="false">
      <c r="A2" s="10" t="s">
        <v>269</v>
      </c>
    </row>
    <row r="4" customFormat="false" ht="23.85" hidden="false" customHeight="false" outlineLevel="0" collapsed="false">
      <c r="A4" s="8" t="s">
        <v>270</v>
      </c>
      <c r="B4" s="8" t="s">
        <v>271</v>
      </c>
      <c r="C4" s="8" t="s">
        <v>272</v>
      </c>
      <c r="D4" s="8" t="s">
        <v>273</v>
      </c>
      <c r="E4" s="8" t="s">
        <v>274</v>
      </c>
    </row>
    <row r="5" customFormat="false" ht="15" hidden="false" customHeight="false" outlineLevel="0" collapsed="false">
      <c r="A5" s="9" t="n">
        <v>1.5</v>
      </c>
      <c r="B5" s="31" t="n">
        <v>0.0471220833333333</v>
      </c>
      <c r="C5" s="33" t="n">
        <f aca="false">1/B5</f>
        <v>21.2214725933524</v>
      </c>
      <c r="D5" s="33" t="n">
        <f aca="false">C5/(4/Every2)</f>
        <v>10.6107362966762</v>
      </c>
      <c r="E5" s="18" t="n">
        <f aca="false">IF(B5&lt;=1/FA_surveys,1,0)</f>
        <v>0</v>
      </c>
    </row>
    <row r="6" customFormat="false" ht="15" hidden="false" customHeight="false" outlineLevel="0" collapsed="false">
      <c r="A6" s="9" t="n">
        <v>1.75</v>
      </c>
      <c r="B6" s="31" t="n">
        <v>0.0346860416666667</v>
      </c>
      <c r="C6" s="33" t="n">
        <f aca="false">1/B6</f>
        <v>28.8300409026205</v>
      </c>
      <c r="D6" s="33" t="n">
        <f aca="false">C6/(4/Every2)</f>
        <v>14.4150204513103</v>
      </c>
      <c r="E6" s="18" t="n">
        <f aca="false">IF(B6&lt;=1/FA_surveys,1,0)</f>
        <v>0</v>
      </c>
    </row>
    <row r="7" customFormat="false" ht="15" hidden="false" customHeight="false" outlineLevel="0" collapsed="false">
      <c r="A7" s="9" t="n">
        <v>2</v>
      </c>
      <c r="B7" s="31" t="n">
        <v>0.02575875</v>
      </c>
      <c r="C7" s="33" t="n">
        <f aca="false">1/B7</f>
        <v>38.8217595962537</v>
      </c>
      <c r="D7" s="33" t="n">
        <f aca="false">C7/(4/Every2)</f>
        <v>19.4108797981269</v>
      </c>
      <c r="E7" s="18" t="n">
        <f aca="false">IF(B7&lt;=1/FA_surveys,1,0)</f>
        <v>0</v>
      </c>
    </row>
    <row r="8" customFormat="false" ht="15" hidden="false" customHeight="false" outlineLevel="0" collapsed="false">
      <c r="A8" s="9" t="n">
        <v>2.25</v>
      </c>
      <c r="B8" s="31" t="n">
        <v>0.01923</v>
      </c>
      <c r="C8" s="33" t="n">
        <f aca="false">1/B8</f>
        <v>52.0020800832033</v>
      </c>
      <c r="D8" s="33" t="n">
        <f aca="false">C8/(4/Every2)</f>
        <v>26.0010400416017</v>
      </c>
      <c r="E8" s="18" t="n">
        <f aca="false">IF(B8&lt;=1/FA_surveys,1,0)</f>
        <v>1</v>
      </c>
    </row>
    <row r="9" customFormat="false" ht="15" hidden="false" customHeight="false" outlineLevel="0" collapsed="false">
      <c r="A9" s="9" t="n">
        <v>2.5</v>
      </c>
      <c r="B9" s="31" t="n">
        <v>0.0145045833333333</v>
      </c>
      <c r="C9" s="33" t="n">
        <f aca="false">1/B9</f>
        <v>68.9437246847261</v>
      </c>
      <c r="D9" s="33" t="n">
        <f aca="false">C9/(4/Every2)</f>
        <v>34.4718623423631</v>
      </c>
      <c r="E9" s="18" t="n">
        <f aca="false">IF(B9&lt;=1/FA_surveys,1,0)</f>
        <v>1</v>
      </c>
    </row>
    <row r="10" customFormat="false" ht="15" hidden="false" customHeight="false" outlineLevel="0" collapsed="false">
      <c r="A10" s="9" t="n">
        <v>3</v>
      </c>
      <c r="B10" s="31" t="n">
        <v>0.008360625</v>
      </c>
      <c r="C10" s="33" t="n">
        <f aca="false">1/B10</f>
        <v>119.608282873589</v>
      </c>
      <c r="D10" s="33" t="n">
        <f aca="false">C10/(4/Every2)</f>
        <v>59.8041414367945</v>
      </c>
      <c r="E10" s="18" t="n">
        <f aca="false">IF(B10&lt;=1/FA_surveys,1,0)</f>
        <v>1</v>
      </c>
    </row>
    <row r="12" customFormat="false" ht="15" hidden="false" customHeight="false" outlineLevel="0" collapsed="false">
      <c r="A12" s="2" t="s">
        <v>275</v>
      </c>
      <c r="B12" s="12" t="n">
        <f aca="false">INDEX(A5:A10,MATCH(1,E5:E10,0))</f>
        <v>2.25</v>
      </c>
      <c r="C12" s="10" t="s">
        <v>276</v>
      </c>
    </row>
    <row r="13" customFormat="false" ht="15" hidden="false" customHeight="false" outlineLevel="0" collapsed="false">
      <c r="A13" s="2" t="s">
        <v>277</v>
      </c>
      <c r="B13" s="33" t="n">
        <f aca="false">INDEX(D5:D10,MATCH(B12,A5:A10,0))</f>
        <v>26.0010400416017</v>
      </c>
      <c r="C13" s="10" t="s">
        <v>278</v>
      </c>
    </row>
    <row r="15" customFormat="false" ht="15" hidden="false" customHeight="false" outlineLevel="0" collapsed="false">
      <c r="A15" s="2" t="s">
        <v>279</v>
      </c>
      <c r="B15" s="12" t="n">
        <f aca="false">2*Kappa</f>
        <v>1</v>
      </c>
    </row>
    <row r="16" customFormat="false" ht="15" hidden="false" customHeight="false" outlineLevel="0" collapsed="false">
      <c r="A16" s="2" t="s">
        <v>280</v>
      </c>
      <c r="B16" s="33" t="n">
        <f aca="false">EXP(B12*B15)</f>
        <v>9.48773583635853</v>
      </c>
      <c r="C16" s="10" t="s">
        <v>281</v>
      </c>
    </row>
    <row r="17" customFormat="false" ht="15" hidden="false" customHeight="false" outlineLevel="0" collapsed="false">
      <c r="A17" s="2" t="s">
        <v>282</v>
      </c>
      <c r="B17" s="33" t="n">
        <f aca="false">INDEX(C5:C10,MATCH(B12,A5:A10,0))</f>
        <v>52.0020800832033</v>
      </c>
    </row>
    <row r="18" customFormat="false" ht="15" hidden="false" customHeight="false" outlineLevel="0" collapsed="false">
      <c r="A18" s="2" t="s">
        <v>283</v>
      </c>
      <c r="B18" s="33" t="n">
        <f aca="false">2*LN(B16)/B15^2</f>
        <v>4.5</v>
      </c>
      <c r="C18" s="10" t="s">
        <v>284</v>
      </c>
    </row>
    <row r="19" customFormat="false" ht="15" hidden="false" customHeight="false" outlineLevel="0" collapsed="false">
      <c r="A19" s="2" t="s">
        <v>285</v>
      </c>
      <c r="B19" s="33" t="n">
        <f aca="false">B18*Every2</f>
        <v>9</v>
      </c>
    </row>
    <row r="22" customFormat="false" ht="23.85" hidden="false" customHeight="false" outlineLevel="0" collapsed="false">
      <c r="A22" s="8" t="s">
        <v>286</v>
      </c>
      <c r="B22" s="8" t="s">
        <v>287</v>
      </c>
      <c r="C22" s="8" t="s">
        <v>288</v>
      </c>
      <c r="D22" s="8" t="s">
        <v>289</v>
      </c>
      <c r="E22" s="8" t="s">
        <v>290</v>
      </c>
      <c r="F22" s="8" t="s">
        <v>288</v>
      </c>
      <c r="G22" s="8" t="s">
        <v>289</v>
      </c>
      <c r="H22" s="8" t="s">
        <v>291</v>
      </c>
      <c r="I22" s="8" t="s">
        <v>288</v>
      </c>
      <c r="J22" s="8" t="s">
        <v>289</v>
      </c>
      <c r="K22" s="8" t="s">
        <v>292</v>
      </c>
      <c r="L22" s="8" t="s">
        <v>288</v>
      </c>
      <c r="M22" s="8" t="s">
        <v>289</v>
      </c>
      <c r="N22" s="8" t="s">
        <v>293</v>
      </c>
      <c r="O22" s="8" t="s">
        <v>288</v>
      </c>
      <c r="P22" s="8" t="s">
        <v>289</v>
      </c>
      <c r="Q22" s="8" t="s">
        <v>294</v>
      </c>
      <c r="R22" s="8" t="s">
        <v>288</v>
      </c>
      <c r="S22" s="8" t="s">
        <v>289</v>
      </c>
      <c r="T22" s="8" t="s">
        <v>295</v>
      </c>
      <c r="U22" s="8" t="s">
        <v>288</v>
      </c>
      <c r="V22" s="8" t="s">
        <v>289</v>
      </c>
      <c r="W22" s="8" t="s">
        <v>296</v>
      </c>
      <c r="X22" s="8" t="s">
        <v>288</v>
      </c>
      <c r="Y22" s="8" t="s">
        <v>289</v>
      </c>
    </row>
    <row r="23" customFormat="false" ht="15" hidden="false" customHeight="false" outlineLevel="0" collapsed="false">
      <c r="A23" s="15" t="n">
        <v>2</v>
      </c>
      <c r="B23" s="25" t="n">
        <v>-0.854470306514256</v>
      </c>
      <c r="C23" s="17" t="n">
        <f aca="false">MAX(0,0-B23-Kappa)</f>
        <v>0.354470306514256</v>
      </c>
      <c r="D23" s="18" t="n">
        <f aca="false">IF(C23&gt;$B$12,1,0)</f>
        <v>0</v>
      </c>
      <c r="E23" s="25" t="n">
        <v>-0.165680632103366</v>
      </c>
      <c r="F23" s="17" t="n">
        <f aca="false">MAX(0,0-E23-Kappa)</f>
        <v>0</v>
      </c>
      <c r="G23" s="18" t="n">
        <f aca="false">IF(F23&gt;$B$12,1,0)</f>
        <v>0</v>
      </c>
      <c r="H23" s="25" t="n">
        <v>0.209618932154431</v>
      </c>
      <c r="I23" s="17" t="n">
        <f aca="false">MAX(0,0-H23-Kappa)</f>
        <v>0</v>
      </c>
      <c r="J23" s="18" t="n">
        <f aca="false">IF(I23&gt;$B$12,1,0)</f>
        <v>0</v>
      </c>
      <c r="K23" s="25" t="n">
        <v>0.212184449401399</v>
      </c>
      <c r="L23" s="17" t="n">
        <f aca="false">MAX(0,0-K23-Kappa)</f>
        <v>0</v>
      </c>
      <c r="M23" s="18" t="n">
        <f aca="false">IF(L23&gt;$B$12,1,0)</f>
        <v>0</v>
      </c>
      <c r="N23" s="25" t="n">
        <v>-0.312184879427375</v>
      </c>
      <c r="O23" s="17" t="n">
        <f aca="false">MAX(0,0-N23-Kappa)</f>
        <v>0</v>
      </c>
      <c r="P23" s="18" t="n">
        <f aca="false">IF(O23&gt;$B$12,1,0)</f>
        <v>0</v>
      </c>
      <c r="Q23" s="25" t="n">
        <v>-2.22247573360704</v>
      </c>
      <c r="R23" s="17" t="n">
        <f aca="false">MAX(0,0-Q23-Kappa)</f>
        <v>1.72247573360704</v>
      </c>
      <c r="S23" s="18" t="n">
        <f aca="false">IF(R23&gt;$B$12,1,0)</f>
        <v>0</v>
      </c>
      <c r="T23" s="25" t="n">
        <v>-1.83791474879291</v>
      </c>
      <c r="U23" s="17" t="n">
        <f aca="false">MAX(0,0-T23-Kappa)</f>
        <v>1.33791474879291</v>
      </c>
      <c r="V23" s="18" t="n">
        <f aca="false">IF(U23&gt;$B$12,1,0)</f>
        <v>0</v>
      </c>
      <c r="W23" s="25" t="n">
        <v>1.34684896191175</v>
      </c>
      <c r="X23" s="17" t="n">
        <f aca="false">MAX(0,0-W23-Kappa)</f>
        <v>0</v>
      </c>
      <c r="Y23" s="18" t="n">
        <f aca="false">IF(X23&gt;$B$12,1,0)</f>
        <v>0</v>
      </c>
    </row>
    <row r="24" customFormat="false" ht="15" hidden="false" customHeight="false" outlineLevel="0" collapsed="false">
      <c r="A24" s="15" t="n">
        <v>4</v>
      </c>
      <c r="B24" s="25" t="n">
        <v>-0.766556101989515</v>
      </c>
      <c r="C24" s="17" t="n">
        <f aca="false">MAX(0,IF(D23=1,0,C23)-B24-Kappa)</f>
        <v>0.62102640850377</v>
      </c>
      <c r="D24" s="18" t="n">
        <f aca="false">IF(C24&gt;$B$12,1,0)</f>
        <v>0</v>
      </c>
      <c r="E24" s="25" t="n">
        <v>-1.01179421980631</v>
      </c>
      <c r="F24" s="17" t="n">
        <f aca="false">MAX(0,IF(G23=1,0,F23)-E24-Kappa)</f>
        <v>0.51179421980631</v>
      </c>
      <c r="G24" s="18" t="n">
        <f aca="false">IF(F24&gt;$B$12,1,0)</f>
        <v>0</v>
      </c>
      <c r="H24" s="25" t="n">
        <v>1.12926004179467</v>
      </c>
      <c r="I24" s="17" t="n">
        <f aca="false">MAX(0,IF(J23=1,0,I23)-H24-Kappa)</f>
        <v>0</v>
      </c>
      <c r="J24" s="18" t="n">
        <f aca="false">IF(I24&gt;$B$12,1,0)</f>
        <v>0</v>
      </c>
      <c r="K24" s="25" t="n">
        <v>-1.37761935205494</v>
      </c>
      <c r="L24" s="17" t="n">
        <f aca="false">MAX(0,IF(M23=1,0,L23)-K24-Kappa)</f>
        <v>0.877619352054936</v>
      </c>
      <c r="M24" s="18" t="n">
        <f aca="false">IF(L24&gt;$B$12,1,0)</f>
        <v>0</v>
      </c>
      <c r="N24" s="25" t="n">
        <v>-0.824457213639181</v>
      </c>
      <c r="O24" s="17" t="n">
        <f aca="false">MAX(0,IF(P23=1,0,O23)-N24-Kappa)</f>
        <v>0.324457213639181</v>
      </c>
      <c r="P24" s="18" t="n">
        <f aca="false">IF(O24&gt;$B$12,1,0)</f>
        <v>0</v>
      </c>
      <c r="Q24" s="25" t="n">
        <v>-1.5884011296912</v>
      </c>
      <c r="R24" s="17" t="n">
        <f aca="false">MAX(0,IF(S23=1,0,R23)-Q24-Kappa)</f>
        <v>2.81087686329825</v>
      </c>
      <c r="S24" s="18" t="n">
        <f aca="false">IF(R24&gt;$B$12,1,0)</f>
        <v>1</v>
      </c>
      <c r="T24" s="25" t="n">
        <v>0.0307227485036388</v>
      </c>
      <c r="U24" s="17" t="n">
        <f aca="false">MAX(0,IF(V23=1,0,U23)-T24-Kappa)</f>
        <v>0.80719200028927</v>
      </c>
      <c r="V24" s="18" t="n">
        <f aca="false">IF(U24&gt;$B$12,1,0)</f>
        <v>0</v>
      </c>
      <c r="W24" s="25" t="n">
        <v>-0.0527188143270267</v>
      </c>
      <c r="X24" s="17" t="n">
        <f aca="false">MAX(0,IF(Y23=1,0,X23)-W24-Kappa)</f>
        <v>0</v>
      </c>
      <c r="Y24" s="18" t="n">
        <f aca="false">IF(X24&gt;$B$12,1,0)</f>
        <v>0</v>
      </c>
    </row>
    <row r="25" customFormat="false" ht="15" hidden="false" customHeight="false" outlineLevel="0" collapsed="false">
      <c r="A25" s="15" t="n">
        <v>6</v>
      </c>
      <c r="B25" s="25" t="n">
        <v>0.999067997488522</v>
      </c>
      <c r="C25" s="17" t="n">
        <f aca="false">MAX(0,IF(D24=1,0,C24)-B25-Kappa)</f>
        <v>0</v>
      </c>
      <c r="D25" s="18" t="n">
        <f aca="false">IF(C25&gt;$B$12,1,0)</f>
        <v>0</v>
      </c>
      <c r="E25" s="25" t="n">
        <v>-0.404739337349342</v>
      </c>
      <c r="F25" s="17" t="n">
        <f aca="false">MAX(0,IF(G24=1,0,F24)-E25-Kappa)</f>
        <v>0.416533557155652</v>
      </c>
      <c r="G25" s="18" t="n">
        <f aca="false">IF(F25&gt;$B$12,1,0)</f>
        <v>0</v>
      </c>
      <c r="H25" s="25" t="n">
        <v>-1.00034474220837</v>
      </c>
      <c r="I25" s="17" t="n">
        <f aca="false">MAX(0,IF(J24=1,0,I24)-H25-Kappa)</f>
        <v>0.500344742208373</v>
      </c>
      <c r="J25" s="18" t="n">
        <f aca="false">IF(I25&gt;$B$12,1,0)</f>
        <v>0</v>
      </c>
      <c r="K25" s="25" t="n">
        <v>-0.158280932004159</v>
      </c>
      <c r="L25" s="17" t="n">
        <f aca="false">MAX(0,IF(M24=1,0,L24)-K25-Kappa)</f>
        <v>0.535900284059095</v>
      </c>
      <c r="M25" s="18" t="n">
        <f aca="false">IF(L25&gt;$B$12,1,0)</f>
        <v>0</v>
      </c>
      <c r="N25" s="25" t="n">
        <v>1.70387577724413</v>
      </c>
      <c r="O25" s="17" t="n">
        <f aca="false">MAX(0,IF(P24=1,0,O24)-N25-Kappa)</f>
        <v>0</v>
      </c>
      <c r="P25" s="18" t="n">
        <f aca="false">IF(O25&gt;$B$12,1,0)</f>
        <v>0</v>
      </c>
      <c r="Q25" s="25" t="n">
        <v>0.965146801268142</v>
      </c>
      <c r="R25" s="17" t="n">
        <f aca="false">MAX(0,IF(S24=1,0,R24)-Q25-Kappa)</f>
        <v>0</v>
      </c>
      <c r="S25" s="18" t="n">
        <f aca="false">IF(R25&gt;$B$12,1,0)</f>
        <v>0</v>
      </c>
      <c r="T25" s="25" t="n">
        <v>0.937839954903373</v>
      </c>
      <c r="U25" s="17" t="n">
        <f aca="false">MAX(0,IF(V24=1,0,U24)-T25-Kappa)</f>
        <v>0</v>
      </c>
      <c r="V25" s="18" t="n">
        <f aca="false">IF(U25&gt;$B$12,1,0)</f>
        <v>0</v>
      </c>
      <c r="W25" s="25" t="n">
        <v>0.976618261705094</v>
      </c>
      <c r="X25" s="17" t="n">
        <f aca="false">MAX(0,IF(Y24=1,0,X24)-W25-Kappa)</f>
        <v>0</v>
      </c>
      <c r="Y25" s="18" t="n">
        <f aca="false">IF(X25&gt;$B$12,1,0)</f>
        <v>0</v>
      </c>
    </row>
    <row r="26" customFormat="false" ht="15" hidden="false" customHeight="false" outlineLevel="0" collapsed="false">
      <c r="A26" s="15" t="n">
        <v>8</v>
      </c>
      <c r="B26" s="25" t="n">
        <v>0.36224625773955</v>
      </c>
      <c r="C26" s="17" t="n">
        <f aca="false">MAX(0,IF(D25=1,0,C25)-B26-Kappa)</f>
        <v>0</v>
      </c>
      <c r="D26" s="18" t="n">
        <f aca="false">IF(C26&gt;$B$12,1,0)</f>
        <v>0</v>
      </c>
      <c r="E26" s="25" t="n">
        <v>-1.3681026537596</v>
      </c>
      <c r="F26" s="17" t="n">
        <f aca="false">MAX(0,IF(G25=1,0,F25)-E26-Kappa)</f>
        <v>1.28463621091525</v>
      </c>
      <c r="G26" s="18" t="n">
        <f aca="false">IF(F26&gt;$B$12,1,0)</f>
        <v>0</v>
      </c>
      <c r="H26" s="25" t="n">
        <v>-0.21896279686507</v>
      </c>
      <c r="I26" s="17" t="n">
        <f aca="false">MAX(0,IF(J25=1,0,I25)-H26-Kappa)</f>
        <v>0.219307539073443</v>
      </c>
      <c r="J26" s="18" t="n">
        <f aca="false">IF(I26&gt;$B$12,1,0)</f>
        <v>0</v>
      </c>
      <c r="K26" s="25" t="n">
        <v>-1.72367401245996</v>
      </c>
      <c r="L26" s="17" t="n">
        <f aca="false">MAX(0,IF(M25=1,0,L25)-K26-Kappa)</f>
        <v>1.75957429651906</v>
      </c>
      <c r="M26" s="18" t="n">
        <f aca="false">IF(L26&gt;$B$12,1,0)</f>
        <v>0</v>
      </c>
      <c r="N26" s="25" t="n">
        <v>-1.2598680154723</v>
      </c>
      <c r="O26" s="17" t="n">
        <f aca="false">MAX(0,IF(P25=1,0,O25)-N26-Kappa)</f>
        <v>0.7598680154723</v>
      </c>
      <c r="P26" s="18" t="n">
        <f aca="false">IF(O26&gt;$B$12,1,0)</f>
        <v>0</v>
      </c>
      <c r="Q26" s="25" t="n">
        <v>-0.765121951940563</v>
      </c>
      <c r="R26" s="17" t="n">
        <f aca="false">MAX(0,IF(S25=1,0,R25)-Q26-Kappa)</f>
        <v>0.265121951940563</v>
      </c>
      <c r="S26" s="18" t="n">
        <f aca="false">IF(R26&gt;$B$12,1,0)</f>
        <v>0</v>
      </c>
      <c r="T26" s="25" t="n">
        <v>-0.0515418997493955</v>
      </c>
      <c r="U26" s="17" t="n">
        <f aca="false">MAX(0,IF(V25=1,0,U25)-T26-Kappa)</f>
        <v>0</v>
      </c>
      <c r="V26" s="18" t="n">
        <f aca="false">IF(U26&gt;$B$12,1,0)</f>
        <v>0</v>
      </c>
      <c r="W26" s="25" t="n">
        <v>2.58095197169582</v>
      </c>
      <c r="X26" s="17" t="n">
        <f aca="false">MAX(0,IF(Y25=1,0,X25)-W26-Kappa)</f>
        <v>0</v>
      </c>
      <c r="Y26" s="18" t="n">
        <f aca="false">IF(X26&gt;$B$12,1,0)</f>
        <v>0</v>
      </c>
    </row>
    <row r="27" customFormat="false" ht="15" hidden="false" customHeight="false" outlineLevel="0" collapsed="false">
      <c r="A27" s="15" t="n">
        <v>10</v>
      </c>
      <c r="B27" s="25" t="n">
        <v>-1.70778966487811</v>
      </c>
      <c r="C27" s="17" t="n">
        <f aca="false">MAX(0,IF(D26=1,0,C26)-B27-Kappa)</f>
        <v>1.20778966487811</v>
      </c>
      <c r="D27" s="18" t="n">
        <f aca="false">IF(C27&gt;$B$12,1,0)</f>
        <v>0</v>
      </c>
      <c r="E27" s="25" t="n">
        <v>-1.81231263738222</v>
      </c>
      <c r="F27" s="17" t="n">
        <f aca="false">MAX(0,IF(G26=1,0,F26)-E27-Kappa)</f>
        <v>2.59694884829747</v>
      </c>
      <c r="G27" s="18" t="n">
        <f aca="false">IF(F27&gt;$B$12,1,0)</f>
        <v>1</v>
      </c>
      <c r="H27" s="25" t="n">
        <v>0.111926421316281</v>
      </c>
      <c r="I27" s="17" t="n">
        <f aca="false">MAX(0,IF(J26=1,0,I26)-H27-Kappa)</f>
        <v>0</v>
      </c>
      <c r="J27" s="18" t="n">
        <f aca="false">IF(I27&gt;$B$12,1,0)</f>
        <v>0</v>
      </c>
      <c r="K27" s="25" t="n">
        <v>-0.443267744568141</v>
      </c>
      <c r="L27" s="17" t="n">
        <f aca="false">MAX(0,IF(M26=1,0,L26)-K27-Kappa)</f>
        <v>1.7028420410872</v>
      </c>
      <c r="M27" s="18" t="n">
        <f aca="false">IF(L27&gt;$B$12,1,0)</f>
        <v>0</v>
      </c>
      <c r="N27" s="25" t="n">
        <v>-0.293112101069511</v>
      </c>
      <c r="O27" s="17" t="n">
        <f aca="false">MAX(0,IF(P26=1,0,O26)-N27-Kappa)</f>
        <v>0.552980116541811</v>
      </c>
      <c r="P27" s="18" t="n">
        <f aca="false">IF(O27&gt;$B$12,1,0)</f>
        <v>0</v>
      </c>
      <c r="Q27" s="25" t="n">
        <v>-0.418927498288747</v>
      </c>
      <c r="R27" s="17" t="n">
        <f aca="false">MAX(0,IF(S26=1,0,R26)-Q27-Kappa)</f>
        <v>0.18404945022931</v>
      </c>
      <c r="S27" s="18" t="n">
        <f aca="false">IF(R27&gt;$B$12,1,0)</f>
        <v>0</v>
      </c>
      <c r="T27" s="25" t="n">
        <v>0.122075856665007</v>
      </c>
      <c r="U27" s="17" t="n">
        <f aca="false">MAX(0,IF(V26=1,0,U26)-T27-Kappa)</f>
        <v>0</v>
      </c>
      <c r="V27" s="18" t="n">
        <f aca="false">IF(U27&gt;$B$12,1,0)</f>
        <v>0</v>
      </c>
      <c r="W27" s="25" t="n">
        <v>-1.65816104439385</v>
      </c>
      <c r="X27" s="17" t="n">
        <f aca="false">MAX(0,IF(Y26=1,0,X26)-W27-Kappa)</f>
        <v>1.15816104439385</v>
      </c>
      <c r="Y27" s="18" t="n">
        <f aca="false">IF(X27&gt;$B$12,1,0)</f>
        <v>0</v>
      </c>
    </row>
    <row r="28" customFormat="false" ht="15" hidden="false" customHeight="false" outlineLevel="0" collapsed="false">
      <c r="A28" s="15" t="n">
        <v>12</v>
      </c>
      <c r="B28" s="25" t="n">
        <v>-1.99328214017507</v>
      </c>
      <c r="C28" s="17" t="n">
        <f aca="false">MAX(0,IF(D27=1,0,C27)-B28-Kappa)</f>
        <v>2.70107180505319</v>
      </c>
      <c r="D28" s="18" t="n">
        <f aca="false">IF(C28&gt;$B$12,1,0)</f>
        <v>1</v>
      </c>
      <c r="E28" s="25" t="n">
        <v>0.171319440720155</v>
      </c>
      <c r="F28" s="17" t="n">
        <f aca="false">MAX(0,IF(G27=1,0,F27)-E28-Kappa)</f>
        <v>0</v>
      </c>
      <c r="G28" s="18" t="n">
        <f aca="false">IF(F28&gt;$B$12,1,0)</f>
        <v>0</v>
      </c>
      <c r="H28" s="25" t="n">
        <v>-2.46124360124136</v>
      </c>
      <c r="I28" s="17" t="n">
        <f aca="false">MAX(0,IF(J27=1,0,I27)-H28-Kappa)</f>
        <v>1.96124360124136</v>
      </c>
      <c r="J28" s="18" t="n">
        <f aca="false">IF(I28&gt;$B$12,1,0)</f>
        <v>0</v>
      </c>
      <c r="K28" s="25" t="n">
        <v>0.0323398963254859</v>
      </c>
      <c r="L28" s="17" t="n">
        <f aca="false">MAX(0,IF(M27=1,0,L27)-K28-Kappa)</f>
        <v>1.17050214476171</v>
      </c>
      <c r="M28" s="18" t="n">
        <f aca="false">IF(L28&gt;$B$12,1,0)</f>
        <v>0</v>
      </c>
      <c r="N28" s="25" t="n">
        <v>-2.11086964184864</v>
      </c>
      <c r="O28" s="17" t="n">
        <f aca="false">MAX(0,IF(P27=1,0,O27)-N28-Kappa)</f>
        <v>2.16384975839046</v>
      </c>
      <c r="P28" s="18" t="n">
        <f aca="false">IF(O28&gt;$B$12,1,0)</f>
        <v>0</v>
      </c>
      <c r="Q28" s="25" t="n">
        <v>0.0523633931938394</v>
      </c>
      <c r="R28" s="17" t="n">
        <f aca="false">MAX(0,IF(S27=1,0,R27)-Q28-Kappa)</f>
        <v>0</v>
      </c>
      <c r="S28" s="18" t="n">
        <f aca="false">IF(R28&gt;$B$12,1,0)</f>
        <v>0</v>
      </c>
      <c r="T28" s="25" t="n">
        <v>-0.179894706459426</v>
      </c>
      <c r="U28" s="17" t="n">
        <f aca="false">MAX(0,IF(V27=1,0,U27)-T28-Kappa)</f>
        <v>0</v>
      </c>
      <c r="V28" s="18" t="n">
        <f aca="false">IF(U28&gt;$B$12,1,0)</f>
        <v>0</v>
      </c>
      <c r="W28" s="25" t="n">
        <v>-0.706667687798926</v>
      </c>
      <c r="X28" s="17" t="n">
        <f aca="false">MAX(0,IF(Y27=1,0,X27)-W28-Kappa)</f>
        <v>1.36482873219278</v>
      </c>
      <c r="Y28" s="18" t="n">
        <f aca="false">IF(X28&gt;$B$12,1,0)</f>
        <v>0</v>
      </c>
    </row>
    <row r="29" customFormat="false" ht="15" hidden="false" customHeight="false" outlineLevel="0" collapsed="false">
      <c r="A29" s="15" t="n">
        <v>14</v>
      </c>
      <c r="B29" s="25" t="n">
        <v>-0.287194069849897</v>
      </c>
      <c r="C29" s="17" t="n">
        <f aca="false">MAX(0,IF(D28=1,0,C28)-B29-Kappa)</f>
        <v>0</v>
      </c>
      <c r="D29" s="18" t="n">
        <f aca="false">IF(C29&gt;$B$12,1,0)</f>
        <v>0</v>
      </c>
      <c r="E29" s="25" t="n">
        <v>-1.28090486128014</v>
      </c>
      <c r="F29" s="17" t="n">
        <f aca="false">MAX(0,IF(G28=1,0,F28)-E29-Kappa)</f>
        <v>0.78090486128014</v>
      </c>
      <c r="G29" s="18" t="n">
        <f aca="false">IF(F29&gt;$B$12,1,0)</f>
        <v>0</v>
      </c>
      <c r="H29" s="25" t="n">
        <v>-0.520206761371167</v>
      </c>
      <c r="I29" s="17" t="n">
        <f aca="false">MAX(0,IF(J28=1,0,I28)-H29-Kappa)</f>
        <v>1.98145036261252</v>
      </c>
      <c r="J29" s="18" t="n">
        <f aca="false">IF(I29&gt;$B$12,1,0)</f>
        <v>0</v>
      </c>
      <c r="K29" s="25" t="n">
        <v>-1.72087057656939</v>
      </c>
      <c r="L29" s="17" t="n">
        <f aca="false">MAX(0,IF(M28=1,0,L28)-K29-Kappa)</f>
        <v>2.3913727213311</v>
      </c>
      <c r="M29" s="18" t="n">
        <f aca="false">IF(L29&gt;$B$12,1,0)</f>
        <v>1</v>
      </c>
      <c r="N29" s="25" t="n">
        <v>-2.40753644139977</v>
      </c>
      <c r="O29" s="17" t="n">
        <f aca="false">MAX(0,IF(P28=1,0,O28)-N29-Kappa)</f>
        <v>4.07138619979023</v>
      </c>
      <c r="P29" s="18" t="n">
        <f aca="false">IF(O29&gt;$B$12,1,0)</f>
        <v>1</v>
      </c>
      <c r="Q29" s="25" t="n">
        <v>0.244123062753928</v>
      </c>
      <c r="R29" s="17" t="n">
        <f aca="false">MAX(0,IF(S28=1,0,R28)-Q29-Kappa)</f>
        <v>0</v>
      </c>
      <c r="S29" s="18" t="n">
        <f aca="false">IF(R29&gt;$B$12,1,0)</f>
        <v>0</v>
      </c>
      <c r="T29" s="25" t="n">
        <v>-2.44950871735789</v>
      </c>
      <c r="U29" s="17" t="n">
        <f aca="false">MAX(0,IF(V28=1,0,U28)-T29-Kappa)</f>
        <v>1.94950871735789</v>
      </c>
      <c r="V29" s="18" t="n">
        <f aca="false">IF(U29&gt;$B$12,1,0)</f>
        <v>0</v>
      </c>
      <c r="W29" s="25" t="n">
        <v>-1.73070469548725</v>
      </c>
      <c r="X29" s="17" t="n">
        <f aca="false">MAX(0,IF(Y28=1,0,X28)-W29-Kappa)</f>
        <v>2.59553342768003</v>
      </c>
      <c r="Y29" s="18" t="n">
        <f aca="false">IF(X29&gt;$B$12,1,0)</f>
        <v>1</v>
      </c>
    </row>
    <row r="30" customFormat="false" ht="15" hidden="false" customHeight="false" outlineLevel="0" collapsed="false">
      <c r="A30" s="15" t="n">
        <v>16</v>
      </c>
      <c r="B30" s="25" t="n">
        <v>-2.18717405966162</v>
      </c>
      <c r="C30" s="17" t="n">
        <f aca="false">MAX(0,IF(D29=1,0,C29)-B30-Kappa)</f>
        <v>1.68717405966162</v>
      </c>
      <c r="D30" s="18" t="n">
        <f aca="false">IF(C30&gt;$B$12,1,0)</f>
        <v>0</v>
      </c>
      <c r="E30" s="25" t="n">
        <v>0.264101438561183</v>
      </c>
      <c r="F30" s="17" t="n">
        <f aca="false">MAX(0,IF(G29=1,0,F29)-E30-Kappa)</f>
        <v>0.0168034227189573</v>
      </c>
      <c r="G30" s="18" t="n">
        <f aca="false">IF(F30&gt;$B$12,1,0)</f>
        <v>0</v>
      </c>
      <c r="H30" s="25" t="n">
        <v>-1.19276271802218</v>
      </c>
      <c r="I30" s="17" t="n">
        <f aca="false">MAX(0,IF(J29=1,0,I29)-H30-Kappa)</f>
        <v>2.6742130806347</v>
      </c>
      <c r="J30" s="18" t="n">
        <f aca="false">IF(I30&gt;$B$12,1,0)</f>
        <v>1</v>
      </c>
      <c r="K30" s="25" t="n">
        <v>0.044876419715548</v>
      </c>
      <c r="L30" s="17" t="n">
        <f aca="false">MAX(0,IF(M29=1,0,L29)-K30-Kappa)</f>
        <v>0</v>
      </c>
      <c r="M30" s="18" t="n">
        <f aca="false">IF(L30&gt;$B$12,1,0)</f>
        <v>0</v>
      </c>
      <c r="N30" s="25" t="n">
        <v>-1.9310127126579</v>
      </c>
      <c r="O30" s="17" t="n">
        <f aca="false">MAX(0,IF(P29=1,0,O29)-N30-Kappa)</f>
        <v>1.4310127126579</v>
      </c>
      <c r="P30" s="18" t="n">
        <f aca="false">IF(O30&gt;$B$12,1,0)</f>
        <v>0</v>
      </c>
      <c r="Q30" s="25" t="n">
        <v>0.189985954559546</v>
      </c>
      <c r="R30" s="17" t="n">
        <f aca="false">MAX(0,IF(S29=1,0,R29)-Q30-Kappa)</f>
        <v>0</v>
      </c>
      <c r="S30" s="18" t="n">
        <f aca="false">IF(R30&gt;$B$12,1,0)</f>
        <v>0</v>
      </c>
      <c r="T30" s="25" t="n">
        <v>0.554187540088686</v>
      </c>
      <c r="U30" s="17" t="n">
        <f aca="false">MAX(0,IF(V29=1,0,U29)-T30-Kappa)</f>
        <v>0.895321177269205</v>
      </c>
      <c r="V30" s="18" t="n">
        <f aca="false">IF(U30&gt;$B$12,1,0)</f>
        <v>0</v>
      </c>
      <c r="W30" s="25" t="n">
        <v>0.336987243452664</v>
      </c>
      <c r="X30" s="17" t="n">
        <f aca="false">MAX(0,IF(Y29=1,0,X29)-W30-Kappa)</f>
        <v>0</v>
      </c>
      <c r="Y30" s="18" t="n">
        <f aca="false">IF(X30&gt;$B$12,1,0)</f>
        <v>0</v>
      </c>
    </row>
    <row r="31" customFormat="false" ht="15" hidden="false" customHeight="false" outlineLevel="0" collapsed="false">
      <c r="A31" s="15" t="n">
        <v>18</v>
      </c>
      <c r="B31" s="25" t="n">
        <v>-1.32950834157662</v>
      </c>
      <c r="C31" s="17" t="n">
        <f aca="false">MAX(0,IF(D30=1,0,C30)-B31-Kappa)</f>
        <v>2.51668240123824</v>
      </c>
      <c r="D31" s="18" t="n">
        <f aca="false">IF(C31&gt;$B$12,1,0)</f>
        <v>1</v>
      </c>
      <c r="E31" s="25" t="n">
        <v>1.05330532434093</v>
      </c>
      <c r="F31" s="17" t="n">
        <f aca="false">MAX(0,IF(G30=1,0,F30)-E31-Kappa)</f>
        <v>0</v>
      </c>
      <c r="G31" s="18" t="n">
        <f aca="false">IF(F31&gt;$B$12,1,0)</f>
        <v>0</v>
      </c>
      <c r="H31" s="25" t="n">
        <v>-0.406574115712507</v>
      </c>
      <c r="I31" s="17" t="n">
        <f aca="false">MAX(0,IF(J30=1,0,I30)-H31-Kappa)</f>
        <v>0</v>
      </c>
      <c r="J31" s="18" t="n">
        <f aca="false">IF(I31&gt;$B$12,1,0)</f>
        <v>0</v>
      </c>
      <c r="K31" s="25" t="n">
        <v>-1.06948245120584</v>
      </c>
      <c r="L31" s="17" t="n">
        <f aca="false">MAX(0,IF(M30=1,0,L30)-K31-Kappa)</f>
        <v>0.569482451205839</v>
      </c>
      <c r="M31" s="18" t="n">
        <f aca="false">IF(L31&gt;$B$12,1,0)</f>
        <v>0</v>
      </c>
      <c r="N31" s="25" t="n">
        <v>-0.0696119038996392</v>
      </c>
      <c r="O31" s="17" t="n">
        <f aca="false">MAX(0,IF(P30=1,0,O30)-N31-Kappa)</f>
        <v>1.00062461655754</v>
      </c>
      <c r="P31" s="18" t="n">
        <f aca="false">IF(O31&gt;$B$12,1,0)</f>
        <v>0</v>
      </c>
      <c r="Q31" s="25" t="n">
        <v>0.723707123776371</v>
      </c>
      <c r="R31" s="17" t="n">
        <f aca="false">MAX(0,IF(S30=1,0,R30)-Q31-Kappa)</f>
        <v>0</v>
      </c>
      <c r="S31" s="18" t="n">
        <f aca="false">IF(R31&gt;$B$12,1,0)</f>
        <v>0</v>
      </c>
      <c r="T31" s="25" t="n">
        <v>-0.97078475714598</v>
      </c>
      <c r="U31" s="17" t="n">
        <f aca="false">MAX(0,IF(V30=1,0,U30)-T31-Kappa)</f>
        <v>1.36610593441518</v>
      </c>
      <c r="V31" s="18" t="n">
        <f aca="false">IF(U31&gt;$B$12,1,0)</f>
        <v>0</v>
      </c>
      <c r="W31" s="25" t="n">
        <v>0.120434618594761</v>
      </c>
      <c r="X31" s="17" t="n">
        <f aca="false">MAX(0,IF(Y30=1,0,X30)-W31-Kappa)</f>
        <v>0</v>
      </c>
      <c r="Y31" s="18" t="n">
        <f aca="false">IF(X31&gt;$B$12,1,0)</f>
        <v>0</v>
      </c>
    </row>
    <row r="32" customFormat="false" ht="15" hidden="false" customHeight="false" outlineLevel="0" collapsed="false">
      <c r="A32" s="15" t="n">
        <v>20</v>
      </c>
      <c r="B32" s="25" t="n">
        <v>-0.36219298448568</v>
      </c>
      <c r="C32" s="17" t="n">
        <f aca="false">MAX(0,IF(D31=1,0,C31)-B32-Kappa)</f>
        <v>0</v>
      </c>
      <c r="D32" s="18" t="n">
        <f aca="false">IF(C32&gt;$B$12,1,0)</f>
        <v>0</v>
      </c>
      <c r="E32" s="25" t="n">
        <v>-1.40031545368912</v>
      </c>
      <c r="F32" s="17" t="n">
        <f aca="false">MAX(0,IF(G31=1,0,F31)-E32-Kappa)</f>
        <v>0.90031545368912</v>
      </c>
      <c r="G32" s="18" t="n">
        <f aca="false">IF(F32&gt;$B$12,1,0)</f>
        <v>0</v>
      </c>
      <c r="H32" s="25" t="n">
        <v>-1.18589001776895</v>
      </c>
      <c r="I32" s="17" t="n">
        <f aca="false">MAX(0,IF(J31=1,0,I31)-H32-Kappa)</f>
        <v>0.685890017768949</v>
      </c>
      <c r="J32" s="18" t="n">
        <f aca="false">IF(I32&gt;$B$12,1,0)</f>
        <v>0</v>
      </c>
      <c r="K32" s="25" t="n">
        <v>2.14757520358299</v>
      </c>
      <c r="L32" s="17" t="n">
        <f aca="false">MAX(0,IF(M31=1,0,L31)-K32-Kappa)</f>
        <v>0</v>
      </c>
      <c r="M32" s="18" t="n">
        <f aca="false">IF(L32&gt;$B$12,1,0)</f>
        <v>0</v>
      </c>
      <c r="N32" s="25" t="n">
        <v>-0.561764741778845</v>
      </c>
      <c r="O32" s="17" t="n">
        <f aca="false">MAX(0,IF(P31=1,0,O31)-N32-Kappa)</f>
        <v>1.06238935833638</v>
      </c>
      <c r="P32" s="18" t="n">
        <f aca="false">IF(O32&gt;$B$12,1,0)</f>
        <v>0</v>
      </c>
      <c r="Q32" s="25" t="n">
        <v>1.22534224173196</v>
      </c>
      <c r="R32" s="17" t="n">
        <f aca="false">MAX(0,IF(S31=1,0,R31)-Q32-Kappa)</f>
        <v>0</v>
      </c>
      <c r="S32" s="18" t="n">
        <f aca="false">IF(R32&gt;$B$12,1,0)</f>
        <v>0</v>
      </c>
      <c r="T32" s="25" t="n">
        <v>-0.592302997255185</v>
      </c>
      <c r="U32" s="17" t="n">
        <f aca="false">MAX(0,IF(V31=1,0,U31)-T32-Kappa)</f>
        <v>1.45840893167037</v>
      </c>
      <c r="V32" s="18" t="n">
        <f aca="false">IF(U32&gt;$B$12,1,0)</f>
        <v>0</v>
      </c>
      <c r="W32" s="25" t="n">
        <v>-0.618021399065403</v>
      </c>
      <c r="X32" s="17" t="n">
        <f aca="false">MAX(0,IF(Y31=1,0,X31)-W32-Kappa)</f>
        <v>0.118021399065403</v>
      </c>
      <c r="Y32" s="18" t="n">
        <f aca="false">IF(X32&gt;$B$12,1,0)</f>
        <v>0</v>
      </c>
    </row>
    <row r="33" customFormat="false" ht="15" hidden="false" customHeight="false" outlineLevel="0" collapsed="false">
      <c r="A33" s="15" t="n">
        <v>22</v>
      </c>
      <c r="B33" s="25" t="n">
        <v>0.871469352114664</v>
      </c>
      <c r="C33" s="17" t="n">
        <f aca="false">MAX(0,IF(D32=1,0,C32)-B33-Kappa)</f>
        <v>0</v>
      </c>
      <c r="D33" s="18" t="n">
        <f aca="false">IF(C33&gt;$B$12,1,0)</f>
        <v>0</v>
      </c>
      <c r="E33" s="25" t="n">
        <v>-0.303358349802941</v>
      </c>
      <c r="F33" s="17" t="n">
        <f aca="false">MAX(0,IF(G32=1,0,F32)-E33-Kappa)</f>
        <v>0.703673803492061</v>
      </c>
      <c r="G33" s="18" t="n">
        <f aca="false">IF(F33&gt;$B$12,1,0)</f>
        <v>0</v>
      </c>
      <c r="H33" s="25" t="n">
        <v>0.867643884843995</v>
      </c>
      <c r="I33" s="17" t="n">
        <f aca="false">MAX(0,IF(J32=1,0,I32)-H33-Kappa)</f>
        <v>0</v>
      </c>
      <c r="J33" s="18" t="n">
        <f aca="false">IF(I33&gt;$B$12,1,0)</f>
        <v>0</v>
      </c>
      <c r="K33" s="25" t="n">
        <v>-1.09688437936333</v>
      </c>
      <c r="L33" s="17" t="n">
        <f aca="false">MAX(0,IF(M32=1,0,L32)-K33-Kappa)</f>
        <v>0.596884379363331</v>
      </c>
      <c r="M33" s="18" t="n">
        <f aca="false">IF(L33&gt;$B$12,1,0)</f>
        <v>0</v>
      </c>
      <c r="N33" s="25" t="n">
        <v>0.568657636686025</v>
      </c>
      <c r="O33" s="17" t="n">
        <f aca="false">MAX(0,IF(P32=1,0,O32)-N33-Kappa)</f>
        <v>0</v>
      </c>
      <c r="P33" s="18" t="n">
        <f aca="false">IF(O33&gt;$B$12,1,0)</f>
        <v>0</v>
      </c>
      <c r="Q33" s="25" t="n">
        <v>0.422655580268748</v>
      </c>
      <c r="R33" s="17" t="n">
        <f aca="false">MAX(0,IF(S32=1,0,R32)-Q33-Kappa)</f>
        <v>0</v>
      </c>
      <c r="S33" s="18" t="n">
        <f aca="false">IF(R33&gt;$B$12,1,0)</f>
        <v>0</v>
      </c>
      <c r="T33" s="25" t="n">
        <v>-2.7642472208184</v>
      </c>
      <c r="U33" s="17" t="n">
        <f aca="false">MAX(0,IF(V32=1,0,U32)-T33-Kappa)</f>
        <v>3.72265615248877</v>
      </c>
      <c r="V33" s="18" t="n">
        <f aca="false">IF(U33&gt;$B$12,1,0)</f>
        <v>1</v>
      </c>
      <c r="W33" s="25" t="n">
        <v>0.0853236019780154</v>
      </c>
      <c r="X33" s="17" t="n">
        <f aca="false">MAX(0,IF(Y32=1,0,X32)-W33-Kappa)</f>
        <v>0</v>
      </c>
      <c r="Y33" s="18" t="n">
        <f aca="false">IF(X33&gt;$B$12,1,0)</f>
        <v>0</v>
      </c>
    </row>
    <row r="34" customFormat="false" ht="15" hidden="false" customHeight="false" outlineLevel="0" collapsed="false">
      <c r="A34" s="15" t="n">
        <v>24</v>
      </c>
      <c r="B34" s="25" t="n">
        <v>0.298988319523567</v>
      </c>
      <c r="C34" s="17" t="n">
        <f aca="false">MAX(0,IF(D33=1,0,C33)-B34-Kappa)</f>
        <v>0</v>
      </c>
      <c r="D34" s="18" t="n">
        <f aca="false">IF(C34&gt;$B$12,1,0)</f>
        <v>0</v>
      </c>
      <c r="E34" s="25" t="n">
        <v>0.510769236641477</v>
      </c>
      <c r="F34" s="17" t="n">
        <f aca="false">MAX(0,IF(G33=1,0,F33)-E34-Kappa)</f>
        <v>0</v>
      </c>
      <c r="G34" s="18" t="n">
        <f aca="false">IF(F34&gt;$B$12,1,0)</f>
        <v>0</v>
      </c>
      <c r="H34" s="25" t="n">
        <v>1.24500621141368</v>
      </c>
      <c r="I34" s="17" t="n">
        <f aca="false">MAX(0,IF(J33=1,0,I33)-H34-Kappa)</f>
        <v>0</v>
      </c>
      <c r="J34" s="18" t="n">
        <f aca="false">IF(I34&gt;$B$12,1,0)</f>
        <v>0</v>
      </c>
      <c r="K34" s="25" t="n">
        <v>-0.112022801309338</v>
      </c>
      <c r="L34" s="17" t="n">
        <f aca="false">MAX(0,IF(M33=1,0,L33)-K34-Kappa)</f>
        <v>0.208907180672669</v>
      </c>
      <c r="M34" s="18" t="n">
        <f aca="false">IF(L34&gt;$B$12,1,0)</f>
        <v>0</v>
      </c>
      <c r="N34" s="25" t="n">
        <v>-0.652762403325484</v>
      </c>
      <c r="O34" s="17" t="n">
        <f aca="false">MAX(0,IF(P33=1,0,O33)-N34-Kappa)</f>
        <v>0.152762403325484</v>
      </c>
      <c r="P34" s="18" t="n">
        <f aca="false">IF(O34&gt;$B$12,1,0)</f>
        <v>0</v>
      </c>
      <c r="Q34" s="25" t="n">
        <v>-1.25051133211645</v>
      </c>
      <c r="R34" s="17" t="n">
        <f aca="false">MAX(0,IF(S33=1,0,R33)-Q34-Kappa)</f>
        <v>0.75051133211645</v>
      </c>
      <c r="S34" s="18" t="n">
        <f aca="false">IF(R34&gt;$B$12,1,0)</f>
        <v>0</v>
      </c>
      <c r="T34" s="25" t="n">
        <v>0.383259215573916</v>
      </c>
      <c r="U34" s="17" t="n">
        <f aca="false">MAX(0,IF(V33=1,0,U33)-T34-Kappa)</f>
        <v>0</v>
      </c>
      <c r="V34" s="18" t="n">
        <f aca="false">IF(U34&gt;$B$12,1,0)</f>
        <v>0</v>
      </c>
      <c r="W34" s="25" t="n">
        <v>1.76098160579146</v>
      </c>
      <c r="X34" s="17" t="n">
        <f aca="false">MAX(0,IF(Y33=1,0,X33)-W34-Kappa)</f>
        <v>0</v>
      </c>
      <c r="Y34" s="18" t="n">
        <f aca="false">IF(X34&gt;$B$12,1,0)</f>
        <v>0</v>
      </c>
    </row>
    <row r="35" customFormat="false" ht="15" hidden="false" customHeight="false" outlineLevel="0" collapsed="false">
      <c r="A35" s="15" t="n">
        <v>26</v>
      </c>
      <c r="B35" s="25" t="n">
        <v>0.620557552852557</v>
      </c>
      <c r="C35" s="17" t="n">
        <f aca="false">MAX(0,IF(D34=1,0,C34)-B35-Kappa)</f>
        <v>0</v>
      </c>
      <c r="D35" s="18" t="n">
        <f aca="false">IF(C35&gt;$B$12,1,0)</f>
        <v>0</v>
      </c>
      <c r="E35" s="25" t="n">
        <v>1.48783276806494</v>
      </c>
      <c r="F35" s="17" t="n">
        <f aca="false">MAX(0,IF(G34=1,0,F34)-E35-Kappa)</f>
        <v>0</v>
      </c>
      <c r="G35" s="18" t="n">
        <f aca="false">IF(F35&gt;$B$12,1,0)</f>
        <v>0</v>
      </c>
      <c r="H35" s="25" t="n">
        <v>-0.676562149435267</v>
      </c>
      <c r="I35" s="17" t="n">
        <f aca="false">MAX(0,IF(J34=1,0,I34)-H35-Kappa)</f>
        <v>0.176562149435267</v>
      </c>
      <c r="J35" s="18" t="n">
        <f aca="false">IF(I35&gt;$B$12,1,0)</f>
        <v>0</v>
      </c>
      <c r="K35" s="25" t="n">
        <v>1.58222720512744</v>
      </c>
      <c r="L35" s="17" t="n">
        <f aca="false">MAX(0,IF(M34=1,0,L34)-K35-Kappa)</f>
        <v>0</v>
      </c>
      <c r="M35" s="18" t="n">
        <f aca="false">IF(L35&gt;$B$12,1,0)</f>
        <v>0</v>
      </c>
      <c r="N35" s="25" t="n">
        <v>-1.0917926036204</v>
      </c>
      <c r="O35" s="17" t="n">
        <f aca="false">MAX(0,IF(P34=1,0,O34)-N35-Kappa)</f>
        <v>0.74455500694588</v>
      </c>
      <c r="P35" s="18" t="n">
        <f aca="false">IF(O35&gt;$B$12,1,0)</f>
        <v>0</v>
      </c>
      <c r="Q35" s="25" t="n">
        <v>-0.426648275259064</v>
      </c>
      <c r="R35" s="17" t="n">
        <f aca="false">MAX(0,IF(S34=1,0,R34)-Q35-Kappa)</f>
        <v>0.677159607375514</v>
      </c>
      <c r="S35" s="18" t="n">
        <f aca="false">IF(R35&gt;$B$12,1,0)</f>
        <v>0</v>
      </c>
      <c r="T35" s="25" t="n">
        <v>-0.345346441482004</v>
      </c>
      <c r="U35" s="17" t="n">
        <f aca="false">MAX(0,IF(V34=1,0,U34)-T35-Kappa)</f>
        <v>0</v>
      </c>
      <c r="V35" s="18" t="n">
        <f aca="false">IF(U35&gt;$B$12,1,0)</f>
        <v>0</v>
      </c>
      <c r="W35" s="25" t="n">
        <v>-0.836323363142947</v>
      </c>
      <c r="X35" s="17" t="n">
        <f aca="false">MAX(0,IF(Y34=1,0,X34)-W35-Kappa)</f>
        <v>0.336323363142947</v>
      </c>
      <c r="Y35" s="18" t="n">
        <f aca="false">IF(X35&gt;$B$12,1,0)</f>
        <v>0</v>
      </c>
    </row>
    <row r="36" customFormat="false" ht="15" hidden="false" customHeight="false" outlineLevel="0" collapsed="false">
      <c r="A36" s="15" t="n">
        <v>28</v>
      </c>
      <c r="B36" s="25" t="n">
        <v>-0.953216574549054</v>
      </c>
      <c r="C36" s="17" t="n">
        <f aca="false">MAX(0,IF(D35=1,0,C35)-B36-Kappa)</f>
        <v>0.453216574549054</v>
      </c>
      <c r="D36" s="18" t="n">
        <f aca="false">IF(C36&gt;$B$12,1,0)</f>
        <v>0</v>
      </c>
      <c r="E36" s="25" t="n">
        <v>-2.0010712109134</v>
      </c>
      <c r="F36" s="17" t="n">
        <f aca="false">MAX(0,IF(G35=1,0,F35)-E36-Kappa)</f>
        <v>1.5010712109134</v>
      </c>
      <c r="G36" s="18" t="n">
        <f aca="false">IF(F36&gt;$B$12,1,0)</f>
        <v>0</v>
      </c>
      <c r="H36" s="25" t="n">
        <v>-0.362397832264158</v>
      </c>
      <c r="I36" s="17" t="n">
        <f aca="false">MAX(0,IF(J35=1,0,I35)-H36-Kappa)</f>
        <v>0.0389599816994255</v>
      </c>
      <c r="J36" s="18" t="n">
        <f aca="false">IF(I36&gt;$B$12,1,0)</f>
        <v>0</v>
      </c>
      <c r="K36" s="25" t="n">
        <v>-1.30940801271138</v>
      </c>
      <c r="L36" s="17" t="n">
        <f aca="false">MAX(0,IF(M35=1,0,L35)-K36-Kappa)</f>
        <v>0.80940801271138</v>
      </c>
      <c r="M36" s="18" t="n">
        <f aca="false">IF(L36&gt;$B$12,1,0)</f>
        <v>0</v>
      </c>
      <c r="N36" s="25" t="n">
        <v>0.210459968017249</v>
      </c>
      <c r="O36" s="17" t="n">
        <f aca="false">MAX(0,IF(P35=1,0,O35)-N36-Kappa)</f>
        <v>0.0340950389286314</v>
      </c>
      <c r="P36" s="18" t="n">
        <f aca="false">IF(O36&gt;$B$12,1,0)</f>
        <v>0</v>
      </c>
      <c r="Q36" s="25" t="n">
        <v>-1.49054720419478</v>
      </c>
      <c r="R36" s="17" t="n">
        <f aca="false">MAX(0,IF(S35=1,0,R35)-Q36-Kappa)</f>
        <v>1.66770681157029</v>
      </c>
      <c r="S36" s="18" t="n">
        <f aca="false">IF(R36&gt;$B$12,1,0)</f>
        <v>0</v>
      </c>
      <c r="T36" s="25" t="n">
        <v>-0.266170421420186</v>
      </c>
      <c r="U36" s="17" t="n">
        <f aca="false">MAX(0,IF(V35=1,0,U35)-T36-Kappa)</f>
        <v>0</v>
      </c>
      <c r="V36" s="18" t="n">
        <f aca="false">IF(U36&gt;$B$12,1,0)</f>
        <v>0</v>
      </c>
      <c r="W36" s="25" t="n">
        <v>-0.351677842873302</v>
      </c>
      <c r="X36" s="17" t="n">
        <f aca="false">MAX(0,IF(Y35=1,0,X35)-W36-Kappa)</f>
        <v>0.188001206016249</v>
      </c>
      <c r="Y36" s="18" t="n">
        <f aca="false">IF(X36&gt;$B$12,1,0)</f>
        <v>0</v>
      </c>
    </row>
    <row r="37" customFormat="false" ht="15" hidden="false" customHeight="false" outlineLevel="0" collapsed="false">
      <c r="A37" s="15" t="n">
        <v>30</v>
      </c>
      <c r="B37" s="25" t="n">
        <v>0.0613927220577412</v>
      </c>
      <c r="C37" s="17" t="n">
        <f aca="false">MAX(0,IF(D36=1,0,C36)-B37-Kappa)</f>
        <v>0</v>
      </c>
      <c r="D37" s="18" t="n">
        <f aca="false">IF(C37&gt;$B$12,1,0)</f>
        <v>0</v>
      </c>
      <c r="E37" s="25" t="n">
        <v>-0.807913254253331</v>
      </c>
      <c r="F37" s="17" t="n">
        <f aca="false">MAX(0,IF(G36=1,0,F36)-E37-Kappa)</f>
        <v>1.80898446516673</v>
      </c>
      <c r="G37" s="18" t="n">
        <f aca="false">IF(F37&gt;$B$12,1,0)</f>
        <v>0</v>
      </c>
      <c r="H37" s="25" t="n">
        <v>-0.181535354610059</v>
      </c>
      <c r="I37" s="17" t="n">
        <f aca="false">MAX(0,IF(J36=1,0,I36)-H37-Kappa)</f>
        <v>0</v>
      </c>
      <c r="J37" s="18" t="n">
        <f aca="false">IF(I37&gt;$B$12,1,0)</f>
        <v>0</v>
      </c>
      <c r="K37" s="25" t="n">
        <v>0.722684069517955</v>
      </c>
      <c r="L37" s="17" t="n">
        <f aca="false">MAX(0,IF(M36=1,0,L36)-K37-Kappa)</f>
        <v>0</v>
      </c>
      <c r="M37" s="18" t="n">
        <f aca="false">IF(L37&gt;$B$12,1,0)</f>
        <v>0</v>
      </c>
      <c r="N37" s="25" t="n">
        <v>-1.00210168787707</v>
      </c>
      <c r="O37" s="17" t="n">
        <f aca="false">MAX(0,IF(P36=1,0,O36)-N37-Kappa)</f>
        <v>0.536196726805704</v>
      </c>
      <c r="P37" s="18" t="n">
        <f aca="false">IF(O37&gt;$B$12,1,0)</f>
        <v>0</v>
      </c>
      <c r="Q37" s="25" t="n">
        <v>-1.53016931229262</v>
      </c>
      <c r="R37" s="17" t="n">
        <f aca="false">MAX(0,IF(S36=1,0,R36)-Q37-Kappa)</f>
        <v>2.6978761238629</v>
      </c>
      <c r="S37" s="18" t="n">
        <f aca="false">IF(R37&gt;$B$12,1,0)</f>
        <v>1</v>
      </c>
      <c r="T37" s="25" t="n">
        <v>-0.677823517569829</v>
      </c>
      <c r="U37" s="17" t="n">
        <f aca="false">MAX(0,IF(V36=1,0,U36)-T37-Kappa)</f>
        <v>0.177823517569829</v>
      </c>
      <c r="V37" s="18" t="n">
        <f aca="false">IF(U37&gt;$B$12,1,0)</f>
        <v>0</v>
      </c>
      <c r="W37" s="25" t="n">
        <v>-0.213586750247639</v>
      </c>
      <c r="X37" s="17" t="n">
        <f aca="false">MAX(0,IF(Y36=1,0,X36)-W37-Kappa)</f>
        <v>0</v>
      </c>
      <c r="Y37" s="18" t="n">
        <f aca="false">IF(X37&gt;$B$12,1,0)</f>
        <v>0</v>
      </c>
    </row>
    <row r="38" customFormat="false" ht="15" hidden="false" customHeight="false" outlineLevel="0" collapsed="false">
      <c r="A38" s="15" t="n">
        <v>32</v>
      </c>
      <c r="B38" s="25" t="n">
        <v>1.65271858298206</v>
      </c>
      <c r="C38" s="17" t="n">
        <f aca="false">MAX(0,IF(D37=1,0,C37)-B38-Kappa)</f>
        <v>0</v>
      </c>
      <c r="D38" s="18" t="n">
        <f aca="false">IF(C38&gt;$B$12,1,0)</f>
        <v>0</v>
      </c>
      <c r="E38" s="25" t="n">
        <v>0.712150462118689</v>
      </c>
      <c r="F38" s="17" t="n">
        <f aca="false">MAX(0,IF(G37=1,0,F37)-E38-Kappa)</f>
        <v>0.596834003048042</v>
      </c>
      <c r="G38" s="18" t="n">
        <f aca="false">IF(F38&gt;$B$12,1,0)</f>
        <v>0</v>
      </c>
      <c r="H38" s="25" t="n">
        <v>-0.400540760397418</v>
      </c>
      <c r="I38" s="17" t="n">
        <f aca="false">MAX(0,IF(J37=1,0,I37)-H38-Kappa)</f>
        <v>0</v>
      </c>
      <c r="J38" s="18" t="n">
        <f aca="false">IF(I38&gt;$B$12,1,0)</f>
        <v>0</v>
      </c>
      <c r="K38" s="25" t="n">
        <v>0.599353592243201</v>
      </c>
      <c r="L38" s="17" t="n">
        <f aca="false">MAX(0,IF(M37=1,0,L37)-K38-Kappa)</f>
        <v>0</v>
      </c>
      <c r="M38" s="18" t="n">
        <f aca="false">IF(L38&gt;$B$12,1,0)</f>
        <v>0</v>
      </c>
      <c r="N38" s="25" t="n">
        <v>-1.34054701235681</v>
      </c>
      <c r="O38" s="17" t="n">
        <f aca="false">MAX(0,IF(P37=1,0,O37)-N38-Kappa)</f>
        <v>1.37674373916252</v>
      </c>
      <c r="P38" s="18" t="n">
        <f aca="false">IF(O38&gt;$B$12,1,0)</f>
        <v>0</v>
      </c>
      <c r="Q38" s="25" t="n">
        <v>-1.14919545760119</v>
      </c>
      <c r="R38" s="17" t="n">
        <f aca="false">MAX(0,IF(S37=1,0,R37)-Q38-Kappa)</f>
        <v>0.649195457601186</v>
      </c>
      <c r="S38" s="18" t="n">
        <f aca="false">IF(R38&gt;$B$12,1,0)</f>
        <v>0</v>
      </c>
      <c r="T38" s="25" t="n">
        <v>0.349174422036525</v>
      </c>
      <c r="U38" s="17" t="n">
        <f aca="false">MAX(0,IF(V37=1,0,U37)-T38-Kappa)</f>
        <v>0</v>
      </c>
      <c r="V38" s="18" t="n">
        <f aca="false">IF(U38&gt;$B$12,1,0)</f>
        <v>0</v>
      </c>
      <c r="W38" s="25" t="n">
        <v>1.41574036574026</v>
      </c>
      <c r="X38" s="17" t="n">
        <f aca="false">MAX(0,IF(Y37=1,0,X37)-W38-Kappa)</f>
        <v>0</v>
      </c>
      <c r="Y38" s="18" t="n">
        <f aca="false">IF(X38&gt;$B$12,1,0)</f>
        <v>0</v>
      </c>
    </row>
    <row r="39" customFormat="false" ht="15" hidden="false" customHeight="false" outlineLevel="0" collapsed="false">
      <c r="A39" s="15" t="n">
        <v>34</v>
      </c>
      <c r="B39" s="25" t="n">
        <v>1.70119878417464</v>
      </c>
      <c r="C39" s="17" t="n">
        <f aca="false">MAX(0,IF(D38=1,0,C38)-B39-Kappa)</f>
        <v>0</v>
      </c>
      <c r="D39" s="18" t="n">
        <f aca="false">IF(C39&gt;$B$12,1,0)</f>
        <v>0</v>
      </c>
      <c r="E39" s="25" t="n">
        <v>-0.990057219500083</v>
      </c>
      <c r="F39" s="17" t="n">
        <f aca="false">MAX(0,IF(G38=1,0,F38)-E39-Kappa)</f>
        <v>1.08689122254813</v>
      </c>
      <c r="G39" s="18" t="n">
        <f aca="false">IF(F39&gt;$B$12,1,0)</f>
        <v>0</v>
      </c>
      <c r="H39" s="25" t="n">
        <v>0.273847962868457</v>
      </c>
      <c r="I39" s="17" t="n">
        <f aca="false">MAX(0,IF(J38=1,0,I38)-H39-Kappa)</f>
        <v>0</v>
      </c>
      <c r="J39" s="18" t="n">
        <f aca="false">IF(I39&gt;$B$12,1,0)</f>
        <v>0</v>
      </c>
      <c r="K39" s="25" t="n">
        <v>0.64665581548639</v>
      </c>
      <c r="L39" s="17" t="n">
        <f aca="false">MAX(0,IF(M38=1,0,L38)-K39-Kappa)</f>
        <v>0</v>
      </c>
      <c r="M39" s="18" t="n">
        <f aca="false">IF(L39&gt;$B$12,1,0)</f>
        <v>0</v>
      </c>
      <c r="N39" s="25" t="n">
        <v>1.544282264774</v>
      </c>
      <c r="O39" s="17" t="n">
        <f aca="false">MAX(0,IF(P38=1,0,O38)-N39-Kappa)</f>
        <v>0</v>
      </c>
      <c r="P39" s="18" t="n">
        <f aca="false">IF(O39&gt;$B$12,1,0)</f>
        <v>0</v>
      </c>
      <c r="Q39" s="25" t="n">
        <v>-0.409869356281188</v>
      </c>
      <c r="R39" s="17" t="n">
        <f aca="false">MAX(0,IF(S38=1,0,R38)-Q39-Kappa)</f>
        <v>0.559064813882374</v>
      </c>
      <c r="S39" s="18" t="n">
        <f aca="false">IF(R39&gt;$B$12,1,0)</f>
        <v>0</v>
      </c>
      <c r="T39" s="25" t="n">
        <v>-0.956179770428323</v>
      </c>
      <c r="U39" s="17" t="n">
        <f aca="false">MAX(0,IF(V38=1,0,U38)-T39-Kappa)</f>
        <v>0.456179770428323</v>
      </c>
      <c r="V39" s="18" t="n">
        <f aca="false">IF(U39&gt;$B$12,1,0)</f>
        <v>0</v>
      </c>
      <c r="W39" s="25" t="n">
        <v>0.647669361725276</v>
      </c>
      <c r="X39" s="17" t="n">
        <f aca="false">MAX(0,IF(Y38=1,0,X38)-W39-Kappa)</f>
        <v>0</v>
      </c>
      <c r="Y39" s="18" t="n">
        <f aca="false">IF(X39&gt;$B$12,1,0)</f>
        <v>0</v>
      </c>
    </row>
    <row r="40" customFormat="false" ht="15" hidden="false" customHeight="false" outlineLevel="0" collapsed="false">
      <c r="A40" s="15" t="n">
        <v>36</v>
      </c>
      <c r="B40" s="25" t="n">
        <v>0.217078626046225</v>
      </c>
      <c r="C40" s="17" t="n">
        <f aca="false">MAX(0,IF(D39=1,0,C39)-B40-Kappa)</f>
        <v>0</v>
      </c>
      <c r="D40" s="18" t="n">
        <f aca="false">IF(C40&gt;$B$12,1,0)</f>
        <v>0</v>
      </c>
      <c r="E40" s="25" t="n">
        <v>0.822904878722657</v>
      </c>
      <c r="F40" s="17" t="n">
        <f aca="false">MAX(0,IF(G39=1,0,F39)-E40-Kappa)</f>
        <v>0</v>
      </c>
      <c r="G40" s="18" t="n">
        <f aca="false">IF(F40&gt;$B$12,1,0)</f>
        <v>0</v>
      </c>
      <c r="H40" s="25" t="n">
        <v>-0.581605543504594</v>
      </c>
      <c r="I40" s="17" t="n">
        <f aca="false">MAX(0,IF(J39=1,0,I39)-H40-Kappa)</f>
        <v>0.0816055435045939</v>
      </c>
      <c r="J40" s="18" t="n">
        <f aca="false">IF(I40&gt;$B$12,1,0)</f>
        <v>0</v>
      </c>
      <c r="K40" s="25" t="n">
        <v>0.891357287335744</v>
      </c>
      <c r="L40" s="17" t="n">
        <f aca="false">MAX(0,IF(M39=1,0,L39)-K40-Kappa)</f>
        <v>0</v>
      </c>
      <c r="M40" s="18" t="n">
        <f aca="false">IF(L40&gt;$B$12,1,0)</f>
        <v>0</v>
      </c>
      <c r="N40" s="25" t="n">
        <v>-2.91242139864495</v>
      </c>
      <c r="O40" s="17" t="n">
        <f aca="false">MAX(0,IF(P39=1,0,O39)-N40-Kappa)</f>
        <v>2.41242139864495</v>
      </c>
      <c r="P40" s="18" t="n">
        <f aca="false">IF(O40&gt;$B$12,1,0)</f>
        <v>1</v>
      </c>
      <c r="Q40" s="25" t="n">
        <v>0.855007367075511</v>
      </c>
      <c r="R40" s="17" t="n">
        <f aca="false">MAX(0,IF(S39=1,0,R39)-Q40-Kappa)</f>
        <v>0</v>
      </c>
      <c r="S40" s="18" t="n">
        <f aca="false">IF(R40&gt;$B$12,1,0)</f>
        <v>0</v>
      </c>
      <c r="T40" s="25" t="n">
        <v>1.26552527474402</v>
      </c>
      <c r="U40" s="17" t="n">
        <f aca="false">MAX(0,IF(V39=1,0,U39)-T40-Kappa)</f>
        <v>0</v>
      </c>
      <c r="V40" s="18" t="n">
        <f aca="false">IF(U40&gt;$B$12,1,0)</f>
        <v>0</v>
      </c>
      <c r="W40" s="25" t="n">
        <v>-1.61399772351773</v>
      </c>
      <c r="X40" s="17" t="n">
        <f aca="false">MAX(0,IF(Y39=1,0,X39)-W40-Kappa)</f>
        <v>1.11399772351773</v>
      </c>
      <c r="Y40" s="18" t="n">
        <f aca="false">IF(X40&gt;$B$12,1,0)</f>
        <v>0</v>
      </c>
    </row>
    <row r="41" customFormat="false" ht="15" hidden="false" customHeight="false" outlineLevel="0" collapsed="false">
      <c r="A41" s="15" t="n">
        <v>38</v>
      </c>
      <c r="B41" s="25" t="n">
        <v>-1.14790346422996</v>
      </c>
      <c r="C41" s="17" t="n">
        <f aca="false">MAX(0,IF(D40=1,0,C40)-B41-Kappa)</f>
        <v>0.647903464229963</v>
      </c>
      <c r="D41" s="18" t="n">
        <f aca="false">IF(C41&gt;$B$12,1,0)</f>
        <v>0</v>
      </c>
      <c r="E41" s="25" t="n">
        <v>-0.235914580666156</v>
      </c>
      <c r="F41" s="17" t="n">
        <f aca="false">MAX(0,IF(G40=1,0,F40)-E41-Kappa)</f>
        <v>0</v>
      </c>
      <c r="G41" s="18" t="n">
        <f aca="false">IF(F41&gt;$B$12,1,0)</f>
        <v>0</v>
      </c>
      <c r="H41" s="25" t="n">
        <v>-1.00403073468408</v>
      </c>
      <c r="I41" s="17" t="n">
        <f aca="false">MAX(0,IF(J40=1,0,I40)-H41-Kappa)</f>
        <v>0.585636278188677</v>
      </c>
      <c r="J41" s="18" t="n">
        <f aca="false">IF(I41&gt;$B$12,1,0)</f>
        <v>0</v>
      </c>
      <c r="K41" s="25" t="n">
        <v>0.0589448478008868</v>
      </c>
      <c r="L41" s="17" t="n">
        <f aca="false">MAX(0,IF(M40=1,0,L40)-K41-Kappa)</f>
        <v>0</v>
      </c>
      <c r="M41" s="18" t="n">
        <f aca="false">IF(L41&gt;$B$12,1,0)</f>
        <v>0</v>
      </c>
      <c r="N41" s="25" t="n">
        <v>-0.486343502215385</v>
      </c>
      <c r="O41" s="17" t="n">
        <f aca="false">MAX(0,IF(P40=1,0,O40)-N41-Kappa)</f>
        <v>0</v>
      </c>
      <c r="P41" s="18" t="n">
        <f aca="false">IF(O41&gt;$B$12,1,0)</f>
        <v>0</v>
      </c>
      <c r="Q41" s="25" t="n">
        <v>0.901045271880065</v>
      </c>
      <c r="R41" s="17" t="n">
        <f aca="false">MAX(0,IF(S40=1,0,R40)-Q41-Kappa)</f>
        <v>0</v>
      </c>
      <c r="S41" s="18" t="n">
        <f aca="false">IF(R41&gt;$B$12,1,0)</f>
        <v>0</v>
      </c>
      <c r="T41" s="25" t="n">
        <v>0.759210487292934</v>
      </c>
      <c r="U41" s="17" t="n">
        <f aca="false">MAX(0,IF(V40=1,0,U40)-T41-Kappa)</f>
        <v>0</v>
      </c>
      <c r="V41" s="18" t="n">
        <f aca="false">IF(U41&gt;$B$12,1,0)</f>
        <v>0</v>
      </c>
      <c r="W41" s="25" t="n">
        <v>-0.373560396091326</v>
      </c>
      <c r="X41" s="17" t="n">
        <f aca="false">MAX(0,IF(Y40=1,0,X40)-W41-Kappa)</f>
        <v>0.987558119609059</v>
      </c>
      <c r="Y41" s="18" t="n">
        <f aca="false">IF(X41&gt;$B$12,1,0)</f>
        <v>0</v>
      </c>
    </row>
    <row r="42" customFormat="false" ht="15" hidden="false" customHeight="false" outlineLevel="0" collapsed="false">
      <c r="A42" s="15" t="n">
        <v>40</v>
      </c>
      <c r="B42" s="25" t="n">
        <v>1.19155571724595</v>
      </c>
      <c r="C42" s="17" t="n">
        <f aca="false">MAX(0,IF(D41=1,0,C41)-B42-Kappa)</f>
        <v>0</v>
      </c>
      <c r="D42" s="18" t="n">
        <f aca="false">IF(C42&gt;$B$12,1,0)</f>
        <v>0</v>
      </c>
      <c r="E42" s="25" t="n">
        <v>1.0180015591826</v>
      </c>
      <c r="F42" s="17" t="n">
        <f aca="false">MAX(0,IF(G41=1,0,F41)-E42-Kappa)</f>
        <v>0</v>
      </c>
      <c r="G42" s="18" t="n">
        <f aca="false">IF(F42&gt;$B$12,1,0)</f>
        <v>0</v>
      </c>
      <c r="H42" s="25" t="n">
        <v>-0.0879697229890777</v>
      </c>
      <c r="I42" s="17" t="n">
        <f aca="false">MAX(0,IF(J41=1,0,I41)-H42-Kappa)</f>
        <v>0.173606001177755</v>
      </c>
      <c r="J42" s="18" t="n">
        <f aca="false">IF(I42&gt;$B$12,1,0)</f>
        <v>0</v>
      </c>
      <c r="K42" s="25" t="n">
        <v>0.561648030115011</v>
      </c>
      <c r="L42" s="17" t="n">
        <f aca="false">MAX(0,IF(M41=1,0,L41)-K42-Kappa)</f>
        <v>0</v>
      </c>
      <c r="M42" s="18" t="n">
        <f aca="false">IF(L42&gt;$B$12,1,0)</f>
        <v>0</v>
      </c>
      <c r="N42" s="25" t="n">
        <v>0.174320295304278</v>
      </c>
      <c r="O42" s="17" t="n">
        <f aca="false">MAX(0,IF(P41=1,0,O41)-N42-Kappa)</f>
        <v>0</v>
      </c>
      <c r="P42" s="18" t="n">
        <f aca="false">IF(O42&gt;$B$12,1,0)</f>
        <v>0</v>
      </c>
      <c r="Q42" s="25" t="n">
        <v>-1.79910988994948</v>
      </c>
      <c r="R42" s="17" t="n">
        <f aca="false">MAX(0,IF(S41=1,0,R41)-Q42-Kappa)</f>
        <v>1.29910988994948</v>
      </c>
      <c r="S42" s="18" t="n">
        <f aca="false">IF(R42&gt;$B$12,1,0)</f>
        <v>0</v>
      </c>
      <c r="T42" s="25" t="n">
        <v>0.874808737848605</v>
      </c>
      <c r="U42" s="17" t="n">
        <f aca="false">MAX(0,IF(V41=1,0,U41)-T42-Kappa)</f>
        <v>0</v>
      </c>
      <c r="V42" s="18" t="n">
        <f aca="false">IF(U42&gt;$B$12,1,0)</f>
        <v>0</v>
      </c>
      <c r="W42" s="25" t="n">
        <v>-0.480030093469862</v>
      </c>
      <c r="X42" s="17" t="n">
        <f aca="false">MAX(0,IF(Y41=1,0,X41)-W42-Kappa)</f>
        <v>0.96758821307892</v>
      </c>
      <c r="Y42" s="18" t="n">
        <f aca="false">IF(X42&gt;$B$12,1,0)</f>
        <v>0</v>
      </c>
    </row>
    <row r="44" customFormat="false" ht="35.05" hidden="false" customHeight="false" outlineLevel="0" collapsed="false">
      <c r="A44" s="8" t="s">
        <v>297</v>
      </c>
      <c r="B44" s="8" t="s">
        <v>298</v>
      </c>
      <c r="C44" s="8" t="s">
        <v>299</v>
      </c>
      <c r="D44" s="8" t="s">
        <v>300</v>
      </c>
      <c r="E44" s="8" t="s">
        <v>301</v>
      </c>
    </row>
    <row r="45" customFormat="false" ht="15" hidden="false" customHeight="false" outlineLevel="0" collapsed="false">
      <c r="A45" s="18" t="n">
        <v>1</v>
      </c>
      <c r="B45" s="18" t="n">
        <f aca="false">_xlfn.MINIFS($A$23:$A$42,D23:D42,1,$A$23:$A$42,"&gt;="&amp;Drift_q)</f>
        <v>12</v>
      </c>
      <c r="C45" s="34" t="n">
        <v>12</v>
      </c>
      <c r="D45" s="18" t="n">
        <f aca="false">IF(B45=C45,1,0)</f>
        <v>1</v>
      </c>
      <c r="E45" s="18" t="n">
        <f aca="false">B45-Drift_q</f>
        <v>4</v>
      </c>
    </row>
    <row r="46" customFormat="false" ht="15" hidden="false" customHeight="false" outlineLevel="0" collapsed="false">
      <c r="A46" s="18" t="n">
        <v>2</v>
      </c>
      <c r="B46" s="18" t="n">
        <f aca="false">_xlfn.MINIFS($A$23:$A$42,G23:G42,1,$A$23:$A$42,"&gt;="&amp;Drift_q)</f>
        <v>10</v>
      </c>
      <c r="C46" s="34" t="n">
        <v>10</v>
      </c>
      <c r="D46" s="18" t="n">
        <f aca="false">IF(B46=C46,1,0)</f>
        <v>1</v>
      </c>
      <c r="E46" s="18" t="n">
        <f aca="false">B46-Drift_q</f>
        <v>2</v>
      </c>
    </row>
    <row r="47" customFormat="false" ht="15" hidden="false" customHeight="false" outlineLevel="0" collapsed="false">
      <c r="A47" s="18" t="n">
        <v>3</v>
      </c>
      <c r="B47" s="18" t="n">
        <f aca="false">_xlfn.MINIFS($A$23:$A$42,J23:J42,1,$A$23:$A$42,"&gt;="&amp;Drift_q)</f>
        <v>16</v>
      </c>
      <c r="C47" s="34" t="n">
        <v>16</v>
      </c>
      <c r="D47" s="18" t="n">
        <f aca="false">IF(B47=C47,1,0)</f>
        <v>1</v>
      </c>
      <c r="E47" s="18" t="n">
        <f aca="false">B47-Drift_q</f>
        <v>8</v>
      </c>
    </row>
    <row r="48" customFormat="false" ht="15" hidden="false" customHeight="false" outlineLevel="0" collapsed="false">
      <c r="A48" s="18" t="n">
        <v>4</v>
      </c>
      <c r="B48" s="18" t="n">
        <f aca="false">_xlfn.MINIFS($A$23:$A$42,M23:M42,1,$A$23:$A$42,"&gt;="&amp;Drift_q)</f>
        <v>14</v>
      </c>
      <c r="C48" s="34" t="n">
        <v>14</v>
      </c>
      <c r="D48" s="18" t="n">
        <f aca="false">IF(B48=C48,1,0)</f>
        <v>1</v>
      </c>
      <c r="E48" s="18" t="n">
        <f aca="false">B48-Drift_q</f>
        <v>6</v>
      </c>
    </row>
    <row r="49" customFormat="false" ht="15" hidden="false" customHeight="false" outlineLevel="0" collapsed="false">
      <c r="A49" s="18" t="n">
        <v>5</v>
      </c>
      <c r="B49" s="18" t="n">
        <f aca="false">_xlfn.MINIFS($A$23:$A$42,P23:P42,1,$A$23:$A$42,"&gt;="&amp;Drift_q)</f>
        <v>14</v>
      </c>
      <c r="C49" s="34" t="n">
        <v>14</v>
      </c>
      <c r="D49" s="18" t="n">
        <f aca="false">IF(B49=C49,1,0)</f>
        <v>1</v>
      </c>
      <c r="E49" s="18" t="n">
        <f aca="false">B49-Drift_q</f>
        <v>6</v>
      </c>
    </row>
    <row r="50" customFormat="false" ht="15" hidden="false" customHeight="false" outlineLevel="0" collapsed="false">
      <c r="A50" s="18" t="n">
        <v>6</v>
      </c>
      <c r="B50" s="18" t="n">
        <f aca="false">_xlfn.MINIFS($A$23:$A$42,S23:S42,1,$A$23:$A$42,"&gt;="&amp;Drift_q)</f>
        <v>30</v>
      </c>
      <c r="C50" s="34" t="n">
        <v>30</v>
      </c>
      <c r="D50" s="18" t="n">
        <f aca="false">IF(B50=C50,1,0)</f>
        <v>1</v>
      </c>
      <c r="E50" s="18" t="n">
        <f aca="false">B50-Drift_q</f>
        <v>22</v>
      </c>
    </row>
    <row r="51" customFormat="false" ht="15" hidden="false" customHeight="false" outlineLevel="0" collapsed="false">
      <c r="A51" s="18" t="n">
        <v>7</v>
      </c>
      <c r="B51" s="18" t="n">
        <f aca="false">_xlfn.MINIFS($A$23:$A$42,V23:V42,1,$A$23:$A$42,"&gt;="&amp;Drift_q)</f>
        <v>22</v>
      </c>
      <c r="C51" s="34" t="n">
        <v>22</v>
      </c>
      <c r="D51" s="18" t="n">
        <f aca="false">IF(B51=C51,1,0)</f>
        <v>1</v>
      </c>
      <c r="E51" s="18" t="n">
        <f aca="false">B51-Drift_q</f>
        <v>14</v>
      </c>
    </row>
    <row r="52" customFormat="false" ht="15" hidden="false" customHeight="false" outlineLevel="0" collapsed="false">
      <c r="A52" s="18" t="n">
        <v>8</v>
      </c>
      <c r="B52" s="18" t="n">
        <f aca="false">_xlfn.MINIFS($A$23:$A$42,Y23:Y42,1,$A$23:$A$42,"&gt;="&amp;Drift_q)</f>
        <v>14</v>
      </c>
      <c r="C52" s="34" t="n">
        <v>14</v>
      </c>
      <c r="D52" s="18" t="n">
        <f aca="false">IF(B52=C52,1,0)</f>
        <v>1</v>
      </c>
      <c r="E52" s="18" t="n">
        <f aca="false">B52-Drift_q</f>
        <v>6</v>
      </c>
    </row>
    <row r="54" customFormat="false" ht="15" hidden="false" customHeight="false" outlineLevel="0" collapsed="false">
      <c r="A54" s="10" t="s">
        <v>302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6"/>
    <col collapsed="false" customWidth="true" hidden="false" outlineLevel="0" max="3" min="3" style="0" width="14"/>
    <col collapsed="false" customWidth="true" hidden="false" outlineLevel="0" max="4" min="4" style="0" width="16"/>
    <col collapsed="false" customWidth="true" hidden="false" outlineLevel="0" max="5" min="5" style="0" width="3"/>
    <col collapsed="false" customWidth="true" hidden="false" outlineLevel="0" max="6" min="6" style="0" width="30"/>
    <col collapsed="false" customWidth="true" hidden="false" outlineLevel="0" max="8" min="7" style="0" width="16"/>
    <col collapsed="false" customWidth="true" hidden="false" outlineLevel="0" max="9" min="9" style="0" width="12"/>
    <col collapsed="false" customWidth="true" hidden="false" outlineLevel="0" max="10" min="10" style="0" width="40"/>
    <col collapsed="false" customWidth="true" hidden="false" outlineLevel="0" max="11" min="11" style="0" width="12"/>
    <col collapsed="false" customWidth="true" hidden="false" outlineLevel="0" max="12" min="12" style="0" width="18"/>
  </cols>
  <sheetData>
    <row r="1" customFormat="false" ht="15" hidden="false" customHeight="false" outlineLevel="0" collapsed="false">
      <c r="A1" s="1" t="s">
        <v>303</v>
      </c>
    </row>
    <row r="2" customFormat="false" ht="15" hidden="false" customHeight="false" outlineLevel="0" collapsed="false">
      <c r="A2" s="10" t="s">
        <v>304</v>
      </c>
    </row>
    <row r="4" customFormat="false" ht="23.85" hidden="false" customHeight="false" outlineLevel="0" collapsed="false">
      <c r="A4" s="8" t="s">
        <v>305</v>
      </c>
      <c r="B4" s="8" t="s">
        <v>167</v>
      </c>
      <c r="C4" s="8" t="s">
        <v>169</v>
      </c>
      <c r="D4" s="8" t="s">
        <v>170</v>
      </c>
    </row>
    <row r="5" customFormat="false" ht="15" hidden="false" customHeight="false" outlineLevel="0" collapsed="false">
      <c r="A5" s="4" t="s">
        <v>306</v>
      </c>
      <c r="B5" s="25" t="n">
        <v>301.991873501011</v>
      </c>
      <c r="C5" s="17" t="n">
        <f aca="false">B5-$B$5</f>
        <v>0</v>
      </c>
      <c r="D5" s="26" t="n">
        <v>0.140679545454545</v>
      </c>
    </row>
    <row r="6" customFormat="false" ht="15" hidden="false" customHeight="false" outlineLevel="0" collapsed="false">
      <c r="A6" s="4" t="s">
        <v>307</v>
      </c>
      <c r="B6" s="25" t="n">
        <v>358.464700501815</v>
      </c>
      <c r="C6" s="17" t="n">
        <f aca="false">B6-$B$5</f>
        <v>56.4728270008039</v>
      </c>
      <c r="D6" s="26" t="n">
        <v>0.798706022727273</v>
      </c>
    </row>
    <row r="7" customFormat="false" ht="15" hidden="false" customHeight="false" outlineLevel="0" collapsed="false">
      <c r="A7" s="4" t="s">
        <v>308</v>
      </c>
      <c r="B7" s="25" t="n">
        <v>320.16904630342</v>
      </c>
      <c r="C7" s="17" t="n">
        <f aca="false">B7-$B$5</f>
        <v>18.1771728024095</v>
      </c>
      <c r="D7" s="26" t="n">
        <v>0.144314840909091</v>
      </c>
    </row>
    <row r="8" customFormat="false" ht="15" hidden="false" customHeight="false" outlineLevel="0" collapsed="false">
      <c r="A8" s="4" t="s">
        <v>309</v>
      </c>
      <c r="B8" s="25" t="n">
        <v>312.284609820149</v>
      </c>
      <c r="C8" s="17" t="n">
        <f aca="false">B8-$B$5</f>
        <v>10.2927363191377</v>
      </c>
      <c r="D8" s="26" t="n">
        <v>0.145532295454546</v>
      </c>
    </row>
    <row r="10" customFormat="false" ht="15" hidden="false" customHeight="false" outlineLevel="0" collapsed="false">
      <c r="A10" s="2" t="s">
        <v>310</v>
      </c>
      <c r="B10" s="25" t="n">
        <v>241.637896216056</v>
      </c>
      <c r="C10" s="10" t="s">
        <v>311</v>
      </c>
    </row>
    <row r="11" customFormat="false" ht="15" hidden="false" customHeight="false" outlineLevel="0" collapsed="false">
      <c r="A11" s="2" t="s">
        <v>312</v>
      </c>
      <c r="B11" s="25" t="n">
        <v>241.836971765729</v>
      </c>
      <c r="C11" s="10" t="s">
        <v>313</v>
      </c>
    </row>
    <row r="12" customFormat="false" ht="15" hidden="false" customHeight="false" outlineLevel="0" collapsed="false">
      <c r="A12" s="2" t="s">
        <v>314</v>
      </c>
      <c r="B12" s="17" t="n">
        <f aca="false">B11-B10</f>
        <v>0.199075549673182</v>
      </c>
    </row>
    <row r="13" customFormat="false" ht="15" hidden="false" customHeight="false" outlineLevel="0" collapsed="false">
      <c r="A13" s="2" t="s">
        <v>315</v>
      </c>
      <c r="B13" s="30" t="n">
        <v>4.60568</v>
      </c>
      <c r="C13" s="10" t="s">
        <v>316</v>
      </c>
    </row>
    <row r="15" customFormat="false" ht="23.85" hidden="false" customHeight="false" outlineLevel="0" collapsed="false">
      <c r="A15" s="8" t="s">
        <v>317</v>
      </c>
      <c r="B15" s="8" t="s">
        <v>318</v>
      </c>
      <c r="C15" s="8" t="s">
        <v>319</v>
      </c>
      <c r="F15" s="8" t="s">
        <v>320</v>
      </c>
      <c r="G15" s="8" t="s">
        <v>19</v>
      </c>
      <c r="H15" s="8" t="s">
        <v>321</v>
      </c>
      <c r="I15" s="8" t="s">
        <v>322</v>
      </c>
      <c r="J15" s="8" t="s">
        <v>323</v>
      </c>
      <c r="K15" s="8" t="s">
        <v>324</v>
      </c>
      <c r="L15" s="8" t="s">
        <v>325</v>
      </c>
    </row>
    <row r="16" customFormat="false" ht="15" hidden="false" customHeight="false" outlineLevel="0" collapsed="false">
      <c r="A16" s="18" t="n">
        <v>0</v>
      </c>
      <c r="B16" s="35" t="n">
        <v>1807</v>
      </c>
      <c r="C16" s="36" t="n">
        <f aca="false">SUM($B$16:B16)</f>
        <v>1807</v>
      </c>
      <c r="F16" s="2" t="s">
        <v>326</v>
      </c>
      <c r="G16" s="36" t="n">
        <f aca="false">SUM($B$16:$B$104)</f>
        <v>100000</v>
      </c>
    </row>
    <row r="17" customFormat="false" ht="15" hidden="false" customHeight="false" outlineLevel="0" collapsed="false">
      <c r="A17" s="18" t="n">
        <v>1</v>
      </c>
      <c r="B17" s="35" t="n">
        <v>0</v>
      </c>
      <c r="C17" s="36" t="n">
        <f aca="false">SUM($B$16:B17)</f>
        <v>1807</v>
      </c>
      <c r="F17" s="2" t="s">
        <v>327</v>
      </c>
      <c r="G17" s="24" t="n">
        <f aca="false">G16/Paths_fresh</f>
        <v>1</v>
      </c>
    </row>
    <row r="18" customFormat="false" ht="15" hidden="false" customHeight="false" outlineLevel="0" collapsed="false">
      <c r="A18" s="18" t="n">
        <v>2</v>
      </c>
      <c r="B18" s="35" t="n">
        <v>3512</v>
      </c>
      <c r="C18" s="36" t="n">
        <f aca="false">SUM($B$16:B18)</f>
        <v>5319</v>
      </c>
      <c r="F18" s="2" t="s">
        <v>328</v>
      </c>
      <c r="G18" s="12" t="n">
        <f aca="false">SUMPRODUCT($A$16:$A$104,$B$16:$B$104)/G16</f>
        <v>12.26814</v>
      </c>
    </row>
    <row r="19" customFormat="false" ht="15" hidden="false" customHeight="false" outlineLevel="0" collapsed="false">
      <c r="A19" s="18" t="n">
        <v>3</v>
      </c>
      <c r="B19" s="35" t="n">
        <v>0</v>
      </c>
      <c r="C19" s="36" t="n">
        <f aca="false">SUM($B$16:B19)</f>
        <v>5319</v>
      </c>
      <c r="F19" s="4" t="s">
        <v>329</v>
      </c>
      <c r="G19" s="37" t="n">
        <v>0.1</v>
      </c>
      <c r="H19" s="33" t="n">
        <f aca="false">($G$16-1)*G19</f>
        <v>9999.9</v>
      </c>
      <c r="I19" s="18" t="n">
        <f aca="false">INT(H19)</f>
        <v>9999</v>
      </c>
      <c r="J19" s="18" t="n">
        <f aca="false">INDEX($A$16:$A$104,COUNTIF($C$16:$C$104,"&lt;="&amp;I19)+1)</f>
        <v>4</v>
      </c>
      <c r="K19" s="18" t="n">
        <f aca="false">INDEX($A$16:$A$104,COUNTIF($C$16:$C$104,"&lt;="&amp;(I19+1))+1)</f>
        <v>4</v>
      </c>
      <c r="L19" s="12" t="n">
        <f aca="false">J19+(H19-I19)*(K19-J19)</f>
        <v>4</v>
      </c>
    </row>
    <row r="20" customFormat="false" ht="15" hidden="false" customHeight="false" outlineLevel="0" collapsed="false">
      <c r="A20" s="18" t="n">
        <v>4</v>
      </c>
      <c r="B20" s="35" t="n">
        <v>6783</v>
      </c>
      <c r="C20" s="36" t="n">
        <f aca="false">SUM($B$16:B20)</f>
        <v>12102</v>
      </c>
      <c r="F20" s="4" t="s">
        <v>330</v>
      </c>
      <c r="G20" s="37" t="n">
        <v>0.5</v>
      </c>
      <c r="H20" s="33" t="n">
        <f aca="false">($G$16-1)*G20</f>
        <v>49999.5</v>
      </c>
      <c r="I20" s="18" t="n">
        <f aca="false">INT(H20)</f>
        <v>49999</v>
      </c>
      <c r="J20" s="18" t="n">
        <f aca="false">INDEX($A$16:$A$104,COUNTIF($C$16:$C$104,"&lt;="&amp;I20)+1)</f>
        <v>12</v>
      </c>
      <c r="K20" s="18" t="n">
        <f aca="false">INDEX($A$16:$A$104,COUNTIF($C$16:$C$104,"&lt;="&amp;(I20+1))+1)</f>
        <v>12</v>
      </c>
      <c r="L20" s="12" t="n">
        <f aca="false">J20+(H20-I20)*(K20-J20)</f>
        <v>12</v>
      </c>
    </row>
    <row r="21" customFormat="false" ht="15" hidden="false" customHeight="false" outlineLevel="0" collapsed="false">
      <c r="A21" s="18" t="n">
        <v>5</v>
      </c>
      <c r="B21" s="35" t="n">
        <v>0</v>
      </c>
      <c r="C21" s="36" t="n">
        <f aca="false">SUM($B$16:B21)</f>
        <v>12102</v>
      </c>
      <c r="F21" s="4" t="s">
        <v>331</v>
      </c>
      <c r="G21" s="37" t="n">
        <v>0.9</v>
      </c>
      <c r="H21" s="33" t="n">
        <f aca="false">($G$16-1)*G21</f>
        <v>89999.1</v>
      </c>
      <c r="I21" s="18" t="n">
        <f aca="false">INT(H21)</f>
        <v>89999</v>
      </c>
      <c r="J21" s="18" t="n">
        <f aca="false">INDEX($A$16:$A$104,COUNTIF($C$16:$C$104,"&lt;="&amp;I21)+1)</f>
        <v>22</v>
      </c>
      <c r="K21" s="18" t="n">
        <f aca="false">INDEX($A$16:$A$104,COUNTIF($C$16:$C$104,"&lt;="&amp;(I21+1))+1)</f>
        <v>22</v>
      </c>
      <c r="L21" s="12" t="n">
        <f aca="false">J21+(H21-I21)*(K21-J21)</f>
        <v>22</v>
      </c>
    </row>
    <row r="22" customFormat="false" ht="15" hidden="false" customHeight="false" outlineLevel="0" collapsed="false">
      <c r="A22" s="18" t="n">
        <v>6</v>
      </c>
      <c r="B22" s="35" t="n">
        <v>10508</v>
      </c>
      <c r="C22" s="36" t="n">
        <f aca="false">SUM($B$16:B22)</f>
        <v>22610</v>
      </c>
    </row>
    <row r="23" customFormat="false" ht="15" hidden="false" customHeight="false" outlineLevel="0" collapsed="false">
      <c r="A23" s="18" t="n">
        <v>7</v>
      </c>
      <c r="B23" s="35" t="n">
        <v>0</v>
      </c>
      <c r="C23" s="36" t="n">
        <f aca="false">SUM($B$16:B23)</f>
        <v>22610</v>
      </c>
    </row>
    <row r="24" customFormat="false" ht="23.85" hidden="false" customHeight="false" outlineLevel="0" collapsed="false">
      <c r="A24" s="18" t="n">
        <v>8</v>
      </c>
      <c r="B24" s="35" t="n">
        <v>12802</v>
      </c>
      <c r="C24" s="36" t="n">
        <f aca="false">SUM($B$16:B24)</f>
        <v>35412</v>
      </c>
      <c r="F24" s="8" t="s">
        <v>104</v>
      </c>
      <c r="G24" s="8" t="s">
        <v>332</v>
      </c>
      <c r="H24" s="8" t="s">
        <v>333</v>
      </c>
    </row>
    <row r="25" customFormat="false" ht="15" hidden="false" customHeight="false" outlineLevel="0" collapsed="false">
      <c r="A25" s="18" t="n">
        <v>9</v>
      </c>
      <c r="B25" s="35" t="n">
        <v>0</v>
      </c>
      <c r="C25" s="36" t="n">
        <f aca="false">SUM($B$16:B25)</f>
        <v>35412</v>
      </c>
      <c r="F25" s="18" t="n">
        <v>0</v>
      </c>
      <c r="G25" s="26" t="n">
        <v>0</v>
      </c>
      <c r="H25" s="26" t="n">
        <v>0</v>
      </c>
      <c r="J25" s="2" t="s">
        <v>334</v>
      </c>
      <c r="K25" s="18" t="n">
        <f aca="false">INDEX(F25:F65,COUNTIF(G25:G65,"&lt;0.5")+1)</f>
        <v>20</v>
      </c>
    </row>
    <row r="26" customFormat="false" ht="15" hidden="false" customHeight="false" outlineLevel="0" collapsed="false">
      <c r="A26" s="18" t="n">
        <v>10</v>
      </c>
      <c r="B26" s="35" t="n">
        <v>13332</v>
      </c>
      <c r="C26" s="36" t="n">
        <f aca="false">SUM($B$16:B26)</f>
        <v>48744</v>
      </c>
      <c r="F26" s="18" t="n">
        <v>1</v>
      </c>
      <c r="G26" s="26" t="n">
        <v>0</v>
      </c>
      <c r="H26" s="26" t="n">
        <v>0</v>
      </c>
      <c r="J26" s="2" t="s">
        <v>335</v>
      </c>
      <c r="K26" s="18" t="n">
        <f aca="false">K25-Drift_q</f>
        <v>12</v>
      </c>
      <c r="L26" s="10" t="s">
        <v>336</v>
      </c>
    </row>
    <row r="27" customFormat="false" ht="15" hidden="false" customHeight="false" outlineLevel="0" collapsed="false">
      <c r="A27" s="18" t="n">
        <v>11</v>
      </c>
      <c r="B27" s="35" t="n">
        <v>0</v>
      </c>
      <c r="C27" s="36" t="n">
        <f aca="false">SUM($B$16:B27)</f>
        <v>48744</v>
      </c>
      <c r="F27" s="18" t="n">
        <v>2</v>
      </c>
      <c r="G27" s="26" t="n">
        <v>0</v>
      </c>
      <c r="H27" s="26" t="n">
        <v>0.00283</v>
      </c>
      <c r="J27" s="2" t="s">
        <v>337</v>
      </c>
      <c r="K27" s="29" t="n">
        <f aca="false">H65</f>
        <v>0.30823</v>
      </c>
    </row>
    <row r="28" customFormat="false" ht="15" hidden="false" customHeight="false" outlineLevel="0" collapsed="false">
      <c r="A28" s="18" t="n">
        <v>12</v>
      </c>
      <c r="B28" s="35" t="n">
        <v>12215</v>
      </c>
      <c r="C28" s="36" t="n">
        <f aca="false">SUM($B$16:B28)</f>
        <v>60959</v>
      </c>
      <c r="F28" s="18" t="n">
        <v>3</v>
      </c>
      <c r="G28" s="26" t="n">
        <v>0</v>
      </c>
      <c r="H28" s="26" t="n">
        <v>0.00283</v>
      </c>
    </row>
    <row r="29" customFormat="false" ht="15" hidden="false" customHeight="false" outlineLevel="0" collapsed="false">
      <c r="A29" s="18" t="n">
        <v>13</v>
      </c>
      <c r="B29" s="35" t="n">
        <v>0</v>
      </c>
      <c r="C29" s="36" t="n">
        <f aca="false">SUM($B$16:B29)</f>
        <v>60959</v>
      </c>
      <c r="F29" s="18" t="n">
        <v>4</v>
      </c>
      <c r="G29" s="26" t="n">
        <v>0</v>
      </c>
      <c r="H29" s="26" t="n">
        <v>0.01392</v>
      </c>
    </row>
    <row r="30" customFormat="false" ht="15" hidden="false" customHeight="false" outlineLevel="0" collapsed="false">
      <c r="A30" s="18" t="n">
        <v>14</v>
      </c>
      <c r="B30" s="35" t="n">
        <v>10149</v>
      </c>
      <c r="C30" s="36" t="n">
        <f aca="false">SUM($B$16:B30)</f>
        <v>71108</v>
      </c>
      <c r="F30" s="18" t="n">
        <v>5</v>
      </c>
      <c r="G30" s="26" t="n">
        <v>0</v>
      </c>
      <c r="H30" s="26" t="n">
        <v>0.01392</v>
      </c>
    </row>
    <row r="31" customFormat="false" ht="15" hidden="false" customHeight="false" outlineLevel="0" collapsed="false">
      <c r="A31" s="18" t="n">
        <v>15</v>
      </c>
      <c r="B31" s="35" t="n">
        <v>0</v>
      </c>
      <c r="C31" s="36" t="n">
        <f aca="false">SUM($B$16:B31)</f>
        <v>71108</v>
      </c>
      <c r="F31" s="18" t="n">
        <v>6</v>
      </c>
      <c r="G31" s="26" t="n">
        <v>0</v>
      </c>
      <c r="H31" s="26" t="n">
        <v>0.03008</v>
      </c>
    </row>
    <row r="32" customFormat="false" ht="15" hidden="false" customHeight="false" outlineLevel="0" collapsed="false">
      <c r="A32" s="18" t="n">
        <v>16</v>
      </c>
      <c r="B32" s="35" t="n">
        <v>7912</v>
      </c>
      <c r="C32" s="36" t="n">
        <f aca="false">SUM($B$16:B32)</f>
        <v>79020</v>
      </c>
      <c r="F32" s="18" t="n">
        <v>7</v>
      </c>
      <c r="G32" s="26" t="n">
        <v>0</v>
      </c>
      <c r="H32" s="26" t="n">
        <v>0.03008</v>
      </c>
    </row>
    <row r="33" customFormat="false" ht="15" hidden="false" customHeight="false" outlineLevel="0" collapsed="false">
      <c r="A33" s="18" t="n">
        <v>17</v>
      </c>
      <c r="B33" s="35" t="n">
        <v>0</v>
      </c>
      <c r="C33" s="36" t="n">
        <f aca="false">SUM($B$16:B33)</f>
        <v>79020</v>
      </c>
      <c r="F33" s="18" t="n">
        <v>8</v>
      </c>
      <c r="G33" s="26" t="n">
        <v>0.01807</v>
      </c>
      <c r="H33" s="26" t="n">
        <v>0.04791</v>
      </c>
    </row>
    <row r="34" customFormat="false" ht="15" hidden="false" customHeight="false" outlineLevel="0" collapsed="false">
      <c r="A34" s="18" t="n">
        <v>18</v>
      </c>
      <c r="B34" s="35" t="n">
        <v>6002</v>
      </c>
      <c r="C34" s="36" t="n">
        <f aca="false">SUM($B$16:B34)</f>
        <v>85022</v>
      </c>
      <c r="F34" s="18" t="n">
        <v>9</v>
      </c>
      <c r="G34" s="26" t="n">
        <v>0.01807</v>
      </c>
      <c r="H34" s="26" t="n">
        <v>0.04791</v>
      </c>
    </row>
    <row r="35" customFormat="false" ht="15" hidden="false" customHeight="false" outlineLevel="0" collapsed="false">
      <c r="A35" s="18" t="n">
        <v>19</v>
      </c>
      <c r="B35" s="35" t="n">
        <v>0</v>
      </c>
      <c r="C35" s="36" t="n">
        <f aca="false">SUM($B$16:B35)</f>
        <v>85022</v>
      </c>
      <c r="F35" s="18" t="n">
        <v>10</v>
      </c>
      <c r="G35" s="26" t="n">
        <v>0.05319</v>
      </c>
      <c r="H35" s="26" t="n">
        <v>0.06646</v>
      </c>
    </row>
    <row r="36" customFormat="false" ht="15" hidden="false" customHeight="false" outlineLevel="0" collapsed="false">
      <c r="A36" s="18" t="n">
        <v>20</v>
      </c>
      <c r="B36" s="35" t="n">
        <v>4301</v>
      </c>
      <c r="C36" s="36" t="n">
        <f aca="false">SUM($B$16:B36)</f>
        <v>89323</v>
      </c>
      <c r="F36" s="18" t="n">
        <v>11</v>
      </c>
      <c r="G36" s="26" t="n">
        <v>0.05319</v>
      </c>
      <c r="H36" s="26" t="n">
        <v>0.06646</v>
      </c>
    </row>
    <row r="37" customFormat="false" ht="15" hidden="false" customHeight="false" outlineLevel="0" collapsed="false">
      <c r="A37" s="18" t="n">
        <v>21</v>
      </c>
      <c r="B37" s="35" t="n">
        <v>0</v>
      </c>
      <c r="C37" s="36" t="n">
        <f aca="false">SUM($B$16:B37)</f>
        <v>89323</v>
      </c>
      <c r="F37" s="18" t="n">
        <v>12</v>
      </c>
      <c r="G37" s="26" t="n">
        <v>0.12102</v>
      </c>
      <c r="H37" s="26" t="n">
        <v>0.08538</v>
      </c>
    </row>
    <row r="38" customFormat="false" ht="15" hidden="false" customHeight="false" outlineLevel="0" collapsed="false">
      <c r="A38" s="18" t="n">
        <v>22</v>
      </c>
      <c r="B38" s="35" t="n">
        <v>3171</v>
      </c>
      <c r="C38" s="36" t="n">
        <f aca="false">SUM($B$16:B38)</f>
        <v>92494</v>
      </c>
      <c r="F38" s="18" t="n">
        <v>13</v>
      </c>
      <c r="G38" s="26" t="n">
        <v>0.12102</v>
      </c>
      <c r="H38" s="26" t="n">
        <v>0.08538</v>
      </c>
    </row>
    <row r="39" customFormat="false" ht="15" hidden="false" customHeight="false" outlineLevel="0" collapsed="false">
      <c r="A39" s="18" t="n">
        <v>23</v>
      </c>
      <c r="B39" s="35" t="n">
        <v>0</v>
      </c>
      <c r="C39" s="36" t="n">
        <f aca="false">SUM($B$16:B39)</f>
        <v>92494</v>
      </c>
      <c r="F39" s="18" t="n">
        <v>14</v>
      </c>
      <c r="G39" s="26" t="n">
        <v>0.2261</v>
      </c>
      <c r="H39" s="26" t="n">
        <v>0.10297</v>
      </c>
    </row>
    <row r="40" customFormat="false" ht="15" hidden="false" customHeight="false" outlineLevel="0" collapsed="false">
      <c r="A40" s="18" t="n">
        <v>24</v>
      </c>
      <c r="B40" s="35" t="n">
        <v>2250</v>
      </c>
      <c r="C40" s="36" t="n">
        <f aca="false">SUM($B$16:B40)</f>
        <v>94744</v>
      </c>
      <c r="F40" s="18" t="n">
        <v>15</v>
      </c>
      <c r="G40" s="26" t="n">
        <v>0.2261</v>
      </c>
      <c r="H40" s="26" t="n">
        <v>0.10297</v>
      </c>
    </row>
    <row r="41" customFormat="false" ht="15" hidden="false" customHeight="false" outlineLevel="0" collapsed="false">
      <c r="A41" s="18" t="n">
        <v>25</v>
      </c>
      <c r="B41" s="35" t="n">
        <v>0</v>
      </c>
      <c r="C41" s="36" t="n">
        <f aca="false">SUM($B$16:B41)</f>
        <v>94744</v>
      </c>
      <c r="F41" s="18" t="n">
        <v>16</v>
      </c>
      <c r="G41" s="26" t="n">
        <v>0.35412</v>
      </c>
      <c r="H41" s="26" t="n">
        <v>0.12014</v>
      </c>
    </row>
    <row r="42" customFormat="false" ht="15" hidden="false" customHeight="false" outlineLevel="0" collapsed="false">
      <c r="A42" s="18" t="n">
        <v>26</v>
      </c>
      <c r="B42" s="35" t="n">
        <v>1578</v>
      </c>
      <c r="C42" s="36" t="n">
        <f aca="false">SUM($B$16:B42)</f>
        <v>96322</v>
      </c>
      <c r="F42" s="18" t="n">
        <v>17</v>
      </c>
      <c r="G42" s="26" t="n">
        <v>0.35412</v>
      </c>
      <c r="H42" s="26" t="n">
        <v>0.12014</v>
      </c>
    </row>
    <row r="43" customFormat="false" ht="15" hidden="false" customHeight="false" outlineLevel="0" collapsed="false">
      <c r="A43" s="18" t="n">
        <v>27</v>
      </c>
      <c r="B43" s="35" t="n">
        <v>0</v>
      </c>
      <c r="C43" s="36" t="n">
        <f aca="false">SUM($B$16:B43)</f>
        <v>96322</v>
      </c>
      <c r="F43" s="18" t="n">
        <v>18</v>
      </c>
      <c r="G43" s="26" t="n">
        <v>0.48744</v>
      </c>
      <c r="H43" s="26" t="n">
        <v>0.13739</v>
      </c>
    </row>
    <row r="44" customFormat="false" ht="15" hidden="false" customHeight="false" outlineLevel="0" collapsed="false">
      <c r="A44" s="18" t="n">
        <v>28</v>
      </c>
      <c r="B44" s="35" t="n">
        <v>1083</v>
      </c>
      <c r="C44" s="36" t="n">
        <f aca="false">SUM($B$16:B44)</f>
        <v>97405</v>
      </c>
      <c r="F44" s="18" t="n">
        <v>19</v>
      </c>
      <c r="G44" s="26" t="n">
        <v>0.48744</v>
      </c>
      <c r="H44" s="26" t="n">
        <v>0.13739</v>
      </c>
    </row>
    <row r="45" customFormat="false" ht="15" hidden="false" customHeight="false" outlineLevel="0" collapsed="false">
      <c r="A45" s="18" t="n">
        <v>29</v>
      </c>
      <c r="B45" s="35" t="n">
        <v>0</v>
      </c>
      <c r="C45" s="36" t="n">
        <f aca="false">SUM($B$16:B45)</f>
        <v>97405</v>
      </c>
      <c r="F45" s="18" t="n">
        <v>20</v>
      </c>
      <c r="G45" s="26" t="n">
        <v>0.60959</v>
      </c>
      <c r="H45" s="26" t="n">
        <v>0.15522</v>
      </c>
    </row>
    <row r="46" customFormat="false" ht="15" hidden="false" customHeight="false" outlineLevel="0" collapsed="false">
      <c r="A46" s="18" t="n">
        <v>30</v>
      </c>
      <c r="B46" s="35" t="n">
        <v>809</v>
      </c>
      <c r="C46" s="36" t="n">
        <f aca="false">SUM($B$16:B46)</f>
        <v>98214</v>
      </c>
      <c r="F46" s="18" t="n">
        <v>21</v>
      </c>
      <c r="G46" s="26" t="n">
        <v>0.60959</v>
      </c>
      <c r="H46" s="26" t="n">
        <v>0.15522</v>
      </c>
    </row>
    <row r="47" customFormat="false" ht="15" hidden="false" customHeight="false" outlineLevel="0" collapsed="false">
      <c r="A47" s="18" t="n">
        <v>31</v>
      </c>
      <c r="B47" s="35" t="n">
        <v>0</v>
      </c>
      <c r="C47" s="36" t="n">
        <f aca="false">SUM($B$16:B47)</f>
        <v>98214</v>
      </c>
      <c r="F47" s="18" t="n">
        <v>22</v>
      </c>
      <c r="G47" s="26" t="n">
        <v>0.71108</v>
      </c>
      <c r="H47" s="26" t="n">
        <v>0.17232</v>
      </c>
    </row>
    <row r="48" customFormat="false" ht="15" hidden="false" customHeight="false" outlineLevel="0" collapsed="false">
      <c r="A48" s="18" t="n">
        <v>32</v>
      </c>
      <c r="B48" s="35" t="n">
        <v>566</v>
      </c>
      <c r="C48" s="36" t="n">
        <f aca="false">SUM($B$16:B48)</f>
        <v>98780</v>
      </c>
      <c r="F48" s="18" t="n">
        <v>23</v>
      </c>
      <c r="G48" s="26" t="n">
        <v>0.71108</v>
      </c>
      <c r="H48" s="26" t="n">
        <v>0.17232</v>
      </c>
    </row>
    <row r="49" customFormat="false" ht="15" hidden="false" customHeight="false" outlineLevel="0" collapsed="false">
      <c r="A49" s="18" t="n">
        <v>33</v>
      </c>
      <c r="B49" s="35" t="n">
        <v>0</v>
      </c>
      <c r="C49" s="36" t="n">
        <f aca="false">SUM($B$16:B49)</f>
        <v>98780</v>
      </c>
      <c r="F49" s="18" t="n">
        <v>24</v>
      </c>
      <c r="G49" s="26" t="n">
        <v>0.7902</v>
      </c>
      <c r="H49" s="26" t="n">
        <v>0.18888</v>
      </c>
    </row>
    <row r="50" customFormat="false" ht="15" hidden="false" customHeight="false" outlineLevel="0" collapsed="false">
      <c r="A50" s="18" t="n">
        <v>34</v>
      </c>
      <c r="B50" s="35" t="n">
        <v>378</v>
      </c>
      <c r="C50" s="36" t="n">
        <f aca="false">SUM($B$16:B50)</f>
        <v>99158</v>
      </c>
      <c r="F50" s="18" t="n">
        <v>25</v>
      </c>
      <c r="G50" s="26" t="n">
        <v>0.7902</v>
      </c>
      <c r="H50" s="26" t="n">
        <v>0.18888</v>
      </c>
    </row>
    <row r="51" customFormat="false" ht="15" hidden="false" customHeight="false" outlineLevel="0" collapsed="false">
      <c r="A51" s="18" t="n">
        <v>35</v>
      </c>
      <c r="B51" s="35" t="n">
        <v>0</v>
      </c>
      <c r="C51" s="36" t="n">
        <f aca="false">SUM($B$16:B51)</f>
        <v>99158</v>
      </c>
      <c r="F51" s="18" t="n">
        <v>26</v>
      </c>
      <c r="G51" s="26" t="n">
        <v>0.85022</v>
      </c>
      <c r="H51" s="26" t="n">
        <v>0.20436</v>
      </c>
    </row>
    <row r="52" customFormat="false" ht="15" hidden="false" customHeight="false" outlineLevel="0" collapsed="false">
      <c r="A52" s="18" t="n">
        <v>36</v>
      </c>
      <c r="B52" s="35" t="n">
        <v>243</v>
      </c>
      <c r="C52" s="36" t="n">
        <f aca="false">SUM($B$16:B52)</f>
        <v>99401</v>
      </c>
      <c r="F52" s="18" t="n">
        <v>27</v>
      </c>
      <c r="G52" s="26" t="n">
        <v>0.85022</v>
      </c>
      <c r="H52" s="26" t="n">
        <v>0.20436</v>
      </c>
    </row>
    <row r="53" customFormat="false" ht="15" hidden="false" customHeight="false" outlineLevel="0" collapsed="false">
      <c r="A53" s="18" t="n">
        <v>37</v>
      </c>
      <c r="B53" s="35" t="n">
        <v>0</v>
      </c>
      <c r="C53" s="36" t="n">
        <f aca="false">SUM($B$16:B53)</f>
        <v>99401</v>
      </c>
      <c r="F53" s="18" t="n">
        <v>28</v>
      </c>
      <c r="G53" s="26" t="n">
        <v>0.89323</v>
      </c>
      <c r="H53" s="26" t="n">
        <v>0.21983</v>
      </c>
    </row>
    <row r="54" customFormat="false" ht="15" hidden="false" customHeight="false" outlineLevel="0" collapsed="false">
      <c r="A54" s="18" t="n">
        <v>38</v>
      </c>
      <c r="B54" s="35" t="n">
        <v>173</v>
      </c>
      <c r="C54" s="36" t="n">
        <f aca="false">SUM($B$16:B54)</f>
        <v>99574</v>
      </c>
      <c r="F54" s="18" t="n">
        <v>29</v>
      </c>
      <c r="G54" s="26" t="n">
        <v>0.89323</v>
      </c>
      <c r="H54" s="26" t="n">
        <v>0.21983</v>
      </c>
    </row>
    <row r="55" customFormat="false" ht="15" hidden="false" customHeight="false" outlineLevel="0" collapsed="false">
      <c r="A55" s="18" t="n">
        <v>39</v>
      </c>
      <c r="B55" s="35" t="n">
        <v>0</v>
      </c>
      <c r="C55" s="36" t="n">
        <f aca="false">SUM($B$16:B55)</f>
        <v>99574</v>
      </c>
      <c r="F55" s="18" t="n">
        <v>30</v>
      </c>
      <c r="G55" s="26" t="n">
        <v>0.92494</v>
      </c>
      <c r="H55" s="26" t="n">
        <v>0.23522</v>
      </c>
    </row>
    <row r="56" customFormat="false" ht="15" hidden="false" customHeight="false" outlineLevel="0" collapsed="false">
      <c r="A56" s="18" t="n">
        <v>40</v>
      </c>
      <c r="B56" s="35" t="n">
        <v>130</v>
      </c>
      <c r="C56" s="36" t="n">
        <f aca="false">SUM($B$16:B56)</f>
        <v>99704</v>
      </c>
      <c r="F56" s="18" t="n">
        <v>31</v>
      </c>
      <c r="G56" s="26" t="n">
        <v>0.92494</v>
      </c>
      <c r="H56" s="26" t="n">
        <v>0.23522</v>
      </c>
    </row>
    <row r="57" customFormat="false" ht="15" hidden="false" customHeight="false" outlineLevel="0" collapsed="false">
      <c r="A57" s="18" t="n">
        <v>41</v>
      </c>
      <c r="B57" s="35" t="n">
        <v>0</v>
      </c>
      <c r="C57" s="36" t="n">
        <f aca="false">SUM($B$16:B57)</f>
        <v>99704</v>
      </c>
      <c r="F57" s="18" t="n">
        <v>32</v>
      </c>
      <c r="G57" s="26" t="n">
        <v>0.94744</v>
      </c>
      <c r="H57" s="26" t="n">
        <v>0.24976</v>
      </c>
    </row>
    <row r="58" customFormat="false" ht="15" hidden="false" customHeight="false" outlineLevel="0" collapsed="false">
      <c r="A58" s="18" t="n">
        <v>42</v>
      </c>
      <c r="B58" s="35" t="n">
        <v>87</v>
      </c>
      <c r="C58" s="36" t="n">
        <f aca="false">SUM($B$16:B58)</f>
        <v>99791</v>
      </c>
      <c r="F58" s="18" t="n">
        <v>33</v>
      </c>
      <c r="G58" s="26" t="n">
        <v>0.94744</v>
      </c>
      <c r="H58" s="26" t="n">
        <v>0.24976</v>
      </c>
    </row>
    <row r="59" customFormat="false" ht="15" hidden="false" customHeight="false" outlineLevel="0" collapsed="false">
      <c r="A59" s="18" t="n">
        <v>43</v>
      </c>
      <c r="B59" s="35" t="n">
        <v>0</v>
      </c>
      <c r="C59" s="36" t="n">
        <f aca="false">SUM($B$16:B59)</f>
        <v>99791</v>
      </c>
      <c r="F59" s="18" t="n">
        <v>34</v>
      </c>
      <c r="G59" s="26" t="n">
        <v>0.96322</v>
      </c>
      <c r="H59" s="26" t="n">
        <v>0.26516</v>
      </c>
    </row>
    <row r="60" customFormat="false" ht="15" hidden="false" customHeight="false" outlineLevel="0" collapsed="false">
      <c r="A60" s="18" t="n">
        <v>44</v>
      </c>
      <c r="B60" s="35" t="n">
        <v>63</v>
      </c>
      <c r="C60" s="36" t="n">
        <f aca="false">SUM($B$16:B60)</f>
        <v>99854</v>
      </c>
      <c r="F60" s="18" t="n">
        <v>35</v>
      </c>
      <c r="G60" s="26" t="n">
        <v>0.96322</v>
      </c>
      <c r="H60" s="26" t="n">
        <v>0.26516</v>
      </c>
    </row>
    <row r="61" customFormat="false" ht="15" hidden="false" customHeight="false" outlineLevel="0" collapsed="false">
      <c r="A61" s="18" t="n">
        <v>45</v>
      </c>
      <c r="B61" s="35" t="n">
        <v>0</v>
      </c>
      <c r="C61" s="36" t="n">
        <f aca="false">SUM($B$16:B61)</f>
        <v>99854</v>
      </c>
      <c r="F61" s="18" t="n">
        <v>36</v>
      </c>
      <c r="G61" s="26" t="n">
        <v>0.97405</v>
      </c>
      <c r="H61" s="26" t="n">
        <v>0.27985</v>
      </c>
    </row>
    <row r="62" customFormat="false" ht="15" hidden="false" customHeight="false" outlineLevel="0" collapsed="false">
      <c r="A62" s="18" t="n">
        <v>46</v>
      </c>
      <c r="B62" s="35" t="n">
        <v>50</v>
      </c>
      <c r="C62" s="36" t="n">
        <f aca="false">SUM($B$16:B62)</f>
        <v>99904</v>
      </c>
      <c r="F62" s="18" t="n">
        <v>37</v>
      </c>
      <c r="G62" s="26" t="n">
        <v>0.97405</v>
      </c>
      <c r="H62" s="26" t="n">
        <v>0.27985</v>
      </c>
    </row>
    <row r="63" customFormat="false" ht="15" hidden="false" customHeight="false" outlineLevel="0" collapsed="false">
      <c r="A63" s="18" t="n">
        <v>47</v>
      </c>
      <c r="B63" s="35" t="n">
        <v>0</v>
      </c>
      <c r="C63" s="36" t="n">
        <f aca="false">SUM($B$16:B63)</f>
        <v>99904</v>
      </c>
      <c r="F63" s="18" t="n">
        <v>38</v>
      </c>
      <c r="G63" s="26" t="n">
        <v>0.98214</v>
      </c>
      <c r="H63" s="26" t="n">
        <v>0.29373</v>
      </c>
    </row>
    <row r="64" customFormat="false" ht="15" hidden="false" customHeight="false" outlineLevel="0" collapsed="false">
      <c r="A64" s="18" t="n">
        <v>48</v>
      </c>
      <c r="B64" s="35" t="n">
        <v>42</v>
      </c>
      <c r="C64" s="36" t="n">
        <f aca="false">SUM($B$16:B64)</f>
        <v>99946</v>
      </c>
      <c r="F64" s="18" t="n">
        <v>39</v>
      </c>
      <c r="G64" s="26" t="n">
        <v>0.98214</v>
      </c>
      <c r="H64" s="26" t="n">
        <v>0.29373</v>
      </c>
    </row>
    <row r="65" customFormat="false" ht="15" hidden="false" customHeight="false" outlineLevel="0" collapsed="false">
      <c r="A65" s="18" t="n">
        <v>49</v>
      </c>
      <c r="B65" s="35" t="n">
        <v>0</v>
      </c>
      <c r="C65" s="36" t="n">
        <f aca="false">SUM($B$16:B65)</f>
        <v>99946</v>
      </c>
      <c r="F65" s="18" t="n">
        <v>40</v>
      </c>
      <c r="G65" s="26" t="n">
        <v>0.9878</v>
      </c>
      <c r="H65" s="26" t="n">
        <v>0.30823</v>
      </c>
    </row>
    <row r="66" customFormat="false" ht="15" hidden="false" customHeight="false" outlineLevel="0" collapsed="false">
      <c r="A66" s="18" t="n">
        <v>50</v>
      </c>
      <c r="B66" s="35" t="n">
        <v>18</v>
      </c>
      <c r="C66" s="36" t="n">
        <f aca="false">SUM($B$16:B66)</f>
        <v>99964</v>
      </c>
    </row>
    <row r="67" customFormat="false" ht="15" hidden="false" customHeight="false" outlineLevel="0" collapsed="false">
      <c r="A67" s="18" t="n">
        <v>51</v>
      </c>
      <c r="B67" s="35" t="n">
        <v>0</v>
      </c>
      <c r="C67" s="36" t="n">
        <f aca="false">SUM($B$16:B67)</f>
        <v>99964</v>
      </c>
    </row>
    <row r="68" customFormat="false" ht="15" hidden="false" customHeight="false" outlineLevel="0" collapsed="false">
      <c r="A68" s="18" t="n">
        <v>52</v>
      </c>
      <c r="B68" s="35" t="n">
        <v>12</v>
      </c>
      <c r="C68" s="36" t="n">
        <f aca="false">SUM($B$16:B68)</f>
        <v>99976</v>
      </c>
    </row>
    <row r="69" customFormat="false" ht="15" hidden="false" customHeight="false" outlineLevel="0" collapsed="false">
      <c r="A69" s="18" t="n">
        <v>53</v>
      </c>
      <c r="B69" s="35" t="n">
        <v>0</v>
      </c>
      <c r="C69" s="36" t="n">
        <f aca="false">SUM($B$16:B69)</f>
        <v>99976</v>
      </c>
    </row>
    <row r="70" customFormat="false" ht="15" hidden="false" customHeight="false" outlineLevel="0" collapsed="false">
      <c r="A70" s="18" t="n">
        <v>54</v>
      </c>
      <c r="B70" s="35" t="n">
        <v>5</v>
      </c>
      <c r="C70" s="36" t="n">
        <f aca="false">SUM($B$16:B70)</f>
        <v>99981</v>
      </c>
    </row>
    <row r="71" customFormat="false" ht="15" hidden="false" customHeight="false" outlineLevel="0" collapsed="false">
      <c r="A71" s="18" t="n">
        <v>55</v>
      </c>
      <c r="B71" s="35" t="n">
        <v>0</v>
      </c>
      <c r="C71" s="36" t="n">
        <f aca="false">SUM($B$16:B71)</f>
        <v>99981</v>
      </c>
    </row>
    <row r="72" customFormat="false" ht="15" hidden="false" customHeight="false" outlineLevel="0" collapsed="false">
      <c r="A72" s="18" t="n">
        <v>56</v>
      </c>
      <c r="B72" s="35" t="n">
        <v>3</v>
      </c>
      <c r="C72" s="36" t="n">
        <f aca="false">SUM($B$16:B72)</f>
        <v>99984</v>
      </c>
    </row>
    <row r="73" customFormat="false" ht="15" hidden="false" customHeight="false" outlineLevel="0" collapsed="false">
      <c r="A73" s="18" t="n">
        <v>57</v>
      </c>
      <c r="B73" s="35" t="n">
        <v>0</v>
      </c>
      <c r="C73" s="36" t="n">
        <f aca="false">SUM($B$16:B73)</f>
        <v>99984</v>
      </c>
    </row>
    <row r="74" customFormat="false" ht="15" hidden="false" customHeight="false" outlineLevel="0" collapsed="false">
      <c r="A74" s="18" t="n">
        <v>58</v>
      </c>
      <c r="B74" s="35" t="n">
        <v>9</v>
      </c>
      <c r="C74" s="36" t="n">
        <f aca="false">SUM($B$16:B74)</f>
        <v>99993</v>
      </c>
    </row>
    <row r="75" customFormat="false" ht="15" hidden="false" customHeight="false" outlineLevel="0" collapsed="false">
      <c r="A75" s="18" t="n">
        <v>59</v>
      </c>
      <c r="B75" s="35" t="n">
        <v>0</v>
      </c>
      <c r="C75" s="36" t="n">
        <f aca="false">SUM($B$16:B75)</f>
        <v>99993</v>
      </c>
    </row>
    <row r="76" customFormat="false" ht="15" hidden="false" customHeight="false" outlineLevel="0" collapsed="false">
      <c r="A76" s="18" t="n">
        <v>60</v>
      </c>
      <c r="B76" s="35" t="n">
        <v>2</v>
      </c>
      <c r="C76" s="36" t="n">
        <f aca="false">SUM($B$16:B76)</f>
        <v>99995</v>
      </c>
    </row>
    <row r="77" customFormat="false" ht="15" hidden="false" customHeight="false" outlineLevel="0" collapsed="false">
      <c r="A77" s="18" t="n">
        <v>61</v>
      </c>
      <c r="B77" s="35" t="n">
        <v>0</v>
      </c>
      <c r="C77" s="36" t="n">
        <f aca="false">SUM($B$16:B77)</f>
        <v>99995</v>
      </c>
    </row>
    <row r="78" customFormat="false" ht="15" hidden="false" customHeight="false" outlineLevel="0" collapsed="false">
      <c r="A78" s="18" t="n">
        <v>62</v>
      </c>
      <c r="B78" s="35" t="n">
        <v>3</v>
      </c>
      <c r="C78" s="36" t="n">
        <f aca="false">SUM($B$16:B78)</f>
        <v>99998</v>
      </c>
    </row>
    <row r="79" customFormat="false" ht="15" hidden="false" customHeight="false" outlineLevel="0" collapsed="false">
      <c r="A79" s="18" t="n">
        <v>63</v>
      </c>
      <c r="B79" s="35" t="n">
        <v>0</v>
      </c>
      <c r="C79" s="36" t="n">
        <f aca="false">SUM($B$16:B79)</f>
        <v>99998</v>
      </c>
    </row>
    <row r="80" customFormat="false" ht="15" hidden="false" customHeight="false" outlineLevel="0" collapsed="false">
      <c r="A80" s="18" t="n">
        <v>64</v>
      </c>
      <c r="B80" s="35" t="n">
        <v>0</v>
      </c>
      <c r="C80" s="36" t="n">
        <f aca="false">SUM($B$16:B80)</f>
        <v>99998</v>
      </c>
    </row>
    <row r="81" customFormat="false" ht="15" hidden="false" customHeight="false" outlineLevel="0" collapsed="false">
      <c r="A81" s="18" t="n">
        <v>65</v>
      </c>
      <c r="B81" s="35" t="n">
        <v>0</v>
      </c>
      <c r="C81" s="36" t="n">
        <f aca="false">SUM($B$16:B81)</f>
        <v>99998</v>
      </c>
    </row>
    <row r="82" customFormat="false" ht="15" hidden="false" customHeight="false" outlineLevel="0" collapsed="false">
      <c r="A82" s="18" t="n">
        <v>66</v>
      </c>
      <c r="B82" s="35" t="n">
        <v>0</v>
      </c>
      <c r="C82" s="36" t="n">
        <f aca="false">SUM($B$16:B82)</f>
        <v>99998</v>
      </c>
    </row>
    <row r="83" customFormat="false" ht="15" hidden="false" customHeight="false" outlineLevel="0" collapsed="false">
      <c r="A83" s="18" t="n">
        <v>67</v>
      </c>
      <c r="B83" s="35" t="n">
        <v>0</v>
      </c>
      <c r="C83" s="36" t="n">
        <f aca="false">SUM($B$16:B83)</f>
        <v>99998</v>
      </c>
    </row>
    <row r="84" customFormat="false" ht="15" hidden="false" customHeight="false" outlineLevel="0" collapsed="false">
      <c r="A84" s="18" t="n">
        <v>68</v>
      </c>
      <c r="B84" s="35" t="n">
        <v>0</v>
      </c>
      <c r="C84" s="36" t="n">
        <f aca="false">SUM($B$16:B84)</f>
        <v>99998</v>
      </c>
    </row>
    <row r="85" customFormat="false" ht="15" hidden="false" customHeight="false" outlineLevel="0" collapsed="false">
      <c r="A85" s="18" t="n">
        <v>69</v>
      </c>
      <c r="B85" s="35" t="n">
        <v>0</v>
      </c>
      <c r="C85" s="36" t="n">
        <f aca="false">SUM($B$16:B85)</f>
        <v>99998</v>
      </c>
    </row>
    <row r="86" customFormat="false" ht="15" hidden="false" customHeight="false" outlineLevel="0" collapsed="false">
      <c r="A86" s="18" t="n">
        <v>70</v>
      </c>
      <c r="B86" s="35" t="n">
        <v>1</v>
      </c>
      <c r="C86" s="36" t="n">
        <f aca="false">SUM($B$16:B86)</f>
        <v>99999</v>
      </c>
    </row>
    <row r="87" customFormat="false" ht="15" hidden="false" customHeight="false" outlineLevel="0" collapsed="false">
      <c r="A87" s="18" t="n">
        <v>71</v>
      </c>
      <c r="B87" s="35" t="n">
        <v>0</v>
      </c>
      <c r="C87" s="36" t="n">
        <f aca="false">SUM($B$16:B87)</f>
        <v>99999</v>
      </c>
    </row>
    <row r="88" customFormat="false" ht="15" hidden="false" customHeight="false" outlineLevel="0" collapsed="false">
      <c r="A88" s="18" t="n">
        <v>72</v>
      </c>
      <c r="B88" s="35" t="n">
        <v>0</v>
      </c>
      <c r="C88" s="36" t="n">
        <f aca="false">SUM($B$16:B88)</f>
        <v>99999</v>
      </c>
    </row>
    <row r="89" customFormat="false" ht="15" hidden="false" customHeight="false" outlineLevel="0" collapsed="false">
      <c r="A89" s="18" t="n">
        <v>73</v>
      </c>
      <c r="B89" s="35" t="n">
        <v>0</v>
      </c>
      <c r="C89" s="36" t="n">
        <f aca="false">SUM($B$16:B89)</f>
        <v>99999</v>
      </c>
    </row>
    <row r="90" customFormat="false" ht="15" hidden="false" customHeight="false" outlineLevel="0" collapsed="false">
      <c r="A90" s="18" t="n">
        <v>74</v>
      </c>
      <c r="B90" s="35" t="n">
        <v>0</v>
      </c>
      <c r="C90" s="36" t="n">
        <f aca="false">SUM($B$16:B90)</f>
        <v>99999</v>
      </c>
    </row>
    <row r="91" customFormat="false" ht="15" hidden="false" customHeight="false" outlineLevel="0" collapsed="false">
      <c r="A91" s="18" t="n">
        <v>75</v>
      </c>
      <c r="B91" s="35" t="n">
        <v>0</v>
      </c>
      <c r="C91" s="36" t="n">
        <f aca="false">SUM($B$16:B91)</f>
        <v>99999</v>
      </c>
    </row>
    <row r="92" customFormat="false" ht="15" hidden="false" customHeight="false" outlineLevel="0" collapsed="false">
      <c r="A92" s="18" t="n">
        <v>76</v>
      </c>
      <c r="B92" s="35" t="n">
        <v>0</v>
      </c>
      <c r="C92" s="36" t="n">
        <f aca="false">SUM($B$16:B92)</f>
        <v>99999</v>
      </c>
    </row>
    <row r="93" customFormat="false" ht="15" hidden="false" customHeight="false" outlineLevel="0" collapsed="false">
      <c r="A93" s="18" t="n">
        <v>77</v>
      </c>
      <c r="B93" s="35" t="n">
        <v>0</v>
      </c>
      <c r="C93" s="36" t="n">
        <f aca="false">SUM($B$16:B93)</f>
        <v>99999</v>
      </c>
    </row>
    <row r="94" customFormat="false" ht="15" hidden="false" customHeight="false" outlineLevel="0" collapsed="false">
      <c r="A94" s="18" t="n">
        <v>78</v>
      </c>
      <c r="B94" s="35" t="n">
        <v>0</v>
      </c>
      <c r="C94" s="36" t="n">
        <f aca="false">SUM($B$16:B94)</f>
        <v>99999</v>
      </c>
    </row>
    <row r="95" customFormat="false" ht="15" hidden="false" customHeight="false" outlineLevel="0" collapsed="false">
      <c r="A95" s="18" t="n">
        <v>79</v>
      </c>
      <c r="B95" s="35" t="n">
        <v>0</v>
      </c>
      <c r="C95" s="36" t="n">
        <f aca="false">SUM($B$16:B95)</f>
        <v>99999</v>
      </c>
    </row>
    <row r="96" customFormat="false" ht="15" hidden="false" customHeight="false" outlineLevel="0" collapsed="false">
      <c r="A96" s="18" t="n">
        <v>80</v>
      </c>
      <c r="B96" s="35" t="n">
        <v>0</v>
      </c>
      <c r="C96" s="36" t="n">
        <f aca="false">SUM($B$16:B96)</f>
        <v>99999</v>
      </c>
    </row>
    <row r="97" customFormat="false" ht="15" hidden="false" customHeight="false" outlineLevel="0" collapsed="false">
      <c r="A97" s="18" t="n">
        <v>81</v>
      </c>
      <c r="B97" s="35" t="n">
        <v>0</v>
      </c>
      <c r="C97" s="36" t="n">
        <f aca="false">SUM($B$16:B97)</f>
        <v>99999</v>
      </c>
    </row>
    <row r="98" customFormat="false" ht="15" hidden="false" customHeight="false" outlineLevel="0" collapsed="false">
      <c r="A98" s="18" t="n">
        <v>82</v>
      </c>
      <c r="B98" s="35" t="n">
        <v>0</v>
      </c>
      <c r="C98" s="36" t="n">
        <f aca="false">SUM($B$16:B98)</f>
        <v>99999</v>
      </c>
    </row>
    <row r="99" customFormat="false" ht="15" hidden="false" customHeight="false" outlineLevel="0" collapsed="false">
      <c r="A99" s="18" t="n">
        <v>83</v>
      </c>
      <c r="B99" s="35" t="n">
        <v>0</v>
      </c>
      <c r="C99" s="36" t="n">
        <f aca="false">SUM($B$16:B99)</f>
        <v>99999</v>
      </c>
    </row>
    <row r="100" customFormat="false" ht="15" hidden="false" customHeight="false" outlineLevel="0" collapsed="false">
      <c r="A100" s="18" t="n">
        <v>84</v>
      </c>
      <c r="B100" s="35" t="n">
        <v>0</v>
      </c>
      <c r="C100" s="36" t="n">
        <f aca="false">SUM($B$16:B100)</f>
        <v>99999</v>
      </c>
    </row>
    <row r="101" customFormat="false" ht="15" hidden="false" customHeight="false" outlineLevel="0" collapsed="false">
      <c r="A101" s="18" t="n">
        <v>85</v>
      </c>
      <c r="B101" s="35" t="n">
        <v>0</v>
      </c>
      <c r="C101" s="36" t="n">
        <f aca="false">SUM($B$16:B101)</f>
        <v>99999</v>
      </c>
    </row>
    <row r="102" customFormat="false" ht="15" hidden="false" customHeight="false" outlineLevel="0" collapsed="false">
      <c r="A102" s="18" t="n">
        <v>86</v>
      </c>
      <c r="B102" s="35" t="n">
        <v>0</v>
      </c>
      <c r="C102" s="36" t="n">
        <f aca="false">SUM($B$16:B102)</f>
        <v>99999</v>
      </c>
    </row>
    <row r="103" customFormat="false" ht="15" hidden="false" customHeight="false" outlineLevel="0" collapsed="false">
      <c r="A103" s="18" t="n">
        <v>87</v>
      </c>
      <c r="B103" s="35" t="n">
        <v>0</v>
      </c>
      <c r="C103" s="36" t="n">
        <f aca="false">SUM($B$16:B103)</f>
        <v>99999</v>
      </c>
    </row>
    <row r="104" customFormat="false" ht="15" hidden="false" customHeight="false" outlineLevel="0" collapsed="false">
      <c r="A104" s="18" t="n">
        <v>88</v>
      </c>
      <c r="B104" s="35" t="n">
        <v>1</v>
      </c>
      <c r="C104" s="36" t="n">
        <f aca="false">SUM($B$16:B104)</f>
        <v>100000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12"/>
    <col collapsed="false" customWidth="true" hidden="false" outlineLevel="0" max="3" min="3" style="0" width="18"/>
    <col collapsed="false" customWidth="true" hidden="false" outlineLevel="0" max="4" min="4" style="0" width="16"/>
    <col collapsed="false" customWidth="true" hidden="false" outlineLevel="0" max="5" min="5" style="0" width="3"/>
    <col collapsed="false" customWidth="true" hidden="false" outlineLevel="0" max="6" min="6" style="0" width="66"/>
    <col collapsed="false" customWidth="true" hidden="false" outlineLevel="0" max="7" min="7" style="0" width="12"/>
    <col collapsed="false" customWidth="true" hidden="false" outlineLevel="0" max="8" min="8" style="0" width="44"/>
  </cols>
  <sheetData>
    <row r="1" customFormat="false" ht="15" hidden="false" customHeight="false" outlineLevel="0" collapsed="false">
      <c r="A1" s="1" t="s">
        <v>338</v>
      </c>
    </row>
    <row r="2" customFormat="false" ht="15" hidden="false" customHeight="false" outlineLevel="0" collapsed="false">
      <c r="A2" s="10" t="s">
        <v>339</v>
      </c>
    </row>
    <row r="4" customFormat="false" ht="35.05" hidden="false" customHeight="false" outlineLevel="0" collapsed="false">
      <c r="A4" s="8" t="s">
        <v>340</v>
      </c>
      <c r="B4" s="8" t="s">
        <v>166</v>
      </c>
      <c r="C4" s="8" t="s">
        <v>341</v>
      </c>
    </row>
    <row r="5" customFormat="false" ht="15" hidden="false" customHeight="false" outlineLevel="0" collapsed="false">
      <c r="A5" s="2" t="s">
        <v>157</v>
      </c>
      <c r="B5" s="23" t="n">
        <f aca="false">Decide!R5</f>
        <v>55.75</v>
      </c>
      <c r="C5" s="18" t="n">
        <f aca="false">IF(B5&gt;=Floor_c,1,0)</f>
        <v>1</v>
      </c>
    </row>
    <row r="6" customFormat="false" ht="15" hidden="false" customHeight="false" outlineLevel="0" collapsed="false">
      <c r="A6" s="2" t="s">
        <v>92</v>
      </c>
      <c r="B6" s="23" t="n">
        <f aca="false">Decide!R11</f>
        <v>57.8</v>
      </c>
      <c r="C6" s="18" t="n">
        <f aca="false">IF(B6&gt;=Floor_c,1,0)</f>
        <v>1</v>
      </c>
    </row>
    <row r="7" customFormat="false" ht="15" hidden="false" customHeight="false" outlineLevel="0" collapsed="false">
      <c r="A7" s="2" t="s">
        <v>174</v>
      </c>
      <c r="B7" s="23" t="n">
        <f aca="false">Decide!C23</f>
        <v>55.75</v>
      </c>
      <c r="C7" s="18" t="n">
        <f aca="false">IF(B7&gt;=Floor_c,1,0)</f>
        <v>1</v>
      </c>
    </row>
    <row r="8" customFormat="false" ht="15" hidden="false" customHeight="false" outlineLevel="0" collapsed="false">
      <c r="A8" s="2" t="s">
        <v>342</v>
      </c>
      <c r="B8" s="23" t="n">
        <f aca="false">Decide!C24</f>
        <v>60.75</v>
      </c>
      <c r="C8" s="18" t="n">
        <f aca="false">IF(B8&gt;=Floor_c,1,0)</f>
        <v>1</v>
      </c>
    </row>
    <row r="9" customFormat="false" ht="15" hidden="false" customHeight="false" outlineLevel="0" collapsed="false">
      <c r="A9" s="2" t="s">
        <v>343</v>
      </c>
      <c r="B9" s="23" t="n">
        <f aca="false">Decide!R7</f>
        <v>57.35</v>
      </c>
      <c r="C9" s="18" t="n">
        <f aca="false">IF(B9&gt;=Floor_c,1,0)</f>
        <v>1</v>
      </c>
    </row>
    <row r="10" customFormat="false" ht="15" hidden="false" customHeight="false" outlineLevel="0" collapsed="false">
      <c r="A10" s="2" t="s">
        <v>173</v>
      </c>
      <c r="B10" s="23" t="n">
        <f aca="false">Decide!C22</f>
        <v>55.75</v>
      </c>
      <c r="C10" s="18" t="n">
        <f aca="false">IF(B10&gt;=Floor_c,1,0)</f>
        <v>1</v>
      </c>
    </row>
    <row r="11" customFormat="false" ht="15" hidden="false" customHeight="false" outlineLevel="0" collapsed="false">
      <c r="A11" s="2" t="s">
        <v>344</v>
      </c>
      <c r="B11" s="23" t="n">
        <f aca="false">Decide!R6</f>
        <v>56.7</v>
      </c>
      <c r="C11" s="18" t="n">
        <f aca="false">IF(B11&gt;=Floor_c,1,0)</f>
        <v>1</v>
      </c>
    </row>
    <row r="12" customFormat="false" ht="15" hidden="false" customHeight="false" outlineLevel="0" collapsed="false">
      <c r="A12" s="2" t="s">
        <v>345</v>
      </c>
      <c r="B12" s="23" t="n">
        <f aca="false">Decide!R8</f>
        <v>56.5</v>
      </c>
      <c r="C12" s="18" t="n">
        <f aca="false">IF(B12&gt;=Floor_c,1,0)</f>
        <v>1</v>
      </c>
    </row>
    <row r="13" customFormat="false" ht="15" hidden="false" customHeight="false" outlineLevel="0" collapsed="false">
      <c r="A13" s="2" t="s">
        <v>346</v>
      </c>
      <c r="B13" s="23" t="n">
        <f aca="false">Decide!R9</f>
        <v>56.4</v>
      </c>
      <c r="C13" s="18" t="n">
        <f aca="false">IF(B13&gt;=Floor_c,1,0)</f>
        <v>1</v>
      </c>
    </row>
    <row r="14" customFormat="false" ht="15" hidden="false" customHeight="false" outlineLevel="0" collapsed="false">
      <c r="A14" s="2" t="s">
        <v>90</v>
      </c>
      <c r="B14" s="23" t="n">
        <f aca="false">Decide!R10</f>
        <v>56.2</v>
      </c>
      <c r="C14" s="18" t="n">
        <f aca="false">IF(B14&gt;=Floor_c,1,0)</f>
        <v>1</v>
      </c>
    </row>
    <row r="16" customFormat="false" ht="15" hidden="false" customHeight="false" outlineLevel="0" collapsed="false">
      <c r="A16" s="2" t="s">
        <v>347</v>
      </c>
      <c r="B16" s="18" t="n">
        <f aca="false">COUNTIF(C5:C14,0)</f>
        <v>0</v>
      </c>
      <c r="C16" s="10" t="s">
        <v>348</v>
      </c>
    </row>
    <row r="17" customFormat="false" ht="15" hidden="false" customHeight="false" outlineLevel="0" collapsed="false">
      <c r="A17" s="2" t="s">
        <v>349</v>
      </c>
      <c r="B17" s="34" t="n">
        <v>0</v>
      </c>
    </row>
    <row r="19" customFormat="false" ht="23.85" hidden="false" customHeight="false" outlineLevel="0" collapsed="false">
      <c r="A19" s="8" t="s">
        <v>104</v>
      </c>
      <c r="B19" s="8" t="s">
        <v>105</v>
      </c>
      <c r="C19" s="8" t="s">
        <v>350</v>
      </c>
      <c r="D19" s="8" t="s">
        <v>351</v>
      </c>
    </row>
    <row r="20" customFormat="false" ht="15" hidden="false" customHeight="false" outlineLevel="0" collapsed="false">
      <c r="F20" s="2" t="s">
        <v>352</v>
      </c>
      <c r="G20" s="9" t="n">
        <v>1.5</v>
      </c>
      <c r="H20" s="10" t="s">
        <v>353</v>
      </c>
    </row>
    <row r="21" customFormat="false" ht="15" hidden="false" customHeight="false" outlineLevel="0" collapsed="false">
      <c r="A21" s="18" t="n">
        <v>0</v>
      </c>
      <c r="B21" s="20" t="n">
        <f aca="false">Sync!B6</f>
        <v>0</v>
      </c>
      <c r="C21" s="17" t="n">
        <f aca="false">SQRT(Sync!C6)</f>
        <v>0</v>
      </c>
      <c r="D21" s="18" t="n">
        <f aca="false">IF(AND(B21=1,C21&gt;$G$20),1,0)</f>
        <v>0</v>
      </c>
      <c r="F21" s="2" t="s">
        <v>354</v>
      </c>
      <c r="G21" s="18" t="n">
        <f aca="false">_xlfn.MINIFS(A21:A61,D21:D61,1)</f>
        <v>8</v>
      </c>
    </row>
    <row r="22" customFormat="false" ht="15" hidden="false" customHeight="false" outlineLevel="0" collapsed="false">
      <c r="A22" s="18" t="n">
        <v>1</v>
      </c>
      <c r="B22" s="20" t="n">
        <f aca="false">Sync!B7</f>
        <v>0</v>
      </c>
      <c r="C22" s="17" t="n">
        <f aca="false">SQRT(Sync!C7)</f>
        <v>0.670820393249937</v>
      </c>
      <c r="D22" s="18" t="n">
        <f aca="false">IF(AND(B22=1,C22&gt;$G$20),1,0)</f>
        <v>0</v>
      </c>
      <c r="F22" s="2" t="s">
        <v>355</v>
      </c>
      <c r="G22" s="18" t="n">
        <f aca="false">IF(COUNTIFS(A21:A61,"&gt;="&amp;G21,B21:B61,1)=COUNTIFS(A21:A61,"&gt;="&amp;G21,D21:D61,1),1,0)</f>
        <v>1</v>
      </c>
      <c r="H22" s="10" t="s">
        <v>356</v>
      </c>
    </row>
    <row r="23" customFormat="false" ht="15" hidden="false" customHeight="false" outlineLevel="0" collapsed="false">
      <c r="A23" s="18" t="n">
        <v>2</v>
      </c>
      <c r="B23" s="20" t="n">
        <f aca="false">Sync!B8</f>
        <v>1</v>
      </c>
      <c r="C23" s="17" t="n">
        <f aca="false">SQRT(Sync!C8)</f>
        <v>0.936899807877022</v>
      </c>
      <c r="D23" s="18" t="n">
        <f aca="false">IF(AND(B23=1,C23&gt;$G$20),1,0)</f>
        <v>0</v>
      </c>
    </row>
    <row r="24" customFormat="false" ht="15" hidden="false" customHeight="false" outlineLevel="0" collapsed="false">
      <c r="A24" s="18" t="n">
        <v>3</v>
      </c>
      <c r="B24" s="20" t="n">
        <f aca="false">Sync!B9</f>
        <v>0</v>
      </c>
      <c r="C24" s="17" t="n">
        <f aca="false">SQRT(Sync!C9)</f>
        <v>1.08705105804166</v>
      </c>
      <c r="D24" s="18" t="n">
        <f aca="false">IF(AND(B24=1,C24&gt;$G$20),1,0)</f>
        <v>0</v>
      </c>
      <c r="F24" s="2" t="s">
        <v>357</v>
      </c>
      <c r="G24" s="17" t="n">
        <f aca="false">Alpha_keep-Alpha_keep</f>
        <v>0</v>
      </c>
      <c r="H24" s="10" t="s">
        <v>358</v>
      </c>
    </row>
    <row r="25" customFormat="false" ht="15" hidden="false" customHeight="false" outlineLevel="0" collapsed="false">
      <c r="A25" s="18" t="n">
        <v>4</v>
      </c>
      <c r="B25" s="20" t="n">
        <f aca="false">Sync!B10</f>
        <v>1</v>
      </c>
      <c r="C25" s="17" t="n">
        <f aca="false">SQRT(Sync!C10)</f>
        <v>1.25432633419368</v>
      </c>
      <c r="D25" s="18" t="n">
        <f aca="false">IF(AND(B25=1,C25&gt;$G$20),1,0)</f>
        <v>0</v>
      </c>
      <c r="F25" s="2" t="s">
        <v>359</v>
      </c>
      <c r="G25" s="17" t="n">
        <f aca="false">(1-Sync!AJ6)*Alpha_keep^2</f>
        <v>0.680244503378771</v>
      </c>
    </row>
    <row r="26" customFormat="false" ht="15" hidden="false" customHeight="false" outlineLevel="0" collapsed="false">
      <c r="A26" s="18" t="n">
        <v>5</v>
      </c>
      <c r="B26" s="20" t="n">
        <f aca="false">Sync!B11</f>
        <v>0</v>
      </c>
      <c r="C26" s="17" t="n">
        <f aca="false">SQRT(Sync!C11)</f>
        <v>1.28252246097916</v>
      </c>
      <c r="D26" s="18" t="n">
        <f aca="false">IF(AND(B26=1,C26&gt;$G$20),1,0)</f>
        <v>0</v>
      </c>
      <c r="F26" s="2" t="s">
        <v>360</v>
      </c>
      <c r="G26" s="18" t="n">
        <f aca="false">IF(AND(ABS(G24)&lt;1,ABS(G25)&lt;1),1,0)</f>
        <v>1</v>
      </c>
    </row>
    <row r="27" customFormat="false" ht="15" hidden="false" customHeight="false" outlineLevel="0" collapsed="false">
      <c r="A27" s="18" t="n">
        <v>6</v>
      </c>
      <c r="B27" s="20" t="n">
        <f aca="false">Sync!B12</f>
        <v>1</v>
      </c>
      <c r="C27" s="17" t="n">
        <f aca="false">SQRT(Sync!C12)</f>
        <v>1.41903090511961</v>
      </c>
      <c r="D27" s="18" t="n">
        <f aca="false">IF(AND(B27=1,C27&gt;$G$20),1,0)</f>
        <v>0</v>
      </c>
    </row>
    <row r="28" customFormat="false" ht="15" hidden="false" customHeight="false" outlineLevel="0" collapsed="false">
      <c r="A28" s="18" t="n">
        <v>7</v>
      </c>
      <c r="B28" s="20" t="n">
        <f aca="false">Sync!B13</f>
        <v>0</v>
      </c>
      <c r="C28" s="17" t="n">
        <f aca="false">SQRT(Sync!C13)</f>
        <v>1.37759759118321</v>
      </c>
      <c r="D28" s="18" t="n">
        <f aca="false">IF(AND(B28=1,C28&gt;$G$20),1,0)</f>
        <v>0</v>
      </c>
      <c r="F28" s="2" t="s">
        <v>361</v>
      </c>
      <c r="G28" s="23" t="n">
        <f aca="false">Decide!S6</f>
        <v>241.851936756285</v>
      </c>
      <c r="H28" s="10" t="s">
        <v>362</v>
      </c>
    </row>
    <row r="29" customFormat="false" ht="15" hidden="false" customHeight="false" outlineLevel="0" collapsed="false">
      <c r="A29" s="18" t="n">
        <v>8</v>
      </c>
      <c r="B29" s="20" t="n">
        <f aca="false">Sync!B14</f>
        <v>1</v>
      </c>
      <c r="C29" s="17" t="n">
        <f aca="false">SQRT(Sync!C14)</f>
        <v>1.50135687846832</v>
      </c>
      <c r="D29" s="18" t="n">
        <f aca="false">IF(AND(B29=1,C29&gt;$G$20),1,0)</f>
        <v>1</v>
      </c>
      <c r="F29" s="2" t="s">
        <v>183</v>
      </c>
      <c r="G29" s="23" t="n">
        <f aca="false">Decide!D16</f>
        <v>241.944310523261</v>
      </c>
      <c r="H29" s="10" t="s">
        <v>363</v>
      </c>
    </row>
    <row r="30" customFormat="false" ht="15" hidden="false" customHeight="false" outlineLevel="0" collapsed="false">
      <c r="A30" s="18" t="n">
        <v>9</v>
      </c>
      <c r="B30" s="20" t="n">
        <f aca="false">Sync!B15</f>
        <v>0</v>
      </c>
      <c r="C30" s="17" t="n">
        <f aca="false">SQRT(Sync!C15)</f>
        <v>1.4229607449244</v>
      </c>
      <c r="D30" s="18" t="n">
        <f aca="false">IF(AND(B30=1,C30&gt;$G$20),1,0)</f>
        <v>0</v>
      </c>
      <c r="F30" s="2" t="s">
        <v>364</v>
      </c>
      <c r="G30" s="23" t="n">
        <f aca="false">Decide!B32</f>
        <v>0.908414934660905</v>
      </c>
      <c r="H30" s="10" t="s">
        <v>365</v>
      </c>
    </row>
    <row r="31" customFormat="false" ht="15" hidden="false" customHeight="false" outlineLevel="0" collapsed="false">
      <c r="A31" s="18" t="n">
        <v>10</v>
      </c>
      <c r="B31" s="20" t="n">
        <f aca="false">Sync!B16</f>
        <v>1</v>
      </c>
      <c r="C31" s="17" t="n">
        <f aca="false">SQRT(Sync!C16)</f>
        <v>1.54105221466276</v>
      </c>
      <c r="D31" s="18" t="n">
        <f aca="false">IF(AND(B31=1,C31&gt;$G$20),1,0)</f>
        <v>1</v>
      </c>
    </row>
    <row r="32" customFormat="false" ht="15" hidden="false" customHeight="false" outlineLevel="0" collapsed="false">
      <c r="A32" s="18" t="n">
        <v>11</v>
      </c>
      <c r="B32" s="20" t="n">
        <f aca="false">Sync!B17</f>
        <v>0</v>
      </c>
      <c r="C32" s="17" t="n">
        <f aca="false">SQRT(Sync!C17)</f>
        <v>1.44428546195572</v>
      </c>
      <c r="D32" s="18" t="n">
        <f aca="false">IF(AND(B32=1,C32&gt;$G$20),1,0)</f>
        <v>0</v>
      </c>
    </row>
    <row r="33" customFormat="false" ht="15" hidden="false" customHeight="false" outlineLevel="0" collapsed="false">
      <c r="A33" s="18" t="n">
        <v>12</v>
      </c>
      <c r="B33" s="20" t="n">
        <f aca="false">Sync!B18</f>
        <v>1</v>
      </c>
      <c r="C33" s="17" t="n">
        <f aca="false">SQRT(Sync!C18)</f>
        <v>1.55979684451071</v>
      </c>
      <c r="D33" s="18" t="n">
        <f aca="false">IF(AND(B33=1,C33&gt;$G$20),1,0)</f>
        <v>1</v>
      </c>
    </row>
    <row r="34" customFormat="false" ht="15" hidden="false" customHeight="false" outlineLevel="0" collapsed="false">
      <c r="A34" s="18" t="n">
        <v>13</v>
      </c>
      <c r="B34" s="20" t="n">
        <f aca="false">Sync!B19</f>
        <v>0</v>
      </c>
      <c r="C34" s="17" t="n">
        <f aca="false">SQRT(Sync!C19)</f>
        <v>1.4542287968232</v>
      </c>
      <c r="D34" s="18" t="n">
        <f aca="false">IF(AND(B34=1,C34&gt;$G$20),1,0)</f>
        <v>0</v>
      </c>
    </row>
    <row r="35" customFormat="false" ht="15" hidden="false" customHeight="false" outlineLevel="0" collapsed="false">
      <c r="A35" s="18" t="n">
        <v>14</v>
      </c>
      <c r="B35" s="20" t="n">
        <f aca="false">Sync!B20</f>
        <v>1</v>
      </c>
      <c r="C35" s="17" t="n">
        <f aca="false">SQRT(Sync!C20)</f>
        <v>1.56855476863426</v>
      </c>
      <c r="D35" s="18" t="n">
        <f aca="false">IF(AND(B35=1,C35&gt;$G$20),1,0)</f>
        <v>1</v>
      </c>
    </row>
    <row r="36" customFormat="false" ht="15" hidden="false" customHeight="false" outlineLevel="0" collapsed="false">
      <c r="A36" s="18" t="n">
        <v>15</v>
      </c>
      <c r="B36" s="20" t="n">
        <f aca="false">Sync!B21</f>
        <v>0</v>
      </c>
      <c r="C36" s="17" t="n">
        <f aca="false">SQRT(Sync!C21)</f>
        <v>1.45884654100931</v>
      </c>
      <c r="D36" s="18" t="n">
        <f aca="false">IF(AND(B36=1,C36&gt;$G$20),1,0)</f>
        <v>0</v>
      </c>
    </row>
    <row r="37" customFormat="false" ht="15" hidden="false" customHeight="false" outlineLevel="0" collapsed="false">
      <c r="A37" s="18" t="n">
        <v>16</v>
      </c>
      <c r="B37" s="20" t="n">
        <f aca="false">Sync!B22</f>
        <v>1</v>
      </c>
      <c r="C37" s="17" t="n">
        <f aca="false">SQRT(Sync!C22)</f>
        <v>1.57262573884347</v>
      </c>
      <c r="D37" s="18" t="n">
        <f aca="false">IF(AND(B37=1,C37&gt;$G$20),1,0)</f>
        <v>1</v>
      </c>
    </row>
    <row r="38" customFormat="false" ht="15" hidden="false" customHeight="false" outlineLevel="0" collapsed="false">
      <c r="A38" s="18" t="n">
        <v>17</v>
      </c>
      <c r="B38" s="20" t="n">
        <f aca="false">Sync!B23</f>
        <v>0</v>
      </c>
      <c r="C38" s="17" t="n">
        <f aca="false">SQRT(Sync!C23)</f>
        <v>1.46098692783185</v>
      </c>
      <c r="D38" s="18" t="n">
        <f aca="false">IF(AND(B38=1,C38&gt;$G$20),1,0)</f>
        <v>0</v>
      </c>
    </row>
    <row r="39" customFormat="false" ht="15" hidden="false" customHeight="false" outlineLevel="0" collapsed="false">
      <c r="A39" s="18" t="n">
        <v>18</v>
      </c>
      <c r="B39" s="20" t="n">
        <f aca="false">Sync!B24</f>
        <v>1</v>
      </c>
      <c r="C39" s="17" t="n">
        <f aca="false">SQRT(Sync!C24)</f>
        <v>1.57451348513845</v>
      </c>
      <c r="D39" s="18" t="n">
        <f aca="false">IF(AND(B39=1,C39&gt;$G$20),1,0)</f>
        <v>1</v>
      </c>
    </row>
    <row r="40" customFormat="false" ht="15" hidden="false" customHeight="false" outlineLevel="0" collapsed="false">
      <c r="A40" s="18" t="n">
        <v>19</v>
      </c>
      <c r="B40" s="20" t="n">
        <f aca="false">Sync!B25</f>
        <v>0</v>
      </c>
      <c r="C40" s="17" t="n">
        <f aca="false">SQRT(Sync!C25)</f>
        <v>1.46197813102494</v>
      </c>
      <c r="D40" s="18" t="n">
        <f aca="false">IF(AND(B40=1,C40&gt;$G$20),1,0)</f>
        <v>0</v>
      </c>
    </row>
    <row r="41" customFormat="false" ht="15" hidden="false" customHeight="false" outlineLevel="0" collapsed="false">
      <c r="A41" s="18" t="n">
        <v>20</v>
      </c>
      <c r="B41" s="20" t="n">
        <f aca="false">Sync!B26</f>
        <v>1</v>
      </c>
      <c r="C41" s="17" t="n">
        <f aca="false">SQRT(Sync!C26)</f>
        <v>1.57538786187724</v>
      </c>
      <c r="D41" s="18" t="n">
        <f aca="false">IF(AND(B41=1,C41&gt;$G$20),1,0)</f>
        <v>1</v>
      </c>
    </row>
    <row r="42" customFormat="false" ht="15" hidden="false" customHeight="false" outlineLevel="0" collapsed="false">
      <c r="A42" s="18" t="n">
        <v>21</v>
      </c>
      <c r="B42" s="20" t="n">
        <f aca="false">Sync!B27</f>
        <v>0</v>
      </c>
      <c r="C42" s="17" t="n">
        <f aca="false">SQRT(Sync!C27)</f>
        <v>1.46243695972757</v>
      </c>
      <c r="D42" s="18" t="n">
        <f aca="false">IF(AND(B42=1,C42&gt;$G$20),1,0)</f>
        <v>0</v>
      </c>
    </row>
    <row r="43" customFormat="false" ht="15" hidden="false" customHeight="false" outlineLevel="0" collapsed="false">
      <c r="A43" s="18" t="n">
        <v>22</v>
      </c>
      <c r="B43" s="20" t="n">
        <f aca="false">Sync!B28</f>
        <v>1</v>
      </c>
      <c r="C43" s="17" t="n">
        <f aca="false">SQRT(Sync!C28)</f>
        <v>1.5757926479336</v>
      </c>
      <c r="D43" s="18" t="n">
        <f aca="false">IF(AND(B43=1,C43&gt;$G$20),1,0)</f>
        <v>1</v>
      </c>
    </row>
    <row r="44" customFormat="false" ht="15" hidden="false" customHeight="false" outlineLevel="0" collapsed="false">
      <c r="A44" s="18" t="n">
        <v>23</v>
      </c>
      <c r="B44" s="20" t="n">
        <f aca="false">Sync!B29</f>
        <v>0</v>
      </c>
      <c r="C44" s="17" t="n">
        <f aca="false">SQRT(Sync!C29)</f>
        <v>1.46264931045286</v>
      </c>
      <c r="D44" s="18" t="n">
        <f aca="false">IF(AND(B44=1,C44&gt;$G$20),1,0)</f>
        <v>0</v>
      </c>
    </row>
    <row r="45" customFormat="false" ht="15" hidden="false" customHeight="false" outlineLevel="0" collapsed="false">
      <c r="A45" s="18" t="n">
        <v>24</v>
      </c>
      <c r="B45" s="20" t="n">
        <f aca="false">Sync!B30</f>
        <v>1</v>
      </c>
      <c r="C45" s="17" t="n">
        <f aca="false">SQRT(Sync!C30)</f>
        <v>1.5759799949486</v>
      </c>
      <c r="D45" s="18" t="n">
        <f aca="false">IF(AND(B45=1,C45&gt;$G$20),1,0)</f>
        <v>1</v>
      </c>
    </row>
    <row r="46" customFormat="false" ht="15" hidden="false" customHeight="false" outlineLevel="0" collapsed="false">
      <c r="A46" s="18" t="n">
        <v>25</v>
      </c>
      <c r="B46" s="20" t="n">
        <f aca="false">Sync!B31</f>
        <v>0</v>
      </c>
      <c r="C46" s="17" t="n">
        <f aca="false">SQRT(Sync!C31)</f>
        <v>1.4627475797084</v>
      </c>
      <c r="D46" s="18" t="n">
        <f aca="false">IF(AND(B46=1,C46&gt;$G$20),1,0)</f>
        <v>0</v>
      </c>
    </row>
    <row r="47" customFormat="false" ht="15" hidden="false" customHeight="false" outlineLevel="0" collapsed="false">
      <c r="A47" s="18" t="n">
        <v>26</v>
      </c>
      <c r="B47" s="20" t="n">
        <f aca="false">Sync!B32</f>
        <v>1</v>
      </c>
      <c r="C47" s="17" t="n">
        <f aca="false">SQRT(Sync!C32)</f>
        <v>1.57606669493929</v>
      </c>
      <c r="D47" s="18" t="n">
        <f aca="false">IF(AND(B47=1,C47&gt;$G$20),1,0)</f>
        <v>1</v>
      </c>
    </row>
    <row r="48" customFormat="false" ht="15" hidden="false" customHeight="false" outlineLevel="0" collapsed="false">
      <c r="A48" s="18" t="n">
        <v>27</v>
      </c>
      <c r="B48" s="20" t="n">
        <f aca="false">Sync!B33</f>
        <v>0</v>
      </c>
      <c r="C48" s="17" t="n">
        <f aca="false">SQRT(Sync!C33)</f>
        <v>1.46279305373463</v>
      </c>
      <c r="D48" s="18" t="n">
        <f aca="false">IF(AND(B48=1,C48&gt;$G$20),1,0)</f>
        <v>0</v>
      </c>
    </row>
    <row r="49" customFormat="false" ht="15" hidden="false" customHeight="false" outlineLevel="0" collapsed="false">
      <c r="A49" s="18" t="n">
        <v>28</v>
      </c>
      <c r="B49" s="20" t="n">
        <f aca="false">Sync!B34</f>
        <v>1</v>
      </c>
      <c r="C49" s="17" t="n">
        <f aca="false">SQRT(Sync!C34)</f>
        <v>1.5761068156538</v>
      </c>
      <c r="D49" s="18" t="n">
        <f aca="false">IF(AND(B49=1,C49&gt;$G$20),1,0)</f>
        <v>1</v>
      </c>
    </row>
    <row r="50" customFormat="false" ht="15" hidden="false" customHeight="false" outlineLevel="0" collapsed="false">
      <c r="A50" s="18" t="n">
        <v>29</v>
      </c>
      <c r="B50" s="20" t="n">
        <f aca="false">Sync!B35</f>
        <v>0</v>
      </c>
      <c r="C50" s="17" t="n">
        <f aca="false">SQRT(Sync!C35)</f>
        <v>1.46281409639944</v>
      </c>
      <c r="D50" s="18" t="n">
        <f aca="false">IF(AND(B50=1,C50&gt;$G$20),1,0)</f>
        <v>0</v>
      </c>
    </row>
    <row r="51" customFormat="false" ht="15" hidden="false" customHeight="false" outlineLevel="0" collapsed="false">
      <c r="A51" s="18" t="n">
        <v>30</v>
      </c>
      <c r="B51" s="20" t="n">
        <f aca="false">Sync!B36</f>
        <v>1</v>
      </c>
      <c r="C51" s="17" t="n">
        <f aca="false">SQRT(Sync!C36)</f>
        <v>1.57612538120197</v>
      </c>
      <c r="D51" s="18" t="n">
        <f aca="false">IF(AND(B51=1,C51&gt;$G$20),1,0)</f>
        <v>1</v>
      </c>
    </row>
    <row r="52" customFormat="false" ht="15" hidden="false" customHeight="false" outlineLevel="0" collapsed="false">
      <c r="A52" s="18" t="n">
        <v>31</v>
      </c>
      <c r="B52" s="20" t="n">
        <f aca="false">Sync!B37</f>
        <v>0</v>
      </c>
      <c r="C52" s="17" t="n">
        <f aca="false">SQRT(Sync!C37)</f>
        <v>1.46282383360129</v>
      </c>
      <c r="D52" s="18" t="n">
        <f aca="false">IF(AND(B52=1,C52&gt;$G$20),1,0)</f>
        <v>0</v>
      </c>
    </row>
    <row r="53" customFormat="false" ht="15" hidden="false" customHeight="false" outlineLevel="0" collapsed="false">
      <c r="A53" s="18" t="n">
        <v>32</v>
      </c>
      <c r="B53" s="20" t="n">
        <f aca="false">Sync!B38</f>
        <v>1</v>
      </c>
      <c r="C53" s="17" t="n">
        <f aca="false">SQRT(Sync!C38)</f>
        <v>1.57613397216876</v>
      </c>
      <c r="D53" s="18" t="n">
        <f aca="false">IF(AND(B53=1,C53&gt;$G$20),1,0)</f>
        <v>1</v>
      </c>
    </row>
    <row r="54" customFormat="false" ht="15" hidden="false" customHeight="false" outlineLevel="0" collapsed="false">
      <c r="A54" s="18" t="n">
        <v>33</v>
      </c>
      <c r="B54" s="20" t="n">
        <f aca="false">Sync!B39</f>
        <v>0</v>
      </c>
      <c r="C54" s="17" t="n">
        <f aca="false">SQRT(Sync!C39)</f>
        <v>1.46282833933797</v>
      </c>
      <c r="D54" s="18" t="n">
        <f aca="false">IF(AND(B54=1,C54&gt;$G$20),1,0)</f>
        <v>0</v>
      </c>
    </row>
    <row r="55" customFormat="false" ht="15" hidden="false" customHeight="false" outlineLevel="0" collapsed="false">
      <c r="A55" s="18" t="n">
        <v>34</v>
      </c>
      <c r="B55" s="20" t="n">
        <f aca="false">Sync!B40</f>
        <v>1</v>
      </c>
      <c r="C55" s="17" t="n">
        <f aca="false">SQRT(Sync!C40)</f>
        <v>1.57613794750674</v>
      </c>
      <c r="D55" s="18" t="n">
        <f aca="false">IF(AND(B55=1,C55&gt;$G$20),1,0)</f>
        <v>1</v>
      </c>
    </row>
    <row r="56" customFormat="false" ht="15" hidden="false" customHeight="false" outlineLevel="0" collapsed="false">
      <c r="A56" s="18" t="n">
        <v>35</v>
      </c>
      <c r="B56" s="20" t="n">
        <f aca="false">Sync!B41</f>
        <v>0</v>
      </c>
      <c r="C56" s="17" t="n">
        <f aca="false">SQRT(Sync!C41)</f>
        <v>1.4628304242926</v>
      </c>
      <c r="D56" s="18" t="n">
        <f aca="false">IF(AND(B56=1,C56&gt;$G$20),1,0)</f>
        <v>0</v>
      </c>
    </row>
    <row r="57" customFormat="false" ht="15" hidden="false" customHeight="false" outlineLevel="0" collapsed="false">
      <c r="A57" s="18" t="n">
        <v>36</v>
      </c>
      <c r="B57" s="20" t="n">
        <f aca="false">Sync!B42</f>
        <v>1</v>
      </c>
      <c r="C57" s="17" t="n">
        <f aca="false">SQRT(Sync!C42)</f>
        <v>1.57613978702895</v>
      </c>
      <c r="D57" s="18" t="n">
        <f aca="false">IF(AND(B57=1,C57&gt;$G$20),1,0)</f>
        <v>1</v>
      </c>
    </row>
    <row r="58" customFormat="false" ht="15" hidden="false" customHeight="false" outlineLevel="0" collapsed="false">
      <c r="A58" s="18" t="n">
        <v>37</v>
      </c>
      <c r="B58" s="20" t="n">
        <f aca="false">Sync!B43</f>
        <v>0</v>
      </c>
      <c r="C58" s="17" t="n">
        <f aca="false">SQRT(Sync!C43)</f>
        <v>1.46283138906978</v>
      </c>
      <c r="D58" s="18" t="n">
        <f aca="false">IF(AND(B58=1,C58&gt;$G$20),1,0)</f>
        <v>0</v>
      </c>
    </row>
    <row r="59" customFormat="false" ht="15" hidden="false" customHeight="false" outlineLevel="0" collapsed="false">
      <c r="A59" s="18" t="n">
        <v>38</v>
      </c>
      <c r="B59" s="20" t="n">
        <f aca="false">Sync!B44</f>
        <v>1</v>
      </c>
      <c r="C59" s="17" t="n">
        <f aca="false">SQRT(Sync!C44)</f>
        <v>1.57614063823662</v>
      </c>
      <c r="D59" s="18" t="n">
        <f aca="false">IF(AND(B59=1,C59&gt;$G$20),1,0)</f>
        <v>1</v>
      </c>
    </row>
    <row r="60" customFormat="false" ht="15" hidden="false" customHeight="false" outlineLevel="0" collapsed="false">
      <c r="A60" s="18" t="n">
        <v>39</v>
      </c>
      <c r="B60" s="20" t="n">
        <f aca="false">Sync!B45</f>
        <v>0</v>
      </c>
      <c r="C60" s="17" t="n">
        <f aca="false">SQRT(Sync!C45)</f>
        <v>1.46283183550377</v>
      </c>
      <c r="D60" s="18" t="n">
        <f aca="false">IF(AND(B60=1,C60&gt;$G$20),1,0)</f>
        <v>0</v>
      </c>
    </row>
    <row r="61" customFormat="false" ht="15" hidden="false" customHeight="false" outlineLevel="0" collapsed="false">
      <c r="A61" s="18" t="n">
        <v>40</v>
      </c>
      <c r="B61" s="20" t="n">
        <f aca="false">Sync!B46</f>
        <v>1</v>
      </c>
      <c r="C61" s="17" t="n">
        <f aca="false">SQRT(Sync!C46)</f>
        <v>1.57614103211833</v>
      </c>
      <c r="D61" s="18" t="n">
        <f aca="false">IF(AND(B61=1,C61&gt;$G$20),1,0)</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6"/>
    <col collapsed="false" customWidth="true" hidden="false" outlineLevel="0" max="3" min="3" style="0" width="10"/>
    <col collapsed="false" customWidth="true" hidden="false" outlineLevel="0" max="4" min="4" style="0" width="14"/>
    <col collapsed="false" customWidth="true" hidden="false" outlineLevel="0" max="5" min="5" style="0" width="20"/>
    <col collapsed="false" customWidth="true" hidden="false" outlineLevel="0" max="6" min="6" style="0" width="16"/>
  </cols>
  <sheetData>
    <row r="1" customFormat="false" ht="15" hidden="false" customHeight="false" outlineLevel="0" collapsed="false">
      <c r="A1" s="1" t="s">
        <v>366</v>
      </c>
    </row>
    <row r="2" customFormat="false" ht="15" hidden="false" customHeight="false" outlineLevel="0" collapsed="false">
      <c r="A2" s="10" t="s">
        <v>367</v>
      </c>
    </row>
    <row r="4" customFormat="false" ht="15" hidden="false" customHeight="false" outlineLevel="0" collapsed="false">
      <c r="A4" s="8" t="s">
        <v>136</v>
      </c>
      <c r="B4" s="8" t="s">
        <v>137</v>
      </c>
      <c r="C4" s="8" t="s">
        <v>166</v>
      </c>
      <c r="D4" s="8" t="s">
        <v>111</v>
      </c>
      <c r="E4" s="8" t="s">
        <v>368</v>
      </c>
      <c r="F4" s="8" t="s">
        <v>369</v>
      </c>
    </row>
    <row r="5" customFormat="false" ht="15" hidden="false" customHeight="false" outlineLevel="0" collapsed="false">
      <c r="A5" s="4" t="s">
        <v>157</v>
      </c>
      <c r="B5" s="2" t="s">
        <v>158</v>
      </c>
      <c r="C5" s="23" t="n">
        <f aca="false">Decide!R5</f>
        <v>55.75</v>
      </c>
      <c r="D5" s="2" t="s">
        <v>370</v>
      </c>
      <c r="E5" s="23" t="n">
        <f aca="false">0</f>
        <v>0</v>
      </c>
      <c r="F5" s="38" t="n">
        <f aca="false">100*Decide!G15</f>
        <v>6.02400227272727</v>
      </c>
    </row>
    <row r="6" customFormat="false" ht="15" hidden="false" customHeight="false" outlineLevel="0" collapsed="false">
      <c r="A6" s="4" t="s">
        <v>92</v>
      </c>
      <c r="B6" s="2" t="s">
        <v>164</v>
      </c>
      <c r="C6" s="23" t="n">
        <f aca="false">Decide!R11</f>
        <v>57.8</v>
      </c>
      <c r="D6" s="2" t="str">
        <f aca="false">TEXT(Sync!AG11,"0.00")</f>
        <v>3.02</v>
      </c>
      <c r="E6" s="23" t="n">
        <f aca="false">Decide!F21</f>
        <v>25.4333452365893</v>
      </c>
      <c r="F6" s="38" t="n">
        <f aca="false">100*Decide!G21</f>
        <v>17.6170772727273</v>
      </c>
    </row>
    <row r="7" customFormat="false" ht="15" hidden="false" customHeight="false" outlineLevel="0" collapsed="false">
      <c r="A7" s="4" t="s">
        <v>91</v>
      </c>
      <c r="B7" s="2" t="s">
        <v>160</v>
      </c>
      <c r="C7" s="23" t="n">
        <f aca="false">Decide!C23</f>
        <v>55.75</v>
      </c>
      <c r="D7" s="2" t="str">
        <f aca="false">TEXT(Sync!AG10,"0.00")&amp;"–"&amp;TEXT(Sync!AI10,"0.00")</f>
        <v>2.50–2.53</v>
      </c>
      <c r="E7" s="23" t="n">
        <f aca="false">Decide!F23</f>
        <v>27.5086613976603</v>
      </c>
      <c r="F7" s="38" t="n">
        <f aca="false">100*Decide!G23</f>
        <v>38.6065931818182</v>
      </c>
    </row>
    <row r="8" customFormat="false" ht="15" hidden="false" customHeight="false" outlineLevel="0" collapsed="false">
      <c r="A8" s="4" t="s">
        <v>342</v>
      </c>
      <c r="B8" s="2" t="s">
        <v>160</v>
      </c>
      <c r="C8" s="23" t="n">
        <f aca="false">Decide!C24</f>
        <v>60.75</v>
      </c>
      <c r="D8" s="2" t="str">
        <f aca="false">TEXT(Sync!AG10,"0.00")&amp;"–"&amp;TEXT(Sync!AI10,"0.00")</f>
        <v>2.50–2.53</v>
      </c>
      <c r="E8" s="23" t="n">
        <f aca="false">Decide!F24</f>
        <v>34.3960757756762</v>
      </c>
      <c r="F8" s="38" t="n">
        <f aca="false">100*Decide!G24</f>
        <v>0.219790909090909</v>
      </c>
    </row>
    <row r="9" customFormat="false" ht="15" hidden="false" customHeight="false" outlineLevel="0" collapsed="false">
      <c r="A9" s="4" t="s">
        <v>343</v>
      </c>
      <c r="B9" s="2" t="s">
        <v>160</v>
      </c>
      <c r="C9" s="23" t="n">
        <f aca="false">Decide!R7</f>
        <v>57.35</v>
      </c>
      <c r="D9" s="2" t="str">
        <f aca="false">TEXT(Sync!AG10,"0.00")&amp;"–"&amp;TEXT(Sync!AI10,"0.00")</f>
        <v>2.50–2.53</v>
      </c>
      <c r="E9" s="23" t="n">
        <f aca="false">Decide!F17</f>
        <v>15.9497386799511</v>
      </c>
      <c r="F9" s="38" t="n">
        <f aca="false">100*Decide!G17</f>
        <v>13.2533318181818</v>
      </c>
    </row>
    <row r="10" customFormat="false" ht="15" hidden="false" customHeight="false" outlineLevel="0" collapsed="false">
      <c r="A10" s="4" t="s">
        <v>173</v>
      </c>
      <c r="B10" s="2" t="s">
        <v>160</v>
      </c>
      <c r="C10" s="23" t="n">
        <f aca="false">Decide!C22</f>
        <v>55.75</v>
      </c>
      <c r="D10" s="2" t="str">
        <f aca="false">TEXT(Sync!AG6,"0.00")&amp;"–"&amp;TEXT(Sync!AI6,"0.00")</f>
        <v>1.33–1.58</v>
      </c>
      <c r="E10" s="23" t="n">
        <f aca="false">Decide!F22</f>
        <v>16.3134419957636</v>
      </c>
      <c r="F10" s="38" t="n">
        <f aca="false">100*Decide!G22</f>
        <v>31.3203204545455</v>
      </c>
    </row>
    <row r="11" customFormat="false" ht="15" hidden="false" customHeight="false" outlineLevel="0" collapsed="false">
      <c r="A11" s="4" t="s">
        <v>344</v>
      </c>
      <c r="B11" s="2" t="s">
        <v>160</v>
      </c>
      <c r="C11" s="23" t="n">
        <f aca="false">Decide!R6</f>
        <v>56.7</v>
      </c>
      <c r="D11" s="2" t="str">
        <f aca="false">TEXT(Sync!AG6,"0.00")&amp;"–"&amp;TEXT(Sync!AI6,"0.00")</f>
        <v>1.33–1.58</v>
      </c>
      <c r="E11" s="23" t="n">
        <f aca="false">Decide!F16</f>
        <v>11.1005959451636</v>
      </c>
      <c r="F11" s="38" t="n">
        <f aca="false">100*Decide!G16</f>
        <v>13.3749318181818</v>
      </c>
    </row>
    <row r="12" customFormat="false" ht="15" hidden="false" customHeight="false" outlineLevel="0" collapsed="false">
      <c r="A12" s="4" t="s">
        <v>159</v>
      </c>
      <c r="B12" s="2" t="s">
        <v>161</v>
      </c>
      <c r="C12" s="23" t="n">
        <f aca="false">Decide!R8</f>
        <v>56.5</v>
      </c>
      <c r="D12" s="2" t="str">
        <f aca="false">TEXT(Sync!AG7,"0.00")&amp;"–"&amp;TEXT(Sync!AI7,"0.00")</f>
        <v>1.17–1.32</v>
      </c>
      <c r="E12" s="23" t="n">
        <f aca="false">Decide!F18</f>
        <v>8.63379980248908</v>
      </c>
      <c r="F12" s="38" t="n">
        <f aca="false">100*Decide!G18</f>
        <v>12.9642159090909</v>
      </c>
    </row>
    <row r="13" customFormat="false" ht="15" hidden="false" customHeight="false" outlineLevel="0" collapsed="false">
      <c r="A13" s="4" t="s">
        <v>159</v>
      </c>
      <c r="B13" s="2" t="s">
        <v>162</v>
      </c>
      <c r="C13" s="23" t="n">
        <f aca="false">Decide!R9</f>
        <v>56.4</v>
      </c>
      <c r="D13" s="2" t="str">
        <f aca="false">TEXT(Sync!AG8,"0.00")&amp;"–"&amp;TEXT(Sync!AI8,"0.00")</f>
        <v>0.89–1.26</v>
      </c>
      <c r="E13" s="23" t="n">
        <f aca="false">Decide!F19</f>
        <v>7.00535786568798</v>
      </c>
      <c r="F13" s="38" t="n">
        <f aca="false">100*Decide!G19</f>
        <v>12.0903909090909</v>
      </c>
    </row>
    <row r="14" customFormat="false" ht="15" hidden="false" customHeight="false" outlineLevel="0" collapsed="false">
      <c r="A14" s="4" t="s">
        <v>159</v>
      </c>
      <c r="B14" s="2" t="s">
        <v>163</v>
      </c>
      <c r="C14" s="23" t="n">
        <f aca="false">Decide!R10</f>
        <v>56.2</v>
      </c>
      <c r="D14" s="2" t="str">
        <f aca="false">TEXT(Sync!AG9,"0.00")&amp;"–"&amp;TEXT(Sync!AI9,"0.00")</f>
        <v>0.79–1.02</v>
      </c>
      <c r="E14" s="23" t="n">
        <f aca="false">Decide!F20</f>
        <v>4.9212146104671</v>
      </c>
      <c r="F14" s="38" t="n">
        <f aca="false">100*Decide!G20</f>
        <v>12.2204045454546</v>
      </c>
    </row>
    <row r="15" customFormat="false" ht="15" hidden="false" customHeight="false" outlineLevel="0" collapsed="false">
      <c r="A15" s="4" t="s">
        <v>371</v>
      </c>
    </row>
    <row r="16" customFormat="false" ht="15" hidden="false" customHeight="false" outlineLevel="0" collapsed="false">
      <c r="A16" s="4" t="s">
        <v>307</v>
      </c>
      <c r="B16" s="2" t="s">
        <v>160</v>
      </c>
      <c r="C16" s="23" t="n">
        <f aca="false">Decide!R6</f>
        <v>56.7</v>
      </c>
      <c r="D16" s="2" t="s">
        <v>158</v>
      </c>
      <c r="E16" s="23" t="n">
        <f aca="false">Drift!C6</f>
        <v>56.4728270008039</v>
      </c>
      <c r="F16" s="38" t="n">
        <f aca="false">100*Drift!D6</f>
        <v>79.8706022727273</v>
      </c>
    </row>
    <row r="17" customFormat="false" ht="15" hidden="false" customHeight="false" outlineLevel="0" collapsed="false">
      <c r="A17" s="4" t="s">
        <v>372</v>
      </c>
      <c r="B17" s="2" t="s">
        <v>160</v>
      </c>
      <c r="C17" s="23" t="n">
        <f aca="false">Decide!R6</f>
        <v>56.7</v>
      </c>
      <c r="D17" s="2" t="s">
        <v>158</v>
      </c>
      <c r="E17" s="23" t="n">
        <f aca="false">Drift!C7</f>
        <v>18.1771728024095</v>
      </c>
      <c r="F17" s="38" t="n">
        <f aca="false">100*Drift!D7</f>
        <v>14.4314840909091</v>
      </c>
    </row>
    <row r="18" customFormat="false" ht="15" hidden="false" customHeight="false" outlineLevel="0" collapsed="false">
      <c r="A18" s="4" t="s">
        <v>309</v>
      </c>
      <c r="B18" s="2" t="s">
        <v>160</v>
      </c>
      <c r="C18" s="23" t="n">
        <f aca="false">Decide!R6</f>
        <v>56.7</v>
      </c>
      <c r="D18" s="2" t="s">
        <v>158</v>
      </c>
      <c r="E18" s="23" t="n">
        <f aca="false">Drift!C8</f>
        <v>10.2927363191377</v>
      </c>
      <c r="F18" s="38" t="n">
        <f aca="false">100*Drift!D8</f>
        <v>14.5532295454545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6"/>
    <col collapsed="false" customWidth="true" hidden="false" outlineLevel="0" max="3" min="3" style="0" width="90"/>
  </cols>
  <sheetData>
    <row r="1" customFormat="false" ht="15" hidden="false" customHeight="false" outlineLevel="0" collapsed="false">
      <c r="A1" s="8" t="s">
        <v>373</v>
      </c>
      <c r="B1" s="8" t="s">
        <v>374</v>
      </c>
      <c r="C1" s="8" t="s">
        <v>375</v>
      </c>
    </row>
    <row r="2" customFormat="false" ht="15" hidden="false" customHeight="false" outlineLevel="0" collapsed="false">
      <c r="A2" s="2" t="s">
        <v>68</v>
      </c>
      <c r="B2" s="39" t="n">
        <v>0.45</v>
      </c>
      <c r="C2" s="2" t="s">
        <v>69</v>
      </c>
    </row>
    <row r="3" customFormat="false" ht="15" hidden="false" customHeight="false" outlineLevel="0" collapsed="false">
      <c r="A3" s="2" t="s">
        <v>376</v>
      </c>
      <c r="B3" s="39" t="n">
        <v>0.670820393249937</v>
      </c>
      <c r="C3" s="2" t="s">
        <v>377</v>
      </c>
    </row>
    <row r="4" customFormat="false" ht="15" hidden="false" customHeight="false" outlineLevel="0" collapsed="false">
      <c r="A4" s="2" t="s">
        <v>378</v>
      </c>
      <c r="B4" s="39" t="n">
        <v>3.01892763255976</v>
      </c>
      <c r="C4" s="2" t="s">
        <v>379</v>
      </c>
    </row>
    <row r="5" customFormat="false" ht="15" hidden="false" customHeight="false" outlineLevel="0" collapsed="false">
      <c r="A5" s="2" t="s">
        <v>380</v>
      </c>
      <c r="B5" s="39" t="n">
        <v>1.33328524721285</v>
      </c>
      <c r="C5" s="2" t="s">
        <v>381</v>
      </c>
    </row>
    <row r="6" customFormat="false" ht="15" hidden="false" customHeight="false" outlineLevel="0" collapsed="false">
      <c r="A6" s="2" t="s">
        <v>382</v>
      </c>
      <c r="B6" s="39" t="n">
        <v>1.46283222000429</v>
      </c>
      <c r="C6" s="2" t="s">
        <v>383</v>
      </c>
    </row>
    <row r="7" customFormat="false" ht="15" hidden="false" customHeight="false" outlineLevel="0" collapsed="false">
      <c r="A7" s="2" t="s">
        <v>384</v>
      </c>
      <c r="B7" s="39" t="n">
        <v>1.57614137135711</v>
      </c>
      <c r="C7" s="2" t="s">
        <v>385</v>
      </c>
    </row>
    <row r="8" customFormat="false" ht="15" hidden="false" customHeight="false" outlineLevel="0" collapsed="false">
      <c r="A8" s="2" t="s">
        <v>386</v>
      </c>
      <c r="B8" s="39" t="n">
        <v>0.284423928069669</v>
      </c>
      <c r="C8" s="2" t="s">
        <v>254</v>
      </c>
    </row>
    <row r="9" customFormat="false" ht="15" hidden="false" customHeight="false" outlineLevel="0" collapsed="false">
      <c r="A9" s="2" t="s">
        <v>387</v>
      </c>
      <c r="B9" s="39" t="n">
        <v>1.33328524721285</v>
      </c>
      <c r="C9" s="2" t="s">
        <v>388</v>
      </c>
    </row>
    <row r="10" customFormat="false" ht="15" hidden="false" customHeight="false" outlineLevel="0" collapsed="false">
      <c r="A10" s="2" t="s">
        <v>389</v>
      </c>
      <c r="B10" s="39" t="n">
        <v>1.16907054232417</v>
      </c>
      <c r="C10" s="2" t="s">
        <v>390</v>
      </c>
    </row>
    <row r="11" customFormat="false" ht="15" hidden="false" customHeight="false" outlineLevel="0" collapsed="false">
      <c r="A11" s="2" t="s">
        <v>391</v>
      </c>
      <c r="B11" s="39" t="n">
        <v>1.32258982303347</v>
      </c>
      <c r="C11" s="2" t="s">
        <v>392</v>
      </c>
    </row>
    <row r="12" customFormat="false" ht="15" hidden="false" customHeight="false" outlineLevel="0" collapsed="false">
      <c r="A12" s="2" t="s">
        <v>393</v>
      </c>
      <c r="B12" s="39" t="n">
        <v>0.218676149268818</v>
      </c>
      <c r="C12" s="2" t="s">
        <v>394</v>
      </c>
    </row>
    <row r="13" customFormat="false" ht="15" hidden="false" customHeight="false" outlineLevel="0" collapsed="false">
      <c r="A13" s="2" t="s">
        <v>395</v>
      </c>
      <c r="B13" s="39" t="n">
        <v>0.887720676497822</v>
      </c>
      <c r="C13" s="2" t="s">
        <v>396</v>
      </c>
    </row>
    <row r="14" customFormat="false" ht="15" hidden="false" customHeight="false" outlineLevel="0" collapsed="false">
      <c r="A14" s="2" t="s">
        <v>397</v>
      </c>
      <c r="B14" s="39" t="n">
        <v>1.26092453555434</v>
      </c>
      <c r="C14" s="2" t="s">
        <v>398</v>
      </c>
    </row>
    <row r="15" customFormat="false" ht="15" hidden="false" customHeight="false" outlineLevel="0" collapsed="false">
      <c r="A15" s="2" t="s">
        <v>399</v>
      </c>
      <c r="B15" s="39" t="n">
        <v>0.791423421574419</v>
      </c>
      <c r="C15" s="2" t="s">
        <v>400</v>
      </c>
    </row>
    <row r="16" customFormat="false" ht="15" hidden="false" customHeight="false" outlineLevel="0" collapsed="false">
      <c r="A16" s="2" t="s">
        <v>401</v>
      </c>
      <c r="B16" s="39" t="n">
        <v>1.02246024372631</v>
      </c>
      <c r="C16" s="2" t="s">
        <v>402</v>
      </c>
    </row>
    <row r="17" customFormat="false" ht="15" hidden="false" customHeight="false" outlineLevel="0" collapsed="false">
      <c r="A17" s="2" t="s">
        <v>403</v>
      </c>
      <c r="B17" s="39" t="n">
        <v>2.5</v>
      </c>
      <c r="C17" s="2" t="s">
        <v>404</v>
      </c>
    </row>
    <row r="18" customFormat="false" ht="15" hidden="false" customHeight="false" outlineLevel="0" collapsed="false">
      <c r="A18" s="2" t="s">
        <v>405</v>
      </c>
      <c r="B18" s="39" t="n">
        <v>2.52812306860248</v>
      </c>
      <c r="C18" s="2" t="s">
        <v>406</v>
      </c>
    </row>
    <row r="19" customFormat="false" ht="15" hidden="false" customHeight="false" outlineLevel="0" collapsed="false">
      <c r="A19" s="2" t="s">
        <v>407</v>
      </c>
      <c r="B19" s="39" t="n">
        <v>1</v>
      </c>
      <c r="C19" s="2" t="s">
        <v>408</v>
      </c>
    </row>
    <row r="20" customFormat="false" ht="15" hidden="false" customHeight="false" outlineLevel="0" collapsed="false">
      <c r="A20" s="2" t="s">
        <v>409</v>
      </c>
      <c r="B20" s="39" t="n">
        <v>107.438703206098</v>
      </c>
      <c r="C20" s="2" t="s">
        <v>410</v>
      </c>
    </row>
    <row r="21" customFormat="false" ht="15" hidden="false" customHeight="false" outlineLevel="0" collapsed="false">
      <c r="A21" s="2" t="s">
        <v>411</v>
      </c>
      <c r="B21" s="39" t="n">
        <v>55.3018949616152</v>
      </c>
      <c r="C21" s="2"/>
    </row>
    <row r="22" customFormat="false" ht="15" hidden="false" customHeight="false" outlineLevel="0" collapsed="false">
      <c r="A22" s="2" t="s">
        <v>412</v>
      </c>
      <c r="B22" s="39" t="n">
        <v>1.33318755887251</v>
      </c>
      <c r="C22" s="2"/>
    </row>
    <row r="23" customFormat="false" ht="15" hidden="false" customHeight="false" outlineLevel="0" collapsed="false">
      <c r="A23" s="2" t="s">
        <v>413</v>
      </c>
      <c r="B23" s="39" t="n">
        <v>55.75</v>
      </c>
      <c r="C23" s="2" t="s">
        <v>414</v>
      </c>
    </row>
    <row r="24" customFormat="false" ht="15" hidden="false" customHeight="false" outlineLevel="0" collapsed="false">
      <c r="A24" s="2" t="s">
        <v>415</v>
      </c>
      <c r="B24" s="39" t="n">
        <v>1</v>
      </c>
      <c r="C24" s="2" t="s">
        <v>416</v>
      </c>
    </row>
    <row r="25" customFormat="false" ht="15" hidden="false" customHeight="false" outlineLevel="0" collapsed="false">
      <c r="A25" s="2" t="s">
        <v>417</v>
      </c>
      <c r="B25" s="39" t="n">
        <v>56.7</v>
      </c>
      <c r="C25" s="2" t="s">
        <v>221</v>
      </c>
    </row>
    <row r="26" customFormat="false" ht="15" hidden="false" customHeight="false" outlineLevel="0" collapsed="false">
      <c r="A26" s="2" t="s">
        <v>418</v>
      </c>
      <c r="B26" s="39" t="n">
        <v>1</v>
      </c>
      <c r="C26" s="2" t="s">
        <v>416</v>
      </c>
    </row>
    <row r="27" customFormat="false" ht="15" hidden="false" customHeight="false" outlineLevel="0" collapsed="false">
      <c r="A27" s="2" t="s">
        <v>419</v>
      </c>
      <c r="B27" s="39" t="n">
        <v>57.35</v>
      </c>
      <c r="C27" s="2" t="s">
        <v>420</v>
      </c>
    </row>
    <row r="28" customFormat="false" ht="15" hidden="false" customHeight="false" outlineLevel="0" collapsed="false">
      <c r="A28" s="2" t="s">
        <v>421</v>
      </c>
      <c r="B28" s="39" t="n">
        <v>1</v>
      </c>
      <c r="C28" s="2" t="s">
        <v>416</v>
      </c>
    </row>
    <row r="29" customFormat="false" ht="15" hidden="false" customHeight="false" outlineLevel="0" collapsed="false">
      <c r="A29" s="2" t="s">
        <v>422</v>
      </c>
      <c r="B29" s="39" t="n">
        <v>56.5</v>
      </c>
      <c r="C29" s="2" t="s">
        <v>423</v>
      </c>
    </row>
    <row r="30" customFormat="false" ht="15" hidden="false" customHeight="false" outlineLevel="0" collapsed="false">
      <c r="A30" s="2" t="s">
        <v>424</v>
      </c>
      <c r="B30" s="39" t="n">
        <v>1</v>
      </c>
      <c r="C30" s="2" t="s">
        <v>416</v>
      </c>
    </row>
    <row r="31" customFormat="false" ht="15" hidden="false" customHeight="false" outlineLevel="0" collapsed="false">
      <c r="A31" s="2" t="s">
        <v>425</v>
      </c>
      <c r="B31" s="39" t="n">
        <v>56.4</v>
      </c>
      <c r="C31" s="2" t="s">
        <v>426</v>
      </c>
    </row>
    <row r="32" customFormat="false" ht="15" hidden="false" customHeight="false" outlineLevel="0" collapsed="false">
      <c r="A32" s="2" t="s">
        <v>427</v>
      </c>
      <c r="B32" s="39" t="n">
        <v>1</v>
      </c>
      <c r="C32" s="2" t="s">
        <v>416</v>
      </c>
    </row>
    <row r="33" customFormat="false" ht="15" hidden="false" customHeight="false" outlineLevel="0" collapsed="false">
      <c r="A33" s="2" t="s">
        <v>428</v>
      </c>
      <c r="B33" s="39" t="n">
        <v>56.2</v>
      </c>
      <c r="C33" s="2" t="s">
        <v>429</v>
      </c>
    </row>
    <row r="34" customFormat="false" ht="15" hidden="false" customHeight="false" outlineLevel="0" collapsed="false">
      <c r="A34" s="2" t="s">
        <v>430</v>
      </c>
      <c r="B34" s="39" t="n">
        <v>1</v>
      </c>
      <c r="C34" s="2" t="s">
        <v>416</v>
      </c>
    </row>
    <row r="35" customFormat="false" ht="15" hidden="false" customHeight="false" outlineLevel="0" collapsed="false">
      <c r="A35" s="2" t="s">
        <v>431</v>
      </c>
      <c r="B35" s="39" t="n">
        <v>57.8</v>
      </c>
      <c r="C35" s="2" t="s">
        <v>432</v>
      </c>
    </row>
    <row r="36" customFormat="false" ht="15" hidden="false" customHeight="false" outlineLevel="0" collapsed="false">
      <c r="A36" s="2" t="s">
        <v>433</v>
      </c>
      <c r="B36" s="39" t="n">
        <v>1</v>
      </c>
      <c r="C36" s="2" t="s">
        <v>416</v>
      </c>
    </row>
    <row r="37" customFormat="false" ht="15" hidden="false" customHeight="false" outlineLevel="0" collapsed="false">
      <c r="A37" s="2" t="s">
        <v>434</v>
      </c>
      <c r="B37" s="39" t="n">
        <v>230.74711288601</v>
      </c>
      <c r="C37" s="2" t="s">
        <v>435</v>
      </c>
    </row>
    <row r="38" customFormat="false" ht="15" hidden="false" customHeight="false" outlineLevel="0" collapsed="false">
      <c r="A38" s="2" t="s">
        <v>436</v>
      </c>
      <c r="B38" s="39" t="n">
        <v>241.851936756285</v>
      </c>
      <c r="C38" s="2" t="s">
        <v>437</v>
      </c>
    </row>
    <row r="39" customFormat="false" ht="15" hidden="false" customHeight="false" outlineLevel="0" collapsed="false">
      <c r="A39" s="2" t="s">
        <v>438</v>
      </c>
      <c r="B39" s="39" t="n">
        <v>1.7</v>
      </c>
      <c r="C39" s="2" t="s">
        <v>439</v>
      </c>
    </row>
    <row r="40" customFormat="false" ht="15" hidden="false" customHeight="false" outlineLevel="0" collapsed="false">
      <c r="A40" s="2" t="s">
        <v>440</v>
      </c>
      <c r="B40" s="39" t="n">
        <v>11.1005959451636</v>
      </c>
      <c r="C40" s="2" t="s">
        <v>441</v>
      </c>
    </row>
    <row r="41" customFormat="false" ht="15" hidden="false" customHeight="false" outlineLevel="0" collapsed="false">
      <c r="A41" s="2" t="s">
        <v>442</v>
      </c>
      <c r="B41" s="39" t="n">
        <v>15.9497386799511</v>
      </c>
      <c r="C41" s="2" t="s">
        <v>443</v>
      </c>
    </row>
    <row r="42" customFormat="false" ht="15" hidden="false" customHeight="false" outlineLevel="0" collapsed="false">
      <c r="A42" s="2" t="s">
        <v>444</v>
      </c>
      <c r="B42" s="39" t="n">
        <v>8.63379980248911</v>
      </c>
      <c r="C42" s="2" t="s">
        <v>445</v>
      </c>
    </row>
    <row r="43" customFormat="false" ht="15" hidden="false" customHeight="false" outlineLevel="0" collapsed="false">
      <c r="A43" s="2" t="s">
        <v>446</v>
      </c>
      <c r="B43" s="39" t="n">
        <v>7.00535786568798</v>
      </c>
      <c r="C43" s="2" t="s">
        <v>447</v>
      </c>
    </row>
    <row r="44" customFormat="false" ht="15" hidden="false" customHeight="false" outlineLevel="0" collapsed="false">
      <c r="A44" s="2" t="s">
        <v>448</v>
      </c>
      <c r="B44" s="39" t="n">
        <v>4.92121461046708</v>
      </c>
      <c r="C44" s="2" t="s">
        <v>449</v>
      </c>
    </row>
    <row r="45" customFormat="false" ht="15" hidden="false" customHeight="false" outlineLevel="0" collapsed="false">
      <c r="A45" s="2" t="s">
        <v>450</v>
      </c>
      <c r="B45" s="39" t="n">
        <v>25.4333452365893</v>
      </c>
      <c r="C45" s="2" t="s">
        <v>451</v>
      </c>
    </row>
    <row r="46" customFormat="false" ht="15" hidden="false" customHeight="false" outlineLevel="0" collapsed="false">
      <c r="A46" s="2" t="s">
        <v>452</v>
      </c>
      <c r="B46" s="39" t="n">
        <v>16.3134419957636</v>
      </c>
      <c r="C46" s="2" t="s">
        <v>453</v>
      </c>
    </row>
    <row r="47" customFormat="false" ht="15" hidden="false" customHeight="false" outlineLevel="0" collapsed="false">
      <c r="A47" s="2" t="s">
        <v>454</v>
      </c>
      <c r="B47" s="39" t="n">
        <v>27.5086613976603</v>
      </c>
      <c r="C47" s="2" t="s">
        <v>455</v>
      </c>
    </row>
    <row r="48" customFormat="false" ht="15" hidden="false" customHeight="false" outlineLevel="0" collapsed="false">
      <c r="A48" s="2" t="s">
        <v>456</v>
      </c>
      <c r="B48" s="39" t="n">
        <v>34.3960757756762</v>
      </c>
      <c r="C48" s="2" t="s">
        <v>457</v>
      </c>
    </row>
    <row r="49" customFormat="false" ht="15" hidden="false" customHeight="false" outlineLevel="0" collapsed="false">
      <c r="A49" s="2" t="s">
        <v>458</v>
      </c>
      <c r="B49" s="39" t="n">
        <v>4.84914273478742</v>
      </c>
      <c r="C49" s="2" t="s">
        <v>459</v>
      </c>
    </row>
    <row r="50" customFormat="false" ht="15" hidden="false" customHeight="false" outlineLevel="0" collapsed="false">
      <c r="A50" s="2" t="s">
        <v>460</v>
      </c>
      <c r="B50" s="39" t="n">
        <v>1</v>
      </c>
      <c r="C50" s="2" t="s">
        <v>178</v>
      </c>
    </row>
    <row r="51" customFormat="false" ht="15" hidden="false" customHeight="false" outlineLevel="0" collapsed="false">
      <c r="A51" s="2" t="s">
        <v>461</v>
      </c>
      <c r="B51" s="39" t="n">
        <v>0.908414934661464</v>
      </c>
      <c r="C51" s="2" t="s">
        <v>365</v>
      </c>
    </row>
    <row r="52" customFormat="false" ht="15" hidden="false" customHeight="false" outlineLevel="0" collapsed="false">
      <c r="A52" s="2" t="s">
        <v>462</v>
      </c>
      <c r="B52" s="39" t="n">
        <v>0.122784222711113</v>
      </c>
      <c r="C52" s="2" t="s">
        <v>463</v>
      </c>
    </row>
    <row r="53" customFormat="false" ht="15" hidden="false" customHeight="false" outlineLevel="0" collapsed="false">
      <c r="A53" s="2" t="s">
        <v>464</v>
      </c>
      <c r="B53" s="39" t="n">
        <v>0.75</v>
      </c>
      <c r="C53" s="2" t="s">
        <v>465</v>
      </c>
    </row>
    <row r="54" customFormat="false" ht="15" hidden="false" customHeight="false" outlineLevel="0" collapsed="false">
      <c r="A54" s="2" t="s">
        <v>466</v>
      </c>
      <c r="B54" s="39" t="n">
        <v>1.16118064185958</v>
      </c>
      <c r="C54" s="2" t="s">
        <v>467</v>
      </c>
    </row>
    <row r="55" customFormat="false" ht="15" hidden="false" customHeight="false" outlineLevel="0" collapsed="false">
      <c r="A55" s="2" t="s">
        <v>468</v>
      </c>
      <c r="B55" s="39" t="n">
        <v>1.69861245615745</v>
      </c>
      <c r="C55" s="2" t="s">
        <v>439</v>
      </c>
    </row>
    <row r="56" customFormat="false" ht="15" hidden="false" customHeight="false" outlineLevel="0" collapsed="false">
      <c r="A56" s="2" t="s">
        <v>469</v>
      </c>
      <c r="B56" s="39" t="n">
        <v>1.04549454665734</v>
      </c>
      <c r="C56" s="2" t="s">
        <v>470</v>
      </c>
    </row>
    <row r="57" customFormat="false" ht="15" hidden="false" customHeight="false" outlineLevel="0" collapsed="false">
      <c r="A57" s="2" t="s">
        <v>471</v>
      </c>
      <c r="B57" s="39" t="n">
        <v>0.23233184304895</v>
      </c>
      <c r="C57" s="2" t="s">
        <v>472</v>
      </c>
    </row>
    <row r="58" customFormat="false" ht="15" hidden="false" customHeight="false" outlineLevel="0" collapsed="false">
      <c r="A58" s="2" t="s">
        <v>473</v>
      </c>
      <c r="B58" s="39" t="n">
        <v>0.385704434293968</v>
      </c>
      <c r="C58" s="2" t="s">
        <v>235</v>
      </c>
    </row>
    <row r="59" customFormat="false" ht="15" hidden="false" customHeight="false" outlineLevel="0" collapsed="false">
      <c r="A59" s="2" t="s">
        <v>474</v>
      </c>
      <c r="B59" s="39" t="n">
        <v>0.581996635050583</v>
      </c>
      <c r="C59" s="2" t="s">
        <v>237</v>
      </c>
    </row>
    <row r="60" customFormat="false" ht="15" hidden="false" customHeight="false" outlineLevel="0" collapsed="false">
      <c r="A60" s="2" t="s">
        <v>475</v>
      </c>
      <c r="B60" s="39" t="n">
        <v>1</v>
      </c>
      <c r="C60" s="2" t="s">
        <v>476</v>
      </c>
    </row>
    <row r="61" customFormat="false" ht="15" hidden="false" customHeight="false" outlineLevel="0" collapsed="false">
      <c r="A61" s="2" t="s">
        <v>477</v>
      </c>
      <c r="B61" s="39" t="n">
        <v>1</v>
      </c>
      <c r="C61" s="2" t="s">
        <v>476</v>
      </c>
    </row>
    <row r="62" customFormat="false" ht="15" hidden="false" customHeight="false" outlineLevel="0" collapsed="false">
      <c r="A62" s="2" t="s">
        <v>478</v>
      </c>
      <c r="B62" s="39" t="n">
        <v>1</v>
      </c>
      <c r="C62" s="2" t="s">
        <v>476</v>
      </c>
    </row>
    <row r="63" customFormat="false" ht="15" hidden="false" customHeight="false" outlineLevel="0" collapsed="false">
      <c r="A63" s="2" t="s">
        <v>479</v>
      </c>
      <c r="B63" s="39" t="n">
        <v>2.20991156836391</v>
      </c>
      <c r="C63" s="2" t="s">
        <v>256</v>
      </c>
    </row>
    <row r="64" customFormat="false" ht="15" hidden="false" customHeight="false" outlineLevel="0" collapsed="false">
      <c r="A64" s="2" t="s">
        <v>480</v>
      </c>
      <c r="B64" s="39" t="n">
        <v>3.08829718467594</v>
      </c>
      <c r="C64" s="2" t="s">
        <v>258</v>
      </c>
    </row>
    <row r="65" customFormat="false" ht="15" hidden="false" customHeight="false" outlineLevel="0" collapsed="false">
      <c r="A65" s="2" t="s">
        <v>481</v>
      </c>
      <c r="B65" s="39" t="n">
        <v>-1.04497760167085</v>
      </c>
      <c r="C65" s="2" t="s">
        <v>261</v>
      </c>
    </row>
    <row r="66" customFormat="false" ht="15" hidden="false" customHeight="false" outlineLevel="0" collapsed="false">
      <c r="A66" s="2" t="s">
        <v>482</v>
      </c>
      <c r="B66" s="39" t="n">
        <v>2.20542864695914</v>
      </c>
      <c r="C66" s="2" t="s">
        <v>483</v>
      </c>
    </row>
    <row r="67" customFormat="false" ht="15" hidden="false" customHeight="false" outlineLevel="0" collapsed="false">
      <c r="A67" s="2" t="s">
        <v>484</v>
      </c>
      <c r="B67" s="39" t="n">
        <v>10.6107362966762</v>
      </c>
      <c r="C67" s="2" t="s">
        <v>485</v>
      </c>
    </row>
    <row r="68" customFormat="false" ht="15" hidden="false" customHeight="false" outlineLevel="0" collapsed="false">
      <c r="A68" s="2" t="s">
        <v>486</v>
      </c>
      <c r="B68" s="39" t="n">
        <v>14.4150204513103</v>
      </c>
      <c r="C68" s="2" t="s">
        <v>485</v>
      </c>
    </row>
    <row r="69" customFormat="false" ht="15" hidden="false" customHeight="false" outlineLevel="0" collapsed="false">
      <c r="A69" s="2" t="s">
        <v>487</v>
      </c>
      <c r="B69" s="39" t="n">
        <v>19.4108797981269</v>
      </c>
      <c r="C69" s="2" t="s">
        <v>485</v>
      </c>
    </row>
    <row r="70" customFormat="false" ht="15" hidden="false" customHeight="false" outlineLevel="0" collapsed="false">
      <c r="A70" s="2" t="s">
        <v>488</v>
      </c>
      <c r="B70" s="39" t="n">
        <v>26.0010400416017</v>
      </c>
      <c r="C70" s="2" t="s">
        <v>485</v>
      </c>
    </row>
    <row r="71" customFormat="false" ht="15" hidden="false" customHeight="false" outlineLevel="0" collapsed="false">
      <c r="A71" s="2" t="s">
        <v>489</v>
      </c>
      <c r="B71" s="39" t="n">
        <v>34.4718623423631</v>
      </c>
      <c r="C71" s="2" t="s">
        <v>485</v>
      </c>
    </row>
    <row r="72" customFormat="false" ht="15" hidden="false" customHeight="false" outlineLevel="0" collapsed="false">
      <c r="A72" s="2" t="s">
        <v>490</v>
      </c>
      <c r="B72" s="39" t="n">
        <v>59.8041414367945</v>
      </c>
      <c r="C72" s="2" t="s">
        <v>485</v>
      </c>
    </row>
    <row r="73" customFormat="false" ht="15" hidden="false" customHeight="false" outlineLevel="0" collapsed="false">
      <c r="A73" s="2" t="s">
        <v>491</v>
      </c>
      <c r="B73" s="39" t="n">
        <v>2.25</v>
      </c>
      <c r="C73" s="2" t="s">
        <v>276</v>
      </c>
    </row>
    <row r="74" customFormat="false" ht="15" hidden="false" customHeight="false" outlineLevel="0" collapsed="false">
      <c r="A74" s="2" t="s">
        <v>492</v>
      </c>
      <c r="B74" s="39" t="n">
        <v>9.48773583635852</v>
      </c>
      <c r="C74" s="2" t="s">
        <v>493</v>
      </c>
    </row>
    <row r="75" customFormat="false" ht="15" hidden="false" customHeight="false" outlineLevel="0" collapsed="false">
      <c r="A75" s="2" t="s">
        <v>494</v>
      </c>
      <c r="B75" s="39" t="n">
        <v>56.4728270008039</v>
      </c>
      <c r="C75" s="2" t="s">
        <v>495</v>
      </c>
    </row>
    <row r="76" customFormat="false" ht="15" hidden="false" customHeight="false" outlineLevel="0" collapsed="false">
      <c r="A76" s="2" t="s">
        <v>496</v>
      </c>
      <c r="B76" s="39" t="n">
        <v>18.1771728024095</v>
      </c>
      <c r="C76" s="2" t="s">
        <v>497</v>
      </c>
    </row>
    <row r="77" customFormat="false" ht="15" hidden="false" customHeight="false" outlineLevel="0" collapsed="false">
      <c r="A77" s="2" t="s">
        <v>498</v>
      </c>
      <c r="B77" s="39" t="n">
        <v>10.2927363191378</v>
      </c>
      <c r="C77" s="2" t="s">
        <v>499</v>
      </c>
    </row>
    <row r="78" customFormat="false" ht="15" hidden="false" customHeight="false" outlineLevel="0" collapsed="false">
      <c r="A78" s="2" t="s">
        <v>500</v>
      </c>
      <c r="B78" s="39" t="n">
        <v>12</v>
      </c>
      <c r="C78" s="2" t="s">
        <v>501</v>
      </c>
    </row>
    <row r="79" customFormat="false" ht="15" hidden="false" customHeight="false" outlineLevel="0" collapsed="false">
      <c r="A79" s="2" t="s">
        <v>502</v>
      </c>
      <c r="B79" s="39" t="n">
        <v>4</v>
      </c>
      <c r="C79" s="2" t="s">
        <v>503</v>
      </c>
    </row>
    <row r="80" customFormat="false" ht="15" hidden="false" customHeight="false" outlineLevel="0" collapsed="false">
      <c r="A80" s="2" t="s">
        <v>504</v>
      </c>
      <c r="B80" s="39" t="n">
        <v>22</v>
      </c>
      <c r="C80" s="2" t="s">
        <v>505</v>
      </c>
    </row>
    <row r="81" customFormat="false" ht="15" hidden="false" customHeight="false" outlineLevel="0" collapsed="false">
      <c r="A81" s="2" t="s">
        <v>506</v>
      </c>
      <c r="B81" s="39" t="n">
        <v>12.26814</v>
      </c>
      <c r="C81" s="2" t="s">
        <v>507</v>
      </c>
    </row>
    <row r="82" customFormat="false" ht="15" hidden="false" customHeight="false" outlineLevel="0" collapsed="false">
      <c r="A82" s="2" t="s">
        <v>508</v>
      </c>
      <c r="B82" s="39" t="n">
        <v>12</v>
      </c>
      <c r="C82" s="2" t="s">
        <v>509</v>
      </c>
    </row>
    <row r="83" customFormat="false" ht="15" hidden="false" customHeight="false" outlineLevel="0" collapsed="false">
      <c r="A83" s="2" t="s">
        <v>510</v>
      </c>
      <c r="B83" s="39" t="n">
        <v>12</v>
      </c>
      <c r="C83" s="2" t="s">
        <v>511</v>
      </c>
    </row>
    <row r="84" customFormat="false" ht="15" hidden="false" customHeight="false" outlineLevel="0" collapsed="false">
      <c r="A84" s="2" t="s">
        <v>512</v>
      </c>
      <c r="B84" s="39" t="n">
        <v>10</v>
      </c>
      <c r="C84" s="2" t="s">
        <v>511</v>
      </c>
    </row>
    <row r="85" customFormat="false" ht="15" hidden="false" customHeight="false" outlineLevel="0" collapsed="false">
      <c r="A85" s="2" t="s">
        <v>513</v>
      </c>
      <c r="B85" s="39" t="n">
        <v>16</v>
      </c>
      <c r="C85" s="2" t="s">
        <v>511</v>
      </c>
    </row>
    <row r="86" customFormat="false" ht="15" hidden="false" customHeight="false" outlineLevel="0" collapsed="false">
      <c r="A86" s="2" t="s">
        <v>514</v>
      </c>
      <c r="B86" s="39" t="n">
        <v>14</v>
      </c>
      <c r="C86" s="2" t="s">
        <v>511</v>
      </c>
    </row>
    <row r="87" customFormat="false" ht="15" hidden="false" customHeight="false" outlineLevel="0" collapsed="false">
      <c r="A87" s="2" t="s">
        <v>515</v>
      </c>
      <c r="B87" s="39" t="n">
        <v>14</v>
      </c>
      <c r="C87" s="2" t="s">
        <v>511</v>
      </c>
    </row>
    <row r="88" customFormat="false" ht="15" hidden="false" customHeight="false" outlineLevel="0" collapsed="false">
      <c r="A88" s="2" t="s">
        <v>516</v>
      </c>
      <c r="B88" s="39" t="n">
        <v>30</v>
      </c>
      <c r="C88" s="2" t="s">
        <v>511</v>
      </c>
    </row>
    <row r="89" customFormat="false" ht="15" hidden="false" customHeight="false" outlineLevel="0" collapsed="false">
      <c r="A89" s="2" t="s">
        <v>517</v>
      </c>
      <c r="B89" s="39" t="n">
        <v>22</v>
      </c>
      <c r="C89" s="2" t="s">
        <v>511</v>
      </c>
    </row>
    <row r="90" customFormat="false" ht="15" hidden="false" customHeight="false" outlineLevel="0" collapsed="false">
      <c r="A90" s="2" t="s">
        <v>518</v>
      </c>
      <c r="B90" s="39" t="n">
        <v>14</v>
      </c>
      <c r="C90" s="2" t="s">
        <v>511</v>
      </c>
    </row>
    <row r="91" customFormat="false" ht="15" hidden="false" customHeight="false" outlineLevel="0" collapsed="false">
      <c r="A91" s="2" t="s">
        <v>519</v>
      </c>
      <c r="B91" s="39" t="n">
        <v>0</v>
      </c>
      <c r="C91" s="2" t="s">
        <v>520</v>
      </c>
    </row>
    <row r="92" customFormat="false" ht="15" hidden="false" customHeight="false" outlineLevel="0" collapsed="false">
      <c r="A92" s="2" t="s">
        <v>521</v>
      </c>
      <c r="B92" s="39" t="n">
        <v>8</v>
      </c>
      <c r="C92" s="2" t="s">
        <v>522</v>
      </c>
    </row>
    <row r="93" customFormat="false" ht="15" hidden="false" customHeight="false" outlineLevel="0" collapsed="false">
      <c r="A93" s="2" t="s">
        <v>523</v>
      </c>
      <c r="B93" s="39" t="n">
        <v>1</v>
      </c>
      <c r="C93" s="2" t="s">
        <v>524</v>
      </c>
    </row>
    <row r="94" customFormat="false" ht="15" hidden="false" customHeight="false" outlineLevel="0" collapsed="false">
      <c r="A94" s="2" t="s">
        <v>525</v>
      </c>
      <c r="B94" s="39" t="n">
        <v>1</v>
      </c>
      <c r="C94" s="2" t="s">
        <v>408</v>
      </c>
    </row>
    <row r="95" customFormat="false" ht="15" hidden="false" customHeight="false" outlineLevel="0" collapsed="false">
      <c r="A95" s="2" t="s">
        <v>526</v>
      </c>
      <c r="B95" s="39" t="n">
        <v>11.1005959451636</v>
      </c>
      <c r="C95" s="2" t="s">
        <v>527</v>
      </c>
    </row>
    <row r="96" customFormat="false" ht="15" hidden="false" customHeight="false" outlineLevel="0" collapsed="false">
      <c r="A96" s="2" t="s">
        <v>528</v>
      </c>
      <c r="B96" s="39" t="n">
        <v>56.4728270008039</v>
      </c>
      <c r="C96" s="2" t="s">
        <v>495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22"/>
    <col collapsed="false" customWidth="true" hidden="false" outlineLevel="0" max="3" min="3" style="0" width="16"/>
    <col collapsed="false" customWidth="true" hidden="false" outlineLevel="0" max="5" min="4" style="0" width="11"/>
    <col collapsed="false" customWidth="true" hidden="false" outlineLevel="0" max="6" min="6" style="0" width="10"/>
  </cols>
  <sheetData>
    <row r="1" customFormat="false" ht="15" hidden="false" customHeight="false" outlineLevel="0" collapsed="false">
      <c r="A1" s="8" t="s">
        <v>373</v>
      </c>
      <c r="B1" s="8" t="s">
        <v>529</v>
      </c>
      <c r="C1" s="8" t="s">
        <v>374</v>
      </c>
      <c r="D1" s="8" t="s">
        <v>530</v>
      </c>
      <c r="E1" s="8" t="s">
        <v>531</v>
      </c>
      <c r="F1" s="8" t="s">
        <v>532</v>
      </c>
    </row>
    <row r="2" customFormat="false" ht="15" hidden="false" customHeight="false" outlineLevel="0" collapsed="false">
      <c r="A2" s="2" t="s">
        <v>68</v>
      </c>
      <c r="B2" s="11" t="n">
        <f aca="false">Declarations!B38</f>
        <v>0.45</v>
      </c>
      <c r="C2" s="22" t="n">
        <f aca="false">Reference_Values!B2</f>
        <v>0.45</v>
      </c>
      <c r="D2" s="40" t="n">
        <f aca="false">ABS(B2-C2)</f>
        <v>0</v>
      </c>
      <c r="E2" s="41" t="n">
        <v>1E-012</v>
      </c>
      <c r="F2" s="4" t="str">
        <f aca="false">IF(D2&lt;=E2,"PASS","FAIL")</f>
        <v>PASS</v>
      </c>
    </row>
    <row r="3" customFormat="false" ht="15" hidden="false" customHeight="false" outlineLevel="0" collapsed="false">
      <c r="A3" s="2" t="s">
        <v>376</v>
      </c>
      <c r="B3" s="11" t="n">
        <f aca="false">Declarations!B39</f>
        <v>0.670820393249937</v>
      </c>
      <c r="C3" s="22" t="n">
        <f aca="false">Reference_Values!B3</f>
        <v>0.670820393249937</v>
      </c>
      <c r="D3" s="40" t="n">
        <f aca="false">ABS(B3-C3)</f>
        <v>0</v>
      </c>
      <c r="E3" s="41" t="n">
        <v>1E-012</v>
      </c>
      <c r="F3" s="4" t="str">
        <f aca="false">IF(D3&lt;=E3,"PASS","FAIL")</f>
        <v>PASS</v>
      </c>
    </row>
    <row r="4" customFormat="false" ht="15" hidden="false" customHeight="false" outlineLevel="0" collapsed="false">
      <c r="A4" s="2" t="s">
        <v>378</v>
      </c>
      <c r="B4" s="11" t="n">
        <f aca="false">Sync!AG11</f>
        <v>3.01892763255976</v>
      </c>
      <c r="C4" s="22" t="n">
        <f aca="false">Reference_Values!B4</f>
        <v>3.01892763255976</v>
      </c>
      <c r="D4" s="40" t="n">
        <f aca="false">ABS(B4-C4)</f>
        <v>0</v>
      </c>
      <c r="E4" s="41" t="n">
        <v>1E-012</v>
      </c>
      <c r="F4" s="4" t="str">
        <f aca="false">IF(D4&lt;=E4,"PASS","FAIL")</f>
        <v>PASS</v>
      </c>
    </row>
    <row r="5" customFormat="false" ht="15" hidden="false" customHeight="false" outlineLevel="0" collapsed="false">
      <c r="A5" s="2" t="s">
        <v>380</v>
      </c>
      <c r="B5" s="11" t="n">
        <f aca="false">Sync!AG6</f>
        <v>1.33328524721285</v>
      </c>
      <c r="C5" s="22" t="n">
        <f aca="false">Reference_Values!B5</f>
        <v>1.33328524721285</v>
      </c>
      <c r="D5" s="40" t="n">
        <f aca="false">ABS(B5-C5)</f>
        <v>0</v>
      </c>
      <c r="E5" s="41" t="n">
        <v>1E-012</v>
      </c>
      <c r="F5" s="4" t="str">
        <f aca="false">IF(D5&lt;=E5,"PASS","FAIL")</f>
        <v>PASS</v>
      </c>
    </row>
    <row r="6" customFormat="false" ht="15" hidden="false" customHeight="false" outlineLevel="0" collapsed="false">
      <c r="A6" s="2" t="s">
        <v>382</v>
      </c>
      <c r="B6" s="11" t="n">
        <f aca="false">Sync!AH6</f>
        <v>1.46283222000429</v>
      </c>
      <c r="C6" s="22" t="n">
        <f aca="false">Reference_Values!B6</f>
        <v>1.46283222000429</v>
      </c>
      <c r="D6" s="40" t="n">
        <f aca="false">ABS(B6-C6)</f>
        <v>0</v>
      </c>
      <c r="E6" s="41" t="n">
        <v>1E-012</v>
      </c>
      <c r="F6" s="4" t="str">
        <f aca="false">IF(D6&lt;=E6,"PASS","FAIL")</f>
        <v>PASS</v>
      </c>
    </row>
    <row r="7" customFormat="false" ht="15" hidden="false" customHeight="false" outlineLevel="0" collapsed="false">
      <c r="A7" s="2" t="s">
        <v>384</v>
      </c>
      <c r="B7" s="11" t="n">
        <f aca="false">Sync!AI6</f>
        <v>1.57614137135711</v>
      </c>
      <c r="C7" s="22" t="n">
        <f aca="false">Reference_Values!B7</f>
        <v>1.57614137135711</v>
      </c>
      <c r="D7" s="40" t="n">
        <f aca="false">ABS(B7-C7)</f>
        <v>0</v>
      </c>
      <c r="E7" s="41" t="n">
        <v>1E-012</v>
      </c>
      <c r="F7" s="4" t="str">
        <f aca="false">IF(D7&lt;=E7,"PASS","FAIL")</f>
        <v>PASS</v>
      </c>
    </row>
    <row r="8" customFormat="false" ht="15" hidden="false" customHeight="false" outlineLevel="0" collapsed="false">
      <c r="A8" s="2" t="s">
        <v>386</v>
      </c>
      <c r="B8" s="11" t="n">
        <f aca="false">Sync!AJ6</f>
        <v>0.284423928069669</v>
      </c>
      <c r="C8" s="22" t="n">
        <f aca="false">Reference_Values!B8</f>
        <v>0.284423928069669</v>
      </c>
      <c r="D8" s="40" t="n">
        <f aca="false">ABS(B8-C8)</f>
        <v>0</v>
      </c>
      <c r="E8" s="41" t="n">
        <v>1E-012</v>
      </c>
      <c r="F8" s="4" t="str">
        <f aca="false">IF(D8&lt;=E8,"PASS","FAIL")</f>
        <v>PASS</v>
      </c>
    </row>
    <row r="9" customFormat="false" ht="15" hidden="false" customHeight="false" outlineLevel="0" collapsed="false">
      <c r="A9" s="2" t="s">
        <v>387</v>
      </c>
      <c r="B9" s="11" t="n">
        <f aca="false">Sync!AK6</f>
        <v>1.33328524712042</v>
      </c>
      <c r="C9" s="22" t="n">
        <f aca="false">Reference_Values!B9</f>
        <v>1.33328524721285</v>
      </c>
      <c r="D9" s="40" t="n">
        <f aca="false">ABS(B9-C9)</f>
        <v>9.24287313353034E-011</v>
      </c>
      <c r="E9" s="41" t="n">
        <v>1E-009</v>
      </c>
      <c r="F9" s="4" t="str">
        <f aca="false">IF(D9&lt;=E9,"PASS","FAIL")</f>
        <v>PASS</v>
      </c>
    </row>
    <row r="10" customFormat="false" ht="15" hidden="false" customHeight="false" outlineLevel="0" collapsed="false">
      <c r="A10" s="2" t="s">
        <v>389</v>
      </c>
      <c r="B10" s="11" t="n">
        <f aca="false">Sync!AG7</f>
        <v>1.16907054232416</v>
      </c>
      <c r="C10" s="22" t="n">
        <f aca="false">Reference_Values!B10</f>
        <v>1.16907054232417</v>
      </c>
      <c r="D10" s="40" t="n">
        <f aca="false">ABS(B10-C10)</f>
        <v>9.54791801177635E-015</v>
      </c>
      <c r="E10" s="41" t="n">
        <v>1E-012</v>
      </c>
      <c r="F10" s="4" t="str">
        <f aca="false">IF(D10&lt;=E10,"PASS","FAIL")</f>
        <v>PASS</v>
      </c>
    </row>
    <row r="11" customFormat="false" ht="15" hidden="false" customHeight="false" outlineLevel="0" collapsed="false">
      <c r="A11" s="2" t="s">
        <v>391</v>
      </c>
      <c r="B11" s="11" t="n">
        <f aca="false">Sync!AI7</f>
        <v>1.32258982303346</v>
      </c>
      <c r="C11" s="22" t="n">
        <f aca="false">Reference_Values!B11</f>
        <v>1.32258982303347</v>
      </c>
      <c r="D11" s="40" t="n">
        <f aca="false">ABS(B11-C11)</f>
        <v>8.21565038222616E-015</v>
      </c>
      <c r="E11" s="41" t="n">
        <v>1E-012</v>
      </c>
      <c r="F11" s="4" t="str">
        <f aca="false">IF(D11&lt;=E11,"PASS","FAIL")</f>
        <v>PASS</v>
      </c>
    </row>
    <row r="12" customFormat="false" ht="15" hidden="false" customHeight="false" outlineLevel="0" collapsed="false">
      <c r="A12" s="2" t="s">
        <v>393</v>
      </c>
      <c r="B12" s="11" t="n">
        <f aca="false">Sync!AJ7</f>
        <v>0.218676149268816</v>
      </c>
      <c r="C12" s="22" t="n">
        <f aca="false">Reference_Values!B12</f>
        <v>0.218676149268818</v>
      </c>
      <c r="D12" s="40" t="n">
        <f aca="false">ABS(B12-C12)</f>
        <v>2.13717932240343E-015</v>
      </c>
      <c r="E12" s="41" t="n">
        <v>1E-012</v>
      </c>
      <c r="F12" s="4" t="str">
        <f aca="false">IF(D12&lt;=E12,"PASS","FAIL")</f>
        <v>PASS</v>
      </c>
    </row>
    <row r="13" customFormat="false" ht="15" hidden="false" customHeight="false" outlineLevel="0" collapsed="false">
      <c r="A13" s="2" t="s">
        <v>395</v>
      </c>
      <c r="B13" s="11" t="n">
        <f aca="false">Sync!AG8</f>
        <v>0.887720676497816</v>
      </c>
      <c r="C13" s="22" t="n">
        <f aca="false">Reference_Values!B13</f>
        <v>0.887720676497822</v>
      </c>
      <c r="D13" s="40" t="n">
        <f aca="false">ABS(B13-C13)</f>
        <v>6.32827124036339E-015</v>
      </c>
      <c r="E13" s="41" t="n">
        <v>1E-012</v>
      </c>
      <c r="F13" s="4" t="str">
        <f aca="false">IF(D13&lt;=E13,"PASS","FAIL")</f>
        <v>PASS</v>
      </c>
    </row>
    <row r="14" customFormat="false" ht="15" hidden="false" customHeight="false" outlineLevel="0" collapsed="false">
      <c r="A14" s="2" t="s">
        <v>397</v>
      </c>
      <c r="B14" s="11" t="n">
        <f aca="false">Sync!AI8</f>
        <v>1.26092453555433</v>
      </c>
      <c r="C14" s="22" t="n">
        <f aca="false">Reference_Values!B14</f>
        <v>1.26092453555434</v>
      </c>
      <c r="D14" s="40" t="n">
        <f aca="false">ABS(B14-C14)</f>
        <v>0</v>
      </c>
      <c r="E14" s="41" t="n">
        <v>1E-012</v>
      </c>
      <c r="F14" s="4" t="str">
        <f aca="false">IF(D14&lt;=E14,"PASS","FAIL")</f>
        <v>PASS</v>
      </c>
    </row>
    <row r="15" customFormat="false" ht="15" hidden="false" customHeight="false" outlineLevel="0" collapsed="false">
      <c r="A15" s="2" t="s">
        <v>399</v>
      </c>
      <c r="B15" s="11" t="n">
        <f aca="false">Sync!AG9</f>
        <v>0.791423421574416</v>
      </c>
      <c r="C15" s="22" t="n">
        <f aca="false">Reference_Values!B15</f>
        <v>0.791423421574419</v>
      </c>
      <c r="D15" s="40" t="n">
        <f aca="false">ABS(B15-C15)</f>
        <v>3.77475828372553E-015</v>
      </c>
      <c r="E15" s="41" t="n">
        <v>1E-012</v>
      </c>
      <c r="F15" s="4" t="str">
        <f aca="false">IF(D15&lt;=E15,"PASS","FAIL")</f>
        <v>PASS</v>
      </c>
    </row>
    <row r="16" customFormat="false" ht="15" hidden="false" customHeight="false" outlineLevel="0" collapsed="false">
      <c r="A16" s="2" t="s">
        <v>401</v>
      </c>
      <c r="B16" s="11" t="n">
        <f aca="false">Sync!AI9</f>
        <v>1.02246024372631</v>
      </c>
      <c r="C16" s="22" t="n">
        <f aca="false">Reference_Values!B16</f>
        <v>1.02246024372631</v>
      </c>
      <c r="D16" s="40" t="n">
        <f aca="false">ABS(B16-C16)</f>
        <v>0</v>
      </c>
      <c r="E16" s="41" t="n">
        <v>1E-012</v>
      </c>
      <c r="F16" s="4" t="str">
        <f aca="false">IF(D16&lt;=E16,"PASS","FAIL")</f>
        <v>PASS</v>
      </c>
    </row>
    <row r="17" customFormat="false" ht="15" hidden="false" customHeight="false" outlineLevel="0" collapsed="false">
      <c r="A17" s="2" t="s">
        <v>403</v>
      </c>
      <c r="B17" s="11" t="n">
        <f aca="false">Sync!AG10</f>
        <v>2.5</v>
      </c>
      <c r="C17" s="22" t="n">
        <f aca="false">Reference_Values!B17</f>
        <v>2.5</v>
      </c>
      <c r="D17" s="40" t="n">
        <f aca="false">ABS(B17-C17)</f>
        <v>0</v>
      </c>
      <c r="E17" s="41" t="n">
        <v>1E-012</v>
      </c>
      <c r="F17" s="4" t="str">
        <f aca="false">IF(D17&lt;=E17,"PASS","FAIL")</f>
        <v>PASS</v>
      </c>
    </row>
    <row r="18" customFormat="false" ht="15" hidden="false" customHeight="false" outlineLevel="0" collapsed="false">
      <c r="A18" s="2" t="s">
        <v>405</v>
      </c>
      <c r="B18" s="11" t="n">
        <f aca="false">Sync!AI10</f>
        <v>2.52812306860248</v>
      </c>
      <c r="C18" s="22" t="n">
        <f aca="false">Reference_Values!B18</f>
        <v>2.52812306860248</v>
      </c>
      <c r="D18" s="40" t="n">
        <f aca="false">ABS(B18-C18)</f>
        <v>0</v>
      </c>
      <c r="E18" s="41" t="n">
        <v>1E-012</v>
      </c>
      <c r="F18" s="4" t="str">
        <f aca="false">IF(D18&lt;=E18,"PASS","FAIL")</f>
        <v>PASS</v>
      </c>
    </row>
    <row r="19" customFormat="false" ht="15" hidden="false" customHeight="false" outlineLevel="0" collapsed="false">
      <c r="A19" s="2" t="s">
        <v>407</v>
      </c>
      <c r="B19" s="11" t="n">
        <f aca="false">Sync!AB19</f>
        <v>1</v>
      </c>
      <c r="C19" s="22" t="n">
        <f aca="false">Reference_Values!B19</f>
        <v>1</v>
      </c>
      <c r="D19" s="40" t="n">
        <f aca="false">ABS(B19-C19)</f>
        <v>0</v>
      </c>
      <c r="E19" s="41" t="n">
        <v>0</v>
      </c>
      <c r="F19" s="4" t="str">
        <f aca="false">IF(D19&lt;=E19,"PASS","FAIL")</f>
        <v>PASS</v>
      </c>
    </row>
    <row r="20" customFormat="false" ht="15" hidden="false" customHeight="false" outlineLevel="0" collapsed="false">
      <c r="A20" s="2" t="s">
        <v>409</v>
      </c>
      <c r="B20" s="11" t="n">
        <f aca="false">Program!V6</f>
        <v>107.438703206098</v>
      </c>
      <c r="C20" s="22" t="n">
        <f aca="false">Reference_Values!B20</f>
        <v>107.438703206098</v>
      </c>
      <c r="D20" s="40" t="n">
        <f aca="false">ABS(B20-C20)</f>
        <v>0</v>
      </c>
      <c r="E20" s="41" t="n">
        <v>1E-009</v>
      </c>
      <c r="F20" s="4" t="str">
        <f aca="false">IF(D20&lt;=E20,"PASS","FAIL")</f>
        <v>PASS</v>
      </c>
    </row>
    <row r="21" customFormat="false" ht="15" hidden="false" customHeight="false" outlineLevel="0" collapsed="false">
      <c r="A21" s="2" t="s">
        <v>411</v>
      </c>
      <c r="B21" s="11" t="n">
        <f aca="false">Program!V7</f>
        <v>55.3018949616152</v>
      </c>
      <c r="C21" s="22" t="n">
        <f aca="false">Reference_Values!B21</f>
        <v>55.3018949616152</v>
      </c>
      <c r="D21" s="40" t="n">
        <f aca="false">ABS(B21-C21)</f>
        <v>0</v>
      </c>
      <c r="E21" s="41" t="n">
        <v>1E-009</v>
      </c>
      <c r="F21" s="4" t="str">
        <f aca="false">IF(D21&lt;=E21,"PASS","FAIL")</f>
        <v>PASS</v>
      </c>
    </row>
    <row r="22" customFormat="false" ht="15" hidden="false" customHeight="false" outlineLevel="0" collapsed="false">
      <c r="A22" s="2" t="s">
        <v>412</v>
      </c>
      <c r="B22" s="11" t="n">
        <f aca="false">Program!V8</f>
        <v>1.33318755887251</v>
      </c>
      <c r="C22" s="22" t="n">
        <f aca="false">Reference_Values!B22</f>
        <v>1.33318755887251</v>
      </c>
      <c r="D22" s="40" t="n">
        <f aca="false">ABS(B22-C22)</f>
        <v>0</v>
      </c>
      <c r="E22" s="41" t="n">
        <v>1E-012</v>
      </c>
      <c r="F22" s="4" t="str">
        <f aca="false">IF(D22&lt;=E22,"PASS","FAIL")</f>
        <v>PASS</v>
      </c>
    </row>
    <row r="23" customFormat="false" ht="15" hidden="false" customHeight="false" outlineLevel="0" collapsed="false">
      <c r="A23" s="2" t="s">
        <v>413</v>
      </c>
      <c r="B23" s="11" t="n">
        <f aca="false">Decide!R5</f>
        <v>55.75</v>
      </c>
      <c r="C23" s="22" t="n">
        <f aca="false">Reference_Values!B23</f>
        <v>55.75</v>
      </c>
      <c r="D23" s="40" t="n">
        <f aca="false">ABS(B23-C23)</f>
        <v>0</v>
      </c>
      <c r="E23" s="41" t="n">
        <v>1E-009</v>
      </c>
      <c r="F23" s="4" t="str">
        <f aca="false">IF(D23&lt;=E23,"PASS","FAIL")</f>
        <v>PASS</v>
      </c>
    </row>
    <row r="24" customFormat="false" ht="15" hidden="false" customHeight="false" outlineLevel="0" collapsed="false">
      <c r="A24" s="2" t="s">
        <v>415</v>
      </c>
      <c r="B24" s="11" t="n">
        <f aca="false">Decide!U5</f>
        <v>1</v>
      </c>
      <c r="C24" s="22" t="n">
        <f aca="false">Reference_Values!B24</f>
        <v>1</v>
      </c>
      <c r="D24" s="40" t="n">
        <f aca="false">ABS(B24-C24)</f>
        <v>0</v>
      </c>
      <c r="E24" s="41" t="n">
        <v>0</v>
      </c>
      <c r="F24" s="4" t="str">
        <f aca="false">IF(D24&lt;=E24,"PASS","FAIL")</f>
        <v>PASS</v>
      </c>
    </row>
    <row r="25" customFormat="false" ht="15" hidden="false" customHeight="false" outlineLevel="0" collapsed="false">
      <c r="A25" s="2" t="s">
        <v>417</v>
      </c>
      <c r="B25" s="11" t="n">
        <f aca="false">Decide!R6</f>
        <v>56.7</v>
      </c>
      <c r="C25" s="22" t="n">
        <f aca="false">Reference_Values!B25</f>
        <v>56.7</v>
      </c>
      <c r="D25" s="40" t="n">
        <f aca="false">ABS(B25-C25)</f>
        <v>0</v>
      </c>
      <c r="E25" s="41" t="n">
        <v>1E-009</v>
      </c>
      <c r="F25" s="4" t="str">
        <f aca="false">IF(D25&lt;=E25,"PASS","FAIL")</f>
        <v>PASS</v>
      </c>
    </row>
    <row r="26" customFormat="false" ht="15" hidden="false" customHeight="false" outlineLevel="0" collapsed="false">
      <c r="A26" s="2" t="s">
        <v>418</v>
      </c>
      <c r="B26" s="11" t="n">
        <f aca="false">Decide!U6</f>
        <v>1</v>
      </c>
      <c r="C26" s="22" t="n">
        <f aca="false">Reference_Values!B26</f>
        <v>1</v>
      </c>
      <c r="D26" s="40" t="n">
        <f aca="false">ABS(B26-C26)</f>
        <v>0</v>
      </c>
      <c r="E26" s="41" t="n">
        <v>0</v>
      </c>
      <c r="F26" s="4" t="str">
        <f aca="false">IF(D26&lt;=E26,"PASS","FAIL")</f>
        <v>PASS</v>
      </c>
    </row>
    <row r="27" customFormat="false" ht="15" hidden="false" customHeight="false" outlineLevel="0" collapsed="false">
      <c r="A27" s="2" t="s">
        <v>419</v>
      </c>
      <c r="B27" s="11" t="n">
        <f aca="false">Decide!R7</f>
        <v>57.35</v>
      </c>
      <c r="C27" s="22" t="n">
        <f aca="false">Reference_Values!B27</f>
        <v>57.35</v>
      </c>
      <c r="D27" s="40" t="n">
        <f aca="false">ABS(B27-C27)</f>
        <v>0</v>
      </c>
      <c r="E27" s="41" t="n">
        <v>1E-009</v>
      </c>
      <c r="F27" s="4" t="str">
        <f aca="false">IF(D27&lt;=E27,"PASS","FAIL")</f>
        <v>PASS</v>
      </c>
    </row>
    <row r="28" customFormat="false" ht="15" hidden="false" customHeight="false" outlineLevel="0" collapsed="false">
      <c r="A28" s="2" t="s">
        <v>421</v>
      </c>
      <c r="B28" s="11" t="n">
        <f aca="false">Decide!U7</f>
        <v>1</v>
      </c>
      <c r="C28" s="22" t="n">
        <f aca="false">Reference_Values!B28</f>
        <v>1</v>
      </c>
      <c r="D28" s="40" t="n">
        <f aca="false">ABS(B28-C28)</f>
        <v>0</v>
      </c>
      <c r="E28" s="41" t="n">
        <v>0</v>
      </c>
      <c r="F28" s="4" t="str">
        <f aca="false">IF(D28&lt;=E28,"PASS","FAIL")</f>
        <v>PASS</v>
      </c>
    </row>
    <row r="29" customFormat="false" ht="15" hidden="false" customHeight="false" outlineLevel="0" collapsed="false">
      <c r="A29" s="2" t="s">
        <v>422</v>
      </c>
      <c r="B29" s="11" t="n">
        <f aca="false">Decide!R8</f>
        <v>56.5</v>
      </c>
      <c r="C29" s="22" t="n">
        <f aca="false">Reference_Values!B29</f>
        <v>56.5</v>
      </c>
      <c r="D29" s="40" t="n">
        <f aca="false">ABS(B29-C29)</f>
        <v>0</v>
      </c>
      <c r="E29" s="41" t="n">
        <v>1E-009</v>
      </c>
      <c r="F29" s="4" t="str">
        <f aca="false">IF(D29&lt;=E29,"PASS","FAIL")</f>
        <v>PASS</v>
      </c>
    </row>
    <row r="30" customFormat="false" ht="15" hidden="false" customHeight="false" outlineLevel="0" collapsed="false">
      <c r="A30" s="2" t="s">
        <v>424</v>
      </c>
      <c r="B30" s="11" t="n">
        <f aca="false">Decide!U8</f>
        <v>1</v>
      </c>
      <c r="C30" s="22" t="n">
        <f aca="false">Reference_Values!B30</f>
        <v>1</v>
      </c>
      <c r="D30" s="40" t="n">
        <f aca="false">ABS(B30-C30)</f>
        <v>0</v>
      </c>
      <c r="E30" s="41" t="n">
        <v>0</v>
      </c>
      <c r="F30" s="4" t="str">
        <f aca="false">IF(D30&lt;=E30,"PASS","FAIL")</f>
        <v>PASS</v>
      </c>
    </row>
    <row r="31" customFormat="false" ht="15" hidden="false" customHeight="false" outlineLevel="0" collapsed="false">
      <c r="A31" s="2" t="s">
        <v>425</v>
      </c>
      <c r="B31" s="11" t="n">
        <f aca="false">Decide!R9</f>
        <v>56.4</v>
      </c>
      <c r="C31" s="22" t="n">
        <f aca="false">Reference_Values!B31</f>
        <v>56.4</v>
      </c>
      <c r="D31" s="40" t="n">
        <f aca="false">ABS(B31-C31)</f>
        <v>0</v>
      </c>
      <c r="E31" s="41" t="n">
        <v>1E-009</v>
      </c>
      <c r="F31" s="4" t="str">
        <f aca="false">IF(D31&lt;=E31,"PASS","FAIL")</f>
        <v>PASS</v>
      </c>
    </row>
    <row r="32" customFormat="false" ht="15" hidden="false" customHeight="false" outlineLevel="0" collapsed="false">
      <c r="A32" s="2" t="s">
        <v>427</v>
      </c>
      <c r="B32" s="11" t="n">
        <f aca="false">Decide!U9</f>
        <v>1</v>
      </c>
      <c r="C32" s="22" t="n">
        <f aca="false">Reference_Values!B32</f>
        <v>1</v>
      </c>
      <c r="D32" s="40" t="n">
        <f aca="false">ABS(B32-C32)</f>
        <v>0</v>
      </c>
      <c r="E32" s="41" t="n">
        <v>0</v>
      </c>
      <c r="F32" s="4" t="str">
        <f aca="false">IF(D32&lt;=E32,"PASS","FAIL")</f>
        <v>PASS</v>
      </c>
    </row>
    <row r="33" customFormat="false" ht="15" hidden="false" customHeight="false" outlineLevel="0" collapsed="false">
      <c r="A33" s="2" t="s">
        <v>428</v>
      </c>
      <c r="B33" s="11" t="n">
        <f aca="false">Decide!R10</f>
        <v>56.2</v>
      </c>
      <c r="C33" s="22" t="n">
        <f aca="false">Reference_Values!B33</f>
        <v>56.2</v>
      </c>
      <c r="D33" s="40" t="n">
        <f aca="false">ABS(B33-C33)</f>
        <v>0</v>
      </c>
      <c r="E33" s="41" t="n">
        <v>1E-009</v>
      </c>
      <c r="F33" s="4" t="str">
        <f aca="false">IF(D33&lt;=E33,"PASS","FAIL")</f>
        <v>PASS</v>
      </c>
    </row>
    <row r="34" customFormat="false" ht="15" hidden="false" customHeight="false" outlineLevel="0" collapsed="false">
      <c r="A34" s="2" t="s">
        <v>430</v>
      </c>
      <c r="B34" s="11" t="n">
        <f aca="false">Decide!U10</f>
        <v>1</v>
      </c>
      <c r="C34" s="22" t="n">
        <f aca="false">Reference_Values!B34</f>
        <v>1</v>
      </c>
      <c r="D34" s="40" t="n">
        <f aca="false">ABS(B34-C34)</f>
        <v>0</v>
      </c>
      <c r="E34" s="41" t="n">
        <v>0</v>
      </c>
      <c r="F34" s="4" t="str">
        <f aca="false">IF(D34&lt;=E34,"PASS","FAIL")</f>
        <v>PASS</v>
      </c>
    </row>
    <row r="35" customFormat="false" ht="15" hidden="false" customHeight="false" outlineLevel="0" collapsed="false">
      <c r="A35" s="2" t="s">
        <v>431</v>
      </c>
      <c r="B35" s="11" t="n">
        <f aca="false">Decide!R11</f>
        <v>57.8</v>
      </c>
      <c r="C35" s="22" t="n">
        <f aca="false">Reference_Values!B35</f>
        <v>57.8</v>
      </c>
      <c r="D35" s="40" t="n">
        <f aca="false">ABS(B35-C35)</f>
        <v>0</v>
      </c>
      <c r="E35" s="41" t="n">
        <v>1E-009</v>
      </c>
      <c r="F35" s="4" t="str">
        <f aca="false">IF(D35&lt;=E35,"PASS","FAIL")</f>
        <v>PASS</v>
      </c>
    </row>
    <row r="36" customFormat="false" ht="15" hidden="false" customHeight="false" outlineLevel="0" collapsed="false">
      <c r="A36" s="2" t="s">
        <v>433</v>
      </c>
      <c r="B36" s="11" t="n">
        <f aca="false">Decide!U11</f>
        <v>1</v>
      </c>
      <c r="C36" s="22" t="n">
        <f aca="false">Reference_Values!B36</f>
        <v>1</v>
      </c>
      <c r="D36" s="40" t="n">
        <f aca="false">ABS(B36-C36)</f>
        <v>0</v>
      </c>
      <c r="E36" s="41" t="n">
        <v>0</v>
      </c>
      <c r="F36" s="4" t="str">
        <f aca="false">IF(D36&lt;=E36,"PASS","FAIL")</f>
        <v>PASS</v>
      </c>
    </row>
    <row r="37" customFormat="false" ht="15" hidden="false" customHeight="false" outlineLevel="0" collapsed="false">
      <c r="A37" s="2" t="s">
        <v>434</v>
      </c>
      <c r="B37" s="11" t="n">
        <f aca="false">Decide!S5</f>
        <v>230.74711288601</v>
      </c>
      <c r="C37" s="22" t="n">
        <f aca="false">Reference_Values!B37</f>
        <v>230.74711288601</v>
      </c>
      <c r="D37" s="40" t="n">
        <f aca="false">ABS(B37-C37)</f>
        <v>0</v>
      </c>
      <c r="E37" s="41" t="n">
        <v>1E-009</v>
      </c>
      <c r="F37" s="4" t="str">
        <f aca="false">IF(D37&lt;=E37,"PASS","FAIL")</f>
        <v>PASS</v>
      </c>
    </row>
    <row r="38" customFormat="false" ht="15" hidden="false" customHeight="false" outlineLevel="0" collapsed="false">
      <c r="A38" s="2" t="s">
        <v>436</v>
      </c>
      <c r="B38" s="11" t="n">
        <f aca="false">Decide!S6</f>
        <v>241.851936756285</v>
      </c>
      <c r="C38" s="22" t="n">
        <f aca="false">Reference_Values!B38</f>
        <v>241.851936756285</v>
      </c>
      <c r="D38" s="40" t="n">
        <f aca="false">ABS(B38-C38)</f>
        <v>0</v>
      </c>
      <c r="E38" s="41" t="n">
        <v>1E-009</v>
      </c>
      <c r="F38" s="4" t="str">
        <f aca="false">IF(D38&lt;=E38,"PASS","FAIL")</f>
        <v>PASS</v>
      </c>
    </row>
    <row r="39" customFormat="false" ht="15" hidden="false" customHeight="false" outlineLevel="0" collapsed="false">
      <c r="A39" s="2" t="s">
        <v>438</v>
      </c>
      <c r="B39" s="11" t="n">
        <f aca="false">Decide!T6</f>
        <v>1.7</v>
      </c>
      <c r="C39" s="22" t="n">
        <f aca="false">Reference_Values!B39</f>
        <v>1.7</v>
      </c>
      <c r="D39" s="40" t="n">
        <f aca="false">ABS(B39-C39)</f>
        <v>0</v>
      </c>
      <c r="E39" s="41" t="n">
        <v>1E-009</v>
      </c>
      <c r="F39" s="4" t="str">
        <f aca="false">IF(D39&lt;=E39,"PASS","FAIL")</f>
        <v>PASS</v>
      </c>
    </row>
    <row r="40" customFormat="false" ht="15" hidden="false" customHeight="false" outlineLevel="0" collapsed="false">
      <c r="A40" s="2" t="s">
        <v>440</v>
      </c>
      <c r="B40" s="11" t="n">
        <f aca="false">Decide!F16</f>
        <v>11.1005959451636</v>
      </c>
      <c r="C40" s="22" t="n">
        <f aca="false">Reference_Values!B40</f>
        <v>11.1005959451636</v>
      </c>
      <c r="D40" s="40" t="n">
        <f aca="false">ABS(B40-C40)</f>
        <v>0</v>
      </c>
      <c r="E40" s="41" t="n">
        <v>1E-009</v>
      </c>
      <c r="F40" s="4" t="str">
        <f aca="false">IF(D40&lt;=E40,"PASS","FAIL")</f>
        <v>PASS</v>
      </c>
    </row>
    <row r="41" customFormat="false" ht="15" hidden="false" customHeight="false" outlineLevel="0" collapsed="false">
      <c r="A41" s="2" t="s">
        <v>442</v>
      </c>
      <c r="B41" s="11" t="n">
        <f aca="false">Decide!F17</f>
        <v>15.9497386799511</v>
      </c>
      <c r="C41" s="22" t="n">
        <f aca="false">Reference_Values!B41</f>
        <v>15.9497386799511</v>
      </c>
      <c r="D41" s="40" t="n">
        <f aca="false">ABS(B41-C41)</f>
        <v>0</v>
      </c>
      <c r="E41" s="41" t="n">
        <v>1E-009</v>
      </c>
      <c r="F41" s="4" t="str">
        <f aca="false">IF(D41&lt;=E41,"PASS","FAIL")</f>
        <v>PASS</v>
      </c>
    </row>
    <row r="42" customFormat="false" ht="15" hidden="false" customHeight="false" outlineLevel="0" collapsed="false">
      <c r="A42" s="2" t="s">
        <v>444</v>
      </c>
      <c r="B42" s="11" t="n">
        <f aca="false">Decide!F18</f>
        <v>8.63379980248908</v>
      </c>
      <c r="C42" s="22" t="n">
        <f aca="false">Reference_Values!B42</f>
        <v>8.63379980248911</v>
      </c>
      <c r="D42" s="40" t="n">
        <f aca="false">ABS(B42-C42)</f>
        <v>0</v>
      </c>
      <c r="E42" s="41" t="n">
        <v>1E-009</v>
      </c>
      <c r="F42" s="4" t="str">
        <f aca="false">IF(D42&lt;=E42,"PASS","FAIL")</f>
        <v>PASS</v>
      </c>
    </row>
    <row r="43" customFormat="false" ht="15" hidden="false" customHeight="false" outlineLevel="0" collapsed="false">
      <c r="A43" s="2" t="s">
        <v>446</v>
      </c>
      <c r="B43" s="11" t="n">
        <f aca="false">Decide!F19</f>
        <v>7.00535786568798</v>
      </c>
      <c r="C43" s="22" t="n">
        <f aca="false">Reference_Values!B43</f>
        <v>7.00535786568798</v>
      </c>
      <c r="D43" s="40" t="n">
        <f aca="false">ABS(B43-C43)</f>
        <v>0</v>
      </c>
      <c r="E43" s="41" t="n">
        <v>1E-009</v>
      </c>
      <c r="F43" s="4" t="str">
        <f aca="false">IF(D43&lt;=E43,"PASS","FAIL")</f>
        <v>PASS</v>
      </c>
    </row>
    <row r="44" customFormat="false" ht="15" hidden="false" customHeight="false" outlineLevel="0" collapsed="false">
      <c r="A44" s="2" t="s">
        <v>448</v>
      </c>
      <c r="B44" s="11" t="n">
        <f aca="false">Decide!F20</f>
        <v>4.9212146104671</v>
      </c>
      <c r="C44" s="22" t="n">
        <f aca="false">Reference_Values!B44</f>
        <v>4.92121461046708</v>
      </c>
      <c r="D44" s="40" t="n">
        <f aca="false">ABS(B44-C44)</f>
        <v>2.8421709430404E-014</v>
      </c>
      <c r="E44" s="41" t="n">
        <v>1E-009</v>
      </c>
      <c r="F44" s="4" t="str">
        <f aca="false">IF(D44&lt;=E44,"PASS","FAIL")</f>
        <v>PASS</v>
      </c>
    </row>
    <row r="45" customFormat="false" ht="15" hidden="false" customHeight="false" outlineLevel="0" collapsed="false">
      <c r="A45" s="2" t="s">
        <v>450</v>
      </c>
      <c r="B45" s="11" t="n">
        <f aca="false">Decide!F21</f>
        <v>25.4333452365893</v>
      </c>
      <c r="C45" s="22" t="n">
        <f aca="false">Reference_Values!B45</f>
        <v>25.4333452365893</v>
      </c>
      <c r="D45" s="40" t="n">
        <f aca="false">ABS(B45-C45)</f>
        <v>0</v>
      </c>
      <c r="E45" s="41" t="n">
        <v>1E-009</v>
      </c>
      <c r="F45" s="4" t="str">
        <f aca="false">IF(D45&lt;=E45,"PASS","FAIL")</f>
        <v>PASS</v>
      </c>
    </row>
    <row r="46" customFormat="false" ht="15" hidden="false" customHeight="false" outlineLevel="0" collapsed="false">
      <c r="A46" s="2" t="s">
        <v>452</v>
      </c>
      <c r="B46" s="11" t="n">
        <f aca="false">Decide!F22</f>
        <v>16.3134419957636</v>
      </c>
      <c r="C46" s="22" t="n">
        <f aca="false">Reference_Values!B46</f>
        <v>16.3134419957636</v>
      </c>
      <c r="D46" s="40" t="n">
        <f aca="false">ABS(B46-C46)</f>
        <v>0</v>
      </c>
      <c r="E46" s="41" t="n">
        <v>1E-009</v>
      </c>
      <c r="F46" s="4" t="str">
        <f aca="false">IF(D46&lt;=E46,"PASS","FAIL")</f>
        <v>PASS</v>
      </c>
    </row>
    <row r="47" customFormat="false" ht="15" hidden="false" customHeight="false" outlineLevel="0" collapsed="false">
      <c r="A47" s="2" t="s">
        <v>454</v>
      </c>
      <c r="B47" s="11" t="n">
        <f aca="false">Decide!F23</f>
        <v>27.5086613976603</v>
      </c>
      <c r="C47" s="22" t="n">
        <f aca="false">Reference_Values!B47</f>
        <v>27.5086613976603</v>
      </c>
      <c r="D47" s="40" t="n">
        <f aca="false">ABS(B47-C47)</f>
        <v>0</v>
      </c>
      <c r="E47" s="41" t="n">
        <v>1E-009</v>
      </c>
      <c r="F47" s="4" t="str">
        <f aca="false">IF(D47&lt;=E47,"PASS","FAIL")</f>
        <v>PASS</v>
      </c>
    </row>
    <row r="48" customFormat="false" ht="15" hidden="false" customHeight="false" outlineLevel="0" collapsed="false">
      <c r="A48" s="2" t="s">
        <v>456</v>
      </c>
      <c r="B48" s="11" t="n">
        <f aca="false">Decide!F24</f>
        <v>34.3960757756762</v>
      </c>
      <c r="C48" s="22" t="n">
        <f aca="false">Reference_Values!B48</f>
        <v>34.3960757756762</v>
      </c>
      <c r="D48" s="40" t="n">
        <f aca="false">ABS(B48-C48)</f>
        <v>0</v>
      </c>
      <c r="E48" s="41" t="n">
        <v>1E-009</v>
      </c>
      <c r="F48" s="4" t="str">
        <f aca="false">IF(D48&lt;=E48,"PASS","FAIL")</f>
        <v>PASS</v>
      </c>
    </row>
    <row r="49" customFormat="false" ht="15" hidden="false" customHeight="false" outlineLevel="0" collapsed="false">
      <c r="A49" s="2" t="s">
        <v>458</v>
      </c>
      <c r="B49" s="11" t="n">
        <f aca="false">Decide!B28</f>
        <v>4.84914273478748</v>
      </c>
      <c r="C49" s="22" t="n">
        <f aca="false">Reference_Values!B49</f>
        <v>4.84914273478742</v>
      </c>
      <c r="D49" s="40" t="n">
        <f aca="false">ABS(B49-C49)</f>
        <v>5.6843418860808E-014</v>
      </c>
      <c r="E49" s="41" t="n">
        <v>1E-009</v>
      </c>
      <c r="F49" s="4" t="str">
        <f aca="false">IF(D49&lt;=E49,"PASS","FAIL")</f>
        <v>PASS</v>
      </c>
    </row>
    <row r="50" customFormat="false" ht="15" hidden="false" customHeight="false" outlineLevel="0" collapsed="false">
      <c r="A50" s="2" t="s">
        <v>460</v>
      </c>
      <c r="B50" s="11" t="n">
        <f aca="false">Decide!B27</f>
        <v>1</v>
      </c>
      <c r="C50" s="22" t="n">
        <f aca="false">Reference_Values!B50</f>
        <v>1</v>
      </c>
      <c r="D50" s="40" t="n">
        <f aca="false">ABS(B50-C50)</f>
        <v>0</v>
      </c>
      <c r="E50" s="41" t="n">
        <v>0</v>
      </c>
      <c r="F50" s="4" t="str">
        <f aca="false">IF(D50&lt;=E50,"PASS","FAIL")</f>
        <v>PASS</v>
      </c>
    </row>
    <row r="51" customFormat="false" ht="15" hidden="false" customHeight="false" outlineLevel="0" collapsed="false">
      <c r="A51" s="2" t="s">
        <v>461</v>
      </c>
      <c r="B51" s="11" t="n">
        <f aca="false">Decide!B32</f>
        <v>0.908414934660905</v>
      </c>
      <c r="C51" s="22" t="n">
        <f aca="false">Reference_Values!B51</f>
        <v>0.908414934661464</v>
      </c>
      <c r="D51" s="40" t="n">
        <f aca="false">ABS(B51-C51)</f>
        <v>5.58997292898766E-013</v>
      </c>
      <c r="E51" s="41" t="n">
        <v>1E-009</v>
      </c>
      <c r="F51" s="4" t="str">
        <f aca="false">IF(D51&lt;=E51,"PASS","FAIL")</f>
        <v>PASS</v>
      </c>
    </row>
    <row r="52" customFormat="false" ht="15" hidden="false" customHeight="false" outlineLevel="0" collapsed="false">
      <c r="A52" s="2" t="s">
        <v>462</v>
      </c>
      <c r="B52" s="11" t="n">
        <f aca="false">Decide!B38</f>
        <v>0.122784222711113</v>
      </c>
      <c r="C52" s="22" t="n">
        <f aca="false">Reference_Values!B52</f>
        <v>0.122784222711113</v>
      </c>
      <c r="D52" s="40" t="n">
        <f aca="false">ABS(B52-C52)</f>
        <v>0</v>
      </c>
      <c r="E52" s="41" t="n">
        <v>1E-012</v>
      </c>
      <c r="F52" s="4" t="str">
        <f aca="false">IF(D52&lt;=E52,"PASS","FAIL")</f>
        <v>PASS</v>
      </c>
    </row>
    <row r="53" customFormat="false" ht="15" hidden="false" customHeight="false" outlineLevel="0" collapsed="false">
      <c r="A53" s="2" t="s">
        <v>464</v>
      </c>
      <c r="B53" s="11" t="n">
        <f aca="false">Decide!B48</f>
        <v>0.75</v>
      </c>
      <c r="C53" s="22" t="n">
        <f aca="false">Reference_Values!B53</f>
        <v>0.75</v>
      </c>
      <c r="D53" s="40" t="n">
        <f aca="false">ABS(B53-C53)</f>
        <v>0</v>
      </c>
      <c r="E53" s="41" t="n">
        <v>0</v>
      </c>
      <c r="F53" s="4" t="str">
        <f aca="false">IF(D53&lt;=E53,"PASS","FAIL")</f>
        <v>PASS</v>
      </c>
    </row>
    <row r="54" customFormat="false" ht="15" hidden="false" customHeight="false" outlineLevel="0" collapsed="false">
      <c r="A54" s="2" t="s">
        <v>466</v>
      </c>
      <c r="B54" s="11" t="n">
        <f aca="false">Decide!B49</f>
        <v>1.16118064185958</v>
      </c>
      <c r="C54" s="22" t="n">
        <f aca="false">Reference_Values!B54</f>
        <v>1.16118064185958</v>
      </c>
      <c r="D54" s="40" t="n">
        <f aca="false">ABS(B54-C54)</f>
        <v>0</v>
      </c>
      <c r="E54" s="41" t="n">
        <v>1E-006</v>
      </c>
      <c r="F54" s="4" t="str">
        <f aca="false">IF(D54&lt;=E54,"PASS","FAIL")</f>
        <v>PASS</v>
      </c>
    </row>
    <row r="55" customFormat="false" ht="15" hidden="false" customHeight="false" outlineLevel="0" collapsed="false">
      <c r="A55" s="2" t="s">
        <v>468</v>
      </c>
      <c r="B55" s="11" t="n">
        <f aca="false">Decide!D53</f>
        <v>1.69861245615745</v>
      </c>
      <c r="C55" s="22" t="n">
        <f aca="false">Reference_Values!B55</f>
        <v>1.69861245615745</v>
      </c>
      <c r="D55" s="40" t="n">
        <f aca="false">ABS(B55-C55)</f>
        <v>0</v>
      </c>
      <c r="E55" s="41" t="n">
        <v>1E-006</v>
      </c>
      <c r="F55" s="4" t="str">
        <f aca="false">IF(D55&lt;=E55,"PASS","FAIL")</f>
        <v>PASS</v>
      </c>
    </row>
    <row r="56" customFormat="false" ht="15" hidden="false" customHeight="false" outlineLevel="0" collapsed="false">
      <c r="A56" s="2" t="s">
        <v>469</v>
      </c>
      <c r="B56" s="11" t="n">
        <f aca="false">Readings!B5</f>
        <v>1.04549454665733</v>
      </c>
      <c r="C56" s="22" t="n">
        <f aca="false">Reference_Values!B56</f>
        <v>1.04549454665734</v>
      </c>
      <c r="D56" s="40" t="n">
        <f aca="false">ABS(B56-C56)</f>
        <v>0</v>
      </c>
      <c r="E56" s="41" t="n">
        <v>1E-009</v>
      </c>
      <c r="F56" s="4" t="str">
        <f aca="false">IF(D56&lt;=E56,"PASS","FAIL")</f>
        <v>PASS</v>
      </c>
    </row>
    <row r="57" customFormat="false" ht="15" hidden="false" customHeight="false" outlineLevel="0" collapsed="false">
      <c r="A57" s="2" t="s">
        <v>471</v>
      </c>
      <c r="B57" s="11" t="n">
        <f aca="false">Readings!B6</f>
        <v>0.23233184304895</v>
      </c>
      <c r="C57" s="22" t="n">
        <f aca="false">Reference_Values!B57</f>
        <v>0.23233184304895</v>
      </c>
      <c r="D57" s="40" t="n">
        <f aca="false">ABS(B57-C57)</f>
        <v>0</v>
      </c>
      <c r="E57" s="41" t="n">
        <v>1E-009</v>
      </c>
      <c r="F57" s="4" t="str">
        <f aca="false">IF(D57&lt;=E57,"PASS","FAIL")</f>
        <v>PASS</v>
      </c>
    </row>
    <row r="58" customFormat="false" ht="15" hidden="false" customHeight="false" outlineLevel="0" collapsed="false">
      <c r="A58" s="2" t="s">
        <v>473</v>
      </c>
      <c r="B58" s="11" t="n">
        <f aca="false">Readings!B7</f>
        <v>0.385704434293965</v>
      </c>
      <c r="C58" s="22" t="n">
        <f aca="false">Reference_Values!B58</f>
        <v>0.385704434293968</v>
      </c>
      <c r="D58" s="40" t="n">
        <f aca="false">ABS(B58-C58)</f>
        <v>2.72004641033163E-015</v>
      </c>
      <c r="E58" s="41" t="n">
        <v>1E-009</v>
      </c>
      <c r="F58" s="4" t="str">
        <f aca="false">IF(D58&lt;=E58,"PASS","FAIL")</f>
        <v>PASS</v>
      </c>
    </row>
    <row r="59" customFormat="false" ht="15" hidden="false" customHeight="false" outlineLevel="0" collapsed="false">
      <c r="A59" s="2" t="s">
        <v>474</v>
      </c>
      <c r="B59" s="11" t="n">
        <f aca="false">Readings!B8</f>
        <v>0.581996635050577</v>
      </c>
      <c r="C59" s="22" t="n">
        <f aca="false">Reference_Values!B59</f>
        <v>0.581996635050583</v>
      </c>
      <c r="D59" s="40" t="n">
        <f aca="false">ABS(B59-C59)</f>
        <v>5.32907051820075E-015</v>
      </c>
      <c r="E59" s="41" t="n">
        <v>1E-009</v>
      </c>
      <c r="F59" s="4" t="str">
        <f aca="false">IF(D59&lt;=E59,"PASS","FAIL")</f>
        <v>PASS</v>
      </c>
    </row>
    <row r="60" customFormat="false" ht="15" hidden="false" customHeight="false" outlineLevel="0" collapsed="false">
      <c r="A60" s="2" t="s">
        <v>475</v>
      </c>
      <c r="B60" s="11" t="n">
        <f aca="false">Readings!B32</f>
        <v>1</v>
      </c>
      <c r="C60" s="22" t="n">
        <f aca="false">Reference_Values!B60</f>
        <v>1</v>
      </c>
      <c r="D60" s="40" t="n">
        <f aca="false">ABS(B60-C60)</f>
        <v>0</v>
      </c>
      <c r="E60" s="41" t="n">
        <v>0</v>
      </c>
      <c r="F60" s="4" t="str">
        <f aca="false">IF(D60&lt;=E60,"PASS","FAIL")</f>
        <v>PASS</v>
      </c>
    </row>
    <row r="61" customFormat="false" ht="15" hidden="false" customHeight="false" outlineLevel="0" collapsed="false">
      <c r="A61" s="2" t="s">
        <v>477</v>
      </c>
      <c r="B61" s="11" t="n">
        <f aca="false">Readings!B33</f>
        <v>1</v>
      </c>
      <c r="C61" s="22" t="n">
        <f aca="false">Reference_Values!B61</f>
        <v>1</v>
      </c>
      <c r="D61" s="40" t="n">
        <f aca="false">ABS(B61-C61)</f>
        <v>0</v>
      </c>
      <c r="E61" s="41" t="n">
        <v>0</v>
      </c>
      <c r="F61" s="4" t="str">
        <f aca="false">IF(D61&lt;=E61,"PASS","FAIL")</f>
        <v>PASS</v>
      </c>
    </row>
    <row r="62" customFormat="false" ht="15" hidden="false" customHeight="false" outlineLevel="0" collapsed="false">
      <c r="A62" s="2" t="s">
        <v>478</v>
      </c>
      <c r="B62" s="11" t="n">
        <f aca="false">Readings!B34</f>
        <v>1</v>
      </c>
      <c r="C62" s="22" t="n">
        <f aca="false">Reference_Values!B62</f>
        <v>1</v>
      </c>
      <c r="D62" s="40" t="n">
        <f aca="false">ABS(B62-C62)</f>
        <v>0</v>
      </c>
      <c r="E62" s="41" t="n">
        <v>0</v>
      </c>
      <c r="F62" s="4" t="str">
        <f aca="false">IF(D62&lt;=E62,"PASS","FAIL")</f>
        <v>PASS</v>
      </c>
    </row>
    <row r="63" customFormat="false" ht="15" hidden="false" customHeight="false" outlineLevel="0" collapsed="false">
      <c r="A63" s="2" t="s">
        <v>479</v>
      </c>
      <c r="B63" s="11" t="n">
        <f aca="false">Bias!B8</f>
        <v>2.20991156836391</v>
      </c>
      <c r="C63" s="22" t="n">
        <f aca="false">Reference_Values!B63</f>
        <v>2.20991156836391</v>
      </c>
      <c r="D63" s="40" t="n">
        <f aca="false">ABS(B63-C63)</f>
        <v>0</v>
      </c>
      <c r="E63" s="41" t="n">
        <v>1E-009</v>
      </c>
      <c r="F63" s="4" t="str">
        <f aca="false">IF(D63&lt;=E63,"PASS","FAIL")</f>
        <v>PASS</v>
      </c>
    </row>
    <row r="64" customFormat="false" ht="15" hidden="false" customHeight="false" outlineLevel="0" collapsed="false">
      <c r="A64" s="2" t="s">
        <v>480</v>
      </c>
      <c r="B64" s="11" t="n">
        <f aca="false">Bias!B9</f>
        <v>3.08829718467595</v>
      </c>
      <c r="C64" s="22" t="n">
        <f aca="false">Reference_Values!B64</f>
        <v>3.08829718467594</v>
      </c>
      <c r="D64" s="40" t="n">
        <f aca="false">ABS(B64-C64)</f>
        <v>0</v>
      </c>
      <c r="E64" s="41" t="n">
        <v>1E-009</v>
      </c>
      <c r="F64" s="4" t="str">
        <f aca="false">IF(D64&lt;=E64,"PASS","FAIL")</f>
        <v>PASS</v>
      </c>
    </row>
    <row r="65" customFormat="false" ht="15" hidden="false" customHeight="false" outlineLevel="0" collapsed="false">
      <c r="A65" s="2" t="s">
        <v>481</v>
      </c>
      <c r="B65" s="11" t="n">
        <f aca="false">Bias!B11</f>
        <v>-1.04497760167086</v>
      </c>
      <c r="C65" s="22" t="n">
        <f aca="false">Reference_Values!B65</f>
        <v>-1.04497760167085</v>
      </c>
      <c r="D65" s="40" t="n">
        <f aca="false">ABS(B65-C65)</f>
        <v>0</v>
      </c>
      <c r="E65" s="41" t="n">
        <v>1E-009</v>
      </c>
      <c r="F65" s="4" t="str">
        <f aca="false">IF(D65&lt;=E65,"PASS","FAIL")</f>
        <v>PASS</v>
      </c>
    </row>
    <row r="66" customFormat="false" ht="15" hidden="false" customHeight="false" outlineLevel="0" collapsed="false">
      <c r="A66" s="2" t="s">
        <v>482</v>
      </c>
      <c r="B66" s="11" t="n">
        <f aca="false">Bias!B12</f>
        <v>2.20542864695914</v>
      </c>
      <c r="C66" s="22" t="n">
        <f aca="false">Reference_Values!B66</f>
        <v>2.20542864695914</v>
      </c>
      <c r="D66" s="40" t="n">
        <f aca="false">ABS(B66-C66)</f>
        <v>0</v>
      </c>
      <c r="E66" s="41" t="n">
        <v>1E-009</v>
      </c>
      <c r="F66" s="4" t="str">
        <f aca="false">IF(D66&lt;=E66,"PASS","FAIL")</f>
        <v>PASS</v>
      </c>
    </row>
    <row r="67" customFormat="false" ht="15" hidden="false" customHeight="false" outlineLevel="0" collapsed="false">
      <c r="A67" s="2" t="s">
        <v>484</v>
      </c>
      <c r="B67" s="11" t="n">
        <f aca="false">Monitor!D5</f>
        <v>10.6107362966762</v>
      </c>
      <c r="C67" s="22" t="n">
        <f aca="false">Reference_Values!B67</f>
        <v>10.6107362966762</v>
      </c>
      <c r="D67" s="40" t="n">
        <f aca="false">ABS(B67-C67)</f>
        <v>0</v>
      </c>
      <c r="E67" s="41" t="n">
        <v>1E-009</v>
      </c>
      <c r="F67" s="4" t="str">
        <f aca="false">IF(D67&lt;=E67,"PASS","FAIL")</f>
        <v>PASS</v>
      </c>
    </row>
    <row r="68" customFormat="false" ht="15" hidden="false" customHeight="false" outlineLevel="0" collapsed="false">
      <c r="A68" s="2" t="s">
        <v>486</v>
      </c>
      <c r="B68" s="11" t="n">
        <f aca="false">Monitor!D6</f>
        <v>14.4150204513103</v>
      </c>
      <c r="C68" s="22" t="n">
        <f aca="false">Reference_Values!B68</f>
        <v>14.4150204513103</v>
      </c>
      <c r="D68" s="40" t="n">
        <f aca="false">ABS(B68-C68)</f>
        <v>0</v>
      </c>
      <c r="E68" s="41" t="n">
        <v>1E-009</v>
      </c>
      <c r="F68" s="4" t="str">
        <f aca="false">IF(D68&lt;=E68,"PASS","FAIL")</f>
        <v>PASS</v>
      </c>
    </row>
    <row r="69" customFormat="false" ht="15" hidden="false" customHeight="false" outlineLevel="0" collapsed="false">
      <c r="A69" s="2" t="s">
        <v>487</v>
      </c>
      <c r="B69" s="11" t="n">
        <f aca="false">Monitor!D7</f>
        <v>19.4108797981269</v>
      </c>
      <c r="C69" s="22" t="n">
        <f aca="false">Reference_Values!B69</f>
        <v>19.4108797981269</v>
      </c>
      <c r="D69" s="40" t="n">
        <f aca="false">ABS(B69-C69)</f>
        <v>0</v>
      </c>
      <c r="E69" s="41" t="n">
        <v>1E-009</v>
      </c>
      <c r="F69" s="4" t="str">
        <f aca="false">IF(D69&lt;=E69,"PASS","FAIL")</f>
        <v>PASS</v>
      </c>
    </row>
    <row r="70" customFormat="false" ht="15" hidden="false" customHeight="false" outlineLevel="0" collapsed="false">
      <c r="A70" s="2" t="s">
        <v>488</v>
      </c>
      <c r="B70" s="11" t="n">
        <f aca="false">Monitor!D8</f>
        <v>26.0010400416017</v>
      </c>
      <c r="C70" s="22" t="n">
        <f aca="false">Reference_Values!B70</f>
        <v>26.0010400416017</v>
      </c>
      <c r="D70" s="40" t="n">
        <f aca="false">ABS(B70-C70)</f>
        <v>0</v>
      </c>
      <c r="E70" s="41" t="n">
        <v>1E-009</v>
      </c>
      <c r="F70" s="4" t="str">
        <f aca="false">IF(D70&lt;=E70,"PASS","FAIL")</f>
        <v>PASS</v>
      </c>
    </row>
    <row r="71" customFormat="false" ht="15" hidden="false" customHeight="false" outlineLevel="0" collapsed="false">
      <c r="A71" s="2" t="s">
        <v>489</v>
      </c>
      <c r="B71" s="11" t="n">
        <f aca="false">Monitor!D9</f>
        <v>34.4718623423631</v>
      </c>
      <c r="C71" s="22" t="n">
        <f aca="false">Reference_Values!B71</f>
        <v>34.4718623423631</v>
      </c>
      <c r="D71" s="40" t="n">
        <f aca="false">ABS(B71-C71)</f>
        <v>0</v>
      </c>
      <c r="E71" s="41" t="n">
        <v>1E-009</v>
      </c>
      <c r="F71" s="4" t="str">
        <f aca="false">IF(D71&lt;=E71,"PASS","FAIL")</f>
        <v>PASS</v>
      </c>
    </row>
    <row r="72" customFormat="false" ht="15" hidden="false" customHeight="false" outlineLevel="0" collapsed="false">
      <c r="A72" s="2" t="s">
        <v>490</v>
      </c>
      <c r="B72" s="11" t="n">
        <f aca="false">Monitor!D10</f>
        <v>59.8041414367945</v>
      </c>
      <c r="C72" s="22" t="n">
        <f aca="false">Reference_Values!B72</f>
        <v>59.8041414367945</v>
      </c>
      <c r="D72" s="40" t="n">
        <f aca="false">ABS(B72-C72)</f>
        <v>0</v>
      </c>
      <c r="E72" s="41" t="n">
        <v>1E-009</v>
      </c>
      <c r="F72" s="4" t="str">
        <f aca="false">IF(D72&lt;=E72,"PASS","FAIL")</f>
        <v>PASS</v>
      </c>
    </row>
    <row r="73" customFormat="false" ht="15" hidden="false" customHeight="false" outlineLevel="0" collapsed="false">
      <c r="A73" s="2" t="s">
        <v>491</v>
      </c>
      <c r="B73" s="11" t="n">
        <f aca="false">Monitor!B12</f>
        <v>2.25</v>
      </c>
      <c r="C73" s="22" t="n">
        <f aca="false">Reference_Values!B73</f>
        <v>2.25</v>
      </c>
      <c r="D73" s="40" t="n">
        <f aca="false">ABS(B73-C73)</f>
        <v>0</v>
      </c>
      <c r="E73" s="41" t="n">
        <v>0</v>
      </c>
      <c r="F73" s="4" t="str">
        <f aca="false">IF(D73&lt;=E73,"PASS","FAIL")</f>
        <v>PASS</v>
      </c>
    </row>
    <row r="74" customFormat="false" ht="15" hidden="false" customHeight="false" outlineLevel="0" collapsed="false">
      <c r="A74" s="2" t="s">
        <v>492</v>
      </c>
      <c r="B74" s="11" t="n">
        <f aca="false">Monitor!B16</f>
        <v>9.48773583635853</v>
      </c>
      <c r="C74" s="22" t="n">
        <f aca="false">Reference_Values!B74</f>
        <v>9.48773583635852</v>
      </c>
      <c r="D74" s="40" t="n">
        <f aca="false">ABS(B74-C74)</f>
        <v>0</v>
      </c>
      <c r="E74" s="41" t="n">
        <v>1E-009</v>
      </c>
      <c r="F74" s="4" t="str">
        <f aca="false">IF(D74&lt;=E74,"PASS","FAIL")</f>
        <v>PASS</v>
      </c>
    </row>
    <row r="75" customFormat="false" ht="15" hidden="false" customHeight="false" outlineLevel="0" collapsed="false">
      <c r="A75" s="2" t="s">
        <v>494</v>
      </c>
      <c r="B75" s="11" t="n">
        <f aca="false">Drift!C6</f>
        <v>56.4728270008039</v>
      </c>
      <c r="C75" s="22" t="n">
        <f aca="false">Reference_Values!B75</f>
        <v>56.4728270008039</v>
      </c>
      <c r="D75" s="40" t="n">
        <f aca="false">ABS(B75-C75)</f>
        <v>0</v>
      </c>
      <c r="E75" s="41" t="n">
        <v>1E-009</v>
      </c>
      <c r="F75" s="4" t="str">
        <f aca="false">IF(D75&lt;=E75,"PASS","FAIL")</f>
        <v>PASS</v>
      </c>
    </row>
    <row r="76" customFormat="false" ht="15" hidden="false" customHeight="false" outlineLevel="0" collapsed="false">
      <c r="A76" s="2" t="s">
        <v>496</v>
      </c>
      <c r="B76" s="11" t="n">
        <f aca="false">Drift!C7</f>
        <v>18.1771728024095</v>
      </c>
      <c r="C76" s="22" t="n">
        <f aca="false">Reference_Values!B76</f>
        <v>18.1771728024095</v>
      </c>
      <c r="D76" s="40" t="n">
        <f aca="false">ABS(B76-C76)</f>
        <v>0</v>
      </c>
      <c r="E76" s="41" t="n">
        <v>1E-009</v>
      </c>
      <c r="F76" s="4" t="str">
        <f aca="false">IF(D76&lt;=E76,"PASS","FAIL")</f>
        <v>PASS</v>
      </c>
    </row>
    <row r="77" customFormat="false" ht="15" hidden="false" customHeight="false" outlineLevel="0" collapsed="false">
      <c r="A77" s="2" t="s">
        <v>498</v>
      </c>
      <c r="B77" s="11" t="n">
        <f aca="false">Drift!C8</f>
        <v>10.2927363191377</v>
      </c>
      <c r="C77" s="22" t="n">
        <f aca="false">Reference_Values!B77</f>
        <v>10.2927363191378</v>
      </c>
      <c r="D77" s="40" t="n">
        <f aca="false">ABS(B77-C77)</f>
        <v>5.6843418860808E-014</v>
      </c>
      <c r="E77" s="41" t="n">
        <v>1E-009</v>
      </c>
      <c r="F77" s="4" t="str">
        <f aca="false">IF(D77&lt;=E77,"PASS","FAIL")</f>
        <v>PASS</v>
      </c>
    </row>
    <row r="78" customFormat="false" ht="15" hidden="false" customHeight="false" outlineLevel="0" collapsed="false">
      <c r="A78" s="2" t="s">
        <v>500</v>
      </c>
      <c r="B78" s="11" t="n">
        <f aca="false">Drift!L20</f>
        <v>12</v>
      </c>
      <c r="C78" s="22" t="n">
        <f aca="false">Reference_Values!B78</f>
        <v>12</v>
      </c>
      <c r="D78" s="40" t="n">
        <f aca="false">ABS(B78-C78)</f>
        <v>0</v>
      </c>
      <c r="E78" s="41" t="n">
        <v>1E-009</v>
      </c>
      <c r="F78" s="4" t="str">
        <f aca="false">IF(D78&lt;=E78,"PASS","FAIL")</f>
        <v>PASS</v>
      </c>
    </row>
    <row r="79" customFormat="false" ht="15" hidden="false" customHeight="false" outlineLevel="0" collapsed="false">
      <c r="A79" s="2" t="s">
        <v>502</v>
      </c>
      <c r="B79" s="11" t="n">
        <f aca="false">Drift!L19</f>
        <v>4</v>
      </c>
      <c r="C79" s="22" t="n">
        <f aca="false">Reference_Values!B79</f>
        <v>4</v>
      </c>
      <c r="D79" s="40" t="n">
        <f aca="false">ABS(B79-C79)</f>
        <v>0</v>
      </c>
      <c r="E79" s="41" t="n">
        <v>1E-009</v>
      </c>
      <c r="F79" s="4" t="str">
        <f aca="false">IF(D79&lt;=E79,"PASS","FAIL")</f>
        <v>PASS</v>
      </c>
    </row>
    <row r="80" customFormat="false" ht="15" hidden="false" customHeight="false" outlineLevel="0" collapsed="false">
      <c r="A80" s="2" t="s">
        <v>504</v>
      </c>
      <c r="B80" s="11" t="n">
        <f aca="false">Drift!L21</f>
        <v>22</v>
      </c>
      <c r="C80" s="22" t="n">
        <f aca="false">Reference_Values!B80</f>
        <v>22</v>
      </c>
      <c r="D80" s="40" t="n">
        <f aca="false">ABS(B80-C80)</f>
        <v>0</v>
      </c>
      <c r="E80" s="41" t="n">
        <v>1E-009</v>
      </c>
      <c r="F80" s="4" t="str">
        <f aca="false">IF(D80&lt;=E80,"PASS","FAIL")</f>
        <v>PASS</v>
      </c>
    </row>
    <row r="81" customFormat="false" ht="15" hidden="false" customHeight="false" outlineLevel="0" collapsed="false">
      <c r="A81" s="2" t="s">
        <v>506</v>
      </c>
      <c r="B81" s="11" t="n">
        <f aca="false">Drift!G18</f>
        <v>12.26814</v>
      </c>
      <c r="C81" s="22" t="n">
        <f aca="false">Reference_Values!B81</f>
        <v>12.26814</v>
      </c>
      <c r="D81" s="40" t="n">
        <f aca="false">ABS(B81-C81)</f>
        <v>0</v>
      </c>
      <c r="E81" s="41" t="n">
        <v>1E-009</v>
      </c>
      <c r="F81" s="4" t="str">
        <f aca="false">IF(D81&lt;=E81,"PASS","FAIL")</f>
        <v>PASS</v>
      </c>
    </row>
    <row r="82" customFormat="false" ht="15" hidden="false" customHeight="false" outlineLevel="0" collapsed="false">
      <c r="A82" s="2" t="s">
        <v>508</v>
      </c>
      <c r="B82" s="11" t="n">
        <f aca="false">Drift!K26</f>
        <v>12</v>
      </c>
      <c r="C82" s="22" t="n">
        <f aca="false">Reference_Values!B82</f>
        <v>12</v>
      </c>
      <c r="D82" s="40" t="n">
        <f aca="false">ABS(B82-C82)</f>
        <v>0</v>
      </c>
      <c r="E82" s="41" t="n">
        <v>0</v>
      </c>
      <c r="F82" s="4" t="str">
        <f aca="false">IF(D82&lt;=E82,"PASS","FAIL")</f>
        <v>PASS</v>
      </c>
    </row>
    <row r="83" customFormat="false" ht="15" hidden="false" customHeight="false" outlineLevel="0" collapsed="false">
      <c r="A83" s="2" t="s">
        <v>510</v>
      </c>
      <c r="B83" s="11" t="n">
        <f aca="false">Monitor!B45</f>
        <v>12</v>
      </c>
      <c r="C83" s="22" t="n">
        <f aca="false">Reference_Values!B83</f>
        <v>12</v>
      </c>
      <c r="D83" s="40" t="n">
        <f aca="false">ABS(B83-C83)</f>
        <v>0</v>
      </c>
      <c r="E83" s="41" t="n">
        <v>0</v>
      </c>
      <c r="F83" s="4" t="str">
        <f aca="false">IF(D83&lt;=E83,"PASS","FAIL")</f>
        <v>PASS</v>
      </c>
    </row>
    <row r="84" customFormat="false" ht="15" hidden="false" customHeight="false" outlineLevel="0" collapsed="false">
      <c r="A84" s="2" t="s">
        <v>512</v>
      </c>
      <c r="B84" s="11" t="n">
        <f aca="false">Monitor!B46</f>
        <v>10</v>
      </c>
      <c r="C84" s="22" t="n">
        <f aca="false">Reference_Values!B84</f>
        <v>10</v>
      </c>
      <c r="D84" s="40" t="n">
        <f aca="false">ABS(B84-C84)</f>
        <v>0</v>
      </c>
      <c r="E84" s="41" t="n">
        <v>0</v>
      </c>
      <c r="F84" s="4" t="str">
        <f aca="false">IF(D84&lt;=E84,"PASS","FAIL")</f>
        <v>PASS</v>
      </c>
    </row>
    <row r="85" customFormat="false" ht="15" hidden="false" customHeight="false" outlineLevel="0" collapsed="false">
      <c r="A85" s="2" t="s">
        <v>513</v>
      </c>
      <c r="B85" s="11" t="n">
        <f aca="false">Monitor!B47</f>
        <v>16</v>
      </c>
      <c r="C85" s="22" t="n">
        <f aca="false">Reference_Values!B85</f>
        <v>16</v>
      </c>
      <c r="D85" s="40" t="n">
        <f aca="false">ABS(B85-C85)</f>
        <v>0</v>
      </c>
      <c r="E85" s="41" t="n">
        <v>0</v>
      </c>
      <c r="F85" s="4" t="str">
        <f aca="false">IF(D85&lt;=E85,"PASS","FAIL")</f>
        <v>PASS</v>
      </c>
    </row>
    <row r="86" customFormat="false" ht="15" hidden="false" customHeight="false" outlineLevel="0" collapsed="false">
      <c r="A86" s="2" t="s">
        <v>514</v>
      </c>
      <c r="B86" s="11" t="n">
        <f aca="false">Monitor!B48</f>
        <v>14</v>
      </c>
      <c r="C86" s="22" t="n">
        <f aca="false">Reference_Values!B86</f>
        <v>14</v>
      </c>
      <c r="D86" s="40" t="n">
        <f aca="false">ABS(B86-C86)</f>
        <v>0</v>
      </c>
      <c r="E86" s="41" t="n">
        <v>0</v>
      </c>
      <c r="F86" s="4" t="str">
        <f aca="false">IF(D86&lt;=E86,"PASS","FAIL")</f>
        <v>PASS</v>
      </c>
    </row>
    <row r="87" customFormat="false" ht="15" hidden="false" customHeight="false" outlineLevel="0" collapsed="false">
      <c r="A87" s="2" t="s">
        <v>515</v>
      </c>
      <c r="B87" s="11" t="n">
        <f aca="false">Monitor!B49</f>
        <v>14</v>
      </c>
      <c r="C87" s="22" t="n">
        <f aca="false">Reference_Values!B87</f>
        <v>14</v>
      </c>
      <c r="D87" s="40" t="n">
        <f aca="false">ABS(B87-C87)</f>
        <v>0</v>
      </c>
      <c r="E87" s="41" t="n">
        <v>0</v>
      </c>
      <c r="F87" s="4" t="str">
        <f aca="false">IF(D87&lt;=E87,"PASS","FAIL")</f>
        <v>PASS</v>
      </c>
    </row>
    <row r="88" customFormat="false" ht="15" hidden="false" customHeight="false" outlineLevel="0" collapsed="false">
      <c r="A88" s="2" t="s">
        <v>516</v>
      </c>
      <c r="B88" s="11" t="n">
        <f aca="false">Monitor!B50</f>
        <v>30</v>
      </c>
      <c r="C88" s="22" t="n">
        <f aca="false">Reference_Values!B88</f>
        <v>30</v>
      </c>
      <c r="D88" s="40" t="n">
        <f aca="false">ABS(B88-C88)</f>
        <v>0</v>
      </c>
      <c r="E88" s="41" t="n">
        <v>0</v>
      </c>
      <c r="F88" s="4" t="str">
        <f aca="false">IF(D88&lt;=E88,"PASS","FAIL")</f>
        <v>PASS</v>
      </c>
    </row>
    <row r="89" customFormat="false" ht="15" hidden="false" customHeight="false" outlineLevel="0" collapsed="false">
      <c r="A89" s="2" t="s">
        <v>517</v>
      </c>
      <c r="B89" s="11" t="n">
        <f aca="false">Monitor!B51</f>
        <v>22</v>
      </c>
      <c r="C89" s="22" t="n">
        <f aca="false">Reference_Values!B89</f>
        <v>22</v>
      </c>
      <c r="D89" s="40" t="n">
        <f aca="false">ABS(B89-C89)</f>
        <v>0</v>
      </c>
      <c r="E89" s="41" t="n">
        <v>0</v>
      </c>
      <c r="F89" s="4" t="str">
        <f aca="false">IF(D89&lt;=E89,"PASS","FAIL")</f>
        <v>PASS</v>
      </c>
    </row>
    <row r="90" customFormat="false" ht="15" hidden="false" customHeight="false" outlineLevel="0" collapsed="false">
      <c r="A90" s="2" t="s">
        <v>518</v>
      </c>
      <c r="B90" s="11" t="n">
        <f aca="false">Monitor!B52</f>
        <v>14</v>
      </c>
      <c r="C90" s="22" t="n">
        <f aca="false">Reference_Values!B90</f>
        <v>14</v>
      </c>
      <c r="D90" s="40" t="n">
        <f aca="false">ABS(B90-C90)</f>
        <v>0</v>
      </c>
      <c r="E90" s="41" t="n">
        <v>0</v>
      </c>
      <c r="F90" s="4" t="str">
        <f aca="false">IF(D90&lt;=E90,"PASS","FAIL")</f>
        <v>PASS</v>
      </c>
    </row>
    <row r="91" customFormat="false" ht="15" hidden="false" customHeight="false" outlineLevel="0" collapsed="false">
      <c r="A91" s="2" t="s">
        <v>519</v>
      </c>
      <c r="B91" s="11" t="n">
        <f aca="false">Envelope!B16</f>
        <v>0</v>
      </c>
      <c r="C91" s="22" t="n">
        <f aca="false">Reference_Values!B91</f>
        <v>0</v>
      </c>
      <c r="D91" s="40" t="n">
        <f aca="false">ABS(B91-C91)</f>
        <v>0</v>
      </c>
      <c r="E91" s="41" t="n">
        <v>0</v>
      </c>
      <c r="F91" s="4" t="str">
        <f aca="false">IF(D91&lt;=E91,"PASS","FAIL")</f>
        <v>PASS</v>
      </c>
    </row>
    <row r="92" customFormat="false" ht="15" hidden="false" customHeight="false" outlineLevel="0" collapsed="false">
      <c r="A92" s="2" t="s">
        <v>521</v>
      </c>
      <c r="B92" s="11" t="n">
        <f aca="false">Envelope!G21</f>
        <v>8</v>
      </c>
      <c r="C92" s="22" t="n">
        <f aca="false">Reference_Values!B92</f>
        <v>8</v>
      </c>
      <c r="D92" s="40" t="n">
        <f aca="false">ABS(B92-C92)</f>
        <v>0</v>
      </c>
      <c r="E92" s="41" t="n">
        <v>0</v>
      </c>
      <c r="F92" s="4" t="str">
        <f aca="false">IF(D92&lt;=E92,"PASS","FAIL")</f>
        <v>PASS</v>
      </c>
    </row>
    <row r="93" customFormat="false" ht="15" hidden="false" customHeight="false" outlineLevel="0" collapsed="false">
      <c r="A93" s="2" t="s">
        <v>523</v>
      </c>
      <c r="B93" s="11" t="n">
        <f aca="false">Envelope!G22</f>
        <v>1</v>
      </c>
      <c r="C93" s="22" t="n">
        <f aca="false">Reference_Values!B93</f>
        <v>1</v>
      </c>
      <c r="D93" s="40" t="n">
        <f aca="false">ABS(B93-C93)</f>
        <v>0</v>
      </c>
      <c r="E93" s="41" t="n">
        <v>0</v>
      </c>
      <c r="F93" s="4" t="str">
        <f aca="false">IF(D93&lt;=E93,"PASS","FAIL")</f>
        <v>PASS</v>
      </c>
    </row>
    <row r="94" customFormat="false" ht="15" hidden="false" customHeight="false" outlineLevel="0" collapsed="false">
      <c r="A94" s="2" t="s">
        <v>525</v>
      </c>
      <c r="B94" s="11" t="n">
        <f aca="false">Envelope!G26</f>
        <v>1</v>
      </c>
      <c r="C94" s="22" t="n">
        <f aca="false">Reference_Values!B94</f>
        <v>1</v>
      </c>
      <c r="D94" s="40" t="n">
        <f aca="false">ABS(B94-C94)</f>
        <v>0</v>
      </c>
      <c r="E94" s="41" t="n">
        <v>0</v>
      </c>
      <c r="F94" s="4" t="str">
        <f aca="false">IF(D94&lt;=E94,"PASS","FAIL")</f>
        <v>PASS</v>
      </c>
    </row>
    <row r="95" customFormat="false" ht="15" hidden="false" customHeight="false" outlineLevel="0" collapsed="false">
      <c r="A95" s="2" t="s">
        <v>526</v>
      </c>
      <c r="B95" s="11" t="n">
        <f aca="false">Table15_3!E11</f>
        <v>11.1005959451636</v>
      </c>
      <c r="C95" s="22" t="n">
        <f aca="false">Reference_Values!B95</f>
        <v>11.1005959451636</v>
      </c>
      <c r="D95" s="40" t="n">
        <f aca="false">ABS(B95-C95)</f>
        <v>0</v>
      </c>
      <c r="E95" s="41" t="n">
        <v>1E-009</v>
      </c>
      <c r="F95" s="4" t="str">
        <f aca="false">IF(D95&lt;=E95,"PASS","FAIL")</f>
        <v>PASS</v>
      </c>
    </row>
    <row r="96" customFormat="false" ht="15" hidden="false" customHeight="false" outlineLevel="0" collapsed="false">
      <c r="A96" s="2" t="s">
        <v>528</v>
      </c>
      <c r="B96" s="11" t="n">
        <f aca="false">Table15_3!E16</f>
        <v>56.4728270008039</v>
      </c>
      <c r="C96" s="22" t="n">
        <f aca="false">Reference_Values!B96</f>
        <v>56.4728270008039</v>
      </c>
      <c r="D96" s="40" t="n">
        <f aca="false">ABS(B96-C96)</f>
        <v>0</v>
      </c>
      <c r="E96" s="41" t="n">
        <v>1E-009</v>
      </c>
      <c r="F96" s="4" t="str">
        <f aca="false">IF(D96&lt;=E96,"PASS","FAIL")</f>
        <v>PASS</v>
      </c>
    </row>
    <row r="98" customFormat="false" ht="15" hidden="false" customHeight="false" outlineLevel="0" collapsed="false">
      <c r="A98" s="4" t="s">
        <v>533</v>
      </c>
      <c r="F98" s="4" t="str">
        <f aca="false">IF(COUNTIF(F2:F96,"PASS")=95,"ALL PASS","CHECK")</f>
        <v>ALL PASS</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2026-10-06T03:29:00Z</dcterms:created>
  <dc:creator>openpyxl</dc:creator>
  <dc:description/>
  <dc:language>en-US</dc:language>
  <cp:lastModifiedBy/>
  <dcterms:modified xsi:type="dcterms:W3CDTF">2026-10-06T03:29:00Z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