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Chapter5" sheetId="3" state="visible" r:id="rId5"/>
    <sheet name="OneAccount" sheetId="4" state="visible" r:id="rId6"/>
    <sheet name="Programs" sheetId="5" state="visible" r:id="rId7"/>
    <sheet name="Prices" sheetId="6" state="visible" r:id="rId8"/>
    <sheet name="Trigger" sheetId="7" state="visible" r:id="rId9"/>
    <sheet name="Certify" sheetId="8" state="visible" r:id="rId10"/>
    <sheet name="Core" sheetId="9" state="visible" r:id="rId11"/>
    <sheet name="Table16_3" sheetId="10" state="visible" r:id="rId12"/>
    <sheet name="Reference_Values" sheetId="11" state="visible" r:id="rId13"/>
    <sheet name="Checks" sheetId="12" state="visible" r:id="rId14"/>
  </sheets>
  <definedNames>
    <definedName function="false" hidden="false" name="Appetite" vbProcedure="false">Declarations!$B$24</definedName>
    <definedName function="false" hidden="false" name="Beta_y" vbProcedure="false">Declarations!$B$5</definedName>
    <definedName function="false" hidden="false" name="Cap_price" vbProcedure="false">Declarations!$B$45</definedName>
    <definedName function="false" hidden="false" name="Cost_delay" vbProcedure="false">Declarations!$B$21</definedName>
    <definedName function="false" hidden="false" name="Depth_0" vbProcedure="false">Declarations!$B$22</definedName>
    <definedName function="false" hidden="false" name="Depth_pq" vbProcedure="false">Declarations!$B$23</definedName>
    <definedName function="false" hidden="false" name="Eff_0" vbProcedure="false">Declarations!$B$14</definedName>
    <definedName function="false" hidden="false" name="Eff_ceil" vbProcedure="false">Declarations!$B$15</definedName>
    <definedName function="false" hidden="false" name="End_cash" vbProcedure="false">Declarations!$B$19</definedName>
    <definedName function="false" hidden="false" name="Fee_line" vbProcedure="false">Declarations!$B$20</definedName>
    <definedName function="false" hidden="false" name="Floor_cash" vbProcedure="false">Declarations!$B$8</definedName>
    <definedName function="false" hidden="false" name="Gap_share" vbProcedure="false">Declarations!$B$16</definedName>
    <definedName function="false" hidden="false" name="Idx_bn" vbProcedure="false">Declarations!$B$28</definedName>
    <definedName function="false" hidden="false" name="Liq_today" vbProcedure="false">Declarations!$B$7</definedName>
    <definedName function="false" hidden="false" name="P90_closure" vbProcedure="false">Declarations!$B$39</definedName>
    <definedName function="false" hidden="false" name="Pkg_cost" vbProcedure="false">Declarations!$B$27</definedName>
    <definedName function="false" hidden="false" name="Pkg_delay" vbProcedure="false">Declarations!$B$26</definedName>
    <definedName function="false" hidden="false" name="Pkg_line" vbProcedure="false">Declarations!$B$25</definedName>
    <definedName function="false" hidden="false" name="Plan_years" vbProcedure="false">OneAccount!$B$43:$B$49</definedName>
    <definedName function="false" hidden="false" name="Pre_cash" vbProcedure="false">Declarations!$B$18</definedName>
    <definedName function="false" hidden="false" name="Rel_0" vbProcedure="false">Declarations!$B$29</definedName>
    <definedName function="false" hidden="false" name="Rel_inf" vbProcedure="false">Declarations!$B$30</definedName>
    <definedName function="false" hidden="false" name="Rel_k" vbProcedure="false">Declarations!$B$31</definedName>
    <definedName function="false" hidden="false" name="Room_0" vbProcedure="false">Declarations!$B$9</definedName>
    <definedName function="false" hidden="false" name="Round_cost" vbProcedure="false">Declarations!$B$13</definedName>
    <definedName function="false" hidden="false" name="R_hurdle" vbProcedure="false">Declarations!$B$4</definedName>
    <definedName function="false" hidden="false" name="Sale_G" vbProcedure="false">Declarations!$B$12</definedName>
    <definedName function="false" hidden="false" name="Save_pt" vbProcedure="false">Declarations!$B$17</definedName>
    <definedName function="false" hidden="false" name="Sav_price" vbProcedure="false">Declarations!$B$6</definedName>
    <definedName function="false" hidden="false" name="Sig_0" vbProcedure="false">Declarations!$B$42</definedName>
    <definedName function="false" hidden="false" name="Tau_draw" vbProcedure="false">Declarations!$B$32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<sst xmlns="http://schemas.openxmlformats.org/spreadsheetml/2006/main" count="1219" uniqueCount="614">
  <si>
    <t xml:space="preserve">DCT Laboratory — Vol II, Ch 16: Enterprise Applications and Integrated Transformation Case Studies</t>
  </si>
  <si>
    <t xml:space="preserve">Seed 26216 · Companion to DCT_V2_Ch16_Lab.ipynb and AXIOM Lab 2.16 (module AXIOM-16). Money in $ million.</t>
  </si>
  <si>
    <t xml:space="preserve">Worked Example 16.1, Can Meridian Run Its Whole Program?, with the book's declarations: the build's law and levers (Volume I's law on Chapter 9's 100,000 paths, seed 8; fresh paths seed 26209), the sale with the engineers kept, Chapter 5's automation program, Chapter 11's family of laws (seed 1108), Volume I's feedback core; the new declarations put them on one account (Online Appendix Remark 16.B.1).</t>
  </si>
  <si>
    <t xml:space="preserve">Declarations: the inputs, the plan's shapes, the closure buffer (the 90th-percentile closure), the seeds.</t>
  </si>
  <si>
    <t xml:space="preserve">Chapter5: Chapter 5's plan on its own account, its war chest and payouts, worth $1,021.93m.</t>
  </si>
  <si>
    <t xml:space="preserve">OneAccount: the one account by quarter in closed form (Volume I's plan, the automation program's cash, the sale), the planned margins, and the joint check at quarter 9 against the room of 270 or 362 (Step 2).</t>
  </si>
  <si>
    <t xml:space="preserve">Programs: every program's war chest and payouts after the build and its value, payouts at 10 percent plus the year-6 savings forever less the levers 0.03 l + 8 phi; the eight timings of the rounds, no sale, the sale after the build, a dollar of room, the trigger's other branch, Chapter 5's year-1 payout released (Steps 3-4).</t>
  </si>
  <si>
    <t xml:space="preserve">Prices: the value of the sale, the appetite's price, each lever's cost per point of chance, the payouts' prices, a dollar of room, capability, holding the payouts (Step 4; Figure 16.2).</t>
  </si>
  <si>
    <t xml:space="preserve">Trigger: round 3 on a trigger at 33 triggers and the best one (Step 5; Figure 16.3(b)); Proposition 16.2.</t>
  </si>
  <si>
    <t xml:space="preserve">Certify: the margins and their certified region, the records' corner and the price of ambiguity, the triggers (Step 6; Figure 16.3(a)). Core: the feedback core's phases, closed form and power iteration.</t>
  </si>
  <si>
    <t xml:space="preserve">Table16_3: the Worked Example's table, linked to the sheets.</t>
  </si>
  <si>
    <t xml:space="preserve">Engine values (green) are what needs the 100,000 paths: breach chances, cheapest packages, the trigger rule's packages and shares, the certified region's edges.</t>
  </si>
  <si>
    <t xml:space="preserve">Reference_Values and Checks: the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</si>
  <si>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</si>
  <si>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</si>
  <si>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</si>
  <si>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</si>
  <si>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</si>
  <si>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16.1, Step 1; Table 16.1; Online Appendix Remark 16.B.1). Money in $ million.</t>
  </si>
  <si>
    <t xml:space="preserve">Quantity</t>
  </si>
  <si>
    <t xml:space="preserve">Value</t>
  </si>
  <si>
    <t xml:space="preserve">Source</t>
  </si>
  <si>
    <t xml:space="preserve">The board's hurdle rate a year, r</t>
  </si>
  <si>
    <t xml:space="preserve">Chapter 5</t>
  </si>
  <si>
    <t xml:space="preserve">A year's discount, beta = 1/(1 + r)</t>
  </si>
  <si>
    <t xml:space="preserve">A dollar a year of savings from year 6 on, beta^6 / r</t>
  </si>
  <si>
    <t xml:space="preserve">$5.645 (Step 1; Chapter 12)</t>
  </si>
  <si>
    <t xml:space="preserve">Liquidity today</t>
  </si>
  <si>
    <t xml:space="preserve">Volume I</t>
  </si>
  <si>
    <t xml:space="preserve">The board's floor</t>
  </si>
  <si>
    <t xml:space="preserve">Room above the floor</t>
  </si>
  <si>
    <t xml:space="preserve">$270m</t>
  </si>
  <si>
    <t xml:space="preserve">The sale's proceeds with the shared engineering team</t>
  </si>
  <si>
    <t xml:space="preserve">Volume I, Worked Example 3.1</t>
  </si>
  <si>
    <t xml:space="preserve">The buyer's discount if Meridian keeps the team</t>
  </si>
  <si>
    <t xml:space="preserve">Chapters 6-7 priced the team at $23.8m</t>
  </si>
  <si>
    <t xml:space="preserve">The sale's proceeds with the engineers kept, G</t>
  </si>
  <si>
    <t xml:space="preserve">$92m, at the start</t>
  </si>
  <si>
    <t xml:space="preserve">Cost of an automation round</t>
  </si>
  <si>
    <t xml:space="preserve">Volume I, Worked Example 6.1</t>
  </si>
  <si>
    <t xml:space="preserve">Efficiency today</t>
  </si>
  <si>
    <t xml:space="preserve">Efficiency ceiling</t>
  </si>
  <si>
    <t xml:space="preserve">Share of the gap to the ceiling a round closes</t>
  </si>
  <si>
    <t xml:space="preserve">A round halves the gap</t>
  </si>
  <si>
    <t xml:space="preserve">Savings a point of efficiency, a year</t>
  </si>
  <si>
    <t xml:space="preserve">Cash before a round</t>
  </si>
  <si>
    <t xml:space="preserve">Chapter 5's commitments</t>
  </si>
  <si>
    <t xml:space="preserve">Cash at the end of year 6</t>
  </si>
  <si>
    <t xml:space="preserve">The board's end condition</t>
  </si>
  <si>
    <t xml:space="preserve">Line fees over the program, per $ of line</t>
  </si>
  <si>
    <t xml:space="preserve">Volume I, Worked Example 15.1</t>
  </si>
  <si>
    <t xml:space="preserve">A quarter of delay</t>
  </si>
  <si>
    <t xml:space="preserve">The transformation office</t>
  </si>
  <si>
    <t xml:space="preserve">The draw's depth with no delay (index points)</t>
  </si>
  <si>
    <t xml:space="preserve">Points of depth a quarter of delay removes</t>
  </si>
  <si>
    <t xml:space="preserve">Depth 28 - 4 phi</t>
  </si>
  <si>
    <t xml:space="preserve">The board's appetite</t>
  </si>
  <si>
    <t xml:space="preserve">At most a 5% chance below the floor in a quarter of 12</t>
  </si>
  <si>
    <t xml:space="preserve">Volume I's package: line</t>
  </si>
  <si>
    <t xml:space="preserve">As Chapter 9 designed it on the book's paths</t>
  </si>
  <si>
    <t xml:space="preserve">Volume I's package: delay (quarters)</t>
  </si>
  <si>
    <t xml:space="preserve">0.668 quarter</t>
  </si>
  <si>
    <t xml:space="preserve">Volume I's package: levers, 0.03 l + 8 phi</t>
  </si>
  <si>
    <t xml:space="preserve">$10.44m</t>
  </si>
  <si>
    <t xml:space="preserve">Liquidity at index 100 ($ billion)</t>
  </si>
  <si>
    <t xml:space="preserve">Volume I, Chapter 1</t>
  </si>
  <si>
    <t xml:space="preserve">The plan without the draw: index today</t>
  </si>
  <si>
    <t xml:space="preserve">relax(100, 112, 0.35, t)</t>
  </si>
  <si>
    <t xml:space="preserve">  its long-run index</t>
  </si>
  <si>
    <t xml:space="preserve">  its speed a year</t>
  </si>
  <si>
    <t xml:space="preserve">The draw's deepest point (years)</t>
  </si>
  <si>
    <t xml:space="preserve">trough(D, 2, t) = D (t/2) e^(1 - t/2)</t>
  </si>
  <si>
    <t xml:space="preserve">The draw at its deepest, $m a point of depth</t>
  </si>
  <si>
    <t xml:space="preserve">$6.2m (Remark 16.B.1)</t>
  </si>
  <si>
    <t xml:space="preserve">The plan without the draw, long run</t>
  </si>
  <si>
    <t xml:space="preserve">Toward $694m (Remark 16.B.1)</t>
  </si>
  <si>
    <t xml:space="preserve">Closure sizes: mean</t>
  </si>
  <si>
    <t xml:space="preserve">Volume I, Chapter 8</t>
  </si>
  <si>
    <t xml:space="preserve">  standard deviation</t>
  </si>
  <si>
    <t xml:space="preserve">  gamma shape, (mean / sd)^2</t>
  </si>
  <si>
    <t xml:space="preserve">  gamma scale, sd^2 / mean</t>
  </si>
  <si>
    <t xml:space="preserve">Volume I's closure buffer: the 90th-percentile closure</t>
  </si>
  <si>
    <t xml:space="preserve">$186.9m (Volume I, Chapter 13)</t>
  </si>
  <si>
    <t xml:space="preserve">Closures a year</t>
  </si>
  <si>
    <t xml:space="preserve">Persistence of execution deviations</t>
  </si>
  <si>
    <t xml:space="preserve">E' = 0.6 E + w</t>
  </si>
  <si>
    <t xml:space="preserve">Spread of the innovations w, a quarter</t>
  </si>
  <si>
    <t xml:space="preserve">Capability kept a quarter (Chapter 7)</t>
  </si>
  <si>
    <t xml:space="preserve">Cost of a point of capability hired (Chapter 7)</t>
  </si>
  <si>
    <t xml:space="preserve">A point of capability on the floor, in hiring</t>
  </si>
  <si>
    <t xml:space="preserve">$3.90m (Section 16.3)</t>
  </si>
  <si>
    <t xml:space="preserve">Capability with the engineers kept after the sale</t>
  </si>
  <si>
    <t xml:space="preserve">Capability if the sale takes the engineers</t>
  </si>
  <si>
    <t xml:space="preserve">Capability the build and the rounds need</t>
  </si>
  <si>
    <t xml:space="preserve">Seeds (Online Appendix Remark 16.B.1)</t>
  </si>
  <si>
    <t xml:space="preserve">The book's 100,000 paths (Volume I, Chapter 8's stream)</t>
  </si>
  <si>
    <t xml:space="preserve">Chapter 9</t>
  </si>
  <si>
    <t xml:space="preserve">The book's 100,000 fresh paths</t>
  </si>
  <si>
    <t xml:space="preserve">Every answer is checked on them</t>
  </si>
  <si>
    <t xml:space="preserve">Chapter 11's family: extra closures and thinning uniforms</t>
  </si>
  <si>
    <t xml:space="preserve">Book paths</t>
  </si>
  <si>
    <t xml:space="preserve">The lab's seed (new draws only)</t>
  </si>
  <si>
    <t xml:space="preserve">The notebook's Panel 6</t>
  </si>
  <si>
    <t xml:space="preserve">One account: liquidity at the end of quarter k is the plan without the draw less the draw (depth 28 - 4 phi times its shape), plus the deviations, less the closures the line leaves uncovered, plus the sale's proceeds and the automation program's cash so far.</t>
  </si>
  <si>
    <t xml:space="preserve">Chapter 5's automation program on its own account: the war chest and the payouts (Worked Example 16.1, Step 1; Chapter 5)</t>
  </si>
  <si>
    <t xml:space="preserve">Efficiency e_k = e_(k-1) + z_k (85 - e_(k-1))/2; savings S_k = 10 (e_k - 71); the war chest W_6 = 470, W_(k-1) = max{W_k + 120 z_k - S_k, 470 if z_k, 350 (from year 1)}; pay out everything above it. Value: payouts at 10 percent plus the year-6 savings forever.</t>
  </si>
  <si>
    <t xml:space="preserve">Year</t>
  </si>
  <si>
    <t xml:space="preserve">Round z (1 = yes)</t>
  </si>
  <si>
    <t xml:space="preserve">Efficiency</t>
  </si>
  <si>
    <t xml:space="preserve">Savings</t>
  </si>
  <si>
    <t xml:space="preserve">War chest</t>
  </si>
  <si>
    <t xml:space="preserve">Cash before the payout</t>
  </si>
  <si>
    <t xml:space="preserve">Payout</t>
  </si>
  <si>
    <t xml:space="preserve">Year-end cash</t>
  </si>
  <si>
    <t xml:space="preserve">beta^k</t>
  </si>
  <si>
    <t xml:space="preserve">PV of the payout</t>
  </si>
  <si>
    <t xml:space="preserve">Commitments kept</t>
  </si>
  <si>
    <t xml:space="preserve">Payouts at 10 percent</t>
  </si>
  <si>
    <t xml:space="preserve">$330.45m</t>
  </si>
  <si>
    <t xml:space="preserve">The year-6 savings forever, beta^6 S_6 / r</t>
  </si>
  <si>
    <t xml:space="preserve">$691.48m</t>
  </si>
  <si>
    <t xml:space="preserve">Value of Chapter 5's plan alone</t>
  </si>
  <si>
    <t xml:space="preserve">$1,021.93m (Worked Example 5.1)</t>
  </si>
  <si>
    <t xml:space="preserve">Every commitment kept (1 = yes)</t>
  </si>
  <si>
    <t xml:space="preserve">Floor at year ends, 470 before a round, 470 in year 6</t>
  </si>
  <si>
    <t xml:space="preserve">The rounds (column B) are Chapter 5's best plan; change them to see another schedule's war chest.</t>
  </si>
  <si>
    <t xml:space="preserve">One account, quarter by quarter, and the joint check at the binding quarter (Theorem 16.1(i); Worked Example 16.1, Steps 1-2; Figure 16.1)</t>
  </si>
  <si>
    <t xml:space="preserve">Volume I's plan: the plan without the draw 1000 x 0.62 x relax(100, 112, 0.35, t)/100 less the depth times the draw's shape 1000 x 0.62 x (t/2) e^(1 - t/2)/100. The automation program's cash: a round at the start of its year, savings evenly over the year, payouts at year ends counted from the next quarter. With no deviations and no closures; the breach chances on the paths are the engine's.</t>
  </si>
  <si>
    <t xml:space="preserve">Quarter</t>
  </si>
  <si>
    <t xml:space="preserve">Years in</t>
  </si>
  <si>
    <t xml:space="preserve">Plan without the draw</t>
  </si>
  <si>
    <t xml:space="preserve">Draw per point of depth</t>
  </si>
  <si>
    <t xml:space="preserve">Quarter of the year</t>
  </si>
  <si>
    <t xml:space="preserve">Volume I's plan (its package)</t>
  </si>
  <si>
    <t xml:space="preserve">Automation cash: pieces</t>
  </si>
  <si>
    <t xml:space="preserve">One account: pieces, with the sale</t>
  </si>
  <si>
    <t xml:space="preserve">Margin: pieces, with the sale</t>
  </si>
  <si>
    <t xml:space="preserve">Margin: pieces, without the sale</t>
  </si>
  <si>
    <t xml:space="preserve">The program's plan (its package)</t>
  </si>
  <si>
    <t xml:space="preserve">Automation cash: program</t>
  </si>
  <si>
    <t xml:space="preserve">One account: program</t>
  </si>
  <si>
    <t xml:space="preserve">Margin: program</t>
  </si>
  <si>
    <t xml:space="preserve">Round z</t>
  </si>
  <si>
    <t xml:space="preserve">Pieces: payout</t>
  </si>
  <si>
    <t xml:space="preserve">Pieces: cash so far</t>
  </si>
  <si>
    <t xml:space="preserve">Program: payout</t>
  </si>
  <si>
    <t xml:space="preserve">Program: cash so far</t>
  </si>
  <si>
    <t xml:space="preserve">The year-3 payout is made at the end of the build: it counts from quarter 13, after the window.</t>
  </si>
  <si>
    <t xml:space="preserve">The program's line (engine)</t>
  </si>
  <si>
    <t xml:space="preserve">Worked Example 16.1, Step 4</t>
  </si>
  <si>
    <t xml:space="preserve">The program's delay (engine)</t>
  </si>
  <si>
    <t xml:space="preserve">2.071 quarters</t>
  </si>
  <si>
    <t xml:space="preserve">Joint check at the binding quarter</t>
  </si>
  <si>
    <t xml:space="preserve">Binding quarter</t>
  </si>
  <si>
    <t xml:space="preserve">The build's draw</t>
  </si>
  <si>
    <t xml:space="preserve">Rounds less savings</t>
  </si>
  <si>
    <t xml:space="preserve">Payouts made</t>
  </si>
  <si>
    <t xml:space="preserve">Closure buffer</t>
  </si>
  <si>
    <t xml:space="preserve">Claims</t>
  </si>
  <si>
    <t xml:space="preserve">Room</t>
  </si>
  <si>
    <t xml:space="preserve">Left</t>
  </si>
  <si>
    <t xml:space="preserve">Pieces, no sale</t>
  </si>
  <si>
    <t xml:space="preserve">Pieces, with the sale</t>
  </si>
  <si>
    <t xml:space="preserve">Program</t>
  </si>
  <si>
    <t xml:space="preserve">With no deviations and no closures the pieces' plan keeps 7.3 above the floor at quarter 9; the closure buffer (the 90th-percentile closure less the line) takes their claims past the room.</t>
  </si>
  <si>
    <t xml:space="preserve">The build alone (Volume I's joint check)</t>
  </si>
  <si>
    <t xml:space="preserve">Note</t>
  </si>
  <si>
    <t xml:space="preserve">Its deepest quarter</t>
  </si>
  <si>
    <t xml:space="preserve">Quarter 7</t>
  </si>
  <si>
    <t xml:space="preserve">Its deepest draw</t>
  </si>
  <si>
    <t xml:space="preserve">$121.6m</t>
  </si>
  <si>
    <t xml:space="preserve">The closure buffer the line leaves uncovered</t>
  </si>
  <si>
    <t xml:space="preserve">$16.9m</t>
  </si>
  <si>
    <t xml:space="preserve">Draw and buffer, against the room of 270</t>
  </si>
  <si>
    <t xml:space="preserve">Fits: Volume I, Worked Example 16.1</t>
  </si>
  <si>
    <t xml:space="preserve">Year end</t>
  </si>
  <si>
    <t xml:space="preserve">Volume I's plan, depth 28</t>
  </si>
  <si>
    <t xml:space="preserve">After the build the plan continues by its own shapes, the delayed spending caught up (depth 28).</t>
  </si>
  <si>
    <t xml:space="preserve">Every program on one account: the war chest and payouts after the build, the levers and the value (Worked Example 16.1, Steps 3-4; Theorem 16.2; Table 16.3; Figure 16.2(a))</t>
  </si>
  <si>
    <t xml:space="preserve">Payouts in years 1-2 are the book's (each program's best, from the book's search); after the build each year pays out everything above the war chest on Volume I's planned path. The package (line, delay) is the engine's cheapest for the appetite on the book's 100,000 paths; the levers and the value are formulas.</t>
  </si>
  <si>
    <t xml:space="preserve">Rounds (years)</t>
  </si>
  <si>
    <t xml:space="preserve">Sale at the start</t>
  </si>
  <si>
    <t xml:space="preserve">Sale in year 4</t>
  </si>
  <si>
    <t xml:space="preserve">Payout y1</t>
  </si>
  <si>
    <t xml:space="preserve">Payout y2</t>
  </si>
  <si>
    <t xml:space="preserve">Line (engine)</t>
  </si>
  <si>
    <t xml:space="preserve">Delay (engine)</t>
  </si>
  <si>
    <t xml:space="preserve">Levers</t>
  </si>
  <si>
    <t xml:space="preserve">Payout y3</t>
  </si>
  <si>
    <t xml:space="preserve">Payout y4</t>
  </si>
  <si>
    <t xml:space="preserve">Payout y5</t>
  </si>
  <si>
    <t xml:space="preserve">Payout y6</t>
  </si>
  <si>
    <t xml:space="preserve">Before the levers</t>
  </si>
  <si>
    <t xml:space="preserve">Below the best</t>
  </si>
  <si>
    <t xml:space="preserve">Kept (1 = yes)</t>
  </si>
  <si>
    <t xml:space="preserve">Rounds in years 1, 2, 3</t>
  </si>
  <si>
    <t xml:space="preserve">1, 2, 3</t>
  </si>
  <si>
    <t xml:space="preserve">Rounds in years 1, 2, 4</t>
  </si>
  <si>
    <t xml:space="preserve">1, 2, 4</t>
  </si>
  <si>
    <t xml:space="preserve">Rounds in years 1, 3, 4</t>
  </si>
  <si>
    <t xml:space="preserve">1, 3, 4</t>
  </si>
  <si>
    <t xml:space="preserve">Rounds in years 1, 4, 5</t>
  </si>
  <si>
    <t xml:space="preserve">1, 4, 5</t>
  </si>
  <si>
    <t xml:space="preserve">Rounds in years 2, 3, 4</t>
  </si>
  <si>
    <t xml:space="preserve">2, 3, 4</t>
  </si>
  <si>
    <t xml:space="preserve">Rounds in years 2, 4, 5</t>
  </si>
  <si>
    <t xml:space="preserve">2, 4, 5</t>
  </si>
  <si>
    <t xml:space="preserve">Rounds in years 3, 4, 5</t>
  </si>
  <si>
    <t xml:space="preserve">3, 4, 5</t>
  </si>
  <si>
    <t xml:space="preserve">Rounds in years 4, 5, 6</t>
  </si>
  <si>
    <t xml:space="preserve">4, 5, 6</t>
  </si>
  <si>
    <t xml:space="preserve">No sale</t>
  </si>
  <si>
    <t xml:space="preserve">Sale after the build</t>
  </si>
  <si>
    <t xml:space="preserve">One more dollar of room at the start</t>
  </si>
  <si>
    <t xml:space="preserve">Round 3 in year 4, payouts held (the trigger's other branch)</t>
  </si>
  <si>
    <t xml:space="preserve">–</t>
  </si>
  <si>
    <t xml:space="preserve">Chapter 5's year-1 payout released</t>
  </si>
  <si>
    <t xml:space="preserve">The round-3 branch's levers are not needed: under the trigger rule one package covers both branches (sheet Trigger), so only its value before the levers is used.</t>
  </si>
  <si>
    <t xml:space="preserve">Volume I's plan</t>
  </si>
  <si>
    <t xml:space="preserve">Cash after the payout</t>
  </si>
  <si>
    <t xml:space="preserve">Sale at the start, G</t>
  </si>
  <si>
    <t xml:space="preserve">Sale in year 4, after the build</t>
  </si>
  <si>
    <t xml:space="preserve">Delay, quarters (engine)</t>
  </si>
  <si>
    <t xml:space="preserve">Levers, 0.03 l + 8 phi</t>
  </si>
  <si>
    <t xml:space="preserve">Payouts and savings, before the levers</t>
  </si>
  <si>
    <t xml:space="preserve">Commitments after the build kept (1 = yes)</t>
  </si>
  <si>
    <t xml:space="preserve">Line (none of its own)</t>
  </si>
  <si>
    <t xml:space="preserve">Delay (none of its own)</t>
  </si>
  <si>
    <t xml:space="preserve">Internal prices at the best program, and the value of the sale (Theorem 16.1(iii); Proposition 16.3; Worked Example 16.1, Steps 3-4; Figure 16.2(b))</t>
  </si>
  <si>
    <t xml:space="preserve">Each lever's cost per point of chance: what $5m more line or 0.05 quarter more delay costs, over the points of chance it buys on the book's paths; paying $5m early: what it earns, beta - beta^3 or beta^2 - beta^3 a dollar, over the points it spends. The chances and the re-optimized packages are the engine's.</t>
  </si>
  <si>
    <t xml:space="preserve">The best program</t>
  </si>
  <si>
    <t xml:space="preserve">Levers: a $160m line and 2.071 quarters</t>
  </si>
  <si>
    <t xml:space="preserve">$21.37m</t>
  </si>
  <si>
    <t xml:space="preserve">0, 0, 189.9, 160.4, 158.8, 32.7</t>
  </si>
  <si>
    <t xml:space="preserve">The year-6 savings forever</t>
  </si>
  <si>
    <t xml:space="preserve">$1,039.41m</t>
  </si>
  <si>
    <t xml:space="preserve">The sale (Theorem 16.2(ii))</t>
  </si>
  <si>
    <t xml:space="preserve">No sale: value</t>
  </si>
  <si>
    <t xml:space="preserve">$938.95m</t>
  </si>
  <si>
    <t xml:space="preserve">No sale: levers</t>
  </si>
  <si>
    <t xml:space="preserve">$52.71m</t>
  </si>
  <si>
    <t xml:space="preserve">Sale after the build: value</t>
  </si>
  <si>
    <t xml:space="preserve">$1,001.79m</t>
  </si>
  <si>
    <t xml:space="preserve">The sale first is worth (the best less no sale)</t>
  </si>
  <si>
    <t xml:space="preserve">$100.5m</t>
  </si>
  <si>
    <t xml:space="preserve">  its proceeds paid out at the end of year 3, 92 beta^3</t>
  </si>
  <si>
    <t xml:space="preserve">$69.1m</t>
  </si>
  <si>
    <t xml:space="preserve">  the levers it makes unnecessary</t>
  </si>
  <si>
    <t xml:space="preserve">$31.3m</t>
  </si>
  <si>
    <t xml:space="preserve">  together</t>
  </si>
  <si>
    <t xml:space="preserve">More than its $92m of proceeds</t>
  </si>
  <si>
    <t xml:space="preserve">The sale first beats the sale after the build by</t>
  </si>
  <si>
    <t xml:space="preserve">$37.6m</t>
  </si>
  <si>
    <t xml:space="preserve">  a year later, 92 (beta^3 - beta^4), plus the levers</t>
  </si>
  <si>
    <t xml:space="preserve">The appetite's price</t>
  </si>
  <si>
    <t xml:space="preserve">The appetite's price, $m a percentage point</t>
  </si>
  <si>
    <t xml:space="preserve">Volume I's price, the build alone</t>
  </si>
  <si>
    <t xml:space="preserve">Volume I's price for the build alone, $m a point</t>
  </si>
  <si>
    <t xml:space="preserve">$1.81m (Section 16.1)</t>
  </si>
  <si>
    <t xml:space="preserve">Levers and payouts at the best program</t>
  </si>
  <si>
    <t xml:space="preserve">Chance of a breach at the best program (engine)</t>
  </si>
  <si>
    <t xml:space="preserve">5.00%</t>
  </si>
  <si>
    <t xml:space="preserve">  with $5m more line (engine)</t>
  </si>
  <si>
    <t xml:space="preserve">  with 0.05 quarter more delay (engine)</t>
  </si>
  <si>
    <t xml:space="preserve">  paying $5m in year 1 instead of year 3 (engine)</t>
  </si>
  <si>
    <t xml:space="preserve">  paying $5m in year 2 instead of year 3 (engine)</t>
  </si>
  <si>
    <t xml:space="preserve">Step: line</t>
  </si>
  <si>
    <t xml:space="preserve">Step: delay</t>
  </si>
  <si>
    <t xml:space="preserve">Step: payout</t>
  </si>
  <si>
    <t xml:space="preserve">The line buys a point of chance for</t>
  </si>
  <si>
    <t xml:space="preserve">$1.76m</t>
  </si>
  <si>
    <t xml:space="preserve">The delay buys a point of chance for</t>
  </si>
  <si>
    <t xml:space="preserve">$2.29m</t>
  </si>
  <si>
    <t xml:space="preserve">beta - beta^3: a dollar paid in year 1 rather than year 3 earns</t>
  </si>
  <si>
    <t xml:space="preserve">0.158</t>
  </si>
  <si>
    <t xml:space="preserve">  points of chance it spends</t>
  </si>
  <si>
    <t xml:space="preserve">0.204</t>
  </si>
  <si>
    <t xml:space="preserve">Paying in year 1 earns, a point of chance</t>
  </si>
  <si>
    <t xml:space="preserve">$0.77m</t>
  </si>
  <si>
    <t xml:space="preserve">beta^2 - beta^3: paid in year 2 rather than year 3</t>
  </si>
  <si>
    <t xml:space="preserve">Paying in year 2 earns, a point of chance</t>
  </si>
  <si>
    <t xml:space="preserve">$0.67m</t>
  </si>
  <si>
    <t xml:space="preserve">Payouts wait: both earn less than the appetite's price (1 = yes)</t>
  </si>
  <si>
    <t xml:space="preserve">Proposition 16.3(iii)</t>
  </si>
  <si>
    <t xml:space="preserve">A dollar of room at the start (Proposition 16.3(i))</t>
  </si>
  <si>
    <t xml:space="preserve">One more $1m of proceeds: the program's value</t>
  </si>
  <si>
    <t xml:space="preserve">Re-optimized package</t>
  </si>
  <si>
    <t xml:space="preserve">A dollar of room is worth</t>
  </si>
  <si>
    <t xml:space="preserve">$1.088</t>
  </si>
  <si>
    <t xml:space="preserve">  paid out at the end of year 3, beta^3</t>
  </si>
  <si>
    <t xml:space="preserve">$0.75</t>
  </si>
  <si>
    <t xml:space="preserve">  levers it makes unnecessary</t>
  </si>
  <si>
    <t xml:space="preserve">$0.34</t>
  </si>
  <si>
    <t xml:space="preserve">Capability (Section 16.3)</t>
  </si>
  <si>
    <t xml:space="preserve">A point of capability on the floor, at Chapter 7's price</t>
  </si>
  <si>
    <t xml:space="preserve">$3.90m</t>
  </si>
  <si>
    <t xml:space="preserve">The rounds' points in present value: years 1-3</t>
  </si>
  <si>
    <t xml:space="preserve">$10.67m; a round at the start of year k is k - 1 years away</t>
  </si>
  <si>
    <t xml:space="preserve">  years 1, 2, 4</t>
  </si>
  <si>
    <t xml:space="preserve">$10.38m</t>
  </si>
  <si>
    <t xml:space="preserve">Hold or release (AXIOM Lab 2.16, step 3)</t>
  </si>
  <si>
    <t xml:space="preserve">Release Chapter 5's year-1 payout: the levers</t>
  </si>
  <si>
    <t xml:space="preserve">The appetite then needs a $165m line and 5.63 quarters</t>
  </si>
  <si>
    <t xml:space="preserve">  the program's value</t>
  </si>
  <si>
    <t xml:space="preserve">Holding it is worth</t>
  </si>
  <si>
    <t xml:space="preserve">Discussion question (1)</t>
  </si>
  <si>
    <t xml:space="preserve">Round 3 on a trigger (Theorem 16.2(iii); Worked Example 16.1, Step 5; Figure 16.3(b)) and waiting under irreversibility (Proposition 16.2)</t>
  </si>
  <si>
    <t xml:space="preserve">Round 3 runs in year 3 if cash after the year-2 payout is at least the trigger, else in year 4. For each trigger the engine finds the cheapest package keeping the appetite under the rule and the share of paths that run round 3 in year 3; the value is that share times the year-3 program's value, plus the rest times the year-4 program's, less the levers.</t>
  </si>
  <si>
    <t xml:space="preserve">Round 3 in year 3: value before the levers</t>
  </si>
  <si>
    <t xml:space="preserve">Payouts held in years 1-2</t>
  </si>
  <si>
    <t xml:space="preserve">Round 3 in year 4: value before the levers</t>
  </si>
  <si>
    <t xml:space="preserve">Trigger</t>
  </si>
  <si>
    <t xml:space="preserve">Year 3 on, share of paths (engine)</t>
  </si>
  <si>
    <t xml:space="preserve">Breach (engine)</t>
  </si>
  <si>
    <t xml:space="preserve">The best trigger's value</t>
  </si>
  <si>
    <t xml:space="preserve">$1,040.76m</t>
  </si>
  <si>
    <t xml:space="preserve">The best trigger</t>
  </si>
  <si>
    <t xml:space="preserve">$490m</t>
  </si>
  <si>
    <t xml:space="preserve">  its line</t>
  </si>
  <si>
    <t xml:space="preserve">$155m</t>
  </si>
  <si>
    <t xml:space="preserve">  its delay</t>
  </si>
  <si>
    <t xml:space="preserve">1.642 quarters</t>
  </si>
  <si>
    <t xml:space="preserve">  its levers</t>
  </si>
  <si>
    <t xml:space="preserve">$17.79m</t>
  </si>
  <si>
    <t xml:space="preserve">  share of paths running round 3 in year 3</t>
  </si>
  <si>
    <t xml:space="preserve">83.0%</t>
  </si>
  <si>
    <t xml:space="preserve">Committed to year 3 (the best program)</t>
  </si>
  <si>
    <t xml:space="preserve">Committed to year 4</t>
  </si>
  <si>
    <t xml:space="preserve">$1,036.80m</t>
  </si>
  <si>
    <t xml:space="preserve">The trigger is worth more than committing to year 3 by</t>
  </si>
  <si>
    <t xml:space="preserve">$1.35m</t>
  </si>
  <si>
    <t xml:space="preserve">  and more than committing to year 4 by</t>
  </si>
  <si>
    <t xml:space="preserve">Theorem 16.2(iii): the rule beats both timings (1 = yes)</t>
  </si>
  <si>
    <t xml:space="preserve">Strictly: the best timing depends on the reading</t>
  </si>
  <si>
    <t xml:space="preserve">Proposition 16.2 on Chapter 7's generic project (Online Appendix 7.B)</t>
  </si>
  <si>
    <t xml:space="preserve">Cost c</t>
  </si>
  <si>
    <t xml:space="preserve">Worth next year if good</t>
  </si>
  <si>
    <t xml:space="preserve">Equal odds</t>
  </si>
  <si>
    <t xml:space="preserve">Worth next year if bad</t>
  </si>
  <si>
    <t xml:space="preserve">Chance of good</t>
  </si>
  <si>
    <t xml:space="preserve">Discount rate a year</t>
  </si>
  <si>
    <t xml:space="preserve">Cost of waiting, d</t>
  </si>
  <si>
    <t xml:space="preserve">Started now, E V - c</t>
  </si>
  <si>
    <t xml:space="preserve">5.00</t>
  </si>
  <si>
    <t xml:space="preserve">Started next year only if it pays, beta E(V - c)^+ - d</t>
  </si>
  <si>
    <t xml:space="preserve">22.73</t>
  </si>
  <si>
    <t xml:space="preserve">Expected loss waiting avoids, E(c - V)^+</t>
  </si>
  <si>
    <t xml:space="preserve">20</t>
  </si>
  <si>
    <t xml:space="preserve">What waiting costs, (1 - beta) E(V - c)^+ + d</t>
  </si>
  <si>
    <t xml:space="preserve">2.27</t>
  </si>
  <si>
    <t xml:space="preserve">Wait (1 = yes): waiting beats starting now and never</t>
  </si>
  <si>
    <t xml:space="preserve">Proposition 16.2(i)</t>
  </si>
  <si>
    <t xml:space="preserve">Part (iii): committing now is right only if the loss is at most the cost (1 = commit)</t>
  </si>
  <si>
    <t xml:space="preserve">Certify: no slack, what a margin buys, the records' corner and the price of ambiguity (Theorem 16.3; Worked Example 16.1, Step 6; Figure 16.3(a))</t>
  </si>
  <si>
    <t xml:space="preserve">The program re-designed for a smaller appetite (schedule held, payouts re-optimized: held at every design) keeps the board's 5% along Chapter 11's family up to the closure rate and the spread shown, each edge by bisection on the book's paths (engine). Levers and values are formulas.</t>
  </si>
  <si>
    <t xml:space="preserve">Design appetite</t>
  </si>
  <si>
    <t xml:space="preserve">The margin's cost</t>
  </si>
  <si>
    <t xml:space="preserve">Breach at the declared law (engine)</t>
  </si>
  <si>
    <t xml:space="preserve">Closure rate certified (engine)</t>
  </si>
  <si>
    <t xml:space="preserve">At the family's ceiling, 0.40 (engine)</t>
  </si>
  <si>
    <t xml:space="preserve">Spread certified (engine)</t>
  </si>
  <si>
    <t xml:space="preserve">Breach at the records' corner (engine)</t>
  </si>
  <si>
    <t xml:space="preserve">The records (Chapter 11)</t>
  </si>
  <si>
    <t xml:space="preserve">The treasury: closures in its record</t>
  </si>
  <si>
    <t xml:space="preserve">Twenty years</t>
  </si>
  <si>
    <t xml:space="preserve">  years of record</t>
  </si>
  <si>
    <t xml:space="preserve">  the rate's one-sided 95% bound (Garwood)</t>
  </si>
  <si>
    <t xml:space="preserve">0.315 a year</t>
  </si>
  <si>
    <t xml:space="preserve">The engineering office: innovations in its record</t>
  </si>
  <si>
    <t xml:space="preserve">Forty quarters</t>
  </si>
  <si>
    <t xml:space="preserve">  the spread's one-sided 95% bound</t>
  </si>
  <si>
    <t xml:space="preserve">$61.6m</t>
  </si>
  <si>
    <t xml:space="preserve">  a record twice as long (79 innovations)</t>
  </si>
  <si>
    <t xml:space="preserve">$57.6m</t>
  </si>
  <si>
    <t xml:space="preserve">The records' corner: the spread as the book prints it</t>
  </si>
  <si>
    <t xml:space="preserve">Remark 16.B.1</t>
  </si>
  <si>
    <t xml:space="preserve">At the records' corner</t>
  </si>
  <si>
    <t xml:space="preserve">The program re-designed there: line (engine)</t>
  </si>
  <si>
    <t xml:space="preserve">$200m</t>
  </si>
  <si>
    <t xml:space="preserve">  delay (engine)</t>
  </si>
  <si>
    <t xml:space="preserve">3.440 quarters</t>
  </si>
  <si>
    <t xml:space="preserve">  levers</t>
  </si>
  <si>
    <t xml:space="preserve">$33.52m</t>
  </si>
  <si>
    <t xml:space="preserve">  value</t>
  </si>
  <si>
    <t xml:space="preserve">$1,027.26m</t>
  </si>
  <si>
    <t xml:space="preserve">The program's price of ambiguity</t>
  </si>
  <si>
    <t xml:space="preserve">Printed $12.14m (33.516 less 21.372)</t>
  </si>
  <si>
    <t xml:space="preserve">Chapter 11's package for the build alone at its corner: line (engine)</t>
  </si>
  <si>
    <t xml:space="preserve">Worked Example 11.1</t>
  </si>
  <si>
    <t xml:space="preserve">$24.00m</t>
  </si>
  <si>
    <t xml:space="preserve">Chapter 11's price of ambiguity for the build alone</t>
  </si>
  <si>
    <t xml:space="preserve">$13.56m</t>
  </si>
  <si>
    <t xml:space="preserve">Triggers (Theorem 16.3(iii))</t>
  </si>
  <si>
    <t xml:space="preserve">Re-certify when the closure rate's estimate passes (4% design)</t>
  </si>
  <si>
    <t xml:space="preserve">0.30 a year</t>
  </si>
  <si>
    <t xml:space="preserve">  or the spread's estimate passes (4% design)</t>
  </si>
  <si>
    <t xml:space="preserve">$52.2m</t>
  </si>
  <si>
    <t xml:space="preserve">  or the twin's monitor alarms (Chapter 15)</t>
  </si>
  <si>
    <t xml:space="preserve">monitor</t>
  </si>
  <si>
    <t xml:space="preserve">The spread is guarded worst: certified to, against the record's bound</t>
  </si>
  <si>
    <t xml:space="preserve">Discussion question (3)</t>
  </si>
  <si>
    <t xml:space="preserve">The feedback core's phases (Proposition 16.1; Volume I, Worked Example 14.1; Section 16.2)</t>
  </si>
  <si>
    <t xml:space="preserve">Volume I's register: engineering links e, treasury links t, the new Digital-Industrial link h; the spectral radius rho = (h + sqrt(h^2 + 8(e^2 + t^2)))/2, checked below by power iteration on the register plus the identity (the largest eigenvalue of M + I is rho + 1, and the iteration settles fast even when the register is bipartite). The board's rule: deviations halve within a year, rho &lt;= 0.5^(1/4).</t>
  </si>
  <si>
    <t xml:space="preserve">The register's ceiling per link</t>
  </si>
  <si>
    <t xml:space="preserve">Volume I, Chapter 12</t>
  </si>
  <si>
    <t xml:space="preserve">The board's rule, 0.5^(1/4)</t>
  </si>
  <si>
    <t xml:space="preserve">Half-life at most four quarters</t>
  </si>
  <si>
    <t xml:space="preserve">Every existing link trimmed to, sqrt((rule^2 - h rule)/4) with h at the ceiling</t>
  </si>
  <si>
    <t xml:space="preserve">0.304</t>
  </si>
  <si>
    <t xml:space="preserve">The new link run light, (rule^2 - 2(e^2 + t^2))/rule</t>
  </si>
  <si>
    <t xml:space="preserve">0.080</t>
  </si>
  <si>
    <t xml:space="preserve">Phase</t>
  </si>
  <si>
    <t xml:space="preserve">e</t>
  </si>
  <si>
    <t xml:space="preserve">t</t>
  </si>
  <si>
    <t xml:space="preserve">h</t>
  </si>
  <si>
    <t xml:space="preserve">Radius, closed form</t>
  </si>
  <si>
    <t xml:space="preserve">Half-life (quarters)</t>
  </si>
  <si>
    <t xml:space="preserve">Stable (1 = yes)</t>
  </si>
  <si>
    <t xml:space="preserve">Within the board's rule (1 = yes)</t>
  </si>
  <si>
    <t xml:space="preserve">Radius by power iteration</t>
  </si>
  <si>
    <t xml:space="preserve">Today</t>
  </si>
  <si>
    <t xml:space="preserve">Phase two: the link added, not repaired</t>
  </si>
  <si>
    <t xml:space="preserve">Phase two: the link run light</t>
  </si>
  <si>
    <t xml:space="preserve">Phase two: every link trimmed</t>
  </si>
  <si>
    <t xml:space="preserve">Trim first, the link later: after the trim</t>
  </si>
  <si>
    <t xml:space="preserve">Proposition 16.1(ii): today and the end state are stable, the phase between is not if the link lands first; (iii) the register is symmetric, so phases each within the rule stay stable however they alternate.</t>
  </si>
  <si>
    <t xml:space="preserve">Today: the register (rows receive, columns pass on)</t>
  </si>
  <si>
    <t xml:space="preserve">Industrial</t>
  </si>
  <si>
    <t xml:space="preserve">Digital</t>
  </si>
  <si>
    <t xml:space="preserve">Engineering</t>
  </si>
  <si>
    <t xml:space="preserve">Treasury</t>
  </si>
  <si>
    <t xml:space="preserve">Iteration</t>
  </si>
  <si>
    <t xml:space="preserve">Sum</t>
  </si>
  <si>
    <t xml:space="preserve">Phase two: the link added, not repaired: the register (rows receive, columns pass on)</t>
  </si>
  <si>
    <t xml:space="preserve">Phase two: the link run light: the register (rows receive, columns pass on)</t>
  </si>
  <si>
    <t xml:space="preserve">Phase two: every link trimmed: the register (rows receive, columns pass on)</t>
  </si>
  <si>
    <t xml:space="preserve">Trim first, the link later: after the trim: the register (rows receive, columns pass on)</t>
  </si>
  <si>
    <t xml:space="preserve">Table 16.3: programs on one account (Worked Example 16.1)</t>
  </si>
  <si>
    <t xml:space="preserve">Levers: the line's fees and the delay's cost; value: payouts at 10 percent plus the year-6 savings forever, less the levers; breach: the chance of liquidity below $350m in some quarter of the build, on the book's 100,000 paths (engine).</t>
  </si>
  <si>
    <t xml:space="preserve">Line</t>
  </si>
  <si>
    <t xml:space="preserve">Delay (q)</t>
  </si>
  <si>
    <t xml:space="preserve">Breach (%)</t>
  </si>
  <si>
    <t xml:space="preserve">Pieces as certified</t>
  </si>
  <si>
    <t xml:space="preserve">1-3</t>
  </si>
  <si>
    <t xml:space="preserve">  levers to keep them</t>
  </si>
  <si>
    <t xml:space="preserve">Best program</t>
  </si>
  <si>
    <t xml:space="preserve">Round 3 in year 4</t>
  </si>
  <si>
    <t xml:space="preserve">Round 3 on a trigger</t>
  </si>
  <si>
    <t xml:space="preserve">1, 2, 3 or 4</t>
  </si>
  <si>
    <t xml:space="preserve">Designed for 4%</t>
  </si>
  <si>
    <t xml:space="preserve">Checkpoint</t>
  </si>
  <si>
    <t xml:space="preserve">Engine value</t>
  </si>
  <si>
    <t xml:space="preserve">Meaning (where in the book)</t>
  </si>
  <si>
    <t xml:space="preserve">The sale's proceeds with the engineers kept</t>
  </si>
  <si>
    <t xml:space="preserve">$92m (Step 1)</t>
  </si>
  <si>
    <t xml:space="preserve">A dollar a year of savings, beta^6 / r</t>
  </si>
  <si>
    <t xml:space="preserve">$5.645 (Step 1)</t>
  </si>
  <si>
    <t xml:space="preserve">Chapter 5's plan alone: value</t>
  </si>
  <si>
    <t xml:space="preserve">$1,021.93m</t>
  </si>
  <si>
    <t xml:space="preserve">Chapter 5's plan alone: payout in year 1</t>
  </si>
  <si>
    <t xml:space="preserve">85, 0, 122.5, 122.5, 122.5, 2.5</t>
  </si>
  <si>
    <t xml:space="preserve">Chapter 5's plan alone: payout in year 2</t>
  </si>
  <si>
    <t xml:space="preserve">Chapter 5's plan alone: payout in year 3</t>
  </si>
  <si>
    <t xml:space="preserve">Chapter 5's plan alone: payout in year 4</t>
  </si>
  <si>
    <t xml:space="preserve">Chapter 5's plan alone: payout in year 5</t>
  </si>
  <si>
    <t xml:space="preserve">Chapter 5's plan alone: payout in year 6</t>
  </si>
  <si>
    <t xml:space="preserve">The draw at its deepest, a point of depth</t>
  </si>
  <si>
    <t xml:space="preserve">$6.2m, quarter 8</t>
  </si>
  <si>
    <t xml:space="preserve">Toward $694m</t>
  </si>
  <si>
    <t xml:space="preserve">Volume I's package: levers</t>
  </si>
  <si>
    <t xml:space="preserve">The build alone: its deepest quarter</t>
  </si>
  <si>
    <t xml:space="preserve">The build alone: its deepest draw</t>
  </si>
  <si>
    <t xml:space="preserve">The build alone: closure buffer</t>
  </si>
  <si>
    <t xml:space="preserve">Planned margin at quarter 9, with the sale</t>
  </si>
  <si>
    <t xml:space="preserve">$7.3m</t>
  </si>
  <si>
    <t xml:space="preserve">Planned margin at quarter 9, without the sale</t>
  </si>
  <si>
    <t xml:space="preserve">-$84.7m</t>
  </si>
  <si>
    <t xml:space="preserve">The binding quarter of the joint check</t>
  </si>
  <si>
    <t xml:space="preserve">Quarter 9</t>
  </si>
  <si>
    <t xml:space="preserve">Claims at quarter 9, pieces: the build's draw</t>
  </si>
  <si>
    <t xml:space="preserve">115.4</t>
  </si>
  <si>
    <t xml:space="preserve">Claims at quarter 9, pieces: the rounds less their savings</t>
  </si>
  <si>
    <t xml:space="preserve">154.4</t>
  </si>
  <si>
    <t xml:space="preserve">Claims at quarter 9, pieces: the payouts made</t>
  </si>
  <si>
    <t xml:space="preserve">85.0</t>
  </si>
  <si>
    <t xml:space="preserve">Claims at quarter 9, pieces: the closure buffer</t>
  </si>
  <si>
    <t xml:space="preserve">16.9</t>
  </si>
  <si>
    <t xml:space="preserve">Claims at quarter 9, pieces with the sale: left of the room</t>
  </si>
  <si>
    <t xml:space="preserve">-9.6</t>
  </si>
  <si>
    <t xml:space="preserve">Claims at quarter 9, pieces without the sale: left of the room</t>
  </si>
  <si>
    <t xml:space="preserve">-101.6</t>
  </si>
  <si>
    <t xml:space="preserve">The room with the sale</t>
  </si>
  <si>
    <t xml:space="preserve">362</t>
  </si>
  <si>
    <t xml:space="preserve">Claims at quarter 9, program: the build's draw</t>
  </si>
  <si>
    <t xml:space="preserve">80.8</t>
  </si>
  <si>
    <t xml:space="preserve">Claims at quarter 9, program: the rounds less their savings</t>
  </si>
  <si>
    <t xml:space="preserve">Claims at quarter 9, program: the payouts made</t>
  </si>
  <si>
    <t xml:space="preserve">0</t>
  </si>
  <si>
    <t xml:space="preserve">Claims at quarter 9, program: the closure buffer</t>
  </si>
  <si>
    <t xml:space="preserve">26.9</t>
  </si>
  <si>
    <t xml:space="preserve">Claims at quarter 9, program: left of the room</t>
  </si>
  <si>
    <t xml:space="preserve">100.0</t>
  </si>
  <si>
    <t xml:space="preserve">Levers to keep the pieces as certified</t>
  </si>
  <si>
    <t xml:space="preserve">$50.02m</t>
  </si>
  <si>
    <t xml:space="preserve">Rounds in years 1, 2, 3: value</t>
  </si>
  <si>
    <t xml:space="preserve">Online Appendix Example 16.B.2</t>
  </si>
  <si>
    <t xml:space="preserve">Rounds in years 1, 2, 4: value</t>
  </si>
  <si>
    <t xml:space="preserve">Rounds in years 1, 3, 4: value</t>
  </si>
  <si>
    <t xml:space="preserve">Rounds in years 1, 4, 5: value</t>
  </si>
  <si>
    <t xml:space="preserve">Rounds in years 2, 3, 4: value</t>
  </si>
  <si>
    <t xml:space="preserve">Rounds in years 2, 4, 5: value</t>
  </si>
  <si>
    <t xml:space="preserve">Rounds in years 3, 4, 5: value</t>
  </si>
  <si>
    <t xml:space="preserve">Rounds in years 4, 5, 6: value</t>
  </si>
  <si>
    <t xml:space="preserve">Rounds in years 1, 2, 4: levers</t>
  </si>
  <si>
    <t xml:space="preserve">$16.62m</t>
  </si>
  <si>
    <t xml:space="preserve">Rounds in years 1, 3, 4: levers</t>
  </si>
  <si>
    <t xml:space="preserve">$4.29m</t>
  </si>
  <si>
    <t xml:space="preserve">Round 3 moved to year 4 costs</t>
  </si>
  <si>
    <t xml:space="preserve">$2.6m</t>
  </si>
  <si>
    <t xml:space="preserve">Rounds started in year 2 cost</t>
  </si>
  <si>
    <t xml:space="preserve">$85.8m</t>
  </si>
  <si>
    <t xml:space="preserve">Every program keeps its commitments after the build</t>
  </si>
  <si>
    <t xml:space="preserve">All 13 programs</t>
  </si>
  <si>
    <t xml:space="preserve">The sale first is worth</t>
  </si>
  <si>
    <t xml:space="preserve">The sale's proceeds paid out at the end of year 3</t>
  </si>
  <si>
    <t xml:space="preserve">The levers the sale makes unnecessary</t>
  </si>
  <si>
    <t xml:space="preserve">The best program: levers</t>
  </si>
  <si>
    <t xml:space="preserve">The best program: value from its parts</t>
  </si>
  <si>
    <t xml:space="preserve">The best program: payout in year 3</t>
  </si>
  <si>
    <t xml:space="preserve">189.9, 160.4, 158.8, 32.7</t>
  </si>
  <si>
    <t xml:space="preserve">The best program: payout in year 4</t>
  </si>
  <si>
    <t xml:space="preserve">The best program: payout in year 5</t>
  </si>
  <si>
    <t xml:space="preserve">The best program: payout in year 6</t>
  </si>
  <si>
    <t xml:space="preserve">The appetite at 4.5%: value</t>
  </si>
  <si>
    <t xml:space="preserve">$1,038.43m</t>
  </si>
  <si>
    <t xml:space="preserve">The appetite at 5.5%: value</t>
  </si>
  <si>
    <t xml:space="preserve">$1,040.25m</t>
  </si>
  <si>
    <t xml:space="preserve">The appetite's price, a point</t>
  </si>
  <si>
    <t xml:space="preserve">$1.83m</t>
  </si>
  <si>
    <t xml:space="preserve">Volume I's price for the build alone</t>
  </si>
  <si>
    <t xml:space="preserve">$1.81m</t>
  </si>
  <si>
    <t xml:space="preserve">Paying in year 1 earns a point</t>
  </si>
  <si>
    <t xml:space="preserve">Paying in year 2 earns a point</t>
  </si>
  <si>
    <t xml:space="preserve">beta - beta^3</t>
  </si>
  <si>
    <t xml:space="preserve">Points of chance a dollar paid in year 1 spends</t>
  </si>
  <si>
    <t xml:space="preserve">A dollar of room at the start</t>
  </si>
  <si>
    <t xml:space="preserve">A dollar of room: paid out at the end of year 3</t>
  </si>
  <si>
    <t xml:space="preserve">A dollar of room: levers made unnecessary</t>
  </si>
  <si>
    <t xml:space="preserve">A point of capability at Chapter 7's price</t>
  </si>
  <si>
    <t xml:space="preserve">Capability of rounds in years 1-3</t>
  </si>
  <si>
    <t xml:space="preserve">$10.67m</t>
  </si>
  <si>
    <t xml:space="preserve">Capability of rounds in years 1, 2, 4</t>
  </si>
  <si>
    <t xml:space="preserve">Payouts wait: both earn less than the appetite's price</t>
  </si>
  <si>
    <t xml:space="preserve">Holding Chapter 5's year-1 payout is worth</t>
  </si>
  <si>
    <t xml:space="preserve">Round 3 on a trigger: the best trigger</t>
  </si>
  <si>
    <t xml:space="preserve">Round 3 on a trigger: levers</t>
  </si>
  <si>
    <t xml:space="preserve">Round 3 on a trigger: value</t>
  </si>
  <si>
    <t xml:space="preserve">Round 3 on a trigger: more than committing to year 3</t>
  </si>
  <si>
    <t xml:space="preserve">Round 3 on a trigger: more than committing to year 4</t>
  </si>
  <si>
    <t xml:space="preserve">Section 16.2: more than either timing</t>
  </si>
  <si>
    <t xml:space="preserve">Theorem 16.2(iii): the rule beats both timings</t>
  </si>
  <si>
    <t xml:space="preserve">Holds</t>
  </si>
  <si>
    <t xml:space="preserve">Proposition 16.2: the project started now</t>
  </si>
  <si>
    <t xml:space="preserve">Proposition 16.2: the project if it waits</t>
  </si>
  <si>
    <t xml:space="preserve">Proposition 16.2: the loss waiting avoids</t>
  </si>
  <si>
    <t xml:space="preserve">Proposition 16.2: what waiting costs</t>
  </si>
  <si>
    <t xml:space="preserve">Design for 4.5%: levers</t>
  </si>
  <si>
    <t xml:space="preserve">Design for 4.5%: value</t>
  </si>
  <si>
    <t xml:space="preserve">Design for 4%: levers</t>
  </si>
  <si>
    <t xml:space="preserve">Design for 4%: value</t>
  </si>
  <si>
    <t xml:space="preserve">Design for 3.5%: levers</t>
  </si>
  <si>
    <t xml:space="preserve">Design for 3.5%: value</t>
  </si>
  <si>
    <t xml:space="preserve">Design for 3%: levers</t>
  </si>
  <si>
    <t xml:space="preserve">Design for 3%: value</t>
  </si>
  <si>
    <t xml:space="preserve">Design for 2.5%: levers</t>
  </si>
  <si>
    <t xml:space="preserve">Design for 2.5%: value</t>
  </si>
  <si>
    <t xml:space="preserve">Design for 2%: levers</t>
  </si>
  <si>
    <t xml:space="preserve">Design for 2%: value</t>
  </si>
  <si>
    <t xml:space="preserve">Design for 4%: the margin's cost</t>
  </si>
  <si>
    <t xml:space="preserve">$2.07m</t>
  </si>
  <si>
    <t xml:space="preserve">Design for 3%: the margin's cost</t>
  </si>
  <si>
    <t xml:space="preserve">$4.65m</t>
  </si>
  <si>
    <t xml:space="preserve">The records' rate bound</t>
  </si>
  <si>
    <t xml:space="preserve">The records' spread bound</t>
  </si>
  <si>
    <t xml:space="preserve">A record twice as long: spread bound</t>
  </si>
  <si>
    <t xml:space="preserve">At the corner: levers</t>
  </si>
  <si>
    <t xml:space="preserve">At the corner: value</t>
  </si>
  <si>
    <t xml:space="preserve">12.144 (printed $12.14m)</t>
  </si>
  <si>
    <t xml:space="preserve">The core today</t>
  </si>
  <si>
    <t xml:space="preserve">0.800</t>
  </si>
  <si>
    <t xml:space="preserve">The core with the new link at 0.40</t>
  </si>
  <si>
    <t xml:space="preserve">1.025</t>
  </si>
  <si>
    <t xml:space="preserve">The core with the link run light</t>
  </si>
  <si>
    <t xml:space="preserve">0.841</t>
  </si>
  <si>
    <t xml:space="preserve">The core with every link trimmed</t>
  </si>
  <si>
    <t xml:space="preserve">Trim first: the core passes through</t>
  </si>
  <si>
    <t xml:space="preserve">0.609</t>
  </si>
  <si>
    <t xml:space="preserve">Every existing link trimmed to</t>
  </si>
  <si>
    <t xml:space="preserve">The link run light</t>
  </si>
  <si>
    <t xml:space="preserve">Trim first: half-life</t>
  </si>
  <si>
    <t xml:space="preserve">1.40 quarters</t>
  </si>
  <si>
    <t xml:space="preserve">The link with the trim: half-life</t>
  </si>
  <si>
    <t xml:space="preserve">4.00 quarters</t>
  </si>
  <si>
    <t xml:space="preserve">Core phase 1: power iteration agrees with the closed form</t>
  </si>
  <si>
    <t xml:space="preserve">Volume I's register plus the identity, 28 iterations</t>
  </si>
  <si>
    <t xml:space="preserve">Core phase 2: power iteration agrees with the closed form</t>
  </si>
  <si>
    <t xml:space="preserve">Core phase 3: power iteration agrees with the closed form</t>
  </si>
  <si>
    <t xml:space="preserve">Core phase 4: power iteration agrees with the closed form</t>
  </si>
  <si>
    <t xml:space="preserve">Core phase 5: power iteration agrees with the closed form</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</si>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</sst>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2">
    <numFmt numFmtId="164" formatCode="General"/>
    <numFmt numFmtId="165" formatCode="0.00"/>
    <numFmt numFmtId="166" formatCode="0.000000"/>
    <numFmt numFmtId="167" formatCode="0.000"/>
    <numFmt numFmtId="168" formatCode="0.0"/>
    <numFmt numFmtId="169" formatCode="0.00%"/>
    <numFmt numFmtId="170" formatCode="0"/>
    <numFmt numFmtId="171" formatCode="0.0000"/>
    <numFmt numFmtId="172" formatCode="0.0%"/>
    <numFmt numFmtId="173" formatCode="0.00000"/>
    <numFmt numFmtId="174" formatCode="#,##0.00"/>
    <numFmt numFmtId="175" formatCode="0.0E+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s>
  <fills count="5">
    <fill>
      <patternFill patternType="none"/>
    </fill>
    <fill>
      <patternFill patternType="gray125"/>
    </fill>
    <fill>
      <patternFill patternType="solid">
        <fgColor rgb="FFFFF3D6"/>
        <bgColor rgb="FFE8F0EC"/>
      </patternFill>
    </fill>
    <fill>
      <patternFill patternType="solid">
        <fgColor rgb="FFE8F0EC"/>
        <bgColor rgb="FFFFF3D6"/>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72" fontId="7" fillId="2" borderId="0" xfId="0" applyFont="true" applyBorder="false" applyAlignment="false" applyProtection="false">
      <alignment horizontal="general" vertical="bottom" textRotation="0" wrapText="false" indent="0" shrinkToFit="false"/>
      <protection locked="true" hidden="false"/>
    </xf>
    <xf numFmtId="173" fontId="8" fillId="3"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7" fillId="2"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5"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35.05" hidden="false" customHeight="false" outlineLevel="0" collapsed="false">
      <c r="B4" s="3" t="s">
        <v>2</v>
      </c>
    </row>
    <row r="5" customFormat="false" ht="15" hidden="false" customHeight="false" outlineLevel="0" collapsed="false">
      <c r="B5" s="3" t="s">
        <v>3</v>
      </c>
    </row>
    <row r="6" customFormat="false" ht="15" hidden="false" customHeight="false" outlineLevel="0" collapsed="false">
      <c r="B6" s="3" t="s">
        <v>4</v>
      </c>
    </row>
    <row r="7" customFormat="false" ht="23.85" hidden="false" customHeight="false" outlineLevel="0" collapsed="false">
      <c r="B7" s="3" t="s">
        <v>5</v>
      </c>
    </row>
    <row r="8" customFormat="false" ht="35.05" hidden="false" customHeight="false" outlineLevel="0" collapsed="false">
      <c r="B8" s="3" t="s">
        <v>6</v>
      </c>
    </row>
    <row r="9" customFormat="false" ht="23.85" hidden="false" customHeight="false" outlineLevel="0" collapsed="false">
      <c r="B9" s="3" t="s">
        <v>7</v>
      </c>
    </row>
    <row r="10" customFormat="false" ht="15" hidden="false" customHeight="false" outlineLevel="0" collapsed="false">
      <c r="B10" s="3" t="s">
        <v>8</v>
      </c>
    </row>
    <row r="11" customFormat="false" ht="23.85" hidden="false" customHeight="false" outlineLevel="0" collapsed="false">
      <c r="B11" s="3" t="s">
        <v>9</v>
      </c>
    </row>
    <row r="12" customFormat="false" ht="15" hidden="false" customHeight="false" outlineLevel="0" collapsed="false">
      <c r="B12" s="3" t="s">
        <v>10</v>
      </c>
    </row>
    <row r="13" customFormat="false" ht="23.85" hidden="false" customHeight="false" outlineLevel="0" collapsed="false">
      <c r="B13" s="3" t="s">
        <v>11</v>
      </c>
    </row>
    <row r="14" customFormat="false" ht="15" hidden="false" customHeight="false" outlineLevel="0" collapsed="false">
      <c r="B14" s="3" t="s">
        <v>12</v>
      </c>
    </row>
    <row r="16" customFormat="false" ht="15" hidden="false" customHeight="false" outlineLevel="0" collapsed="false">
      <c r="B16" s="4" t="s">
        <v>13</v>
      </c>
    </row>
    <row r="17" customFormat="false" ht="15" hidden="false" customHeight="false" outlineLevel="0" collapsed="false">
      <c r="B17" s="5" t="s">
        <v>14</v>
      </c>
    </row>
    <row r="18" customFormat="false" ht="15" hidden="false" customHeight="false" outlineLevel="0" collapsed="false">
      <c r="B18" s="2" t="s">
        <v>15</v>
      </c>
    </row>
    <row r="19" customFormat="false" ht="15" hidden="false" customHeight="false" outlineLevel="0" collapsed="false">
      <c r="B19" s="6" t="s">
        <v>16</v>
      </c>
    </row>
    <row r="20" customFormat="false" ht="15" hidden="false" customHeight="false" outlineLevel="0" collapsed="false">
      <c r="B20" s="7"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50"/>
  </cols>
  <sheetData>
    <row r="1" customFormat="false" ht="15" hidden="false" customHeight="false" outlineLevel="0" collapsed="false">
      <c r="A1" s="1" t="s">
        <v>18</v>
      </c>
    </row>
    <row r="3" customFormat="false" ht="15" hidden="false" customHeight="false" outlineLevel="0" collapsed="false">
      <c r="A3" s="8" t="s">
        <v>19</v>
      </c>
      <c r="B3" s="8" t="s">
        <v>20</v>
      </c>
      <c r="C3" s="8" t="s">
        <v>21</v>
      </c>
    </row>
    <row r="4" customFormat="false" ht="15" hidden="false" customHeight="false" outlineLevel="0" collapsed="false">
      <c r="A4" s="2" t="s">
        <v>22</v>
      </c>
      <c r="B4" s="9" t="n">
        <v>0.1</v>
      </c>
      <c r="C4" s="10" t="s">
        <v>23</v>
      </c>
    </row>
    <row r="5" customFormat="false" ht="15" hidden="false" customHeight="false" outlineLevel="0" collapsed="false">
      <c r="A5" s="2" t="s">
        <v>24</v>
      </c>
      <c r="B5" s="11" t="n">
        <f aca="false">1/(1+B4)</f>
        <v>0.909090909090909</v>
      </c>
    </row>
    <row r="6" customFormat="false" ht="15" hidden="false" customHeight="false" outlineLevel="0" collapsed="false">
      <c r="A6" s="2" t="s">
        <v>25</v>
      </c>
      <c r="B6" s="12" t="n">
        <f aca="false">B5^6/B4</f>
        <v>5.64473930053777</v>
      </c>
      <c r="C6" s="10" t="s">
        <v>26</v>
      </c>
    </row>
    <row r="7" customFormat="false" ht="15" hidden="false" customHeight="false" outlineLevel="0" collapsed="false">
      <c r="A7" s="2" t="s">
        <v>27</v>
      </c>
      <c r="B7" s="13" t="n">
        <v>620</v>
      </c>
      <c r="C7" s="10" t="s">
        <v>28</v>
      </c>
    </row>
    <row r="8" customFormat="false" ht="15" hidden="false" customHeight="false" outlineLevel="0" collapsed="false">
      <c r="A8" s="2" t="s">
        <v>29</v>
      </c>
      <c r="B8" s="13" t="n">
        <v>350</v>
      </c>
    </row>
    <row r="9" customFormat="false" ht="15" hidden="false" customHeight="false" outlineLevel="0" collapsed="false">
      <c r="A9" s="2" t="s">
        <v>30</v>
      </c>
      <c r="B9" s="14" t="n">
        <f aca="false">B7-B8</f>
        <v>270</v>
      </c>
      <c r="C9" s="10" t="s">
        <v>31</v>
      </c>
    </row>
    <row r="10" customFormat="false" ht="15" hidden="false" customHeight="false" outlineLevel="0" collapsed="false">
      <c r="A10" s="2" t="s">
        <v>32</v>
      </c>
      <c r="B10" s="13" t="n">
        <v>112</v>
      </c>
      <c r="C10" s="10" t="s">
        <v>33</v>
      </c>
    </row>
    <row r="11" customFormat="false" ht="15" hidden="false" customHeight="false" outlineLevel="0" collapsed="false">
      <c r="A11" s="2" t="s">
        <v>34</v>
      </c>
      <c r="B11" s="13" t="n">
        <v>20</v>
      </c>
      <c r="C11" s="10" t="s">
        <v>35</v>
      </c>
    </row>
    <row r="12" customFormat="false" ht="15" hidden="false" customHeight="false" outlineLevel="0" collapsed="false">
      <c r="A12" s="2" t="s">
        <v>36</v>
      </c>
      <c r="B12" s="14" t="n">
        <f aca="false">B10-B11</f>
        <v>92</v>
      </c>
      <c r="C12" s="10" t="s">
        <v>37</v>
      </c>
    </row>
    <row r="13" customFormat="false" ht="15" hidden="false" customHeight="false" outlineLevel="0" collapsed="false">
      <c r="A13" s="2" t="s">
        <v>38</v>
      </c>
      <c r="B13" s="13" t="n">
        <v>120</v>
      </c>
      <c r="C13" s="10" t="s">
        <v>39</v>
      </c>
    </row>
    <row r="14" customFormat="false" ht="15" hidden="false" customHeight="false" outlineLevel="0" collapsed="false">
      <c r="A14" s="2" t="s">
        <v>40</v>
      </c>
      <c r="B14" s="9" t="n">
        <v>71</v>
      </c>
    </row>
    <row r="15" customFormat="false" ht="15" hidden="false" customHeight="false" outlineLevel="0" collapsed="false">
      <c r="A15" s="2" t="s">
        <v>41</v>
      </c>
      <c r="B15" s="9" t="n">
        <v>85</v>
      </c>
    </row>
    <row r="16" customFormat="false" ht="15" hidden="false" customHeight="false" outlineLevel="0" collapsed="false">
      <c r="A16" s="2" t="s">
        <v>42</v>
      </c>
      <c r="B16" s="9" t="n">
        <v>0.5</v>
      </c>
      <c r="C16" s="10" t="s">
        <v>43</v>
      </c>
    </row>
    <row r="17" customFormat="false" ht="15" hidden="false" customHeight="false" outlineLevel="0" collapsed="false">
      <c r="A17" s="2" t="s">
        <v>44</v>
      </c>
      <c r="B17" s="13" t="n">
        <v>10</v>
      </c>
    </row>
    <row r="18" customFormat="false" ht="15" hidden="false" customHeight="false" outlineLevel="0" collapsed="false">
      <c r="A18" s="2" t="s">
        <v>45</v>
      </c>
      <c r="B18" s="13" t="n">
        <v>470</v>
      </c>
      <c r="C18" s="10" t="s">
        <v>46</v>
      </c>
    </row>
    <row r="19" customFormat="false" ht="15" hidden="false" customHeight="false" outlineLevel="0" collapsed="false">
      <c r="A19" s="2" t="s">
        <v>47</v>
      </c>
      <c r="B19" s="13" t="n">
        <v>470</v>
      </c>
      <c r="C19" s="10" t="s">
        <v>48</v>
      </c>
    </row>
    <row r="20" customFormat="false" ht="15" hidden="false" customHeight="false" outlineLevel="0" collapsed="false">
      <c r="A20" s="2" t="s">
        <v>49</v>
      </c>
      <c r="B20" s="9" t="n">
        <v>0.03</v>
      </c>
      <c r="C20" s="10" t="s">
        <v>50</v>
      </c>
    </row>
    <row r="21" customFormat="false" ht="15" hidden="false" customHeight="false" outlineLevel="0" collapsed="false">
      <c r="A21" s="2" t="s">
        <v>51</v>
      </c>
      <c r="B21" s="13" t="n">
        <v>8</v>
      </c>
      <c r="C21" s="10" t="s">
        <v>52</v>
      </c>
    </row>
    <row r="22" customFormat="false" ht="15" hidden="false" customHeight="false" outlineLevel="0" collapsed="false">
      <c r="A22" s="2" t="s">
        <v>53</v>
      </c>
      <c r="B22" s="13" t="n">
        <v>28</v>
      </c>
    </row>
    <row r="23" customFormat="false" ht="15" hidden="false" customHeight="false" outlineLevel="0" collapsed="false">
      <c r="A23" s="2" t="s">
        <v>54</v>
      </c>
      <c r="B23" s="13" t="n">
        <v>4</v>
      </c>
      <c r="C23" s="10" t="s">
        <v>55</v>
      </c>
    </row>
    <row r="24" customFormat="false" ht="15" hidden="false" customHeight="false" outlineLevel="0" collapsed="false">
      <c r="A24" s="2" t="s">
        <v>56</v>
      </c>
      <c r="B24" s="15" t="n">
        <v>0.05</v>
      </c>
      <c r="C24" s="10" t="s">
        <v>57</v>
      </c>
    </row>
    <row r="25" customFormat="false" ht="15" hidden="false" customHeight="false" outlineLevel="0" collapsed="false">
      <c r="A25" s="2" t="s">
        <v>58</v>
      </c>
      <c r="B25" s="16" t="n">
        <v>170</v>
      </c>
      <c r="C25" s="10" t="s">
        <v>59</v>
      </c>
    </row>
    <row r="26" customFormat="false" ht="15" hidden="false" customHeight="false" outlineLevel="0" collapsed="false">
      <c r="A26" s="2" t="s">
        <v>60</v>
      </c>
      <c r="B26" s="17" t="n">
        <v>0.667576361426625</v>
      </c>
      <c r="C26" s="10" t="s">
        <v>61</v>
      </c>
    </row>
    <row r="27" customFormat="false" ht="15" hidden="false" customHeight="false" outlineLevel="0" collapsed="false">
      <c r="A27" s="2" t="s">
        <v>62</v>
      </c>
      <c r="B27" s="18" t="n">
        <f aca="false">B20*B25+B21*B26</f>
        <v>10.440610891413</v>
      </c>
      <c r="C27" s="10" t="s">
        <v>63</v>
      </c>
    </row>
    <row r="28" customFormat="false" ht="15" hidden="false" customHeight="false" outlineLevel="0" collapsed="false">
      <c r="A28" s="2" t="s">
        <v>64</v>
      </c>
      <c r="B28" s="9" t="n">
        <v>0.62</v>
      </c>
      <c r="C28" s="10" t="s">
        <v>65</v>
      </c>
    </row>
    <row r="29" customFormat="false" ht="15" hidden="false" customHeight="false" outlineLevel="0" collapsed="false">
      <c r="A29" s="2" t="s">
        <v>66</v>
      </c>
      <c r="B29" s="13" t="n">
        <v>100</v>
      </c>
      <c r="C29" s="10" t="s">
        <v>67</v>
      </c>
    </row>
    <row r="30" customFormat="false" ht="15" hidden="false" customHeight="false" outlineLevel="0" collapsed="false">
      <c r="A30" s="2" t="s">
        <v>68</v>
      </c>
      <c r="B30" s="13" t="n">
        <v>112</v>
      </c>
    </row>
    <row r="31" customFormat="false" ht="15" hidden="false" customHeight="false" outlineLevel="0" collapsed="false">
      <c r="A31" s="2" t="s">
        <v>69</v>
      </c>
      <c r="B31" s="9" t="n">
        <v>0.35</v>
      </c>
    </row>
    <row r="32" customFormat="false" ht="15" hidden="false" customHeight="false" outlineLevel="0" collapsed="false">
      <c r="A32" s="2" t="s">
        <v>70</v>
      </c>
      <c r="B32" s="13" t="n">
        <v>2</v>
      </c>
      <c r="C32" s="10" t="s">
        <v>71</v>
      </c>
    </row>
    <row r="33" customFormat="false" ht="15" hidden="false" customHeight="false" outlineLevel="0" collapsed="false">
      <c r="A33" s="2" t="s">
        <v>72</v>
      </c>
      <c r="B33" s="18" t="n">
        <f aca="false">1000*B28/100</f>
        <v>6.2</v>
      </c>
      <c r="C33" s="10" t="s">
        <v>73</v>
      </c>
    </row>
    <row r="34" customFormat="false" ht="15" hidden="false" customHeight="false" outlineLevel="0" collapsed="false">
      <c r="A34" s="2" t="s">
        <v>74</v>
      </c>
      <c r="B34" s="14" t="n">
        <f aca="false">1000*B28*B30/100</f>
        <v>694.4</v>
      </c>
      <c r="C34" s="10" t="s">
        <v>75</v>
      </c>
    </row>
    <row r="35" customFormat="false" ht="15" hidden="false" customHeight="false" outlineLevel="0" collapsed="false">
      <c r="A35" s="2" t="s">
        <v>76</v>
      </c>
      <c r="B35" s="13" t="n">
        <v>120</v>
      </c>
      <c r="C35" s="10" t="s">
        <v>77</v>
      </c>
    </row>
    <row r="36" customFormat="false" ht="15" hidden="false" customHeight="false" outlineLevel="0" collapsed="false">
      <c r="A36" s="2" t="s">
        <v>78</v>
      </c>
      <c r="B36" s="13" t="n">
        <v>50</v>
      </c>
    </row>
    <row r="37" customFormat="false" ht="15" hidden="false" customHeight="false" outlineLevel="0" collapsed="false">
      <c r="A37" s="2" t="s">
        <v>79</v>
      </c>
      <c r="B37" s="19" t="n">
        <f aca="false">(B35/B36)^2</f>
        <v>5.76</v>
      </c>
    </row>
    <row r="38" customFormat="false" ht="15" hidden="false" customHeight="false" outlineLevel="0" collapsed="false">
      <c r="A38" s="2" t="s">
        <v>80</v>
      </c>
      <c r="B38" s="11" t="n">
        <f aca="false">B36^2/B35</f>
        <v>20.8333333333333</v>
      </c>
    </row>
    <row r="39" customFormat="false" ht="15" hidden="false" customHeight="false" outlineLevel="0" collapsed="false">
      <c r="A39" s="2" t="s">
        <v>81</v>
      </c>
      <c r="B39" s="12" t="n">
        <f aca="false">GAMMAINV(0.9,B37,B38)</f>
        <v>186.866976370664</v>
      </c>
      <c r="C39" s="10" t="s">
        <v>82</v>
      </c>
    </row>
    <row r="40" customFormat="false" ht="15" hidden="false" customHeight="false" outlineLevel="0" collapsed="false">
      <c r="A40" s="2" t="s">
        <v>83</v>
      </c>
      <c r="B40" s="9" t="n">
        <v>0.1</v>
      </c>
    </row>
    <row r="41" customFormat="false" ht="15" hidden="false" customHeight="false" outlineLevel="0" collapsed="false">
      <c r="A41" s="2" t="s">
        <v>84</v>
      </c>
      <c r="B41" s="9" t="n">
        <v>0.6</v>
      </c>
      <c r="C41" s="10" t="s">
        <v>85</v>
      </c>
    </row>
    <row r="42" customFormat="false" ht="15" hidden="false" customHeight="false" outlineLevel="0" collapsed="false">
      <c r="A42" s="2" t="s">
        <v>86</v>
      </c>
      <c r="B42" s="13" t="n">
        <v>50</v>
      </c>
    </row>
    <row r="43" customFormat="false" ht="15" hidden="false" customHeight="false" outlineLevel="0" collapsed="false">
      <c r="A43" s="2" t="s">
        <v>87</v>
      </c>
      <c r="B43" s="20" t="n">
        <v>0.975</v>
      </c>
    </row>
    <row r="44" customFormat="false" ht="15" hidden="false" customHeight="false" outlineLevel="0" collapsed="false">
      <c r="A44" s="2" t="s">
        <v>88</v>
      </c>
      <c r="B44" s="9" t="n">
        <v>4</v>
      </c>
    </row>
    <row r="45" customFormat="false" ht="15" hidden="false" customHeight="false" outlineLevel="0" collapsed="false">
      <c r="A45" s="2" t="s">
        <v>89</v>
      </c>
      <c r="B45" s="18" t="n">
        <f aca="false">B43*B44</f>
        <v>3.9</v>
      </c>
      <c r="C45" s="10" t="s">
        <v>90</v>
      </c>
    </row>
    <row r="46" customFormat="false" ht="15" hidden="false" customHeight="false" outlineLevel="0" collapsed="false">
      <c r="A46" s="2" t="s">
        <v>91</v>
      </c>
      <c r="B46" s="16" t="n">
        <v>58</v>
      </c>
      <c r="C46" s="10" t="s">
        <v>33</v>
      </c>
    </row>
    <row r="47" customFormat="false" ht="15" hidden="false" customHeight="false" outlineLevel="0" collapsed="false">
      <c r="A47" s="2" t="s">
        <v>92</v>
      </c>
      <c r="B47" s="16" t="n">
        <v>53</v>
      </c>
    </row>
    <row r="48" customFormat="false" ht="15" hidden="false" customHeight="false" outlineLevel="0" collapsed="false">
      <c r="A48" s="2" t="s">
        <v>93</v>
      </c>
      <c r="B48" s="16" t="n">
        <v>55</v>
      </c>
    </row>
    <row r="50" customFormat="false" ht="15" hidden="false" customHeight="false" outlineLevel="0" collapsed="false">
      <c r="A50" s="4" t="s">
        <v>94</v>
      </c>
    </row>
    <row r="51" customFormat="false" ht="15" hidden="false" customHeight="false" outlineLevel="0" collapsed="false">
      <c r="A51" s="2" t="s">
        <v>95</v>
      </c>
      <c r="B51" s="16" t="n">
        <v>8</v>
      </c>
      <c r="C51" s="10" t="s">
        <v>96</v>
      </c>
    </row>
    <row r="52" customFormat="false" ht="15" hidden="false" customHeight="false" outlineLevel="0" collapsed="false">
      <c r="A52" s="2" t="s">
        <v>97</v>
      </c>
      <c r="B52" s="16" t="n">
        <v>26209</v>
      </c>
      <c r="C52" s="10" t="s">
        <v>98</v>
      </c>
    </row>
    <row r="53" customFormat="false" ht="15" hidden="false" customHeight="false" outlineLevel="0" collapsed="false">
      <c r="A53" s="2" t="s">
        <v>99</v>
      </c>
      <c r="B53" s="16" t="n">
        <v>1108</v>
      </c>
      <c r="C53" s="10" t="s">
        <v>100</v>
      </c>
    </row>
    <row r="54" customFormat="false" ht="15" hidden="false" customHeight="false" outlineLevel="0" collapsed="false">
      <c r="A54" s="2" t="s">
        <v>101</v>
      </c>
      <c r="B54" s="16" t="n">
        <v>26216</v>
      </c>
      <c r="C54" s="10" t="s">
        <v>102</v>
      </c>
    </row>
    <row r="56" customFormat="false" ht="15" hidden="false" customHeight="false" outlineLevel="0" collapsed="false">
      <c r="A56" s="10"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2"/>
    <col collapsed="false" customWidth="true" hidden="false" outlineLevel="0" max="4" min="4" style="0" width="11"/>
    <col collapsed="false" customWidth="true" hidden="false" outlineLevel="0" max="5" min="5" style="0" width="12"/>
    <col collapsed="false" customWidth="true" hidden="false" outlineLevel="0" max="6" min="6" style="0" width="14"/>
    <col collapsed="false" customWidth="true" hidden="false" outlineLevel="0" max="7" min="7" style="0" width="10"/>
    <col collapsed="false" customWidth="true" hidden="false" outlineLevel="0" max="8" min="8" style="0" width="13"/>
    <col collapsed="false" customWidth="true" hidden="false" outlineLevel="0" max="9" min="9" style="0" width="11"/>
    <col collapsed="false" customWidth="true" hidden="false" outlineLevel="0" max="11" min="10" style="0" width="13"/>
  </cols>
  <sheetData>
    <row r="1" customFormat="false" ht="15" hidden="false" customHeight="false" outlineLevel="0" collapsed="false">
      <c r="A1" s="1" t="s">
        <v>104</v>
      </c>
    </row>
    <row r="2" customFormat="false" ht="15" hidden="false" customHeight="false" outlineLevel="0" collapsed="false">
      <c r="A2" s="10" t="s">
        <v>105</v>
      </c>
    </row>
    <row r="4" customFormat="false" ht="23.85" hidden="false" customHeight="false" outlineLevel="0" collapsed="false">
      <c r="A4" s="8" t="s">
        <v>106</v>
      </c>
      <c r="B4" s="8" t="s">
        <v>107</v>
      </c>
      <c r="C4" s="8" t="s">
        <v>108</v>
      </c>
      <c r="D4" s="8" t="s">
        <v>109</v>
      </c>
      <c r="E4" s="8" t="s">
        <v>110</v>
      </c>
      <c r="F4" s="8" t="s">
        <v>111</v>
      </c>
      <c r="G4" s="8" t="s">
        <v>112</v>
      </c>
      <c r="H4" s="8" t="s">
        <v>113</v>
      </c>
      <c r="I4" s="8" t="s">
        <v>114</v>
      </c>
      <c r="J4" s="8" t="s">
        <v>115</v>
      </c>
      <c r="K4" s="8" t="s">
        <v>116</v>
      </c>
    </row>
    <row r="5" customFormat="false" ht="15" hidden="false" customHeight="false" outlineLevel="0" collapsed="false">
      <c r="A5" s="21" t="n">
        <v>0</v>
      </c>
      <c r="C5" s="22" t="n">
        <f aca="false">Eff_0</f>
        <v>71</v>
      </c>
      <c r="E5" s="14" t="n">
        <f aca="false">MAX(E6+Round_cost*B6-D6,IF(B6=1,Pre_cash,-1000000000),-1000000000)</f>
        <v>535</v>
      </c>
      <c r="H5" s="23" t="n">
        <f aca="false">Liq_today</f>
        <v>620</v>
      </c>
    </row>
    <row r="6" customFormat="false" ht="15" hidden="false" customHeight="false" outlineLevel="0" collapsed="false">
      <c r="A6" s="21" t="n">
        <v>1</v>
      </c>
      <c r="B6" s="16" t="n">
        <v>1</v>
      </c>
      <c r="C6" s="18" t="n">
        <f aca="false">IF(B6=1,C5+Gap_share*(Eff_ceil-C5),C5)</f>
        <v>78</v>
      </c>
      <c r="D6" s="14" t="n">
        <f aca="false">Save_pt*(C6-Eff_0)</f>
        <v>70</v>
      </c>
      <c r="E6" s="14" t="n">
        <f aca="false">MAX(E7+Round_cost*B7-D7,IF(B7=1,Pre_cash,-1000000000),Floor_cash)</f>
        <v>485</v>
      </c>
      <c r="F6" s="14" t="n">
        <f aca="false">H5-Round_cost*B6+D6</f>
        <v>570</v>
      </c>
      <c r="G6" s="14" t="n">
        <f aca="false">MAX(0,F6-E6)</f>
        <v>85</v>
      </c>
      <c r="H6" s="14" t="n">
        <f aca="false">F6-G6</f>
        <v>485</v>
      </c>
      <c r="I6" s="11" t="n">
        <f aca="false">Beta_y^A6</f>
        <v>0.909090909090909</v>
      </c>
      <c r="J6" s="18" t="n">
        <f aca="false">I6*G6</f>
        <v>77.2727272727273</v>
      </c>
      <c r="K6" s="21" t="n">
        <f aca="false">IF(AND(H6&gt;=Floor_cash-0.000000001,IF(B6=1,H5&gt;=Pre_cash-0.000000001,TRUE())),1,0)</f>
        <v>1</v>
      </c>
    </row>
    <row r="7" customFormat="false" ht="15" hidden="false" customHeight="false" outlineLevel="0" collapsed="false">
      <c r="A7" s="21" t="n">
        <v>2</v>
      </c>
      <c r="B7" s="16" t="n">
        <v>1</v>
      </c>
      <c r="C7" s="18" t="n">
        <f aca="false">IF(B7=1,C6+Gap_share*(Eff_ceil-C6),C6)</f>
        <v>81.5</v>
      </c>
      <c r="D7" s="14" t="n">
        <f aca="false">Save_pt*(C7-Eff_0)</f>
        <v>105</v>
      </c>
      <c r="E7" s="14" t="n">
        <f aca="false">MAX(E8+Round_cost*B8-D8,IF(B8=1,Pre_cash,-1000000000),Floor_cash)</f>
        <v>470</v>
      </c>
      <c r="F7" s="14" t="n">
        <f aca="false">H6-Round_cost*B7+D7</f>
        <v>470</v>
      </c>
      <c r="G7" s="14" t="n">
        <f aca="false">MAX(0,F7-E7)</f>
        <v>0</v>
      </c>
      <c r="H7" s="14" t="n">
        <f aca="false">F7-G7</f>
        <v>470</v>
      </c>
      <c r="I7" s="11" t="n">
        <f aca="false">Beta_y^A7</f>
        <v>0.826446280991735</v>
      </c>
      <c r="J7" s="18" t="n">
        <f aca="false">I7*G7</f>
        <v>0</v>
      </c>
      <c r="K7" s="21" t="n">
        <f aca="false">IF(AND(H7&gt;=Floor_cash-0.000000001,IF(B7=1,H6&gt;=Pre_cash-0.000000001,TRUE())),1,0)</f>
        <v>1</v>
      </c>
    </row>
    <row r="8" customFormat="false" ht="15" hidden="false" customHeight="false" outlineLevel="0" collapsed="false">
      <c r="A8" s="21" t="n">
        <v>3</v>
      </c>
      <c r="B8" s="16" t="n">
        <v>1</v>
      </c>
      <c r="C8" s="18" t="n">
        <f aca="false">IF(B8=1,C7+Gap_share*(Eff_ceil-C7),C7)</f>
        <v>83.25</v>
      </c>
      <c r="D8" s="14" t="n">
        <f aca="false">Save_pt*(C8-Eff_0)</f>
        <v>122.5</v>
      </c>
      <c r="E8" s="14" t="n">
        <f aca="false">MAX(E9+Round_cost*B9-D9,IF(B9=1,Pre_cash,-1000000000),Floor_cash)</f>
        <v>350</v>
      </c>
      <c r="F8" s="14" t="n">
        <f aca="false">H7-Round_cost*B8+D8</f>
        <v>472.5</v>
      </c>
      <c r="G8" s="14" t="n">
        <f aca="false">MAX(0,F8-E8)</f>
        <v>122.5</v>
      </c>
      <c r="H8" s="14" t="n">
        <f aca="false">F8-G8</f>
        <v>350</v>
      </c>
      <c r="I8" s="11" t="n">
        <f aca="false">Beta_y^A8</f>
        <v>0.751314800901578</v>
      </c>
      <c r="J8" s="18" t="n">
        <f aca="false">I8*G8</f>
        <v>92.0360631104433</v>
      </c>
      <c r="K8" s="21" t="n">
        <f aca="false">IF(AND(H8&gt;=Floor_cash-0.000000001,IF(B8=1,H7&gt;=Pre_cash-0.000000001,TRUE())),1,0)</f>
        <v>1</v>
      </c>
    </row>
    <row r="9" customFormat="false" ht="15" hidden="false" customHeight="false" outlineLevel="0" collapsed="false">
      <c r="A9" s="21" t="n">
        <v>4</v>
      </c>
      <c r="B9" s="16" t="n">
        <v>0</v>
      </c>
      <c r="C9" s="18" t="n">
        <f aca="false">IF(B9=1,C8+Gap_share*(Eff_ceil-C8),C8)</f>
        <v>83.25</v>
      </c>
      <c r="D9" s="14" t="n">
        <f aca="false">Save_pt*(C9-Eff_0)</f>
        <v>122.5</v>
      </c>
      <c r="E9" s="14" t="n">
        <f aca="false">MAX(E10+Round_cost*B10-D10,IF(B10=1,Pre_cash,-1000000000),Floor_cash)</f>
        <v>350</v>
      </c>
      <c r="F9" s="14" t="n">
        <f aca="false">H8-Round_cost*B9+D9</f>
        <v>472.5</v>
      </c>
      <c r="G9" s="14" t="n">
        <f aca="false">MAX(0,F9-E9)</f>
        <v>122.5</v>
      </c>
      <c r="H9" s="14" t="n">
        <f aca="false">F9-G9</f>
        <v>350</v>
      </c>
      <c r="I9" s="11" t="n">
        <f aca="false">Beta_y^A9</f>
        <v>0.683013455365071</v>
      </c>
      <c r="J9" s="18" t="n">
        <f aca="false">I9*G9</f>
        <v>83.6691482822212</v>
      </c>
      <c r="K9" s="21" t="n">
        <f aca="false">IF(AND(H9&gt;=Floor_cash-0.000000001,IF(B9=1,H8&gt;=Pre_cash-0.000000001,TRUE())),1,0)</f>
        <v>1</v>
      </c>
    </row>
    <row r="10" customFormat="false" ht="15" hidden="false" customHeight="false" outlineLevel="0" collapsed="false">
      <c r="A10" s="21" t="n">
        <v>5</v>
      </c>
      <c r="B10" s="16" t="n">
        <v>0</v>
      </c>
      <c r="C10" s="18" t="n">
        <f aca="false">IF(B10=1,C9+Gap_share*(Eff_ceil-C9),C9)</f>
        <v>83.25</v>
      </c>
      <c r="D10" s="14" t="n">
        <f aca="false">Save_pt*(C10-Eff_0)</f>
        <v>122.5</v>
      </c>
      <c r="E10" s="14" t="n">
        <f aca="false">MAX(E11+Round_cost*B11-D11,IF(B11=1,Pre_cash,-1000000000),Floor_cash)</f>
        <v>350</v>
      </c>
      <c r="F10" s="14" t="n">
        <f aca="false">H9-Round_cost*B10+D10</f>
        <v>472.5</v>
      </c>
      <c r="G10" s="14" t="n">
        <f aca="false">MAX(0,F10-E10)</f>
        <v>122.5</v>
      </c>
      <c r="H10" s="14" t="n">
        <f aca="false">F10-G10</f>
        <v>350</v>
      </c>
      <c r="I10" s="11" t="n">
        <f aca="false">Beta_y^A10</f>
        <v>0.620921323059155</v>
      </c>
      <c r="J10" s="18" t="n">
        <f aca="false">I10*G10</f>
        <v>76.0628620747465</v>
      </c>
      <c r="K10" s="21" t="n">
        <f aca="false">IF(AND(H10&gt;=Floor_cash-0.000000001,IF(B10=1,H9&gt;=Pre_cash-0.000000001,TRUE())),1,0)</f>
        <v>1</v>
      </c>
    </row>
    <row r="11" customFormat="false" ht="15" hidden="false" customHeight="false" outlineLevel="0" collapsed="false">
      <c r="A11" s="21" t="n">
        <v>6</v>
      </c>
      <c r="B11" s="16" t="n">
        <v>0</v>
      </c>
      <c r="C11" s="18" t="n">
        <f aca="false">IF(B11=1,C10+Gap_share*(Eff_ceil-C10),C10)</f>
        <v>83.25</v>
      </c>
      <c r="D11" s="14" t="n">
        <f aca="false">Save_pt*(C11-Eff_0)</f>
        <v>122.5</v>
      </c>
      <c r="E11" s="14" t="n">
        <f aca="false">MAX(End_cash,Floor_cash)</f>
        <v>470</v>
      </c>
      <c r="F11" s="14" t="n">
        <f aca="false">H10-Round_cost*B11+D11</f>
        <v>472.5</v>
      </c>
      <c r="G11" s="14" t="n">
        <f aca="false">MAX(0,F11-E11)</f>
        <v>2.5</v>
      </c>
      <c r="H11" s="14" t="n">
        <f aca="false">F11-G11</f>
        <v>470</v>
      </c>
      <c r="I11" s="11" t="n">
        <f aca="false">Beta_y^A11</f>
        <v>0.564473930053777</v>
      </c>
      <c r="J11" s="18" t="n">
        <f aca="false">I11*G11</f>
        <v>1.41118482513444</v>
      </c>
      <c r="K11" s="21" t="n">
        <f aca="false">IF(AND(H11&gt;=Floor_cash-0.000000001,IF(B11=1,H10&gt;=Pre_cash-0.000000001,TRUE())),1,0)</f>
        <v>1</v>
      </c>
    </row>
    <row r="13" customFormat="false" ht="15" hidden="false" customHeight="false" outlineLevel="0" collapsed="false">
      <c r="A13" s="2" t="s">
        <v>117</v>
      </c>
      <c r="B13" s="18" t="n">
        <f aca="false">SUM(J6:J11)</f>
        <v>330.451985565273</v>
      </c>
      <c r="C13" s="10" t="s">
        <v>118</v>
      </c>
    </row>
    <row r="14" customFormat="false" ht="15" hidden="false" customHeight="false" outlineLevel="0" collapsed="false">
      <c r="A14" s="2" t="s">
        <v>119</v>
      </c>
      <c r="B14" s="18" t="n">
        <f aca="false">I11*D11/R_hurdle</f>
        <v>691.480564315877</v>
      </c>
      <c r="C14" s="10" t="s">
        <v>120</v>
      </c>
    </row>
    <row r="15" customFormat="false" ht="15" hidden="false" customHeight="false" outlineLevel="0" collapsed="false">
      <c r="A15" s="2" t="s">
        <v>121</v>
      </c>
      <c r="B15" s="18" t="n">
        <f aca="false">B13+B14</f>
        <v>1021.93254988115</v>
      </c>
      <c r="C15" s="10" t="s">
        <v>122</v>
      </c>
    </row>
    <row r="16" customFormat="false" ht="15" hidden="false" customHeight="false" outlineLevel="0" collapsed="false">
      <c r="A16" s="2" t="s">
        <v>123</v>
      </c>
      <c r="B16" s="21" t="n">
        <f aca="false">IF(AND(SUM(K6:K11)=6,H11&gt;=End_cash-0.000000001),1,0)</f>
        <v>1</v>
      </c>
      <c r="C16" s="10" t="s">
        <v>124</v>
      </c>
    </row>
    <row r="18" customFormat="false" ht="15" hidden="false" customHeight="false" outlineLevel="0" collapsed="false">
      <c r="A18" s="10"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4" min="3" style="0" width="13"/>
    <col collapsed="false" customWidth="true" hidden="false" outlineLevel="0" max="5" min="5" style="0" width="9"/>
    <col collapsed="false" customWidth="true" hidden="false" outlineLevel="0" max="6" min="6" style="0" width="10"/>
    <col collapsed="false" customWidth="true" hidden="false" outlineLevel="0" max="8" min="7" style="0" width="14"/>
    <col collapsed="false" customWidth="true" hidden="false" outlineLevel="0" max="9" min="9" style="0" width="15"/>
    <col collapsed="false" customWidth="true" hidden="false" outlineLevel="0" max="10" min="10" style="0" width="13"/>
    <col collapsed="false" customWidth="true" hidden="false" outlineLevel="0" max="13" min="11" style="0" width="14"/>
    <col collapsed="false" customWidth="true" hidden="false" outlineLevel="0" max="14" min="14" style="0" width="13"/>
    <col collapsed="false" customWidth="true" hidden="false" outlineLevel="0" max="15" min="15" style="0" width="12"/>
  </cols>
  <sheetData>
    <row r="1" customFormat="false" ht="15" hidden="false" customHeight="false" outlineLevel="0" collapsed="false">
      <c r="A1" s="1" t="s">
        <v>126</v>
      </c>
    </row>
    <row r="2" customFormat="false" ht="15" hidden="false" customHeight="false" outlineLevel="0" collapsed="false">
      <c r="A2" s="10" t="s">
        <v>127</v>
      </c>
    </row>
    <row r="4" customFormat="false" ht="35.05" hidden="false" customHeight="false" outlineLevel="0" collapsed="false">
      <c r="A4" s="8" t="s">
        <v>128</v>
      </c>
      <c r="B4" s="8" t="s">
        <v>129</v>
      </c>
      <c r="C4" s="8" t="s">
        <v>130</v>
      </c>
      <c r="D4" s="8" t="s">
        <v>131</v>
      </c>
      <c r="E4" s="8" t="s">
        <v>106</v>
      </c>
      <c r="F4" s="8" t="s">
        <v>132</v>
      </c>
      <c r="G4" s="8" t="s">
        <v>133</v>
      </c>
      <c r="H4" s="8" t="s">
        <v>134</v>
      </c>
      <c r="I4" s="8" t="s">
        <v>135</v>
      </c>
      <c r="J4" s="8" t="s">
        <v>136</v>
      </c>
      <c r="K4" s="8" t="s">
        <v>137</v>
      </c>
      <c r="L4" s="8" t="s">
        <v>138</v>
      </c>
      <c r="M4" s="8" t="s">
        <v>139</v>
      </c>
      <c r="N4" s="8" t="s">
        <v>140</v>
      </c>
      <c r="O4" s="8" t="s">
        <v>141</v>
      </c>
    </row>
    <row r="5" customFormat="false" ht="15" hidden="false" customHeight="false" outlineLevel="0" collapsed="false">
      <c r="A5" s="21" t="n">
        <v>1</v>
      </c>
      <c r="B5" s="18" t="n">
        <f aca="false">A5/4</f>
        <v>0.25</v>
      </c>
      <c r="C5" s="18" t="n">
        <f aca="false">1000*Idx_bn*(Rel_inf+(Rel_0-Rel_inf)*EXP(-Rel_k*B5))/100</f>
        <v>626.233315949175</v>
      </c>
      <c r="D5" s="19" t="n">
        <f aca="false">1000*Idx_bn*(B5/Tau_draw)*EXP(1-B5/Tau_draw)/100</f>
        <v>1.8591283528245</v>
      </c>
      <c r="E5" s="21" t="n">
        <f aca="false">INT((A5-1)/4)+1</f>
        <v>1</v>
      </c>
      <c r="F5" s="21" t="n">
        <f aca="false">MOD(A5-1,4)+1</f>
        <v>1</v>
      </c>
      <c r="G5" s="18" t="n">
        <f aca="false">C5-(Depth_0-Depth_pq*Pkg_delay)*D5</f>
        <v>579.142162634903</v>
      </c>
      <c r="H5" s="18" t="n">
        <f aca="false">INDEX($E$21:$E$23,E5)-Round_cost*INDEX($B$22:$B$24,E5)+F5*INDEX($C$22:$C$24,E5)/4</f>
        <v>-102.5</v>
      </c>
      <c r="I5" s="18" t="n">
        <f aca="false">G5+H5+Sale_G</f>
        <v>568.642162634903</v>
      </c>
      <c r="J5" s="18" t="n">
        <f aca="false">I5-Floor_cash</f>
        <v>218.642162634903</v>
      </c>
      <c r="K5" s="18" t="n">
        <f aca="false">G5+H5-Floor_cash</f>
        <v>126.642162634903</v>
      </c>
      <c r="L5" s="18" t="n">
        <f aca="false">C5-(Depth_0-Depth_pq*$B$28)*D5</f>
        <v>589.582329216498</v>
      </c>
      <c r="M5" s="18" t="n">
        <f aca="false">INDEX($G$21:$G$23,E5)-Round_cost*INDEX($B$22:$B$24,E5)+F5*INDEX($C$22:$C$24,E5)/4</f>
        <v>-102.5</v>
      </c>
      <c r="N5" s="18" t="n">
        <f aca="false">L5+M5+Sale_G</f>
        <v>579.082329216498</v>
      </c>
      <c r="O5" s="18" t="n">
        <f aca="false">N5-Floor_cash</f>
        <v>229.082329216498</v>
      </c>
    </row>
    <row r="6" customFormat="false" ht="15" hidden="false" customHeight="false" outlineLevel="0" collapsed="false">
      <c r="A6" s="21" t="n">
        <v>2</v>
      </c>
      <c r="B6" s="18" t="n">
        <f aca="false">A6/4</f>
        <v>0.5</v>
      </c>
      <c r="C6" s="18" t="n">
        <f aca="false">1000*Idx_bn*(Rel_inf+(Rel_0-Rel_inf)*EXP(-Rel_k*B6))/100</f>
        <v>631.944397654771</v>
      </c>
      <c r="D6" s="19" t="n">
        <f aca="false">1000*Idx_bn*(B6/Tau_draw)*EXP(1-B6/Tau_draw)/100</f>
        <v>3.28135002574965</v>
      </c>
      <c r="E6" s="21" t="n">
        <f aca="false">INT((A6-1)/4)+1</f>
        <v>1</v>
      </c>
      <c r="F6" s="21" t="n">
        <f aca="false">MOD(A6-1,4)+1</f>
        <v>2</v>
      </c>
      <c r="G6" s="18" t="n">
        <f aca="false">C6-(Depth_0-Depth_pq*Pkg_delay)*D6</f>
        <v>548.828803776809</v>
      </c>
      <c r="H6" s="18" t="n">
        <f aca="false">INDEX($E$21:$E$23,E6)-Round_cost*INDEX($B$22:$B$24,E6)+F6*INDEX($C$22:$C$24,E6)/4</f>
        <v>-85</v>
      </c>
      <c r="I6" s="18" t="n">
        <f aca="false">G6+H6+Sale_G</f>
        <v>555.828803776809</v>
      </c>
      <c r="J6" s="18" t="n">
        <f aca="false">I6-Floor_cash</f>
        <v>205.828803776809</v>
      </c>
      <c r="K6" s="18" t="n">
        <f aca="false">G6+H6-Floor_cash</f>
        <v>113.828803776809</v>
      </c>
      <c r="L6" s="18" t="n">
        <f aca="false">C6-(Depth_0-Depth_pq*$B$28)*D6</f>
        <v>567.255633118258</v>
      </c>
      <c r="M6" s="18" t="n">
        <f aca="false">INDEX($G$21:$G$23,E6)-Round_cost*INDEX($B$22:$B$24,E6)+F6*INDEX($C$22:$C$24,E6)/4</f>
        <v>-85</v>
      </c>
      <c r="N6" s="18" t="n">
        <f aca="false">L6+M6+Sale_G</f>
        <v>574.255633118258</v>
      </c>
      <c r="O6" s="18" t="n">
        <f aca="false">N6-Floor_cash</f>
        <v>224.255633118258</v>
      </c>
    </row>
    <row r="7" customFormat="false" ht="15" hidden="false" customHeight="false" outlineLevel="0" collapsed="false">
      <c r="A7" s="21" t="n">
        <v>3</v>
      </c>
      <c r="B7" s="18" t="n">
        <f aca="false">A7/4</f>
        <v>0.75</v>
      </c>
      <c r="C7" s="18" t="n">
        <f aca="false">1000*Idx_bn*(Rel_inf+(Rel_0-Rel_inf)*EXP(-Rel_k*B7))/100</f>
        <v>637.176998490978</v>
      </c>
      <c r="D7" s="19" t="n">
        <f aca="false">1000*Idx_bn*(B7/Tau_draw)*EXP(1-B7/Tau_draw)/100</f>
        <v>4.34367185102992</v>
      </c>
      <c r="E7" s="21" t="n">
        <f aca="false">INT((A7-1)/4)+1</f>
        <v>1</v>
      </c>
      <c r="F7" s="21" t="n">
        <f aca="false">MOD(A7-1,4)+1</f>
        <v>3</v>
      </c>
      <c r="G7" s="18" t="n">
        <f aca="false">C7-(Depth_0-Depth_pq*Pkg_delay)*D7</f>
        <v>527.153117260308</v>
      </c>
      <c r="H7" s="18" t="n">
        <f aca="false">INDEX($E$21:$E$23,E7)-Round_cost*INDEX($B$22:$B$24,E7)+F7*INDEX($C$22:$C$24,E7)/4</f>
        <v>-67.5</v>
      </c>
      <c r="I7" s="18" t="n">
        <f aca="false">G7+H7+Sale_G</f>
        <v>551.653117260308</v>
      </c>
      <c r="J7" s="18" t="n">
        <f aca="false">I7-Floor_cash</f>
        <v>201.653117260308</v>
      </c>
      <c r="K7" s="18" t="n">
        <f aca="false">G7+H7-Floor_cash</f>
        <v>109.653117260308</v>
      </c>
      <c r="L7" s="18" t="n">
        <f aca="false">C7-(Depth_0-Depth_pq*$B$28)*D7</f>
        <v>551.545546987733</v>
      </c>
      <c r="M7" s="18" t="n">
        <f aca="false">INDEX($G$21:$G$23,E7)-Round_cost*INDEX($B$22:$B$24,E7)+F7*INDEX($C$22:$C$24,E7)/4</f>
        <v>-67.5</v>
      </c>
      <c r="N7" s="18" t="n">
        <f aca="false">L7+M7+Sale_G</f>
        <v>576.045546987733</v>
      </c>
      <c r="O7" s="18" t="n">
        <f aca="false">N7-Floor_cash</f>
        <v>226.045546987733</v>
      </c>
    </row>
    <row r="8" customFormat="false" ht="15" hidden="false" customHeight="false" outlineLevel="0" collapsed="false">
      <c r="A8" s="21" t="n">
        <v>4</v>
      </c>
      <c r="B8" s="18" t="n">
        <f aca="false">A8/4</f>
        <v>1</v>
      </c>
      <c r="C8" s="18" t="n">
        <f aca="false">1000*Idx_bn*(Rel_inf+(Rel_0-Rel_inf)*EXP(-Rel_k*B8))/100</f>
        <v>641.971206124928</v>
      </c>
      <c r="D8" s="19" t="n">
        <f aca="false">1000*Idx_bn*(B8/Tau_draw)*EXP(1-B8/Tau_draw)/100</f>
        <v>5.1110359391704</v>
      </c>
      <c r="E8" s="21" t="n">
        <f aca="false">INT((A8-1)/4)+1</f>
        <v>1</v>
      </c>
      <c r="F8" s="21" t="n">
        <f aca="false">MOD(A8-1,4)+1</f>
        <v>4</v>
      </c>
      <c r="G8" s="18" t="n">
        <f aca="false">C8-(Depth_0-Depth_pq*Pkg_delay)*D8</f>
        <v>512.510226929725</v>
      </c>
      <c r="H8" s="18" t="n">
        <f aca="false">INDEX($E$21:$E$23,E8)-Round_cost*INDEX($B$22:$B$24,E8)+F8*INDEX($C$22:$C$24,E8)/4</f>
        <v>-50</v>
      </c>
      <c r="I8" s="18" t="n">
        <f aca="false">G8+H8+Sale_G</f>
        <v>554.510226929725</v>
      </c>
      <c r="J8" s="18" t="n">
        <f aca="false">I8-Floor_cash</f>
        <v>204.510226929725</v>
      </c>
      <c r="K8" s="18" t="n">
        <f aca="false">G8+H8-Floor_cash</f>
        <v>112.510226929725</v>
      </c>
      <c r="L8" s="18" t="n">
        <f aca="false">C8-(Depth_0-Depth_pq*$B$28)*D8</f>
        <v>541.211885171011</v>
      </c>
      <c r="M8" s="18" t="n">
        <f aca="false">INDEX($G$21:$G$23,E8)-Round_cost*INDEX($B$22:$B$24,E8)+F8*INDEX($C$22:$C$24,E8)/4</f>
        <v>-50</v>
      </c>
      <c r="N8" s="18" t="n">
        <f aca="false">L8+M8+Sale_G</f>
        <v>583.211885171011</v>
      </c>
      <c r="O8" s="18" t="n">
        <f aca="false">N8-Floor_cash</f>
        <v>233.211885171011</v>
      </c>
    </row>
    <row r="9" customFormat="false" ht="15" hidden="false" customHeight="false" outlineLevel="0" collapsed="false">
      <c r="A9" s="21" t="n">
        <v>5</v>
      </c>
      <c r="B9" s="18" t="n">
        <f aca="false">A9/4</f>
        <v>1.25</v>
      </c>
      <c r="C9" s="18" t="n">
        <f aca="false">1000*Idx_bn*(Rel_inf+(Rel_0-Rel_inf)*EXP(-Rel_k*B9))/100</f>
        <v>646.363749633765</v>
      </c>
      <c r="D9" s="19" t="n">
        <f aca="false">1000*Idx_bn*(B9/Tau_draw)*EXP(1-B9/Tau_draw)/100</f>
        <v>5.63809173164553</v>
      </c>
      <c r="E9" s="21" t="n">
        <f aca="false">INT((A9-1)/4)+1</f>
        <v>2</v>
      </c>
      <c r="F9" s="21" t="n">
        <f aca="false">MOD(A9-1,4)+1</f>
        <v>1</v>
      </c>
      <c r="G9" s="18" t="n">
        <f aca="false">C9-(Depth_0-Depth_pq*Pkg_delay)*D9</f>
        <v>503.552608202096</v>
      </c>
      <c r="H9" s="18" t="n">
        <f aca="false">INDEX($E$21:$E$23,E9)-Round_cost*INDEX($B$22:$B$24,E9)+F9*INDEX($C$22:$C$24,E9)/4</f>
        <v>-228.75</v>
      </c>
      <c r="I9" s="18" t="n">
        <f aca="false">G9+H9+Sale_G</f>
        <v>366.802608202096</v>
      </c>
      <c r="J9" s="18" t="n">
        <f aca="false">I9-Floor_cash</f>
        <v>16.8026082020958</v>
      </c>
      <c r="K9" s="18" t="n">
        <f aca="false">G9+H9-Floor_cash</f>
        <v>-75.1973917979042</v>
      </c>
      <c r="L9" s="18" t="n">
        <f aca="false">C9-(Depth_0-Depth_pq*$B$28)*D9</f>
        <v>535.214013823317</v>
      </c>
      <c r="M9" s="18" t="n">
        <f aca="false">INDEX($G$21:$G$23,E9)-Round_cost*INDEX($B$22:$B$24,E9)+F9*INDEX($C$22:$C$24,E9)/4</f>
        <v>-143.75</v>
      </c>
      <c r="N9" s="18" t="n">
        <f aca="false">L9+M9+Sale_G</f>
        <v>483.464013823317</v>
      </c>
      <c r="O9" s="18" t="n">
        <f aca="false">N9-Floor_cash</f>
        <v>133.464013823317</v>
      </c>
    </row>
    <row r="10" customFormat="false" ht="15" hidden="false" customHeight="false" outlineLevel="0" collapsed="false">
      <c r="A10" s="21" t="n">
        <v>6</v>
      </c>
      <c r="B10" s="18" t="n">
        <f aca="false">A10/4</f>
        <v>1.5</v>
      </c>
      <c r="C10" s="18" t="n">
        <f aca="false">1000*Idx_bn*(Rel_inf+(Rel_0-Rel_inf)*EXP(-Rel_k*B10))/100</f>
        <v>650.388280891109</v>
      </c>
      <c r="D10" s="19" t="n">
        <f aca="false">1000*Idx_bn*(B10/Tau_draw)*EXP(1-B10/Tau_draw)/100</f>
        <v>5.970718187598</v>
      </c>
      <c r="E10" s="21" t="n">
        <f aca="false">INT((A10-1)/4)+1</f>
        <v>2</v>
      </c>
      <c r="F10" s="21" t="n">
        <f aca="false">MOD(A10-1,4)+1</f>
        <v>2</v>
      </c>
      <c r="G10" s="18" t="n">
        <f aca="false">C10-(Depth_0-Depth_pq*Pkg_delay)*D10</f>
        <v>499.151812929487</v>
      </c>
      <c r="H10" s="18" t="n">
        <f aca="false">INDEX($E$21:$E$23,E10)-Round_cost*INDEX($B$22:$B$24,E10)+F10*INDEX($C$22:$C$24,E10)/4</f>
        <v>-202.5</v>
      </c>
      <c r="I10" s="18" t="n">
        <f aca="false">G10+H10+Sale_G</f>
        <v>388.651812929487</v>
      </c>
      <c r="J10" s="18" t="n">
        <f aca="false">I10-Floor_cash</f>
        <v>38.6518129294868</v>
      </c>
      <c r="K10" s="18" t="n">
        <f aca="false">G10+H10-Floor_cash</f>
        <v>-53.3481870705132</v>
      </c>
      <c r="L10" s="18" t="n">
        <f aca="false">C10-(Depth_0-Depth_pq*$B$28)*D10</f>
        <v>532.681123800129</v>
      </c>
      <c r="M10" s="18" t="n">
        <f aca="false">INDEX($G$21:$G$23,E10)-Round_cost*INDEX($B$22:$B$24,E10)+F10*INDEX($C$22:$C$24,E10)/4</f>
        <v>-117.5</v>
      </c>
      <c r="N10" s="18" t="n">
        <f aca="false">L10+M10+Sale_G</f>
        <v>507.181123800129</v>
      </c>
      <c r="O10" s="18" t="n">
        <f aca="false">N10-Floor_cash</f>
        <v>157.181123800129</v>
      </c>
    </row>
    <row r="11" customFormat="false" ht="15" hidden="false" customHeight="false" outlineLevel="0" collapsed="false">
      <c r="A11" s="21" t="n">
        <v>7</v>
      </c>
      <c r="B11" s="18" t="n">
        <f aca="false">A11/4</f>
        <v>1.75</v>
      </c>
      <c r="C11" s="18" t="n">
        <f aca="false">1000*Idx_bn*(Rel_inf+(Rel_0-Rel_inf)*EXP(-Rel_k*B11))/100</f>
        <v>654.075632378636</v>
      </c>
      <c r="D11" s="19" t="n">
        <f aca="false">1000*Idx_bn*(B11/Tau_draw)*EXP(1-B11/Tau_draw)/100</f>
        <v>6.14733035788753</v>
      </c>
      <c r="E11" s="21" t="n">
        <f aca="false">INT((A11-1)/4)+1</f>
        <v>2</v>
      </c>
      <c r="F11" s="21" t="n">
        <f aca="false">MOD(A11-1,4)+1</f>
        <v>3</v>
      </c>
      <c r="G11" s="18" t="n">
        <f aca="false">C11-(Depth_0-Depth_pq*Pkg_delay)*D11</f>
        <v>498.36563208901</v>
      </c>
      <c r="H11" s="18" t="n">
        <f aca="false">INDEX($E$21:$E$23,E11)-Round_cost*INDEX($B$22:$B$24,E11)+F11*INDEX($C$22:$C$24,E11)/4</f>
        <v>-176.25</v>
      </c>
      <c r="I11" s="18" t="n">
        <f aca="false">G11+H11+Sale_G</f>
        <v>414.11563208901</v>
      </c>
      <c r="J11" s="18" t="n">
        <f aca="false">I11-Floor_cash</f>
        <v>64.1156320890095</v>
      </c>
      <c r="K11" s="18" t="n">
        <f aca="false">G11+H11-Floor_cash</f>
        <v>-27.8843679109905</v>
      </c>
      <c r="L11" s="18" t="n">
        <f aca="false">C11-(Depth_0-Depth_pq*$B$28)*D11</f>
        <v>532.886730576337</v>
      </c>
      <c r="M11" s="18" t="n">
        <f aca="false">INDEX($G$21:$G$23,E11)-Round_cost*INDEX($B$22:$B$24,E11)+F11*INDEX($C$22:$C$24,E11)/4</f>
        <v>-91.25</v>
      </c>
      <c r="N11" s="18" t="n">
        <f aca="false">L11+M11+Sale_G</f>
        <v>533.636730576337</v>
      </c>
      <c r="O11" s="18" t="n">
        <f aca="false">N11-Floor_cash</f>
        <v>183.636730576337</v>
      </c>
    </row>
    <row r="12" customFormat="false" ht="15" hidden="false" customHeight="false" outlineLevel="0" collapsed="false">
      <c r="A12" s="21" t="n">
        <v>8</v>
      </c>
      <c r="B12" s="18" t="n">
        <f aca="false">A12/4</f>
        <v>2</v>
      </c>
      <c r="C12" s="18" t="n">
        <f aca="false">1000*Idx_bn*(Rel_inf+(Rel_0-Rel_inf)*EXP(-Rel_k*B12))/100</f>
        <v>657.454053397919</v>
      </c>
      <c r="D12" s="19" t="n">
        <f aca="false">1000*Idx_bn*(B12/Tau_draw)*EXP(1-B12/Tau_draw)/100</f>
        <v>6.2</v>
      </c>
      <c r="E12" s="21" t="n">
        <f aca="false">INT((A12-1)/4)+1</f>
        <v>2</v>
      </c>
      <c r="F12" s="21" t="n">
        <f aca="false">MOD(A12-1,4)+1</f>
        <v>4</v>
      </c>
      <c r="G12" s="18" t="n">
        <f aca="false">C12-(Depth_0-Depth_pq*Pkg_delay)*D12</f>
        <v>500.4099471613</v>
      </c>
      <c r="H12" s="18" t="n">
        <f aca="false">INDEX($E$21:$E$23,E12)-Round_cost*INDEX($B$22:$B$24,E12)+F12*INDEX($C$22:$C$24,E12)/4</f>
        <v>-150</v>
      </c>
      <c r="I12" s="18" t="n">
        <f aca="false">G12+H12+Sale_G</f>
        <v>442.4099471613</v>
      </c>
      <c r="J12" s="18" t="n">
        <f aca="false">I12-Floor_cash</f>
        <v>92.4099471612995</v>
      </c>
      <c r="K12" s="18" t="n">
        <f aca="false">G12+H12-Floor_cash</f>
        <v>0.409947161299499</v>
      </c>
      <c r="L12" s="18" t="n">
        <f aca="false">C12-(Depth_0-Depth_pq*$B$28)*D12</f>
        <v>535.226818577168</v>
      </c>
      <c r="M12" s="18" t="n">
        <f aca="false">INDEX($G$21:$G$23,E12)-Round_cost*INDEX($B$22:$B$24,E12)+F12*INDEX($C$22:$C$24,E12)/4</f>
        <v>-65</v>
      </c>
      <c r="N12" s="18" t="n">
        <f aca="false">L12+M12+Sale_G</f>
        <v>562.226818577168</v>
      </c>
      <c r="O12" s="18" t="n">
        <f aca="false">N12-Floor_cash</f>
        <v>212.226818577168</v>
      </c>
    </row>
    <row r="13" customFormat="false" ht="15" hidden="false" customHeight="false" outlineLevel="0" collapsed="false">
      <c r="A13" s="21" t="n">
        <v>9</v>
      </c>
      <c r="B13" s="18" t="n">
        <f aca="false">A13/4</f>
        <v>2.25</v>
      </c>
      <c r="C13" s="18" t="n">
        <f aca="false">1000*Idx_bn*(Rel_inf+(Rel_0-Rel_inf)*EXP(-Rel_k*B13))/100</f>
        <v>660.549426492168</v>
      </c>
      <c r="D13" s="19" t="n">
        <f aca="false">1000*Idx_bn*(B13/Tau_draw)*EXP(1-B13/Tau_draw)/100</f>
        <v>6.15541589552755</v>
      </c>
      <c r="E13" s="21" t="n">
        <f aca="false">INT((A13-1)/4)+1</f>
        <v>3</v>
      </c>
      <c r="F13" s="21" t="n">
        <f aca="false">MOD(A13-1,4)+1</f>
        <v>1</v>
      </c>
      <c r="G13" s="18" t="n">
        <f aca="false">C13-(Depth_0-Depth_pq*Pkg_delay)*D13</f>
        <v>504.634622003812</v>
      </c>
      <c r="H13" s="18" t="n">
        <f aca="false">INDEX($E$21:$E$23,E13)-Round_cost*INDEX($B$22:$B$24,E13)+F13*INDEX($C$22:$C$24,E13)/4</f>
        <v>-239.375</v>
      </c>
      <c r="I13" s="18" t="n">
        <f aca="false">G13+H13+Sale_G</f>
        <v>357.259622003812</v>
      </c>
      <c r="J13" s="18" t="n">
        <f aca="false">I13-Floor_cash</f>
        <v>7.25962200381196</v>
      </c>
      <c r="K13" s="18" t="n">
        <f aca="false">G13+H13-Floor_cash</f>
        <v>-84.740377996188</v>
      </c>
      <c r="L13" s="18" t="n">
        <f aca="false">C13-(Depth_0-Depth_pq*$B$28)*D13</f>
        <v>539.201125833775</v>
      </c>
      <c r="M13" s="18" t="n">
        <f aca="false">INDEX($G$21:$G$23,E13)-Round_cost*INDEX($B$22:$B$24,E13)+F13*INDEX($C$22:$C$24,E13)/4</f>
        <v>-154.375</v>
      </c>
      <c r="N13" s="18" t="n">
        <f aca="false">L13+M13+Sale_G</f>
        <v>476.826125833775</v>
      </c>
      <c r="O13" s="18" t="n">
        <f aca="false">N13-Floor_cash</f>
        <v>126.826125833775</v>
      </c>
    </row>
    <row r="14" customFormat="false" ht="15" hidden="false" customHeight="false" outlineLevel="0" collapsed="false">
      <c r="A14" s="21" t="n">
        <v>10</v>
      </c>
      <c r="B14" s="18" t="n">
        <f aca="false">A14/4</f>
        <v>2.5</v>
      </c>
      <c r="C14" s="18" t="n">
        <f aca="false">1000*Idx_bn*(Rel_inf+(Rel_0-Rel_inf)*EXP(-Rel_k*B14))/100</f>
        <v>663.385465735919</v>
      </c>
      <c r="D14" s="19" t="n">
        <f aca="false">1000*Idx_bn*(B14/Tau_draw)*EXP(1-B14/Tau_draw)/100</f>
        <v>6.03570606880339</v>
      </c>
      <c r="E14" s="21" t="n">
        <f aca="false">INT((A14-1)/4)+1</f>
        <v>3</v>
      </c>
      <c r="F14" s="21" t="n">
        <f aca="false">MOD(A14-1,4)+1</f>
        <v>2</v>
      </c>
      <c r="G14" s="18" t="n">
        <f aca="false">C14-(Depth_0-Depth_pq*Pkg_delay)*D14</f>
        <v>510.502874593634</v>
      </c>
      <c r="H14" s="18" t="n">
        <f aca="false">INDEX($E$21:$E$23,E14)-Round_cost*INDEX($B$22:$B$24,E14)+F14*INDEX($C$22:$C$24,E14)/4</f>
        <v>-208.75</v>
      </c>
      <c r="I14" s="18" t="n">
        <f aca="false">G14+H14+Sale_G</f>
        <v>393.752874593634</v>
      </c>
      <c r="J14" s="18" t="n">
        <f aca="false">I14-Floor_cash</f>
        <v>43.7528745936336</v>
      </c>
      <c r="K14" s="18" t="n">
        <f aca="false">G14+H14-Floor_cash</f>
        <v>-48.2471254063664</v>
      </c>
      <c r="L14" s="18" t="n">
        <f aca="false">C14-(Depth_0-Depth_pq*$B$28)*D14</f>
        <v>544.397132997102</v>
      </c>
      <c r="M14" s="18" t="n">
        <f aca="false">INDEX($G$21:$G$23,E14)-Round_cost*INDEX($B$22:$B$24,E14)+F14*INDEX($C$22:$C$24,E14)/4</f>
        <v>-123.75</v>
      </c>
      <c r="N14" s="18" t="n">
        <f aca="false">L14+M14+Sale_G</f>
        <v>512.647132997102</v>
      </c>
      <c r="O14" s="18" t="n">
        <f aca="false">N14-Floor_cash</f>
        <v>162.647132997102</v>
      </c>
    </row>
    <row r="15" customFormat="false" ht="15" hidden="false" customHeight="false" outlineLevel="0" collapsed="false">
      <c r="A15" s="21" t="n">
        <v>11</v>
      </c>
      <c r="B15" s="18" t="n">
        <f aca="false">A15/4</f>
        <v>2.75</v>
      </c>
      <c r="C15" s="18" t="n">
        <f aca="false">1000*Idx_bn*(Rel_inf+(Rel_0-Rel_inf)*EXP(-Rel_k*B15))/100</f>
        <v>665.983898411786</v>
      </c>
      <c r="D15" s="19" t="n">
        <f aca="false">1000*Idx_bn*(B15/Tau_draw)*EXP(1-B15/Tau_draw)/100</f>
        <v>5.85914110169304</v>
      </c>
      <c r="E15" s="21" t="n">
        <f aca="false">INT((A15-1)/4)+1</f>
        <v>3</v>
      </c>
      <c r="F15" s="21" t="n">
        <f aca="false">MOD(A15-1,4)+1</f>
        <v>3</v>
      </c>
      <c r="G15" s="18" t="n">
        <f aca="false">C15-(Depth_0-Depth_pq*Pkg_delay)*D15</f>
        <v>517.573643955395</v>
      </c>
      <c r="H15" s="18" t="n">
        <f aca="false">INDEX($E$21:$E$23,E15)-Round_cost*INDEX($B$22:$B$24,E15)+F15*INDEX($C$22:$C$24,E15)/4</f>
        <v>-178.125</v>
      </c>
      <c r="I15" s="18" t="n">
        <f aca="false">G15+H15+Sale_G</f>
        <v>431.448643955395</v>
      </c>
      <c r="J15" s="18" t="n">
        <f aca="false">I15-Floor_cash</f>
        <v>81.4486439553948</v>
      </c>
      <c r="K15" s="18" t="n">
        <f aca="false">G15+H15-Floor_cash</f>
        <v>-10.5513560446052</v>
      </c>
      <c r="L15" s="18" t="n">
        <f aca="false">C15-(Depth_0-Depth_pq*$B$28)*D15</f>
        <v>550.476379817504</v>
      </c>
      <c r="M15" s="18" t="n">
        <f aca="false">INDEX($G$21:$G$23,E15)-Round_cost*INDEX($B$22:$B$24,E15)+F15*INDEX($C$22:$C$24,E15)/4</f>
        <v>-93.125</v>
      </c>
      <c r="N15" s="18" t="n">
        <f aca="false">L15+M15+Sale_G</f>
        <v>549.351379817504</v>
      </c>
      <c r="O15" s="18" t="n">
        <f aca="false">N15-Floor_cash</f>
        <v>199.351379817504</v>
      </c>
    </row>
    <row r="16" customFormat="false" ht="15" hidden="false" customHeight="false" outlineLevel="0" collapsed="false">
      <c r="A16" s="21" t="n">
        <v>12</v>
      </c>
      <c r="B16" s="18" t="n">
        <f aca="false">A16/4</f>
        <v>3</v>
      </c>
      <c r="C16" s="18" t="n">
        <f aca="false">1000*Idx_bn*(Rel_inf+(Rel_0-Rel_inf)*EXP(-Rel_k*B16))/100</f>
        <v>668.36463146613</v>
      </c>
      <c r="D16" s="19" t="n">
        <f aca="false">1000*Idx_bn*(B16/Tau_draw)*EXP(1-B16/Tau_draw)/100</f>
        <v>5.64073513532749</v>
      </c>
      <c r="E16" s="21" t="n">
        <f aca="false">INT((A16-1)/4)+1</f>
        <v>3</v>
      </c>
      <c r="F16" s="21" t="n">
        <f aca="false">MOD(A16-1,4)+1</f>
        <v>4</v>
      </c>
      <c r="G16" s="18" t="n">
        <f aca="false">C16-(Depth_0-Depth_pq*Pkg_delay)*D16</f>
        <v>525.486533426613</v>
      </c>
      <c r="H16" s="18" t="n">
        <f aca="false">INDEX($E$21:$E$23,E16)-Round_cost*INDEX($B$22:$B$24,E16)+F16*INDEX($C$22:$C$24,E16)/4</f>
        <v>-147.5</v>
      </c>
      <c r="I16" s="18" t="n">
        <f aca="false">G16+H16+Sale_G</f>
        <v>469.986533426613</v>
      </c>
      <c r="J16" s="18" t="n">
        <f aca="false">I16-Floor_cash</f>
        <v>119.986533426613</v>
      </c>
      <c r="K16" s="18" t="n">
        <f aca="false">G16+H16-Floor_cash</f>
        <v>27.9865334266132</v>
      </c>
      <c r="L16" s="18" t="n">
        <f aca="false">C16-(Depth_0-Depth_pq*$B$28)*D16</f>
        <v>557.162783410108</v>
      </c>
      <c r="M16" s="18" t="n">
        <f aca="false">INDEX($G$21:$G$23,E16)-Round_cost*INDEX($B$22:$B$24,E16)+F16*INDEX($C$22:$C$24,E16)/4</f>
        <v>-62.5</v>
      </c>
      <c r="N16" s="18" t="n">
        <f aca="false">L16+M16+Sale_G</f>
        <v>586.662783410108</v>
      </c>
      <c r="O16" s="18" t="n">
        <f aca="false">N16-Floor_cash</f>
        <v>236.662783410108</v>
      </c>
    </row>
    <row r="20" customFormat="false" ht="35.05" hidden="false" customHeight="false" outlineLevel="0" collapsed="false">
      <c r="A20" s="8" t="s">
        <v>106</v>
      </c>
      <c r="B20" s="8" t="s">
        <v>142</v>
      </c>
      <c r="C20" s="8" t="s">
        <v>109</v>
      </c>
      <c r="D20" s="8" t="s">
        <v>143</v>
      </c>
      <c r="E20" s="8" t="s">
        <v>144</v>
      </c>
      <c r="F20" s="8" t="s">
        <v>145</v>
      </c>
      <c r="G20" s="8" t="s">
        <v>146</v>
      </c>
    </row>
    <row r="21" customFormat="false" ht="15" hidden="false" customHeight="false" outlineLevel="0" collapsed="false">
      <c r="A21" s="21" t="n">
        <v>0</v>
      </c>
      <c r="E21" s="18" t="n">
        <v>0</v>
      </c>
      <c r="G21" s="18" t="n">
        <v>0</v>
      </c>
    </row>
    <row r="22" customFormat="false" ht="15" hidden="false" customHeight="false" outlineLevel="0" collapsed="false">
      <c r="A22" s="21" t="n">
        <v>1</v>
      </c>
      <c r="B22" s="24" t="n">
        <f aca="false">Chapter5!B6</f>
        <v>1</v>
      </c>
      <c r="C22" s="23" t="n">
        <f aca="false">Chapter5!D6</f>
        <v>70</v>
      </c>
      <c r="D22" s="23" t="n">
        <f aca="false">Chapter5!G6</f>
        <v>85</v>
      </c>
      <c r="E22" s="18" t="n">
        <f aca="false">E21-Round_cost*B22+C22-D22</f>
        <v>-135</v>
      </c>
      <c r="F22" s="13" t="n">
        <v>0</v>
      </c>
      <c r="G22" s="18" t="n">
        <f aca="false">G21-Round_cost*B22+C22-F22</f>
        <v>-50</v>
      </c>
      <c r="H22" s="10" t="s">
        <v>147</v>
      </c>
    </row>
    <row r="23" customFormat="false" ht="15" hidden="false" customHeight="false" outlineLevel="0" collapsed="false">
      <c r="A23" s="21" t="n">
        <v>2</v>
      </c>
      <c r="B23" s="24" t="n">
        <f aca="false">Chapter5!B7</f>
        <v>1</v>
      </c>
      <c r="C23" s="23" t="n">
        <f aca="false">Chapter5!D7</f>
        <v>105</v>
      </c>
      <c r="D23" s="23" t="n">
        <f aca="false">Chapter5!G7</f>
        <v>0</v>
      </c>
      <c r="E23" s="18" t="n">
        <f aca="false">E22-Round_cost*B23+C23-D23</f>
        <v>-150</v>
      </c>
      <c r="F23" s="13" t="n">
        <v>0</v>
      </c>
      <c r="G23" s="18" t="n">
        <f aca="false">G22-Round_cost*B23+C23-F23</f>
        <v>-65</v>
      </c>
    </row>
    <row r="24" customFormat="false" ht="15" hidden="false" customHeight="false" outlineLevel="0" collapsed="false">
      <c r="A24" s="21" t="n">
        <v>3</v>
      </c>
      <c r="B24" s="24" t="n">
        <f aca="false">Chapter5!B8</f>
        <v>1</v>
      </c>
      <c r="C24" s="23" t="n">
        <f aca="false">Chapter5!D8</f>
        <v>122.5</v>
      </c>
      <c r="D24" s="13" t="n">
        <v>0</v>
      </c>
      <c r="E24" s="18" t="n">
        <f aca="false">E23-Round_cost*B24+C24-D24</f>
        <v>-147.5</v>
      </c>
      <c r="F24" s="13" t="n">
        <v>0</v>
      </c>
      <c r="G24" s="18" t="n">
        <f aca="false">G23-Round_cost*B24+C24-F24</f>
        <v>-62.5</v>
      </c>
    </row>
    <row r="27" customFormat="false" ht="15" hidden="false" customHeight="false" outlineLevel="0" collapsed="false">
      <c r="A27" s="2" t="s">
        <v>148</v>
      </c>
      <c r="B27" s="25" t="n">
        <v>160</v>
      </c>
      <c r="C27" s="10" t="s">
        <v>149</v>
      </c>
    </row>
    <row r="28" customFormat="false" ht="15" hidden="false" customHeight="false" outlineLevel="0" collapsed="false">
      <c r="A28" s="2" t="s">
        <v>150</v>
      </c>
      <c r="B28" s="26" t="n">
        <v>2.07148246690518</v>
      </c>
      <c r="C28" s="10" t="s">
        <v>151</v>
      </c>
    </row>
    <row r="30" customFormat="false" ht="23.85" hidden="false" customHeight="false" outlineLevel="0" collapsed="false">
      <c r="A30" s="8" t="s">
        <v>152</v>
      </c>
      <c r="B30" s="8" t="s">
        <v>153</v>
      </c>
      <c r="C30" s="8" t="s">
        <v>154</v>
      </c>
      <c r="D30" s="8" t="s">
        <v>155</v>
      </c>
      <c r="E30" s="8" t="s">
        <v>156</v>
      </c>
      <c r="F30" s="8" t="s">
        <v>157</v>
      </c>
      <c r="G30" s="8" t="s">
        <v>158</v>
      </c>
      <c r="H30" s="8" t="s">
        <v>159</v>
      </c>
      <c r="I30" s="8" t="s">
        <v>160</v>
      </c>
    </row>
    <row r="31" customFormat="false" ht="15" hidden="false" customHeight="false" outlineLevel="0" collapsed="false">
      <c r="A31" s="2" t="s">
        <v>161</v>
      </c>
      <c r="B31" s="21" t="n">
        <f aca="false">MATCH(MIN(K5:K16),K5:K16,0)</f>
        <v>9</v>
      </c>
      <c r="C31" s="18" t="n">
        <f aca="false">Liq_today-INDEX(G5:G16,B31)</f>
        <v>115.365377996188</v>
      </c>
      <c r="D31" s="18" t="n">
        <f aca="false">-(INDEX(H5:H16,B31)+E31)</f>
        <v>154.375</v>
      </c>
      <c r="E31" s="18" t="n">
        <f aca="false">IF(B31&gt;=5,Chapter5!G6,0)+IF(B31&gt;=9,Chapter5!G7,0)</f>
        <v>85</v>
      </c>
      <c r="F31" s="18" t="n">
        <f aca="false">MAX(P90_closure-Pkg_line,0)</f>
        <v>16.8669763706644</v>
      </c>
      <c r="G31" s="18" t="n">
        <f aca="false">C31+D31+E31+F31</f>
        <v>371.607354366852</v>
      </c>
      <c r="H31" s="14" t="n">
        <f aca="false">Room_0+0</f>
        <v>270</v>
      </c>
      <c r="I31" s="18" t="n">
        <f aca="false">H31-G31</f>
        <v>-101.607354366852</v>
      </c>
    </row>
    <row r="32" customFormat="false" ht="15" hidden="false" customHeight="false" outlineLevel="0" collapsed="false">
      <c r="A32" s="2" t="s">
        <v>162</v>
      </c>
      <c r="B32" s="21" t="n">
        <f aca="false">MATCH(MIN(J5:J16),J5:J16,0)</f>
        <v>9</v>
      </c>
      <c r="C32" s="18" t="n">
        <f aca="false">Liq_today-INDEX(G5:G16,B32)</f>
        <v>115.365377996188</v>
      </c>
      <c r="D32" s="18" t="n">
        <f aca="false">-(INDEX(H5:H16,B32)+E32)</f>
        <v>154.375</v>
      </c>
      <c r="E32" s="18" t="n">
        <f aca="false">IF(B32&gt;=5,Chapter5!G6,0)+IF(B32&gt;=9,Chapter5!G7,0)</f>
        <v>85</v>
      </c>
      <c r="F32" s="18" t="n">
        <f aca="false">MAX(P90_closure-Pkg_line,0)</f>
        <v>16.8669763706644</v>
      </c>
      <c r="G32" s="18" t="n">
        <f aca="false">C32+D32+E32+F32</f>
        <v>371.607354366852</v>
      </c>
      <c r="H32" s="14" t="n">
        <f aca="false">Room_0+Sale_G</f>
        <v>362</v>
      </c>
      <c r="I32" s="18" t="n">
        <f aca="false">H32-G32</f>
        <v>-9.60735436685241</v>
      </c>
    </row>
    <row r="33" customFormat="false" ht="15" hidden="false" customHeight="false" outlineLevel="0" collapsed="false">
      <c r="A33" s="2" t="s">
        <v>163</v>
      </c>
      <c r="B33" s="21" t="n">
        <f aca="false">MATCH(MIN(O5:O16),O5:O16,0)</f>
        <v>9</v>
      </c>
      <c r="C33" s="18" t="n">
        <f aca="false">Liq_today-INDEX(L5:L16,B33)</f>
        <v>80.7988741662247</v>
      </c>
      <c r="D33" s="18" t="n">
        <f aca="false">-(INDEX(M5:M16,B33)+E33)</f>
        <v>154.375</v>
      </c>
      <c r="E33" s="18" t="n">
        <f aca="false">IF(B33&gt;=5,OneAccount!$F$22,0)+IF(B33&gt;=9,OneAccount!$F$23,0)</f>
        <v>0</v>
      </c>
      <c r="F33" s="18" t="n">
        <f aca="false">MAX(P90_closure-$B$27,0)</f>
        <v>26.8669763706644</v>
      </c>
      <c r="G33" s="18" t="n">
        <f aca="false">C33+D33+E33+F33</f>
        <v>262.040850536889</v>
      </c>
      <c r="H33" s="14" t="n">
        <f aca="false">Room_0+Sale_G</f>
        <v>362</v>
      </c>
      <c r="I33" s="18" t="n">
        <f aca="false">H33-G33</f>
        <v>99.959149463111</v>
      </c>
    </row>
    <row r="34" customFormat="false" ht="15" hidden="false" customHeight="false" outlineLevel="0" collapsed="false">
      <c r="A34" s="10" t="s">
        <v>164</v>
      </c>
    </row>
    <row r="36" customFormat="false" ht="15" hidden="false" customHeight="false" outlineLevel="0" collapsed="false">
      <c r="A36" s="8" t="s">
        <v>165</v>
      </c>
      <c r="B36" s="8" t="s">
        <v>20</v>
      </c>
      <c r="C36" s="8" t="s">
        <v>166</v>
      </c>
    </row>
    <row r="37" customFormat="false" ht="15" hidden="false" customHeight="false" outlineLevel="0" collapsed="false">
      <c r="A37" s="2" t="s">
        <v>167</v>
      </c>
      <c r="B37" s="21" t="n">
        <f aca="false">MATCH(MIN(G5:G16),G5:G16,0)</f>
        <v>7</v>
      </c>
      <c r="C37" s="10" t="s">
        <v>168</v>
      </c>
    </row>
    <row r="38" customFormat="false" ht="15" hidden="false" customHeight="false" outlineLevel="0" collapsed="false">
      <c r="A38" s="2" t="s">
        <v>169</v>
      </c>
      <c r="B38" s="18" t="n">
        <f aca="false">Liq_today-MIN(G5:G16)</f>
        <v>121.63436791099</v>
      </c>
      <c r="C38" s="10" t="s">
        <v>170</v>
      </c>
    </row>
    <row r="39" customFormat="false" ht="15" hidden="false" customHeight="false" outlineLevel="0" collapsed="false">
      <c r="A39" s="2" t="s">
        <v>171</v>
      </c>
      <c r="B39" s="18" t="n">
        <f aca="false">MAX(P90_closure-Pkg_line,0)</f>
        <v>16.8669763706644</v>
      </c>
      <c r="C39" s="10" t="s">
        <v>172</v>
      </c>
    </row>
    <row r="40" customFormat="false" ht="15" hidden="false" customHeight="false" outlineLevel="0" collapsed="false">
      <c r="A40" s="2" t="s">
        <v>173</v>
      </c>
      <c r="B40" s="18" t="n">
        <f aca="false">B38+B39</f>
        <v>138.501344281655</v>
      </c>
      <c r="C40" s="10" t="s">
        <v>174</v>
      </c>
    </row>
    <row r="42" customFormat="false" ht="35.05" hidden="false" customHeight="false" outlineLevel="0" collapsed="false">
      <c r="A42" s="8" t="s">
        <v>175</v>
      </c>
      <c r="B42" s="8" t="s">
        <v>176</v>
      </c>
      <c r="C42" s="8" t="s">
        <v>166</v>
      </c>
    </row>
    <row r="43" customFormat="false" ht="15" hidden="false" customHeight="false" outlineLevel="0" collapsed="false">
      <c r="A43" s="21" t="n">
        <v>0</v>
      </c>
      <c r="B43" s="18" t="n">
        <f aca="false">1000*Idx_bn*((Rel_inf+(Rel_0-Rel_inf)*EXP(-Rel_k*A43))-Depth_0*(A43/Tau_draw)*EXP(1-A43/Tau_draw))/100</f>
        <v>620</v>
      </c>
      <c r="C43" s="10" t="s">
        <v>177</v>
      </c>
    </row>
    <row r="44" customFormat="false" ht="15" hidden="false" customHeight="false" outlineLevel="0" collapsed="false">
      <c r="A44" s="21" t="n">
        <v>1</v>
      </c>
      <c r="B44" s="18" t="n">
        <f aca="false">1000*Idx_bn*((Rel_inf+(Rel_0-Rel_inf)*EXP(-Rel_k*A44))-Depth_0*(A44/Tau_draw)*EXP(1-A44/Tau_draw))/100</f>
        <v>498.862199828157</v>
      </c>
    </row>
    <row r="45" customFormat="false" ht="15" hidden="false" customHeight="false" outlineLevel="0" collapsed="false">
      <c r="A45" s="21" t="n">
        <v>2</v>
      </c>
      <c r="B45" s="18" t="n">
        <f aca="false">1000*Idx_bn*((Rel_inf+(Rel_0-Rel_inf)*EXP(-Rel_k*A45))-Depth_0*(A45/Tau_draw)*EXP(1-A45/Tau_draw))/100</f>
        <v>483.854053397919</v>
      </c>
    </row>
    <row r="46" customFormat="false" ht="15" hidden="false" customHeight="false" outlineLevel="0" collapsed="false">
      <c r="A46" s="21" t="n">
        <v>3</v>
      </c>
      <c r="B46" s="18" t="n">
        <f aca="false">1000*Idx_bn*((Rel_inf+(Rel_0-Rel_inf)*EXP(-Rel_k*A46))-Depth_0*(A46/Tau_draw)*EXP(1-A46/Tau_draw))/100</f>
        <v>510.42404767696</v>
      </c>
    </row>
    <row r="47" customFormat="false" ht="15" hidden="false" customHeight="false" outlineLevel="0" collapsed="false">
      <c r="A47" s="21" t="n">
        <v>4</v>
      </c>
      <c r="B47" s="18" t="n">
        <f aca="false">1000*Idx_bn*((Rel_inf+(Rel_0-Rel_inf)*EXP(-Rel_k*A47))-Depth_0*(A47/Tau_draw)*EXP(1-A47/Tau_draw))/100</f>
        <v>548.32544390802</v>
      </c>
    </row>
    <row r="48" customFormat="false" ht="15" hidden="false" customHeight="false" outlineLevel="0" collapsed="false">
      <c r="A48" s="21" t="n">
        <v>5</v>
      </c>
      <c r="B48" s="18" t="n">
        <f aca="false">1000*Idx_bn*((Rel_inf+(Rel_0-Rel_inf)*EXP(-Rel_k*A48))-Depth_0*(A48/Tau_draw)*EXP(1-A48/Tau_draw))/100</f>
        <v>584.632729102868</v>
      </c>
    </row>
    <row r="49" customFormat="false" ht="15" hidden="false" customHeight="false" outlineLevel="0" collapsed="false">
      <c r="A49" s="21" t="n">
        <v>6</v>
      </c>
      <c r="B49" s="18" t="n">
        <f aca="false">1000*Idx_bn*((Rel_inf+(Rel_0-Rel_inf)*EXP(-Rel_k*A49))-Depth_0*(A49/Tau_draw)*EXP(1-A49/Tau_draw))/100</f>
        <v>614.80662622835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3"/>
    <col collapsed="false" customWidth="true" hidden="false" outlineLevel="0" max="4" min="3" style="0" width="11"/>
    <col collapsed="false" customWidth="true" hidden="false" outlineLevel="0" max="13" min="5" style="0" width="10"/>
    <col collapsed="false" customWidth="true" hidden="false" outlineLevel="0" max="14" min="14" style="0" width="30"/>
    <col collapsed="false" customWidth="true" hidden="false" outlineLevel="0" max="15" min="15" style="0" width="12"/>
    <col collapsed="false" customWidth="true" hidden="false" outlineLevel="0" max="16" min="16" style="0" width="11"/>
    <col collapsed="false" customWidth="true" hidden="false" outlineLevel="0" max="17" min="17" style="0" width="9"/>
  </cols>
  <sheetData>
    <row r="1" customFormat="false" ht="15" hidden="false" customHeight="false" outlineLevel="0" collapsed="false">
      <c r="A1" s="1" t="s">
        <v>178</v>
      </c>
    </row>
    <row r="2" customFormat="false" ht="15" hidden="false" customHeight="false" outlineLevel="0" collapsed="false">
      <c r="A2" s="10" t="s">
        <v>179</v>
      </c>
    </row>
    <row r="3" customFormat="false" ht="23.85" hidden="false" customHeight="false" outlineLevel="0" collapsed="false">
      <c r="A3" s="8" t="s">
        <v>163</v>
      </c>
      <c r="B3" s="8" t="s">
        <v>180</v>
      </c>
      <c r="C3" s="8" t="s">
        <v>181</v>
      </c>
      <c r="D3" s="8" t="s">
        <v>182</v>
      </c>
      <c r="E3" s="8" t="s">
        <v>183</v>
      </c>
      <c r="F3" s="8" t="s">
        <v>184</v>
      </c>
      <c r="G3" s="8" t="s">
        <v>185</v>
      </c>
      <c r="H3" s="8" t="s">
        <v>186</v>
      </c>
      <c r="I3" s="8" t="s">
        <v>187</v>
      </c>
      <c r="J3" s="8" t="s">
        <v>188</v>
      </c>
      <c r="K3" s="8" t="s">
        <v>189</v>
      </c>
      <c r="L3" s="8" t="s">
        <v>190</v>
      </c>
      <c r="M3" s="8" t="s">
        <v>191</v>
      </c>
      <c r="N3" s="8" t="s">
        <v>192</v>
      </c>
      <c r="O3" s="8" t="s">
        <v>20</v>
      </c>
      <c r="P3" s="8" t="s">
        <v>193</v>
      </c>
      <c r="Q3" s="8" t="s">
        <v>194</v>
      </c>
    </row>
    <row r="4" customFormat="false" ht="15" hidden="false" customHeight="false" outlineLevel="0" collapsed="false">
      <c r="A4" s="2" t="s">
        <v>195</v>
      </c>
      <c r="B4" s="2" t="s">
        <v>196</v>
      </c>
      <c r="C4" s="14" t="n">
        <f aca="false">O23</f>
        <v>92</v>
      </c>
      <c r="D4" s="14" t="n">
        <f aca="false">O24</f>
        <v>0</v>
      </c>
      <c r="E4" s="14" t="n">
        <f aca="false">H25</f>
        <v>0</v>
      </c>
      <c r="F4" s="14" t="n">
        <f aca="false">H26</f>
        <v>0</v>
      </c>
      <c r="G4" s="21" t="n">
        <f aca="false">O25</f>
        <v>160</v>
      </c>
      <c r="H4" s="12" t="n">
        <f aca="false">O26</f>
        <v>2.07148246690518</v>
      </c>
      <c r="I4" s="18" t="n">
        <f aca="false">O27</f>
        <v>21.3718597352414</v>
      </c>
      <c r="J4" s="14" t="n">
        <f aca="false">H27</f>
        <v>189.92404767696</v>
      </c>
      <c r="K4" s="14" t="n">
        <f aca="false">H28</f>
        <v>160.401396231059</v>
      </c>
      <c r="L4" s="14" t="n">
        <f aca="false">H29</f>
        <v>158.807285194849</v>
      </c>
      <c r="M4" s="14" t="n">
        <f aca="false">H30</f>
        <v>32.673897125482</v>
      </c>
      <c r="N4" s="18" t="n">
        <f aca="false">O28</f>
        <v>1060.78001702308</v>
      </c>
      <c r="O4" s="18" t="n">
        <f aca="false">O29</f>
        <v>1039.40815728784</v>
      </c>
      <c r="P4" s="18" t="n">
        <f aca="false">$O$4-O4</f>
        <v>0</v>
      </c>
      <c r="Q4" s="21" t="n">
        <f aca="false">O30</f>
        <v>1</v>
      </c>
    </row>
    <row r="5" customFormat="false" ht="15" hidden="false" customHeight="false" outlineLevel="0" collapsed="false">
      <c r="A5" s="2" t="s">
        <v>197</v>
      </c>
      <c r="B5" s="2" t="s">
        <v>198</v>
      </c>
      <c r="C5" s="14" t="n">
        <f aca="false">O35</f>
        <v>92</v>
      </c>
      <c r="D5" s="14" t="n">
        <f aca="false">O36</f>
        <v>0</v>
      </c>
      <c r="E5" s="14" t="n">
        <f aca="false">H37</f>
        <v>0</v>
      </c>
      <c r="F5" s="14" t="n">
        <f aca="false">H38</f>
        <v>77</v>
      </c>
      <c r="G5" s="21" t="n">
        <f aca="false">O37</f>
        <v>160</v>
      </c>
      <c r="H5" s="12" t="n">
        <f aca="false">O38</f>
        <v>1.47702807378874</v>
      </c>
      <c r="I5" s="18" t="n">
        <f aca="false">O39</f>
        <v>16.6162245903099</v>
      </c>
      <c r="J5" s="14" t="n">
        <f aca="false">H39</f>
        <v>95.4240476769603</v>
      </c>
      <c r="K5" s="14" t="n">
        <f aca="false">H40</f>
        <v>160.401396231059</v>
      </c>
      <c r="L5" s="14" t="n">
        <f aca="false">H41</f>
        <v>158.807285194849</v>
      </c>
      <c r="M5" s="14" t="n">
        <f aca="false">H42</f>
        <v>32.673897125482</v>
      </c>
      <c r="N5" s="18" t="n">
        <f aca="false">O40</f>
        <v>1053.41713197425</v>
      </c>
      <c r="O5" s="18" t="n">
        <f aca="false">O41</f>
        <v>1036.80090738394</v>
      </c>
      <c r="P5" s="18" t="n">
        <f aca="false">$O$4-O5</f>
        <v>2.60724990390395</v>
      </c>
      <c r="Q5" s="21" t="n">
        <f aca="false">O42</f>
        <v>1</v>
      </c>
    </row>
    <row r="6" customFormat="false" ht="15" hidden="false" customHeight="false" outlineLevel="0" collapsed="false">
      <c r="A6" s="2" t="s">
        <v>199</v>
      </c>
      <c r="B6" s="2" t="s">
        <v>200</v>
      </c>
      <c r="C6" s="14" t="n">
        <f aca="false">O47</f>
        <v>92</v>
      </c>
      <c r="D6" s="14" t="n">
        <f aca="false">O48</f>
        <v>0</v>
      </c>
      <c r="E6" s="14" t="n">
        <f aca="false">H49</f>
        <v>35</v>
      </c>
      <c r="F6" s="14" t="n">
        <f aca="false">H50</f>
        <v>0</v>
      </c>
      <c r="G6" s="21" t="n">
        <f aca="false">O49</f>
        <v>140</v>
      </c>
      <c r="H6" s="12" t="n">
        <f aca="false">O50</f>
        <v>0.0115343226847147</v>
      </c>
      <c r="I6" s="18" t="n">
        <f aca="false">O51</f>
        <v>4.29227458147772</v>
      </c>
      <c r="J6" s="14" t="n">
        <f aca="false">H51</f>
        <v>102.42404767696</v>
      </c>
      <c r="K6" s="14" t="n">
        <f aca="false">H52</f>
        <v>160.401396231059</v>
      </c>
      <c r="L6" s="14" t="n">
        <f aca="false">H53</f>
        <v>158.807285194849</v>
      </c>
      <c r="M6" s="14" t="n">
        <f aca="false">H54</f>
        <v>32.673897125482</v>
      </c>
      <c r="N6" s="18" t="n">
        <f aca="false">O52</f>
        <v>1026.85815376238</v>
      </c>
      <c r="O6" s="18" t="n">
        <f aca="false">O53</f>
        <v>1022.5658791809</v>
      </c>
      <c r="P6" s="18" t="n">
        <f aca="false">$O$4-O6</f>
        <v>16.8422781069424</v>
      </c>
      <c r="Q6" s="21" t="n">
        <f aca="false">O54</f>
        <v>1</v>
      </c>
    </row>
    <row r="7" customFormat="false" ht="15" hidden="false" customHeight="false" outlineLevel="0" collapsed="false">
      <c r="A7" s="2" t="s">
        <v>201</v>
      </c>
      <c r="B7" s="2" t="s">
        <v>202</v>
      </c>
      <c r="C7" s="14" t="n">
        <f aca="false">O59</f>
        <v>92</v>
      </c>
      <c r="D7" s="14" t="n">
        <f aca="false">O60</f>
        <v>0</v>
      </c>
      <c r="E7" s="14" t="n">
        <f aca="false">H61</f>
        <v>61</v>
      </c>
      <c r="F7" s="14" t="n">
        <f aca="false">H62</f>
        <v>65</v>
      </c>
      <c r="G7" s="21" t="n">
        <f aca="false">O61</f>
        <v>140</v>
      </c>
      <c r="H7" s="12" t="n">
        <f aca="false">O62</f>
        <v>0</v>
      </c>
      <c r="I7" s="18" t="n">
        <f aca="false">O63</f>
        <v>4.2</v>
      </c>
      <c r="J7" s="14" t="n">
        <f aca="false">H63</f>
        <v>96.4240476769603</v>
      </c>
      <c r="K7" s="14" t="n">
        <f aca="false">H64</f>
        <v>22.9013962310594</v>
      </c>
      <c r="L7" s="14" t="n">
        <f aca="false">H65</f>
        <v>158.807285194849</v>
      </c>
      <c r="M7" s="14" t="n">
        <f aca="false">H66</f>
        <v>32.673897125482</v>
      </c>
      <c r="N7" s="18" t="n">
        <f aca="false">O64</f>
        <v>1005.7912867451</v>
      </c>
      <c r="O7" s="18" t="n">
        <f aca="false">O65</f>
        <v>1001.5912867451</v>
      </c>
      <c r="P7" s="18" t="n">
        <f aca="false">$O$4-O7</f>
        <v>37.8168705427451</v>
      </c>
      <c r="Q7" s="21" t="n">
        <f aca="false">O66</f>
        <v>1</v>
      </c>
    </row>
    <row r="8" customFormat="false" ht="15" hidden="false" customHeight="false" outlineLevel="0" collapsed="false">
      <c r="A8" s="2" t="s">
        <v>203</v>
      </c>
      <c r="B8" s="2" t="s">
        <v>204</v>
      </c>
      <c r="C8" s="14" t="n">
        <f aca="false">O71</f>
        <v>92</v>
      </c>
      <c r="D8" s="14" t="n">
        <f aca="false">O72</f>
        <v>0</v>
      </c>
      <c r="E8" s="14" t="n">
        <f aca="false">H73</f>
        <v>0</v>
      </c>
      <c r="F8" s="14" t="n">
        <f aca="false">H74</f>
        <v>0</v>
      </c>
      <c r="G8" s="21" t="n">
        <f aca="false">O73</f>
        <v>170</v>
      </c>
      <c r="H8" s="12" t="n">
        <f aca="false">O74</f>
        <v>1.25852025143477</v>
      </c>
      <c r="I8" s="18" t="n">
        <f aca="false">O75</f>
        <v>15.1681620114782</v>
      </c>
      <c r="J8" s="14" t="n">
        <f aca="false">H75</f>
        <v>67.4240476769603</v>
      </c>
      <c r="K8" s="14" t="n">
        <f aca="false">H76</f>
        <v>160.401396231059</v>
      </c>
      <c r="L8" s="14" t="n">
        <f aca="false">H77</f>
        <v>158.807285194849</v>
      </c>
      <c r="M8" s="14" t="n">
        <f aca="false">H78</f>
        <v>32.673897125482</v>
      </c>
      <c r="N8" s="18" t="n">
        <f aca="false">O76</f>
        <v>968.74395391264</v>
      </c>
      <c r="O8" s="18" t="n">
        <f aca="false">O77</f>
        <v>953.575791901162</v>
      </c>
      <c r="P8" s="18" t="n">
        <f aca="false">$O$4-O8</f>
        <v>85.8323653866801</v>
      </c>
      <c r="Q8" s="21" t="n">
        <f aca="false">O78</f>
        <v>1</v>
      </c>
    </row>
    <row r="9" customFormat="false" ht="15" hidden="false" customHeight="false" outlineLevel="0" collapsed="false">
      <c r="A9" s="2" t="s">
        <v>205</v>
      </c>
      <c r="B9" s="2" t="s">
        <v>206</v>
      </c>
      <c r="C9" s="14" t="n">
        <f aca="false">O83</f>
        <v>92</v>
      </c>
      <c r="D9" s="14" t="n">
        <f aca="false">O84</f>
        <v>0</v>
      </c>
      <c r="E9" s="14" t="n">
        <f aca="false">H85</f>
        <v>0</v>
      </c>
      <c r="F9" s="14" t="n">
        <f aca="false">H86</f>
        <v>48</v>
      </c>
      <c r="G9" s="21" t="n">
        <f aca="false">O85</f>
        <v>155</v>
      </c>
      <c r="H9" s="12" t="n">
        <f aca="false">O86</f>
        <v>0.00624613104270377</v>
      </c>
      <c r="I9" s="18" t="n">
        <f aca="false">O87</f>
        <v>4.69996904834163</v>
      </c>
      <c r="J9" s="14" t="n">
        <f aca="false">H87</f>
        <v>104.42404767696</v>
      </c>
      <c r="K9" s="14" t="n">
        <f aca="false">H88</f>
        <v>22.9013962310594</v>
      </c>
      <c r="L9" s="14" t="n">
        <f aca="false">H89</f>
        <v>158.807285194849</v>
      </c>
      <c r="M9" s="14" t="n">
        <f aca="false">H90</f>
        <v>32.673897125482</v>
      </c>
      <c r="N9" s="18" t="n">
        <f aca="false">O88</f>
        <v>942.297672920905</v>
      </c>
      <c r="O9" s="18" t="n">
        <f aca="false">O89</f>
        <v>937.597703872563</v>
      </c>
      <c r="P9" s="18" t="n">
        <f aca="false">$O$4-O9</f>
        <v>101.810453415279</v>
      </c>
      <c r="Q9" s="21" t="n">
        <f aca="false">O90</f>
        <v>1</v>
      </c>
    </row>
    <row r="10" customFormat="false" ht="15" hidden="false" customHeight="false" outlineLevel="0" collapsed="false">
      <c r="A10" s="2" t="s">
        <v>207</v>
      </c>
      <c r="B10" s="2" t="s">
        <v>208</v>
      </c>
      <c r="C10" s="14" t="n">
        <f aca="false">O95</f>
        <v>92</v>
      </c>
      <c r="D10" s="14" t="n">
        <f aca="false">O96</f>
        <v>0</v>
      </c>
      <c r="E10" s="14" t="n">
        <f aca="false">H97</f>
        <v>8</v>
      </c>
      <c r="F10" s="14" t="n">
        <f aca="false">H98</f>
        <v>0</v>
      </c>
      <c r="G10" s="21" t="n">
        <f aca="false">O97</f>
        <v>140</v>
      </c>
      <c r="H10" s="12" t="n">
        <f aca="false">O98</f>
        <v>0</v>
      </c>
      <c r="I10" s="18" t="n">
        <f aca="false">O99</f>
        <v>4.2</v>
      </c>
      <c r="J10" s="14" t="n">
        <f aca="false">H99</f>
        <v>74.4240476769603</v>
      </c>
      <c r="K10" s="14" t="n">
        <f aca="false">H100</f>
        <v>22.9013962310594</v>
      </c>
      <c r="L10" s="14" t="n">
        <f aca="false">H101</f>
        <v>158.807285194849</v>
      </c>
      <c r="M10" s="14" t="n">
        <f aca="false">H102</f>
        <v>32.673897125482</v>
      </c>
      <c r="N10" s="18" t="n">
        <f aca="false">O100</f>
        <v>887.361534678982</v>
      </c>
      <c r="O10" s="18" t="n">
        <f aca="false">O101</f>
        <v>883.161534678981</v>
      </c>
      <c r="P10" s="18" t="n">
        <f aca="false">$O$4-O10</f>
        <v>156.246622608861</v>
      </c>
      <c r="Q10" s="21" t="n">
        <f aca="false">O102</f>
        <v>1</v>
      </c>
    </row>
    <row r="11" customFormat="false" ht="15" hidden="false" customHeight="false" outlineLevel="0" collapsed="false">
      <c r="A11" s="2" t="s">
        <v>209</v>
      </c>
      <c r="B11" s="2" t="s">
        <v>210</v>
      </c>
      <c r="C11" s="14" t="n">
        <f aca="false">O107</f>
        <v>92</v>
      </c>
      <c r="D11" s="14" t="n">
        <f aca="false">O108</f>
        <v>0</v>
      </c>
      <c r="E11" s="14" t="n">
        <f aca="false">H109</f>
        <v>64</v>
      </c>
      <c r="F11" s="14" t="n">
        <f aca="false">H110</f>
        <v>20</v>
      </c>
      <c r="G11" s="21" t="n">
        <f aca="false">O109</f>
        <v>135</v>
      </c>
      <c r="H11" s="12" t="n">
        <f aca="false">O110</f>
        <v>0</v>
      </c>
      <c r="I11" s="18" t="n">
        <f aca="false">O111</f>
        <v>4.05</v>
      </c>
      <c r="J11" s="14" t="n">
        <f aca="false">H111</f>
        <v>36.3254439080197</v>
      </c>
      <c r="K11" s="14" t="n">
        <f aca="false">H112</f>
        <v>0</v>
      </c>
      <c r="L11" s="14" t="n">
        <f aca="false">H113</f>
        <v>21.3072851948486</v>
      </c>
      <c r="M11" s="14" t="n">
        <f aca="false">H114</f>
        <v>32.673897125482</v>
      </c>
      <c r="N11" s="18" t="n">
        <f aca="false">O112</f>
        <v>825.156862609523</v>
      </c>
      <c r="O11" s="18" t="n">
        <f aca="false">O113</f>
        <v>821.106862609523</v>
      </c>
      <c r="P11" s="18" t="n">
        <f aca="false">$O$4-O11</f>
        <v>218.301294678319</v>
      </c>
      <c r="Q11" s="21" t="n">
        <f aca="false">O114</f>
        <v>1</v>
      </c>
    </row>
    <row r="12" customFormat="false" ht="15" hidden="false" customHeight="false" outlineLevel="0" collapsed="false">
      <c r="A12" s="2" t="s">
        <v>211</v>
      </c>
      <c r="B12" s="2" t="s">
        <v>196</v>
      </c>
      <c r="C12" s="14" t="n">
        <f aca="false">O119</f>
        <v>0</v>
      </c>
      <c r="D12" s="14" t="n">
        <f aca="false">O120</f>
        <v>0</v>
      </c>
      <c r="E12" s="14" t="n">
        <f aca="false">H121</f>
        <v>0</v>
      </c>
      <c r="F12" s="14" t="n">
        <f aca="false">H122</f>
        <v>0</v>
      </c>
      <c r="G12" s="21" t="n">
        <f aca="false">O121</f>
        <v>165</v>
      </c>
      <c r="H12" s="12" t="n">
        <f aca="false">O122</f>
        <v>5.9700150269801</v>
      </c>
      <c r="I12" s="18" t="n">
        <f aca="false">O123</f>
        <v>52.7101202158408</v>
      </c>
      <c r="J12" s="14" t="n">
        <f aca="false">H123</f>
        <v>97.9240476769602</v>
      </c>
      <c r="K12" s="14" t="n">
        <f aca="false">H124</f>
        <v>160.401396231059</v>
      </c>
      <c r="L12" s="14" t="n">
        <f aca="false">H125</f>
        <v>158.807285194849</v>
      </c>
      <c r="M12" s="14" t="n">
        <f aca="false">H126</f>
        <v>32.673897125482</v>
      </c>
      <c r="N12" s="18" t="n">
        <f aca="false">O124</f>
        <v>991.659055340138</v>
      </c>
      <c r="O12" s="18" t="n">
        <f aca="false">O125</f>
        <v>938.948935124298</v>
      </c>
      <c r="P12" s="18" t="n">
        <f aca="false">$O$4-O12</f>
        <v>100.459222163545</v>
      </c>
      <c r="Q12" s="21" t="n">
        <f aca="false">O126</f>
        <v>1</v>
      </c>
    </row>
    <row r="13" customFormat="false" ht="15" hidden="false" customHeight="false" outlineLevel="0" collapsed="false">
      <c r="A13" s="2" t="s">
        <v>212</v>
      </c>
      <c r="B13" s="2" t="s">
        <v>196</v>
      </c>
      <c r="C13" s="14" t="n">
        <f aca="false">O131</f>
        <v>0</v>
      </c>
      <c r="D13" s="14" t="n">
        <f aca="false">O132</f>
        <v>92</v>
      </c>
      <c r="E13" s="14" t="n">
        <f aca="false">H133</f>
        <v>0</v>
      </c>
      <c r="F13" s="14" t="n">
        <f aca="false">H134</f>
        <v>0</v>
      </c>
      <c r="G13" s="21" t="n">
        <f aca="false">O133</f>
        <v>165</v>
      </c>
      <c r="H13" s="12" t="n">
        <f aca="false">O134</f>
        <v>5.9700150269801</v>
      </c>
      <c r="I13" s="18" t="n">
        <f aca="false">O135</f>
        <v>52.7101202158408</v>
      </c>
      <c r="J13" s="14" t="n">
        <f aca="false">H135</f>
        <v>97.9240476769602</v>
      </c>
      <c r="K13" s="14" t="n">
        <f aca="false">H136</f>
        <v>252.401396231059</v>
      </c>
      <c r="L13" s="14" t="n">
        <f aca="false">H137</f>
        <v>158.807285194849</v>
      </c>
      <c r="M13" s="14" t="n">
        <f aca="false">H138</f>
        <v>32.673897125482</v>
      </c>
      <c r="N13" s="18" t="n">
        <f aca="false">O136</f>
        <v>1054.49629323372</v>
      </c>
      <c r="O13" s="18" t="n">
        <f aca="false">O137</f>
        <v>1001.78617301788</v>
      </c>
      <c r="P13" s="18" t="n">
        <f aca="false">$O$4-O13</f>
        <v>37.6219842699582</v>
      </c>
      <c r="Q13" s="21" t="n">
        <f aca="false">O138</f>
        <v>1</v>
      </c>
    </row>
    <row r="14" customFormat="false" ht="15" hidden="false" customHeight="false" outlineLevel="0" collapsed="false">
      <c r="A14" s="2" t="s">
        <v>213</v>
      </c>
      <c r="B14" s="2" t="s">
        <v>196</v>
      </c>
      <c r="C14" s="14" t="n">
        <f aca="false">O143</f>
        <v>93</v>
      </c>
      <c r="D14" s="14" t="n">
        <f aca="false">O144</f>
        <v>0</v>
      </c>
      <c r="E14" s="14" t="n">
        <f aca="false">H145</f>
        <v>0</v>
      </c>
      <c r="F14" s="14" t="n">
        <f aca="false">H146</f>
        <v>0</v>
      </c>
      <c r="G14" s="21" t="n">
        <f aca="false">O145</f>
        <v>160</v>
      </c>
      <c r="H14" s="12" t="n">
        <f aca="false">O146</f>
        <v>2.02939310710262</v>
      </c>
      <c r="I14" s="18" t="n">
        <f aca="false">O147</f>
        <v>21.0351448568209</v>
      </c>
      <c r="J14" s="14" t="n">
        <f aca="false">H147</f>
        <v>190.92404767696</v>
      </c>
      <c r="K14" s="14" t="n">
        <f aca="false">H148</f>
        <v>160.401396231059</v>
      </c>
      <c r="L14" s="14" t="n">
        <f aca="false">H149</f>
        <v>158.807285194849</v>
      </c>
      <c r="M14" s="14" t="n">
        <f aca="false">H150</f>
        <v>32.673897125482</v>
      </c>
      <c r="N14" s="18" t="n">
        <f aca="false">O148</f>
        <v>1061.53133182399</v>
      </c>
      <c r="O14" s="18" t="n">
        <f aca="false">O149</f>
        <v>1040.49618696716</v>
      </c>
      <c r="P14" s="18" t="n">
        <f aca="false">$O$4-O14</f>
        <v>-1.08802967932206</v>
      </c>
      <c r="Q14" s="21" t="n">
        <f aca="false">O150</f>
        <v>1</v>
      </c>
    </row>
    <row r="15" customFormat="false" ht="15" hidden="false" customHeight="false" outlineLevel="0" collapsed="false">
      <c r="A15" s="2" t="s">
        <v>214</v>
      </c>
      <c r="B15" s="2" t="s">
        <v>198</v>
      </c>
      <c r="C15" s="14" t="n">
        <f aca="false">O155</f>
        <v>92</v>
      </c>
      <c r="D15" s="14" t="n">
        <f aca="false">O156</f>
        <v>0</v>
      </c>
      <c r="E15" s="14" t="n">
        <f aca="false">H157</f>
        <v>0</v>
      </c>
      <c r="F15" s="14" t="n">
        <f aca="false">H158</f>
        <v>0</v>
      </c>
      <c r="G15" s="21" t="n">
        <f aca="false">O157</f>
        <v>0</v>
      </c>
      <c r="H15" s="12" t="n">
        <f aca="false">O158</f>
        <v>0</v>
      </c>
      <c r="I15" s="18" t="s">
        <v>215</v>
      </c>
      <c r="J15" s="14" t="n">
        <f aca="false">H159</f>
        <v>172.42404767696</v>
      </c>
      <c r="K15" s="14" t="n">
        <f aca="false">H160</f>
        <v>160.401396231059</v>
      </c>
      <c r="L15" s="14" t="n">
        <f aca="false">H161</f>
        <v>158.807285194849</v>
      </c>
      <c r="M15" s="14" t="n">
        <f aca="false">H162</f>
        <v>32.673897125482</v>
      </c>
      <c r="N15" s="18" t="n">
        <f aca="false">O160</f>
        <v>1047.63200800731</v>
      </c>
      <c r="O15" s="18" t="s">
        <v>215</v>
      </c>
      <c r="P15" s="18" t="s">
        <v>215</v>
      </c>
      <c r="Q15" s="21" t="n">
        <f aca="false">O162</f>
        <v>1</v>
      </c>
    </row>
    <row r="16" customFormat="false" ht="15" hidden="false" customHeight="false" outlineLevel="0" collapsed="false">
      <c r="A16" s="2" t="s">
        <v>216</v>
      </c>
      <c r="B16" s="2" t="s">
        <v>196</v>
      </c>
      <c r="C16" s="14" t="n">
        <f aca="false">O167</f>
        <v>92</v>
      </c>
      <c r="D16" s="14" t="n">
        <f aca="false">O168</f>
        <v>0</v>
      </c>
      <c r="E16" s="14" t="n">
        <f aca="false">H169</f>
        <v>85</v>
      </c>
      <c r="F16" s="14" t="n">
        <f aca="false">H170</f>
        <v>0</v>
      </c>
      <c r="G16" s="21" t="n">
        <f aca="false">O169</f>
        <v>165</v>
      </c>
      <c r="H16" s="12" t="n">
        <f aca="false">O170</f>
        <v>5.63362627768965</v>
      </c>
      <c r="I16" s="18" t="n">
        <f aca="false">O171</f>
        <v>50.0190102215172</v>
      </c>
      <c r="J16" s="14" t="n">
        <f aca="false">H171</f>
        <v>104.92404767696</v>
      </c>
      <c r="K16" s="14" t="n">
        <f aca="false">H172</f>
        <v>160.401396231059</v>
      </c>
      <c r="L16" s="14" t="n">
        <f aca="false">H173</f>
        <v>158.807285194849</v>
      </c>
      <c r="M16" s="14" t="n">
        <f aca="false">H174</f>
        <v>32.673897125482</v>
      </c>
      <c r="N16" s="18" t="n">
        <f aca="false">O172</f>
        <v>1074.19098621918</v>
      </c>
      <c r="O16" s="18" t="n">
        <f aca="false">O173</f>
        <v>1024.17197599766</v>
      </c>
      <c r="P16" s="18" t="n">
        <f aca="false">$O$4-O16</f>
        <v>15.2361812901825</v>
      </c>
      <c r="Q16" s="21" t="n">
        <f aca="false">O174</f>
        <v>1</v>
      </c>
    </row>
    <row r="17" customFormat="false" ht="15" hidden="false" customHeight="false" outlineLevel="0" collapsed="false">
      <c r="A17" s="10" t="s">
        <v>217</v>
      </c>
    </row>
    <row r="22" customFormat="false" ht="15" hidden="false" customHeight="false" outlineLevel="0" collapsed="false">
      <c r="A22" s="4" t="s">
        <v>195</v>
      </c>
    </row>
    <row r="23" customFormat="false" ht="35.05" hidden="false" customHeight="false" outlineLevel="0" collapsed="false">
      <c r="A23" s="8" t="s">
        <v>106</v>
      </c>
      <c r="B23" s="8" t="s">
        <v>142</v>
      </c>
      <c r="C23" s="8" t="s">
        <v>108</v>
      </c>
      <c r="D23" s="8" t="s">
        <v>109</v>
      </c>
      <c r="E23" s="8" t="s">
        <v>218</v>
      </c>
      <c r="F23" s="8" t="s">
        <v>110</v>
      </c>
      <c r="G23" s="8" t="s">
        <v>111</v>
      </c>
      <c r="H23" s="8" t="s">
        <v>112</v>
      </c>
      <c r="I23" s="8" t="s">
        <v>219</v>
      </c>
      <c r="J23" s="8" t="s">
        <v>114</v>
      </c>
      <c r="K23" s="8" t="s">
        <v>115</v>
      </c>
      <c r="L23" s="8" t="s">
        <v>116</v>
      </c>
      <c r="N23" s="2" t="s">
        <v>220</v>
      </c>
      <c r="O23" s="23" t="n">
        <f aca="false">Sale_G</f>
        <v>92</v>
      </c>
    </row>
    <row r="24" customFormat="false" ht="15" hidden="false" customHeight="false" outlineLevel="0" collapsed="false">
      <c r="A24" s="21" t="n">
        <v>0</v>
      </c>
      <c r="C24" s="22" t="n">
        <f aca="false">Eff_0</f>
        <v>71</v>
      </c>
      <c r="E24" s="22" t="n">
        <f aca="false">INDEX(Plan_years,A24+1)</f>
        <v>620</v>
      </c>
      <c r="N24" s="2" t="s">
        <v>221</v>
      </c>
      <c r="O24" s="13" t="n">
        <v>0</v>
      </c>
    </row>
    <row r="25" customFormat="false" ht="15" hidden="false" customHeight="false" outlineLevel="0" collapsed="false">
      <c r="A25" s="21" t="n">
        <v>1</v>
      </c>
      <c r="B25" s="16" t="n">
        <v>1</v>
      </c>
      <c r="C25" s="18" t="n">
        <f aca="false">IF(B25=1,C24+Gap_share*(Eff_ceil-C24),C24)</f>
        <v>78</v>
      </c>
      <c r="D25" s="14" t="n">
        <f aca="false">Save_pt*(C25-Eff_0)</f>
        <v>70</v>
      </c>
      <c r="E25" s="22" t="n">
        <f aca="false">INDEX(Plan_years,A25+1)</f>
        <v>498.862199828157</v>
      </c>
      <c r="H25" s="13" t="n">
        <v>0</v>
      </c>
      <c r="J25" s="11" t="n">
        <f aca="false">Beta_y^A25</f>
        <v>0.909090909090909</v>
      </c>
      <c r="K25" s="18" t="n">
        <f aca="false">J25*H25</f>
        <v>0</v>
      </c>
      <c r="N25" s="2" t="s">
        <v>185</v>
      </c>
      <c r="O25" s="25" t="n">
        <v>160</v>
      </c>
    </row>
    <row r="26" customFormat="false" ht="15" hidden="false" customHeight="false" outlineLevel="0" collapsed="false">
      <c r="A26" s="21" t="n">
        <v>2</v>
      </c>
      <c r="B26" s="16" t="n">
        <v>1</v>
      </c>
      <c r="C26" s="18" t="n">
        <f aca="false">IF(B26=1,C25+Gap_share*(Eff_ceil-C25),C25)</f>
        <v>81.5</v>
      </c>
      <c r="D26" s="14" t="n">
        <f aca="false">Save_pt*(C26-Eff_0)</f>
        <v>105</v>
      </c>
      <c r="E26" s="22" t="n">
        <f aca="false">INDEX(Plan_years,A26+1)</f>
        <v>483.854053397919</v>
      </c>
      <c r="H26" s="13" t="n">
        <v>0</v>
      </c>
      <c r="J26" s="11" t="n">
        <f aca="false">Beta_y^A26</f>
        <v>0.826446280991735</v>
      </c>
      <c r="K26" s="18" t="n">
        <f aca="false">J26*H26</f>
        <v>0</v>
      </c>
      <c r="N26" s="2" t="s">
        <v>222</v>
      </c>
      <c r="O26" s="26" t="n">
        <v>2.07148246690518</v>
      </c>
    </row>
    <row r="27" customFormat="false" ht="15" hidden="false" customHeight="false" outlineLevel="0" collapsed="false">
      <c r="A27" s="21" t="n">
        <v>3</v>
      </c>
      <c r="B27" s="16" t="n">
        <v>1</v>
      </c>
      <c r="C27" s="18" t="n">
        <f aca="false">IF(B27=1,C26+Gap_share*(Eff_ceil-C26),C26)</f>
        <v>83.25</v>
      </c>
      <c r="D27" s="14" t="n">
        <f aca="false">Save_pt*(C27-Eff_0)</f>
        <v>122.5</v>
      </c>
      <c r="E27" s="22" t="n">
        <f aca="false">INDEX(Plan_years,A27+1)</f>
        <v>510.42404767696</v>
      </c>
      <c r="F27" s="18" t="n">
        <f aca="false">MAX(IF(B28=1,MAX((F28+Round_cost*B28-D28-(E28-E27)-$O$24),Pre_cash),(F28+Round_cost*B28-D28-(E28-E27)-$O$24)),Floor_cash)</f>
        <v>350</v>
      </c>
      <c r="G27" s="18" t="n">
        <f aca="false">E27+$O$23+SUMPRODUCT(-Round_cost*B25:B27+D25:D27)-H25-H26</f>
        <v>539.92404767696</v>
      </c>
      <c r="H27" s="18" t="n">
        <f aca="false">MAX(0,G27-F27)</f>
        <v>189.92404767696</v>
      </c>
      <c r="I27" s="18" t="n">
        <f aca="false">G27-H27</f>
        <v>350</v>
      </c>
      <c r="J27" s="11" t="n">
        <f aca="false">Beta_y^A27</f>
        <v>0.751314800901578</v>
      </c>
      <c r="K27" s="18" t="n">
        <f aca="false">J27*H27</f>
        <v>142.692748066837</v>
      </c>
      <c r="L27" s="21" t="n">
        <f aca="false">IF(AND(I27&gt;=Floor_cash-0.000000001),1,0)</f>
        <v>1</v>
      </c>
      <c r="N27" s="2" t="s">
        <v>223</v>
      </c>
      <c r="O27" s="18" t="n">
        <f aca="false">Fee_line*O25+Cost_delay*O26</f>
        <v>21.3718597352414</v>
      </c>
    </row>
    <row r="28" customFormat="false" ht="15" hidden="false" customHeight="false" outlineLevel="0" collapsed="false">
      <c r="A28" s="21" t="n">
        <v>4</v>
      </c>
      <c r="B28" s="16" t="n">
        <v>0</v>
      </c>
      <c r="C28" s="18" t="n">
        <f aca="false">IF(B28=1,C27+Gap_share*(Eff_ceil-C27),C27)</f>
        <v>83.25</v>
      </c>
      <c r="D28" s="14" t="n">
        <f aca="false">Save_pt*(C28-Eff_0)</f>
        <v>122.5</v>
      </c>
      <c r="E28" s="22" t="n">
        <f aca="false">INDEX(Plan_years,A28+1)</f>
        <v>548.32544390802</v>
      </c>
      <c r="F28" s="18" t="n">
        <f aca="false">MAX(IF(B29=1,MAX((F29+Round_cost*B29-D29-(E29-E28)),Pre_cash),(F29+Round_cost*B29-D29-(E29-E28))),Floor_cash)</f>
        <v>350</v>
      </c>
      <c r="G28" s="18" t="n">
        <f aca="false">I27-Round_cost*B28+D28+(E28-E27)+$O$24</f>
        <v>510.401396231059</v>
      </c>
      <c r="H28" s="18" t="n">
        <f aca="false">MAX(0,G28-F28)</f>
        <v>160.401396231059</v>
      </c>
      <c r="I28" s="18" t="n">
        <f aca="false">G28-H28</f>
        <v>350</v>
      </c>
      <c r="J28" s="11" t="n">
        <f aca="false">Beta_y^A28</f>
        <v>0.683013455365071</v>
      </c>
      <c r="K28" s="18" t="n">
        <f aca="false">J28*H28</f>
        <v>109.556311885158</v>
      </c>
      <c r="L28" s="21" t="n">
        <f aca="false">IF(AND(I28&gt;=Floor_cash-0.000000001,IF(B28=1,I27&gt;=Pre_cash-0.000000001,TRUE())),1,0)</f>
        <v>1</v>
      </c>
      <c r="N28" s="2" t="s">
        <v>224</v>
      </c>
      <c r="O28" s="18" t="n">
        <f aca="false">SUM(K25:K30)+J30*D30/R_hurdle</f>
        <v>1060.78001702308</v>
      </c>
    </row>
    <row r="29" customFormat="false" ht="15" hidden="false" customHeight="false" outlineLevel="0" collapsed="false">
      <c r="A29" s="21" t="n">
        <v>5</v>
      </c>
      <c r="B29" s="16" t="n">
        <v>0</v>
      </c>
      <c r="C29" s="18" t="n">
        <f aca="false">IF(B29=1,C28+Gap_share*(Eff_ceil-C28),C28)</f>
        <v>83.25</v>
      </c>
      <c r="D29" s="14" t="n">
        <f aca="false">Save_pt*(C29-Eff_0)</f>
        <v>122.5</v>
      </c>
      <c r="E29" s="22" t="n">
        <f aca="false">INDEX(Plan_years,A29+1)</f>
        <v>584.632729102868</v>
      </c>
      <c r="F29" s="18" t="n">
        <f aca="false">MAX(IF(B30=1,MAX((F30+Round_cost*B30-D30-(E30-E29)),Pre_cash),(F30+Round_cost*B30-D30-(E30-E29))),Floor_cash)</f>
        <v>350</v>
      </c>
      <c r="G29" s="18" t="n">
        <f aca="false">I28-Round_cost*B29+D29+(E29-E28)</f>
        <v>508.807285194849</v>
      </c>
      <c r="H29" s="18" t="n">
        <f aca="false">MAX(0,G29-F29)</f>
        <v>158.807285194849</v>
      </c>
      <c r="I29" s="18" t="n">
        <f aca="false">G29-H29</f>
        <v>350</v>
      </c>
      <c r="J29" s="11" t="n">
        <f aca="false">Beta_y^A29</f>
        <v>0.620921323059155</v>
      </c>
      <c r="K29" s="18" t="n">
        <f aca="false">J29*H29</f>
        <v>98.606829634618</v>
      </c>
      <c r="L29" s="21" t="n">
        <f aca="false">IF(AND(I29&gt;=Floor_cash-0.000000001,IF(B29=1,I28&gt;=Pre_cash-0.000000001,TRUE())),1,0)</f>
        <v>1</v>
      </c>
      <c r="N29" s="2" t="s">
        <v>20</v>
      </c>
      <c r="O29" s="18" t="n">
        <f aca="false">O28-O27</f>
        <v>1039.40815728784</v>
      </c>
    </row>
    <row r="30" customFormat="false" ht="15" hidden="false" customHeight="false" outlineLevel="0" collapsed="false">
      <c r="A30" s="21" t="n">
        <v>6</v>
      </c>
      <c r="B30" s="16" t="n">
        <v>0</v>
      </c>
      <c r="C30" s="18" t="n">
        <f aca="false">IF(B30=1,C29+Gap_share*(Eff_ceil-C29),C29)</f>
        <v>83.25</v>
      </c>
      <c r="D30" s="14" t="n">
        <f aca="false">Save_pt*(C30-Eff_0)</f>
        <v>122.5</v>
      </c>
      <c r="E30" s="22" t="n">
        <f aca="false">INDEX(Plan_years,A30+1)</f>
        <v>614.80662622835</v>
      </c>
      <c r="F30" s="22" t="n">
        <f aca="false">End_cash</f>
        <v>470</v>
      </c>
      <c r="G30" s="18" t="n">
        <f aca="false">I29-Round_cost*B30+D30+(E30-E29)</f>
        <v>502.673897125482</v>
      </c>
      <c r="H30" s="18" t="n">
        <f aca="false">MAX(0,G30-F30)</f>
        <v>32.673897125482</v>
      </c>
      <c r="I30" s="18" t="n">
        <f aca="false">G30-H30</f>
        <v>470</v>
      </c>
      <c r="J30" s="11" t="n">
        <f aca="false">Beta_y^A30</f>
        <v>0.564473930053777</v>
      </c>
      <c r="K30" s="18" t="n">
        <f aca="false">J30*H30</f>
        <v>18.4435631205936</v>
      </c>
      <c r="L30" s="21" t="n">
        <f aca="false">IF(AND(I30&gt;=Floor_cash-0.000000001,IF(B30=1,I29&gt;=Pre_cash-0.000000001,TRUE()),I30&gt;=End_cash-0.000000001),1,0)</f>
        <v>1</v>
      </c>
      <c r="N30" s="2" t="s">
        <v>225</v>
      </c>
      <c r="O30" s="21" t="n">
        <f aca="false">IF(SUM(L27:L30)=4,1,0)</f>
        <v>1</v>
      </c>
    </row>
    <row r="34" customFormat="false" ht="15" hidden="false" customHeight="false" outlineLevel="0" collapsed="false">
      <c r="A34" s="4" t="s">
        <v>197</v>
      </c>
    </row>
    <row r="35" customFormat="false" ht="35.05" hidden="false" customHeight="false" outlineLevel="0" collapsed="false">
      <c r="A35" s="8" t="s">
        <v>106</v>
      </c>
      <c r="B35" s="8" t="s">
        <v>142</v>
      </c>
      <c r="C35" s="8" t="s">
        <v>108</v>
      </c>
      <c r="D35" s="8" t="s">
        <v>109</v>
      </c>
      <c r="E35" s="8" t="s">
        <v>218</v>
      </c>
      <c r="F35" s="8" t="s">
        <v>110</v>
      </c>
      <c r="G35" s="8" t="s">
        <v>111</v>
      </c>
      <c r="H35" s="8" t="s">
        <v>112</v>
      </c>
      <c r="I35" s="8" t="s">
        <v>219</v>
      </c>
      <c r="J35" s="8" t="s">
        <v>114</v>
      </c>
      <c r="K35" s="8" t="s">
        <v>115</v>
      </c>
      <c r="L35" s="8" t="s">
        <v>116</v>
      </c>
      <c r="N35" s="2" t="s">
        <v>220</v>
      </c>
      <c r="O35" s="23" t="n">
        <f aca="false">Sale_G</f>
        <v>92</v>
      </c>
    </row>
    <row r="36" customFormat="false" ht="15" hidden="false" customHeight="false" outlineLevel="0" collapsed="false">
      <c r="A36" s="21" t="n">
        <v>0</v>
      </c>
      <c r="C36" s="22" t="n">
        <f aca="false">Eff_0</f>
        <v>71</v>
      </c>
      <c r="E36" s="22" t="n">
        <f aca="false">INDEX(Plan_years,A36+1)</f>
        <v>620</v>
      </c>
      <c r="N36" s="2" t="s">
        <v>221</v>
      </c>
      <c r="O36" s="13" t="n">
        <v>0</v>
      </c>
    </row>
    <row r="37" customFormat="false" ht="15" hidden="false" customHeight="false" outlineLevel="0" collapsed="false">
      <c r="A37" s="21" t="n">
        <v>1</v>
      </c>
      <c r="B37" s="16" t="n">
        <v>1</v>
      </c>
      <c r="C37" s="18" t="n">
        <f aca="false">IF(B37=1,C36+Gap_share*(Eff_ceil-C36),C36)</f>
        <v>78</v>
      </c>
      <c r="D37" s="14" t="n">
        <f aca="false">Save_pt*(C37-Eff_0)</f>
        <v>70</v>
      </c>
      <c r="E37" s="22" t="n">
        <f aca="false">INDEX(Plan_years,A37+1)</f>
        <v>498.862199828157</v>
      </c>
      <c r="H37" s="13" t="n">
        <v>0</v>
      </c>
      <c r="J37" s="11" t="n">
        <f aca="false">Beta_y^A37</f>
        <v>0.909090909090909</v>
      </c>
      <c r="K37" s="18" t="n">
        <f aca="false">J37*H37</f>
        <v>0</v>
      </c>
      <c r="N37" s="2" t="s">
        <v>185</v>
      </c>
      <c r="O37" s="25" t="n">
        <v>160</v>
      </c>
    </row>
    <row r="38" customFormat="false" ht="15" hidden="false" customHeight="false" outlineLevel="0" collapsed="false">
      <c r="A38" s="21" t="n">
        <v>2</v>
      </c>
      <c r="B38" s="16" t="n">
        <v>1</v>
      </c>
      <c r="C38" s="18" t="n">
        <f aca="false">IF(B38=1,C37+Gap_share*(Eff_ceil-C37),C37)</f>
        <v>81.5</v>
      </c>
      <c r="D38" s="14" t="n">
        <f aca="false">Save_pt*(C38-Eff_0)</f>
        <v>105</v>
      </c>
      <c r="E38" s="22" t="n">
        <f aca="false">INDEX(Plan_years,A38+1)</f>
        <v>483.854053397919</v>
      </c>
      <c r="H38" s="13" t="n">
        <v>77</v>
      </c>
      <c r="J38" s="11" t="n">
        <f aca="false">Beta_y^A38</f>
        <v>0.826446280991735</v>
      </c>
      <c r="K38" s="18" t="n">
        <f aca="false">J38*H38</f>
        <v>63.6363636363636</v>
      </c>
      <c r="N38" s="2" t="s">
        <v>222</v>
      </c>
      <c r="O38" s="26" t="n">
        <v>1.47702807378874</v>
      </c>
    </row>
    <row r="39" customFormat="false" ht="15" hidden="false" customHeight="false" outlineLevel="0" collapsed="false">
      <c r="A39" s="21" t="n">
        <v>3</v>
      </c>
      <c r="B39" s="16" t="n">
        <v>0</v>
      </c>
      <c r="C39" s="18" t="n">
        <f aca="false">IF(B39=1,C38+Gap_share*(Eff_ceil-C38),C38)</f>
        <v>81.5</v>
      </c>
      <c r="D39" s="14" t="n">
        <f aca="false">Save_pt*(C39-Eff_0)</f>
        <v>105</v>
      </c>
      <c r="E39" s="22" t="n">
        <f aca="false">INDEX(Plan_years,A39+1)</f>
        <v>510.42404767696</v>
      </c>
      <c r="F39" s="18" t="n">
        <f aca="false">MAX(IF(B40=1,MAX((F40+Round_cost*B40-D40-(E40-E39)-$O$36),Pre_cash),(F40+Round_cost*B40-D40-(E40-E39)-$O$36)),Floor_cash)</f>
        <v>470</v>
      </c>
      <c r="G39" s="18" t="n">
        <f aca="false">E39+$O$35+SUMPRODUCT(-Round_cost*B37:B39+D37:D39)-H37-H38</f>
        <v>565.42404767696</v>
      </c>
      <c r="H39" s="18" t="n">
        <f aca="false">MAX(0,G39-F39)</f>
        <v>95.4240476769603</v>
      </c>
      <c r="I39" s="18" t="n">
        <f aca="false">G39-H39</f>
        <v>470</v>
      </c>
      <c r="J39" s="11" t="n">
        <f aca="false">Beta_y^A39</f>
        <v>0.751314800901578</v>
      </c>
      <c r="K39" s="18" t="n">
        <f aca="false">J39*H39</f>
        <v>71.6934993816381</v>
      </c>
      <c r="L39" s="21" t="n">
        <f aca="false">IF(AND(I39&gt;=Floor_cash-0.000000001),1,0)</f>
        <v>1</v>
      </c>
      <c r="N39" s="2" t="s">
        <v>223</v>
      </c>
      <c r="O39" s="18" t="n">
        <f aca="false">Fee_line*O37+Cost_delay*O38</f>
        <v>16.6162245903099</v>
      </c>
    </row>
    <row r="40" customFormat="false" ht="15" hidden="false" customHeight="false" outlineLevel="0" collapsed="false">
      <c r="A40" s="21" t="n">
        <v>4</v>
      </c>
      <c r="B40" s="16" t="n">
        <v>1</v>
      </c>
      <c r="C40" s="18" t="n">
        <f aca="false">IF(B40=1,C39+Gap_share*(Eff_ceil-C39),C39)</f>
        <v>83.25</v>
      </c>
      <c r="D40" s="14" t="n">
        <f aca="false">Save_pt*(C40-Eff_0)</f>
        <v>122.5</v>
      </c>
      <c r="E40" s="22" t="n">
        <f aca="false">INDEX(Plan_years,A40+1)</f>
        <v>548.32544390802</v>
      </c>
      <c r="F40" s="18" t="n">
        <f aca="false">MAX(IF(B41=1,MAX((F41+Round_cost*B41-D41-(E41-E40)),Pre_cash),(F41+Round_cost*B41-D41-(E41-E40))),Floor_cash)</f>
        <v>350</v>
      </c>
      <c r="G40" s="18" t="n">
        <f aca="false">I39-Round_cost*B40+D40+(E40-E39)+$O$36</f>
        <v>510.401396231059</v>
      </c>
      <c r="H40" s="18" t="n">
        <f aca="false">MAX(0,G40-F40)</f>
        <v>160.401396231059</v>
      </c>
      <c r="I40" s="18" t="n">
        <f aca="false">G40-H40</f>
        <v>350</v>
      </c>
      <c r="J40" s="11" t="n">
        <f aca="false">Beta_y^A40</f>
        <v>0.683013455365071</v>
      </c>
      <c r="K40" s="18" t="n">
        <f aca="false">J40*H40</f>
        <v>109.556311885158</v>
      </c>
      <c r="L40" s="21" t="n">
        <f aca="false">IF(AND(I40&gt;=Floor_cash-0.000000001,IF(B40=1,I39&gt;=Pre_cash-0.000000001,TRUE())),1,0)</f>
        <v>1</v>
      </c>
      <c r="N40" s="2" t="s">
        <v>224</v>
      </c>
      <c r="O40" s="18" t="n">
        <f aca="false">SUM(K37:K42)+J42*D42/R_hurdle</f>
        <v>1053.41713197425</v>
      </c>
    </row>
    <row r="41" customFormat="false" ht="15" hidden="false" customHeight="false" outlineLevel="0" collapsed="false">
      <c r="A41" s="21" t="n">
        <v>5</v>
      </c>
      <c r="B41" s="16" t="n">
        <v>0</v>
      </c>
      <c r="C41" s="18" t="n">
        <f aca="false">IF(B41=1,C40+Gap_share*(Eff_ceil-C40),C40)</f>
        <v>83.25</v>
      </c>
      <c r="D41" s="14" t="n">
        <f aca="false">Save_pt*(C41-Eff_0)</f>
        <v>122.5</v>
      </c>
      <c r="E41" s="22" t="n">
        <f aca="false">INDEX(Plan_years,A41+1)</f>
        <v>584.632729102868</v>
      </c>
      <c r="F41" s="18" t="n">
        <f aca="false">MAX(IF(B42=1,MAX((F42+Round_cost*B42-D42-(E42-E41)),Pre_cash),(F42+Round_cost*B42-D42-(E42-E41))),Floor_cash)</f>
        <v>350</v>
      </c>
      <c r="G41" s="18" t="n">
        <f aca="false">I40-Round_cost*B41+D41+(E41-E40)</f>
        <v>508.807285194849</v>
      </c>
      <c r="H41" s="18" t="n">
        <f aca="false">MAX(0,G41-F41)</f>
        <v>158.807285194849</v>
      </c>
      <c r="I41" s="18" t="n">
        <f aca="false">G41-H41</f>
        <v>350</v>
      </c>
      <c r="J41" s="11" t="n">
        <f aca="false">Beta_y^A41</f>
        <v>0.620921323059155</v>
      </c>
      <c r="K41" s="18" t="n">
        <f aca="false">J41*H41</f>
        <v>98.606829634618</v>
      </c>
      <c r="L41" s="21" t="n">
        <f aca="false">IF(AND(I41&gt;=Floor_cash-0.000000001,IF(B41=1,I40&gt;=Pre_cash-0.000000001,TRUE())),1,0)</f>
        <v>1</v>
      </c>
      <c r="N41" s="2" t="s">
        <v>20</v>
      </c>
      <c r="O41" s="18" t="n">
        <f aca="false">O40-O39</f>
        <v>1036.80090738394</v>
      </c>
    </row>
    <row r="42" customFormat="false" ht="15" hidden="false" customHeight="false" outlineLevel="0" collapsed="false">
      <c r="A42" s="21" t="n">
        <v>6</v>
      </c>
      <c r="B42" s="16" t="n">
        <v>0</v>
      </c>
      <c r="C42" s="18" t="n">
        <f aca="false">IF(B42=1,C41+Gap_share*(Eff_ceil-C41),C41)</f>
        <v>83.25</v>
      </c>
      <c r="D42" s="14" t="n">
        <f aca="false">Save_pt*(C42-Eff_0)</f>
        <v>122.5</v>
      </c>
      <c r="E42" s="22" t="n">
        <f aca="false">INDEX(Plan_years,A42+1)</f>
        <v>614.80662622835</v>
      </c>
      <c r="F42" s="22" t="n">
        <f aca="false">End_cash</f>
        <v>470</v>
      </c>
      <c r="G42" s="18" t="n">
        <f aca="false">I41-Round_cost*B42+D42+(E42-E41)</f>
        <v>502.673897125482</v>
      </c>
      <c r="H42" s="18" t="n">
        <f aca="false">MAX(0,G42-F42)</f>
        <v>32.673897125482</v>
      </c>
      <c r="I42" s="18" t="n">
        <f aca="false">G42-H42</f>
        <v>470</v>
      </c>
      <c r="J42" s="11" t="n">
        <f aca="false">Beta_y^A42</f>
        <v>0.564473930053777</v>
      </c>
      <c r="K42" s="18" t="n">
        <f aca="false">J42*H42</f>
        <v>18.4435631205936</v>
      </c>
      <c r="L42" s="21" t="n">
        <f aca="false">IF(AND(I42&gt;=Floor_cash-0.000000001,IF(B42=1,I41&gt;=Pre_cash-0.000000001,TRUE()),I42&gt;=End_cash-0.000000001),1,0)</f>
        <v>1</v>
      </c>
      <c r="N42" s="2" t="s">
        <v>225</v>
      </c>
      <c r="O42" s="21" t="n">
        <f aca="false">IF(SUM(L39:L42)=4,1,0)</f>
        <v>1</v>
      </c>
    </row>
    <row r="46" customFormat="false" ht="15" hidden="false" customHeight="false" outlineLevel="0" collapsed="false">
      <c r="A46" s="4" t="s">
        <v>199</v>
      </c>
    </row>
    <row r="47" customFormat="false" ht="35.05" hidden="false" customHeight="false" outlineLevel="0" collapsed="false">
      <c r="A47" s="8" t="s">
        <v>106</v>
      </c>
      <c r="B47" s="8" t="s">
        <v>142</v>
      </c>
      <c r="C47" s="8" t="s">
        <v>108</v>
      </c>
      <c r="D47" s="8" t="s">
        <v>109</v>
      </c>
      <c r="E47" s="8" t="s">
        <v>218</v>
      </c>
      <c r="F47" s="8" t="s">
        <v>110</v>
      </c>
      <c r="G47" s="8" t="s">
        <v>111</v>
      </c>
      <c r="H47" s="8" t="s">
        <v>112</v>
      </c>
      <c r="I47" s="8" t="s">
        <v>219</v>
      </c>
      <c r="J47" s="8" t="s">
        <v>114</v>
      </c>
      <c r="K47" s="8" t="s">
        <v>115</v>
      </c>
      <c r="L47" s="8" t="s">
        <v>116</v>
      </c>
      <c r="N47" s="2" t="s">
        <v>220</v>
      </c>
      <c r="O47" s="23" t="n">
        <f aca="false">Sale_G</f>
        <v>92</v>
      </c>
    </row>
    <row r="48" customFormat="false" ht="15" hidden="false" customHeight="false" outlineLevel="0" collapsed="false">
      <c r="A48" s="21" t="n">
        <v>0</v>
      </c>
      <c r="C48" s="22" t="n">
        <f aca="false">Eff_0</f>
        <v>71</v>
      </c>
      <c r="E48" s="22" t="n">
        <f aca="false">INDEX(Plan_years,A48+1)</f>
        <v>620</v>
      </c>
      <c r="N48" s="2" t="s">
        <v>221</v>
      </c>
      <c r="O48" s="13" t="n">
        <v>0</v>
      </c>
    </row>
    <row r="49" customFormat="false" ht="15" hidden="false" customHeight="false" outlineLevel="0" collapsed="false">
      <c r="A49" s="21" t="n">
        <v>1</v>
      </c>
      <c r="B49" s="16" t="n">
        <v>1</v>
      </c>
      <c r="C49" s="18" t="n">
        <f aca="false">IF(B49=1,C48+Gap_share*(Eff_ceil-C48),C48)</f>
        <v>78</v>
      </c>
      <c r="D49" s="14" t="n">
        <f aca="false">Save_pt*(C49-Eff_0)</f>
        <v>70</v>
      </c>
      <c r="E49" s="22" t="n">
        <f aca="false">INDEX(Plan_years,A49+1)</f>
        <v>498.862199828157</v>
      </c>
      <c r="H49" s="13" t="n">
        <v>35</v>
      </c>
      <c r="J49" s="11" t="n">
        <f aca="false">Beta_y^A49</f>
        <v>0.909090909090909</v>
      </c>
      <c r="K49" s="18" t="n">
        <f aca="false">J49*H49</f>
        <v>31.8181818181818</v>
      </c>
      <c r="N49" s="2" t="s">
        <v>185</v>
      </c>
      <c r="O49" s="25" t="n">
        <v>140</v>
      </c>
    </row>
    <row r="50" customFormat="false" ht="15" hidden="false" customHeight="false" outlineLevel="0" collapsed="false">
      <c r="A50" s="21" t="n">
        <v>2</v>
      </c>
      <c r="B50" s="16" t="n">
        <v>0</v>
      </c>
      <c r="C50" s="18" t="n">
        <f aca="false">IF(B50=1,C49+Gap_share*(Eff_ceil-C49),C49)</f>
        <v>78</v>
      </c>
      <c r="D50" s="14" t="n">
        <f aca="false">Save_pt*(C50-Eff_0)</f>
        <v>70</v>
      </c>
      <c r="E50" s="22" t="n">
        <f aca="false">INDEX(Plan_years,A50+1)</f>
        <v>483.854053397919</v>
      </c>
      <c r="H50" s="13" t="n">
        <v>0</v>
      </c>
      <c r="J50" s="11" t="n">
        <f aca="false">Beta_y^A50</f>
        <v>0.826446280991735</v>
      </c>
      <c r="K50" s="18" t="n">
        <f aca="false">J50*H50</f>
        <v>0</v>
      </c>
      <c r="N50" s="2" t="s">
        <v>222</v>
      </c>
      <c r="O50" s="26" t="n">
        <v>0.0115343226847147</v>
      </c>
    </row>
    <row r="51" customFormat="false" ht="15" hidden="false" customHeight="false" outlineLevel="0" collapsed="false">
      <c r="A51" s="21" t="n">
        <v>3</v>
      </c>
      <c r="B51" s="16" t="n">
        <v>1</v>
      </c>
      <c r="C51" s="18" t="n">
        <f aca="false">IF(B51=1,C50+Gap_share*(Eff_ceil-C50),C50)</f>
        <v>81.5</v>
      </c>
      <c r="D51" s="14" t="n">
        <f aca="false">Save_pt*(C51-Eff_0)</f>
        <v>105</v>
      </c>
      <c r="E51" s="22" t="n">
        <f aca="false">INDEX(Plan_years,A51+1)</f>
        <v>510.42404767696</v>
      </c>
      <c r="F51" s="18" t="n">
        <f aca="false">MAX(IF(B52=1,MAX((F52+Round_cost*B52-D52-(E52-E51)-$O$48),Pre_cash),(F52+Round_cost*B52-D52-(E52-E51)-$O$48)),Floor_cash)</f>
        <v>470</v>
      </c>
      <c r="G51" s="18" t="n">
        <f aca="false">E51+$O$47+SUMPRODUCT(-Round_cost*B49:B51+D49:D51)-H49-H50</f>
        <v>572.42404767696</v>
      </c>
      <c r="H51" s="18" t="n">
        <f aca="false">MAX(0,G51-F51)</f>
        <v>102.42404767696</v>
      </c>
      <c r="I51" s="18" t="n">
        <f aca="false">G51-H51</f>
        <v>470</v>
      </c>
      <c r="J51" s="11" t="n">
        <f aca="false">Beta_y^A51</f>
        <v>0.751314800901578</v>
      </c>
      <c r="K51" s="18" t="n">
        <f aca="false">J51*H51</f>
        <v>76.9527029879491</v>
      </c>
      <c r="L51" s="21" t="n">
        <f aca="false">IF(AND(I51&gt;=Floor_cash-0.000000001),1,0)</f>
        <v>1</v>
      </c>
      <c r="N51" s="2" t="s">
        <v>223</v>
      </c>
      <c r="O51" s="18" t="n">
        <f aca="false">Fee_line*O49+Cost_delay*O50</f>
        <v>4.29227458147772</v>
      </c>
    </row>
    <row r="52" customFormat="false" ht="15" hidden="false" customHeight="false" outlineLevel="0" collapsed="false">
      <c r="A52" s="21" t="n">
        <v>4</v>
      </c>
      <c r="B52" s="16" t="n">
        <v>1</v>
      </c>
      <c r="C52" s="18" t="n">
        <f aca="false">IF(B52=1,C51+Gap_share*(Eff_ceil-C51),C51)</f>
        <v>83.25</v>
      </c>
      <c r="D52" s="14" t="n">
        <f aca="false">Save_pt*(C52-Eff_0)</f>
        <v>122.5</v>
      </c>
      <c r="E52" s="22" t="n">
        <f aca="false">INDEX(Plan_years,A52+1)</f>
        <v>548.32544390802</v>
      </c>
      <c r="F52" s="18" t="n">
        <f aca="false">MAX(IF(B53=1,MAX((F53+Round_cost*B53-D53-(E53-E52)),Pre_cash),(F53+Round_cost*B53-D53-(E53-E52))),Floor_cash)</f>
        <v>350</v>
      </c>
      <c r="G52" s="18" t="n">
        <f aca="false">I51-Round_cost*B52+D52+(E52-E51)+$O$48</f>
        <v>510.401396231059</v>
      </c>
      <c r="H52" s="18" t="n">
        <f aca="false">MAX(0,G52-F52)</f>
        <v>160.401396231059</v>
      </c>
      <c r="I52" s="18" t="n">
        <f aca="false">G52-H52</f>
        <v>350</v>
      </c>
      <c r="J52" s="11" t="n">
        <f aca="false">Beta_y^A52</f>
        <v>0.683013455365071</v>
      </c>
      <c r="K52" s="18" t="n">
        <f aca="false">J52*H52</f>
        <v>109.556311885158</v>
      </c>
      <c r="L52" s="21" t="n">
        <f aca="false">IF(AND(I52&gt;=Floor_cash-0.000000001,IF(B52=1,I51&gt;=Pre_cash-0.000000001,TRUE())),1,0)</f>
        <v>1</v>
      </c>
      <c r="N52" s="2" t="s">
        <v>224</v>
      </c>
      <c r="O52" s="18" t="n">
        <f aca="false">SUM(K49:K54)+J54*D54/R_hurdle</f>
        <v>1026.85815376238</v>
      </c>
    </row>
    <row r="53" customFormat="false" ht="15" hidden="false" customHeight="false" outlineLevel="0" collapsed="false">
      <c r="A53" s="21" t="n">
        <v>5</v>
      </c>
      <c r="B53" s="16" t="n">
        <v>0</v>
      </c>
      <c r="C53" s="18" t="n">
        <f aca="false">IF(B53=1,C52+Gap_share*(Eff_ceil-C52),C52)</f>
        <v>83.25</v>
      </c>
      <c r="D53" s="14" t="n">
        <f aca="false">Save_pt*(C53-Eff_0)</f>
        <v>122.5</v>
      </c>
      <c r="E53" s="22" t="n">
        <f aca="false">INDEX(Plan_years,A53+1)</f>
        <v>584.632729102868</v>
      </c>
      <c r="F53" s="18" t="n">
        <f aca="false">MAX(IF(B54=1,MAX((F54+Round_cost*B54-D54-(E54-E53)),Pre_cash),(F54+Round_cost*B54-D54-(E54-E53))),Floor_cash)</f>
        <v>350</v>
      </c>
      <c r="G53" s="18" t="n">
        <f aca="false">I52-Round_cost*B53+D53+(E53-E52)</f>
        <v>508.807285194849</v>
      </c>
      <c r="H53" s="18" t="n">
        <f aca="false">MAX(0,G53-F53)</f>
        <v>158.807285194849</v>
      </c>
      <c r="I53" s="18" t="n">
        <f aca="false">G53-H53</f>
        <v>350</v>
      </c>
      <c r="J53" s="11" t="n">
        <f aca="false">Beta_y^A53</f>
        <v>0.620921323059155</v>
      </c>
      <c r="K53" s="18" t="n">
        <f aca="false">J53*H53</f>
        <v>98.606829634618</v>
      </c>
      <c r="L53" s="21" t="n">
        <f aca="false">IF(AND(I53&gt;=Floor_cash-0.000000001,IF(B53=1,I52&gt;=Pre_cash-0.000000001,TRUE())),1,0)</f>
        <v>1</v>
      </c>
      <c r="N53" s="2" t="s">
        <v>20</v>
      </c>
      <c r="O53" s="18" t="n">
        <f aca="false">O52-O51</f>
        <v>1022.5658791809</v>
      </c>
    </row>
    <row r="54" customFormat="false" ht="15" hidden="false" customHeight="false" outlineLevel="0" collapsed="false">
      <c r="A54" s="21" t="n">
        <v>6</v>
      </c>
      <c r="B54" s="16" t="n">
        <v>0</v>
      </c>
      <c r="C54" s="18" t="n">
        <f aca="false">IF(B54=1,C53+Gap_share*(Eff_ceil-C53),C53)</f>
        <v>83.25</v>
      </c>
      <c r="D54" s="14" t="n">
        <f aca="false">Save_pt*(C54-Eff_0)</f>
        <v>122.5</v>
      </c>
      <c r="E54" s="22" t="n">
        <f aca="false">INDEX(Plan_years,A54+1)</f>
        <v>614.80662622835</v>
      </c>
      <c r="F54" s="22" t="n">
        <f aca="false">End_cash</f>
        <v>470</v>
      </c>
      <c r="G54" s="18" t="n">
        <f aca="false">I53-Round_cost*B54+D54+(E54-E53)</f>
        <v>502.673897125482</v>
      </c>
      <c r="H54" s="18" t="n">
        <f aca="false">MAX(0,G54-F54)</f>
        <v>32.673897125482</v>
      </c>
      <c r="I54" s="18" t="n">
        <f aca="false">G54-H54</f>
        <v>470</v>
      </c>
      <c r="J54" s="11" t="n">
        <f aca="false">Beta_y^A54</f>
        <v>0.564473930053777</v>
      </c>
      <c r="K54" s="18" t="n">
        <f aca="false">J54*H54</f>
        <v>18.4435631205936</v>
      </c>
      <c r="L54" s="21" t="n">
        <f aca="false">IF(AND(I54&gt;=Floor_cash-0.000000001,IF(B54=1,I53&gt;=Pre_cash-0.000000001,TRUE()),I54&gt;=End_cash-0.000000001),1,0)</f>
        <v>1</v>
      </c>
      <c r="N54" s="2" t="s">
        <v>225</v>
      </c>
      <c r="O54" s="21" t="n">
        <f aca="false">IF(SUM(L51:L54)=4,1,0)</f>
        <v>1</v>
      </c>
    </row>
    <row r="58" customFormat="false" ht="15" hidden="false" customHeight="false" outlineLevel="0" collapsed="false">
      <c r="A58" s="4" t="s">
        <v>201</v>
      </c>
    </row>
    <row r="59" customFormat="false" ht="35.05" hidden="false" customHeight="false" outlineLevel="0" collapsed="false">
      <c r="A59" s="8" t="s">
        <v>106</v>
      </c>
      <c r="B59" s="8" t="s">
        <v>142</v>
      </c>
      <c r="C59" s="8" t="s">
        <v>108</v>
      </c>
      <c r="D59" s="8" t="s">
        <v>109</v>
      </c>
      <c r="E59" s="8" t="s">
        <v>218</v>
      </c>
      <c r="F59" s="8" t="s">
        <v>110</v>
      </c>
      <c r="G59" s="8" t="s">
        <v>111</v>
      </c>
      <c r="H59" s="8" t="s">
        <v>112</v>
      </c>
      <c r="I59" s="8" t="s">
        <v>219</v>
      </c>
      <c r="J59" s="8" t="s">
        <v>114</v>
      </c>
      <c r="K59" s="8" t="s">
        <v>115</v>
      </c>
      <c r="L59" s="8" t="s">
        <v>116</v>
      </c>
      <c r="N59" s="2" t="s">
        <v>220</v>
      </c>
      <c r="O59" s="23" t="n">
        <f aca="false">Sale_G</f>
        <v>92</v>
      </c>
    </row>
    <row r="60" customFormat="false" ht="15" hidden="false" customHeight="false" outlineLevel="0" collapsed="false">
      <c r="A60" s="21" t="n">
        <v>0</v>
      </c>
      <c r="C60" s="22" t="n">
        <f aca="false">Eff_0</f>
        <v>71</v>
      </c>
      <c r="E60" s="22" t="n">
        <f aca="false">INDEX(Plan_years,A60+1)</f>
        <v>620</v>
      </c>
      <c r="N60" s="2" t="s">
        <v>221</v>
      </c>
      <c r="O60" s="13" t="n">
        <v>0</v>
      </c>
    </row>
    <row r="61" customFormat="false" ht="15" hidden="false" customHeight="false" outlineLevel="0" collapsed="false">
      <c r="A61" s="21" t="n">
        <v>1</v>
      </c>
      <c r="B61" s="16" t="n">
        <v>1</v>
      </c>
      <c r="C61" s="18" t="n">
        <f aca="false">IF(B61=1,C60+Gap_share*(Eff_ceil-C60),C60)</f>
        <v>78</v>
      </c>
      <c r="D61" s="14" t="n">
        <f aca="false">Save_pt*(C61-Eff_0)</f>
        <v>70</v>
      </c>
      <c r="E61" s="22" t="n">
        <f aca="false">INDEX(Plan_years,A61+1)</f>
        <v>498.862199828157</v>
      </c>
      <c r="H61" s="13" t="n">
        <v>61</v>
      </c>
      <c r="J61" s="11" t="n">
        <f aca="false">Beta_y^A61</f>
        <v>0.909090909090909</v>
      </c>
      <c r="K61" s="18" t="n">
        <f aca="false">J61*H61</f>
        <v>55.4545454545455</v>
      </c>
      <c r="N61" s="2" t="s">
        <v>185</v>
      </c>
      <c r="O61" s="25" t="n">
        <v>140</v>
      </c>
    </row>
    <row r="62" customFormat="false" ht="15" hidden="false" customHeight="false" outlineLevel="0" collapsed="false">
      <c r="A62" s="21" t="n">
        <v>2</v>
      </c>
      <c r="B62" s="16" t="n">
        <v>0</v>
      </c>
      <c r="C62" s="18" t="n">
        <f aca="false">IF(B62=1,C61+Gap_share*(Eff_ceil-C61),C61)</f>
        <v>78</v>
      </c>
      <c r="D62" s="14" t="n">
        <f aca="false">Save_pt*(C62-Eff_0)</f>
        <v>70</v>
      </c>
      <c r="E62" s="22" t="n">
        <f aca="false">INDEX(Plan_years,A62+1)</f>
        <v>483.854053397919</v>
      </c>
      <c r="H62" s="13" t="n">
        <v>65</v>
      </c>
      <c r="J62" s="11" t="n">
        <f aca="false">Beta_y^A62</f>
        <v>0.826446280991735</v>
      </c>
      <c r="K62" s="18" t="n">
        <f aca="false">J62*H62</f>
        <v>53.7190082644628</v>
      </c>
      <c r="N62" s="2" t="s">
        <v>222</v>
      </c>
      <c r="O62" s="26" t="n">
        <v>0</v>
      </c>
    </row>
    <row r="63" customFormat="false" ht="15" hidden="false" customHeight="false" outlineLevel="0" collapsed="false">
      <c r="A63" s="21" t="n">
        <v>3</v>
      </c>
      <c r="B63" s="16" t="n">
        <v>0</v>
      </c>
      <c r="C63" s="18" t="n">
        <f aca="false">IF(B63=1,C62+Gap_share*(Eff_ceil-C62),C62)</f>
        <v>78</v>
      </c>
      <c r="D63" s="14" t="n">
        <f aca="false">Save_pt*(C63-Eff_0)</f>
        <v>70</v>
      </c>
      <c r="E63" s="22" t="n">
        <f aca="false">INDEX(Plan_years,A63+1)</f>
        <v>510.42404767696</v>
      </c>
      <c r="F63" s="18" t="n">
        <f aca="false">MAX(IF(B64=1,MAX((F64+Round_cost*B64-D64-(E64-E63)-$O$60),Pre_cash),(F64+Round_cost*B64-D64-(E64-E63)-$O$60)),Floor_cash)</f>
        <v>470</v>
      </c>
      <c r="G63" s="18" t="n">
        <f aca="false">E63+$O$59+SUMPRODUCT(-Round_cost*B61:B63+D61:D63)-H61-H62</f>
        <v>566.42404767696</v>
      </c>
      <c r="H63" s="18" t="n">
        <f aca="false">MAX(0,G63-F63)</f>
        <v>96.4240476769603</v>
      </c>
      <c r="I63" s="18" t="n">
        <f aca="false">G63-H63</f>
        <v>470</v>
      </c>
      <c r="J63" s="11" t="n">
        <f aca="false">Beta_y^A63</f>
        <v>0.751314800901578</v>
      </c>
      <c r="K63" s="18" t="n">
        <f aca="false">J63*H63</f>
        <v>72.4448141825397</v>
      </c>
      <c r="L63" s="21" t="n">
        <f aca="false">IF(AND(I63&gt;=Floor_cash-0.000000001),1,0)</f>
        <v>1</v>
      </c>
      <c r="N63" s="2" t="s">
        <v>223</v>
      </c>
      <c r="O63" s="18" t="n">
        <f aca="false">Fee_line*O61+Cost_delay*O62</f>
        <v>4.2</v>
      </c>
    </row>
    <row r="64" customFormat="false" ht="15" hidden="false" customHeight="false" outlineLevel="0" collapsed="false">
      <c r="A64" s="21" t="n">
        <v>4</v>
      </c>
      <c r="B64" s="16" t="n">
        <v>1</v>
      </c>
      <c r="C64" s="18" t="n">
        <f aca="false">IF(B64=1,C63+Gap_share*(Eff_ceil-C63),C63)</f>
        <v>81.5</v>
      </c>
      <c r="D64" s="14" t="n">
        <f aca="false">Save_pt*(C64-Eff_0)</f>
        <v>105</v>
      </c>
      <c r="E64" s="22" t="n">
        <f aca="false">INDEX(Plan_years,A64+1)</f>
        <v>548.32544390802</v>
      </c>
      <c r="F64" s="18" t="n">
        <f aca="false">MAX(IF(B65=1,MAX((F65+Round_cost*B65-D65-(E65-E64)),Pre_cash),(F65+Round_cost*B65-D65-(E65-E64))),Floor_cash)</f>
        <v>470</v>
      </c>
      <c r="G64" s="18" t="n">
        <f aca="false">I63-Round_cost*B64+D64+(E64-E63)+$O$60</f>
        <v>492.901396231059</v>
      </c>
      <c r="H64" s="18" t="n">
        <f aca="false">MAX(0,G64-F64)</f>
        <v>22.9013962310594</v>
      </c>
      <c r="I64" s="18" t="n">
        <f aca="false">G64-H64</f>
        <v>470</v>
      </c>
      <c r="J64" s="11" t="n">
        <f aca="false">Beta_y^A64</f>
        <v>0.683013455365071</v>
      </c>
      <c r="K64" s="18" t="n">
        <f aca="false">J64*H64</f>
        <v>15.6419617724605</v>
      </c>
      <c r="L64" s="21" t="n">
        <f aca="false">IF(AND(I64&gt;=Floor_cash-0.000000001,IF(B64=1,I63&gt;=Pre_cash-0.000000001,TRUE())),1,0)</f>
        <v>1</v>
      </c>
      <c r="N64" s="2" t="s">
        <v>224</v>
      </c>
      <c r="O64" s="18" t="n">
        <f aca="false">SUM(K61:K66)+J66*D66/R_hurdle</f>
        <v>1005.7912867451</v>
      </c>
    </row>
    <row r="65" customFormat="false" ht="15" hidden="false" customHeight="false" outlineLevel="0" collapsed="false">
      <c r="A65" s="21" t="n">
        <v>5</v>
      </c>
      <c r="B65" s="16" t="n">
        <v>1</v>
      </c>
      <c r="C65" s="18" t="n">
        <f aca="false">IF(B65=1,C64+Gap_share*(Eff_ceil-C64),C64)</f>
        <v>83.25</v>
      </c>
      <c r="D65" s="14" t="n">
        <f aca="false">Save_pt*(C65-Eff_0)</f>
        <v>122.5</v>
      </c>
      <c r="E65" s="22" t="n">
        <f aca="false">INDEX(Plan_years,A65+1)</f>
        <v>584.632729102868</v>
      </c>
      <c r="F65" s="18" t="n">
        <f aca="false">MAX(IF(B66=1,MAX((F66+Round_cost*B66-D66-(E66-E65)),Pre_cash),(F66+Round_cost*B66-D66-(E66-E65))),Floor_cash)</f>
        <v>350</v>
      </c>
      <c r="G65" s="18" t="n">
        <f aca="false">I64-Round_cost*B65+D65+(E65-E64)</f>
        <v>508.807285194849</v>
      </c>
      <c r="H65" s="18" t="n">
        <f aca="false">MAX(0,G65-F65)</f>
        <v>158.807285194849</v>
      </c>
      <c r="I65" s="18" t="n">
        <f aca="false">G65-H65</f>
        <v>350</v>
      </c>
      <c r="J65" s="11" t="n">
        <f aca="false">Beta_y^A65</f>
        <v>0.620921323059155</v>
      </c>
      <c r="K65" s="18" t="n">
        <f aca="false">J65*H65</f>
        <v>98.606829634618</v>
      </c>
      <c r="L65" s="21" t="n">
        <f aca="false">IF(AND(I65&gt;=Floor_cash-0.000000001,IF(B65=1,I64&gt;=Pre_cash-0.000000001,TRUE())),1,0)</f>
        <v>1</v>
      </c>
      <c r="N65" s="2" t="s">
        <v>20</v>
      </c>
      <c r="O65" s="18" t="n">
        <f aca="false">O64-O63</f>
        <v>1001.5912867451</v>
      </c>
    </row>
    <row r="66" customFormat="false" ht="15" hidden="false" customHeight="false" outlineLevel="0" collapsed="false">
      <c r="A66" s="21" t="n">
        <v>6</v>
      </c>
      <c r="B66" s="16" t="n">
        <v>0</v>
      </c>
      <c r="C66" s="18" t="n">
        <f aca="false">IF(B66=1,C65+Gap_share*(Eff_ceil-C65),C65)</f>
        <v>83.25</v>
      </c>
      <c r="D66" s="14" t="n">
        <f aca="false">Save_pt*(C66-Eff_0)</f>
        <v>122.5</v>
      </c>
      <c r="E66" s="22" t="n">
        <f aca="false">INDEX(Plan_years,A66+1)</f>
        <v>614.80662622835</v>
      </c>
      <c r="F66" s="22" t="n">
        <f aca="false">End_cash</f>
        <v>470</v>
      </c>
      <c r="G66" s="18" t="n">
        <f aca="false">I65-Round_cost*B66+D66+(E66-E65)</f>
        <v>502.673897125482</v>
      </c>
      <c r="H66" s="18" t="n">
        <f aca="false">MAX(0,G66-F66)</f>
        <v>32.673897125482</v>
      </c>
      <c r="I66" s="18" t="n">
        <f aca="false">G66-H66</f>
        <v>470</v>
      </c>
      <c r="J66" s="11" t="n">
        <f aca="false">Beta_y^A66</f>
        <v>0.564473930053777</v>
      </c>
      <c r="K66" s="18" t="n">
        <f aca="false">J66*H66</f>
        <v>18.4435631205936</v>
      </c>
      <c r="L66" s="21" t="n">
        <f aca="false">IF(AND(I66&gt;=Floor_cash-0.000000001,IF(B66=1,I65&gt;=Pre_cash-0.000000001,TRUE()),I66&gt;=End_cash-0.000000001),1,0)</f>
        <v>1</v>
      </c>
      <c r="N66" s="2" t="s">
        <v>225</v>
      </c>
      <c r="O66" s="21" t="n">
        <f aca="false">IF(SUM(L63:L66)=4,1,0)</f>
        <v>1</v>
      </c>
    </row>
    <row r="70" customFormat="false" ht="15" hidden="false" customHeight="false" outlineLevel="0" collapsed="false">
      <c r="A70" s="4" t="s">
        <v>203</v>
      </c>
    </row>
    <row r="71" customFormat="false" ht="35.05" hidden="false" customHeight="false" outlineLevel="0" collapsed="false">
      <c r="A71" s="8" t="s">
        <v>106</v>
      </c>
      <c r="B71" s="8" t="s">
        <v>142</v>
      </c>
      <c r="C71" s="8" t="s">
        <v>108</v>
      </c>
      <c r="D71" s="8" t="s">
        <v>109</v>
      </c>
      <c r="E71" s="8" t="s">
        <v>218</v>
      </c>
      <c r="F71" s="8" t="s">
        <v>110</v>
      </c>
      <c r="G71" s="8" t="s">
        <v>111</v>
      </c>
      <c r="H71" s="8" t="s">
        <v>112</v>
      </c>
      <c r="I71" s="8" t="s">
        <v>219</v>
      </c>
      <c r="J71" s="8" t="s">
        <v>114</v>
      </c>
      <c r="K71" s="8" t="s">
        <v>115</v>
      </c>
      <c r="L71" s="8" t="s">
        <v>116</v>
      </c>
      <c r="N71" s="2" t="s">
        <v>220</v>
      </c>
      <c r="O71" s="23" t="n">
        <f aca="false">Sale_G</f>
        <v>92</v>
      </c>
    </row>
    <row r="72" customFormat="false" ht="15" hidden="false" customHeight="false" outlineLevel="0" collapsed="false">
      <c r="A72" s="21" t="n">
        <v>0</v>
      </c>
      <c r="C72" s="22" t="n">
        <f aca="false">Eff_0</f>
        <v>71</v>
      </c>
      <c r="E72" s="22" t="n">
        <f aca="false">INDEX(Plan_years,A72+1)</f>
        <v>620</v>
      </c>
      <c r="N72" s="2" t="s">
        <v>221</v>
      </c>
      <c r="O72" s="13" t="n">
        <v>0</v>
      </c>
    </row>
    <row r="73" customFormat="false" ht="15" hidden="false" customHeight="false" outlineLevel="0" collapsed="false">
      <c r="A73" s="21" t="n">
        <v>1</v>
      </c>
      <c r="B73" s="16" t="n">
        <v>0</v>
      </c>
      <c r="C73" s="18" t="n">
        <f aca="false">IF(B73=1,C72+Gap_share*(Eff_ceil-C72),C72)</f>
        <v>71</v>
      </c>
      <c r="D73" s="14" t="n">
        <f aca="false">Save_pt*(C73-Eff_0)</f>
        <v>0</v>
      </c>
      <c r="E73" s="22" t="n">
        <f aca="false">INDEX(Plan_years,A73+1)</f>
        <v>498.862199828157</v>
      </c>
      <c r="H73" s="13" t="n">
        <v>0</v>
      </c>
      <c r="J73" s="11" t="n">
        <f aca="false">Beta_y^A73</f>
        <v>0.909090909090909</v>
      </c>
      <c r="K73" s="18" t="n">
        <f aca="false">J73*H73</f>
        <v>0</v>
      </c>
      <c r="N73" s="2" t="s">
        <v>185</v>
      </c>
      <c r="O73" s="25" t="n">
        <v>170</v>
      </c>
    </row>
    <row r="74" customFormat="false" ht="15" hidden="false" customHeight="false" outlineLevel="0" collapsed="false">
      <c r="A74" s="21" t="n">
        <v>2</v>
      </c>
      <c r="B74" s="16" t="n">
        <v>1</v>
      </c>
      <c r="C74" s="18" t="n">
        <f aca="false">IF(B74=1,C73+Gap_share*(Eff_ceil-C73),C73)</f>
        <v>78</v>
      </c>
      <c r="D74" s="14" t="n">
        <f aca="false">Save_pt*(C74-Eff_0)</f>
        <v>70</v>
      </c>
      <c r="E74" s="22" t="n">
        <f aca="false">INDEX(Plan_years,A74+1)</f>
        <v>483.854053397919</v>
      </c>
      <c r="H74" s="13" t="n">
        <v>0</v>
      </c>
      <c r="J74" s="11" t="n">
        <f aca="false">Beta_y^A74</f>
        <v>0.826446280991735</v>
      </c>
      <c r="K74" s="18" t="n">
        <f aca="false">J74*H74</f>
        <v>0</v>
      </c>
      <c r="N74" s="2" t="s">
        <v>222</v>
      </c>
      <c r="O74" s="26" t="n">
        <v>1.25852025143477</v>
      </c>
    </row>
    <row r="75" customFormat="false" ht="15" hidden="false" customHeight="false" outlineLevel="0" collapsed="false">
      <c r="A75" s="21" t="n">
        <v>3</v>
      </c>
      <c r="B75" s="16" t="n">
        <v>1</v>
      </c>
      <c r="C75" s="18" t="n">
        <f aca="false">IF(B75=1,C74+Gap_share*(Eff_ceil-C74),C74)</f>
        <v>81.5</v>
      </c>
      <c r="D75" s="14" t="n">
        <f aca="false">Save_pt*(C75-Eff_0)</f>
        <v>105</v>
      </c>
      <c r="E75" s="22" t="n">
        <f aca="false">INDEX(Plan_years,A75+1)</f>
        <v>510.42404767696</v>
      </c>
      <c r="F75" s="18" t="n">
        <f aca="false">MAX(IF(B76=1,MAX((F76+Round_cost*B76-D76-(E76-E75)-$O$72),Pre_cash),(F76+Round_cost*B76-D76-(E76-E75)-$O$72)),Floor_cash)</f>
        <v>470</v>
      </c>
      <c r="G75" s="18" t="n">
        <f aca="false">E75+$O$71+SUMPRODUCT(-Round_cost*B73:B75+D73:D75)-H73-H74</f>
        <v>537.42404767696</v>
      </c>
      <c r="H75" s="18" t="n">
        <f aca="false">MAX(0,G75-F75)</f>
        <v>67.4240476769603</v>
      </c>
      <c r="I75" s="18" t="n">
        <f aca="false">G75-H75</f>
        <v>470</v>
      </c>
      <c r="J75" s="11" t="n">
        <f aca="false">Beta_y^A75</f>
        <v>0.751314800901578</v>
      </c>
      <c r="K75" s="18" t="n">
        <f aca="false">J75*H75</f>
        <v>50.6566849563939</v>
      </c>
      <c r="L75" s="21" t="n">
        <f aca="false">IF(AND(I75&gt;=Floor_cash-0.000000001),1,0)</f>
        <v>1</v>
      </c>
      <c r="N75" s="2" t="s">
        <v>223</v>
      </c>
      <c r="O75" s="18" t="n">
        <f aca="false">Fee_line*O73+Cost_delay*O74</f>
        <v>15.1681620114782</v>
      </c>
    </row>
    <row r="76" customFormat="false" ht="15" hidden="false" customHeight="false" outlineLevel="0" collapsed="false">
      <c r="A76" s="21" t="n">
        <v>4</v>
      </c>
      <c r="B76" s="16" t="n">
        <v>1</v>
      </c>
      <c r="C76" s="18" t="n">
        <f aca="false">IF(B76=1,C75+Gap_share*(Eff_ceil-C75),C75)</f>
        <v>83.25</v>
      </c>
      <c r="D76" s="14" t="n">
        <f aca="false">Save_pt*(C76-Eff_0)</f>
        <v>122.5</v>
      </c>
      <c r="E76" s="22" t="n">
        <f aca="false">INDEX(Plan_years,A76+1)</f>
        <v>548.32544390802</v>
      </c>
      <c r="F76" s="18" t="n">
        <f aca="false">MAX(IF(B77=1,MAX((F77+Round_cost*B77-D77-(E77-E76)),Pre_cash),(F77+Round_cost*B77-D77-(E77-E76))),Floor_cash)</f>
        <v>350</v>
      </c>
      <c r="G76" s="18" t="n">
        <f aca="false">I75-Round_cost*B76+D76+(E76-E75)+$O$72</f>
        <v>510.401396231059</v>
      </c>
      <c r="H76" s="18" t="n">
        <f aca="false">MAX(0,G76-F76)</f>
        <v>160.401396231059</v>
      </c>
      <c r="I76" s="18" t="n">
        <f aca="false">G76-H76</f>
        <v>350</v>
      </c>
      <c r="J76" s="11" t="n">
        <f aca="false">Beta_y^A76</f>
        <v>0.683013455365071</v>
      </c>
      <c r="K76" s="18" t="n">
        <f aca="false">J76*H76</f>
        <v>109.556311885158</v>
      </c>
      <c r="L76" s="21" t="n">
        <f aca="false">IF(AND(I76&gt;=Floor_cash-0.000000001,IF(B76=1,I75&gt;=Pre_cash-0.000000001,TRUE())),1,0)</f>
        <v>1</v>
      </c>
      <c r="N76" s="2" t="s">
        <v>224</v>
      </c>
      <c r="O76" s="18" t="n">
        <f aca="false">SUM(K73:K78)+J78*D78/R_hurdle</f>
        <v>968.74395391264</v>
      </c>
    </row>
    <row r="77" customFormat="false" ht="15" hidden="false" customHeight="false" outlineLevel="0" collapsed="false">
      <c r="A77" s="21" t="n">
        <v>5</v>
      </c>
      <c r="B77" s="16" t="n">
        <v>0</v>
      </c>
      <c r="C77" s="18" t="n">
        <f aca="false">IF(B77=1,C76+Gap_share*(Eff_ceil-C76),C76)</f>
        <v>83.25</v>
      </c>
      <c r="D77" s="14" t="n">
        <f aca="false">Save_pt*(C77-Eff_0)</f>
        <v>122.5</v>
      </c>
      <c r="E77" s="22" t="n">
        <f aca="false">INDEX(Plan_years,A77+1)</f>
        <v>584.632729102868</v>
      </c>
      <c r="F77" s="18" t="n">
        <f aca="false">MAX(IF(B78=1,MAX((F78+Round_cost*B78-D78-(E78-E77)),Pre_cash),(F78+Round_cost*B78-D78-(E78-E77))),Floor_cash)</f>
        <v>350</v>
      </c>
      <c r="G77" s="18" t="n">
        <f aca="false">I76-Round_cost*B77+D77+(E77-E76)</f>
        <v>508.807285194849</v>
      </c>
      <c r="H77" s="18" t="n">
        <f aca="false">MAX(0,G77-F77)</f>
        <v>158.807285194849</v>
      </c>
      <c r="I77" s="18" t="n">
        <f aca="false">G77-H77</f>
        <v>350</v>
      </c>
      <c r="J77" s="11" t="n">
        <f aca="false">Beta_y^A77</f>
        <v>0.620921323059155</v>
      </c>
      <c r="K77" s="18" t="n">
        <f aca="false">J77*H77</f>
        <v>98.606829634618</v>
      </c>
      <c r="L77" s="21" t="n">
        <f aca="false">IF(AND(I77&gt;=Floor_cash-0.000000001,IF(B77=1,I76&gt;=Pre_cash-0.000000001,TRUE())),1,0)</f>
        <v>1</v>
      </c>
      <c r="N77" s="2" t="s">
        <v>20</v>
      </c>
      <c r="O77" s="18" t="n">
        <f aca="false">O76-O75</f>
        <v>953.575791901162</v>
      </c>
    </row>
    <row r="78" customFormat="false" ht="15" hidden="false" customHeight="false" outlineLevel="0" collapsed="false">
      <c r="A78" s="21" t="n">
        <v>6</v>
      </c>
      <c r="B78" s="16" t="n">
        <v>0</v>
      </c>
      <c r="C78" s="18" t="n">
        <f aca="false">IF(B78=1,C77+Gap_share*(Eff_ceil-C77),C77)</f>
        <v>83.25</v>
      </c>
      <c r="D78" s="14" t="n">
        <f aca="false">Save_pt*(C78-Eff_0)</f>
        <v>122.5</v>
      </c>
      <c r="E78" s="22" t="n">
        <f aca="false">INDEX(Plan_years,A78+1)</f>
        <v>614.80662622835</v>
      </c>
      <c r="F78" s="22" t="n">
        <f aca="false">End_cash</f>
        <v>470</v>
      </c>
      <c r="G78" s="18" t="n">
        <f aca="false">I77-Round_cost*B78+D78+(E78-E77)</f>
        <v>502.673897125482</v>
      </c>
      <c r="H78" s="18" t="n">
        <f aca="false">MAX(0,G78-F78)</f>
        <v>32.673897125482</v>
      </c>
      <c r="I78" s="18" t="n">
        <f aca="false">G78-H78</f>
        <v>470</v>
      </c>
      <c r="J78" s="11" t="n">
        <f aca="false">Beta_y^A78</f>
        <v>0.564473930053777</v>
      </c>
      <c r="K78" s="18" t="n">
        <f aca="false">J78*H78</f>
        <v>18.4435631205936</v>
      </c>
      <c r="L78" s="21" t="n">
        <f aca="false">IF(AND(I78&gt;=Floor_cash-0.000000001,IF(B78=1,I77&gt;=Pre_cash-0.000000001,TRUE()),I78&gt;=End_cash-0.000000001),1,0)</f>
        <v>1</v>
      </c>
      <c r="N78" s="2" t="s">
        <v>225</v>
      </c>
      <c r="O78" s="21" t="n">
        <f aca="false">IF(SUM(L75:L78)=4,1,0)</f>
        <v>1</v>
      </c>
    </row>
    <row r="82" customFormat="false" ht="15" hidden="false" customHeight="false" outlineLevel="0" collapsed="false">
      <c r="A82" s="4" t="s">
        <v>205</v>
      </c>
    </row>
    <row r="83" customFormat="false" ht="35.05" hidden="false" customHeight="false" outlineLevel="0" collapsed="false">
      <c r="A83" s="8" t="s">
        <v>106</v>
      </c>
      <c r="B83" s="8" t="s">
        <v>142</v>
      </c>
      <c r="C83" s="8" t="s">
        <v>108</v>
      </c>
      <c r="D83" s="8" t="s">
        <v>109</v>
      </c>
      <c r="E83" s="8" t="s">
        <v>218</v>
      </c>
      <c r="F83" s="8" t="s">
        <v>110</v>
      </c>
      <c r="G83" s="8" t="s">
        <v>111</v>
      </c>
      <c r="H83" s="8" t="s">
        <v>112</v>
      </c>
      <c r="I83" s="8" t="s">
        <v>219</v>
      </c>
      <c r="J83" s="8" t="s">
        <v>114</v>
      </c>
      <c r="K83" s="8" t="s">
        <v>115</v>
      </c>
      <c r="L83" s="8" t="s">
        <v>116</v>
      </c>
      <c r="N83" s="2" t="s">
        <v>220</v>
      </c>
      <c r="O83" s="23" t="n">
        <f aca="false">Sale_G</f>
        <v>92</v>
      </c>
    </row>
    <row r="84" customFormat="false" ht="15" hidden="false" customHeight="false" outlineLevel="0" collapsed="false">
      <c r="A84" s="21" t="n">
        <v>0</v>
      </c>
      <c r="C84" s="22" t="n">
        <f aca="false">Eff_0</f>
        <v>71</v>
      </c>
      <c r="E84" s="22" t="n">
        <f aca="false">INDEX(Plan_years,A84+1)</f>
        <v>620</v>
      </c>
      <c r="N84" s="2" t="s">
        <v>221</v>
      </c>
      <c r="O84" s="13" t="n">
        <v>0</v>
      </c>
    </row>
    <row r="85" customFormat="false" ht="15" hidden="false" customHeight="false" outlineLevel="0" collapsed="false">
      <c r="A85" s="21" t="n">
        <v>1</v>
      </c>
      <c r="B85" s="16" t="n">
        <v>0</v>
      </c>
      <c r="C85" s="18" t="n">
        <f aca="false">IF(B85=1,C84+Gap_share*(Eff_ceil-C84),C84)</f>
        <v>71</v>
      </c>
      <c r="D85" s="14" t="n">
        <f aca="false">Save_pt*(C85-Eff_0)</f>
        <v>0</v>
      </c>
      <c r="E85" s="22" t="n">
        <f aca="false">INDEX(Plan_years,A85+1)</f>
        <v>498.862199828157</v>
      </c>
      <c r="H85" s="13" t="n">
        <v>0</v>
      </c>
      <c r="J85" s="11" t="n">
        <f aca="false">Beta_y^A85</f>
        <v>0.909090909090909</v>
      </c>
      <c r="K85" s="18" t="n">
        <f aca="false">J85*H85</f>
        <v>0</v>
      </c>
      <c r="N85" s="2" t="s">
        <v>185</v>
      </c>
      <c r="O85" s="25" t="n">
        <v>155</v>
      </c>
    </row>
    <row r="86" customFormat="false" ht="15" hidden="false" customHeight="false" outlineLevel="0" collapsed="false">
      <c r="A86" s="21" t="n">
        <v>2</v>
      </c>
      <c r="B86" s="16" t="n">
        <v>1</v>
      </c>
      <c r="C86" s="18" t="n">
        <f aca="false">IF(B86=1,C85+Gap_share*(Eff_ceil-C85),C85)</f>
        <v>78</v>
      </c>
      <c r="D86" s="14" t="n">
        <f aca="false">Save_pt*(C86-Eff_0)</f>
        <v>70</v>
      </c>
      <c r="E86" s="22" t="n">
        <f aca="false">INDEX(Plan_years,A86+1)</f>
        <v>483.854053397919</v>
      </c>
      <c r="H86" s="13" t="n">
        <v>48</v>
      </c>
      <c r="J86" s="11" t="n">
        <f aca="false">Beta_y^A86</f>
        <v>0.826446280991735</v>
      </c>
      <c r="K86" s="18" t="n">
        <f aca="false">J86*H86</f>
        <v>39.6694214876033</v>
      </c>
      <c r="N86" s="2" t="s">
        <v>222</v>
      </c>
      <c r="O86" s="26" t="n">
        <v>0.00624613104270377</v>
      </c>
    </row>
    <row r="87" customFormat="false" ht="15" hidden="false" customHeight="false" outlineLevel="0" collapsed="false">
      <c r="A87" s="21" t="n">
        <v>3</v>
      </c>
      <c r="B87" s="16" t="n">
        <v>0</v>
      </c>
      <c r="C87" s="18" t="n">
        <f aca="false">IF(B87=1,C86+Gap_share*(Eff_ceil-C86),C86)</f>
        <v>78</v>
      </c>
      <c r="D87" s="14" t="n">
        <f aca="false">Save_pt*(C87-Eff_0)</f>
        <v>70</v>
      </c>
      <c r="E87" s="22" t="n">
        <f aca="false">INDEX(Plan_years,A87+1)</f>
        <v>510.42404767696</v>
      </c>
      <c r="F87" s="18" t="n">
        <f aca="false">MAX(IF(B88=1,MAX((F88+Round_cost*B88-D88-(E88-E87)-$O$84),Pre_cash),(F88+Round_cost*B88-D88-(E88-E87)-$O$84)),Floor_cash)</f>
        <v>470</v>
      </c>
      <c r="G87" s="18" t="n">
        <f aca="false">E87+$O$83+SUMPRODUCT(-Round_cost*B85:B87+D85:D87)-H85-H86</f>
        <v>574.42404767696</v>
      </c>
      <c r="H87" s="18" t="n">
        <f aca="false">MAX(0,G87-F87)</f>
        <v>104.42404767696</v>
      </c>
      <c r="I87" s="18" t="n">
        <f aca="false">G87-H87</f>
        <v>470</v>
      </c>
      <c r="J87" s="11" t="n">
        <f aca="false">Beta_y^A87</f>
        <v>0.751314800901578</v>
      </c>
      <c r="K87" s="18" t="n">
        <f aca="false">J87*H87</f>
        <v>78.4553325897523</v>
      </c>
      <c r="L87" s="21" t="n">
        <f aca="false">IF(AND(I87&gt;=Floor_cash-0.000000001),1,0)</f>
        <v>1</v>
      </c>
      <c r="N87" s="2" t="s">
        <v>223</v>
      </c>
      <c r="O87" s="18" t="n">
        <f aca="false">Fee_line*O85+Cost_delay*O86</f>
        <v>4.69996904834163</v>
      </c>
    </row>
    <row r="88" customFormat="false" ht="15" hidden="false" customHeight="false" outlineLevel="0" collapsed="false">
      <c r="A88" s="21" t="n">
        <v>4</v>
      </c>
      <c r="B88" s="16" t="n">
        <v>1</v>
      </c>
      <c r="C88" s="18" t="n">
        <f aca="false">IF(B88=1,C87+Gap_share*(Eff_ceil-C87),C87)</f>
        <v>81.5</v>
      </c>
      <c r="D88" s="14" t="n">
        <f aca="false">Save_pt*(C88-Eff_0)</f>
        <v>105</v>
      </c>
      <c r="E88" s="22" t="n">
        <f aca="false">INDEX(Plan_years,A88+1)</f>
        <v>548.32544390802</v>
      </c>
      <c r="F88" s="18" t="n">
        <f aca="false">MAX(IF(B89=1,MAX((F89+Round_cost*B89-D89-(E89-E88)),Pre_cash),(F89+Round_cost*B89-D89-(E89-E88))),Floor_cash)</f>
        <v>470</v>
      </c>
      <c r="G88" s="18" t="n">
        <f aca="false">I87-Round_cost*B88+D88+(E88-E87)+$O$84</f>
        <v>492.901396231059</v>
      </c>
      <c r="H88" s="18" t="n">
        <f aca="false">MAX(0,G88-F88)</f>
        <v>22.9013962310594</v>
      </c>
      <c r="I88" s="18" t="n">
        <f aca="false">G88-H88</f>
        <v>470</v>
      </c>
      <c r="J88" s="11" t="n">
        <f aca="false">Beta_y^A88</f>
        <v>0.683013455365071</v>
      </c>
      <c r="K88" s="18" t="n">
        <f aca="false">J88*H88</f>
        <v>15.6419617724605</v>
      </c>
      <c r="L88" s="21" t="n">
        <f aca="false">IF(AND(I88&gt;=Floor_cash-0.000000001,IF(B88=1,I87&gt;=Pre_cash-0.000000001,TRUE())),1,0)</f>
        <v>1</v>
      </c>
      <c r="N88" s="2" t="s">
        <v>224</v>
      </c>
      <c r="O88" s="18" t="n">
        <f aca="false">SUM(K85:K90)+J90*D90/R_hurdle</f>
        <v>942.297672920905</v>
      </c>
    </row>
    <row r="89" customFormat="false" ht="15" hidden="false" customHeight="false" outlineLevel="0" collapsed="false">
      <c r="A89" s="21" t="n">
        <v>5</v>
      </c>
      <c r="B89" s="16" t="n">
        <v>1</v>
      </c>
      <c r="C89" s="18" t="n">
        <f aca="false">IF(B89=1,C88+Gap_share*(Eff_ceil-C88),C88)</f>
        <v>83.25</v>
      </c>
      <c r="D89" s="14" t="n">
        <f aca="false">Save_pt*(C89-Eff_0)</f>
        <v>122.5</v>
      </c>
      <c r="E89" s="22" t="n">
        <f aca="false">INDEX(Plan_years,A89+1)</f>
        <v>584.632729102868</v>
      </c>
      <c r="F89" s="18" t="n">
        <f aca="false">MAX(IF(B90=1,MAX((F90+Round_cost*B90-D90-(E90-E89)),Pre_cash),(F90+Round_cost*B90-D90-(E90-E89))),Floor_cash)</f>
        <v>350</v>
      </c>
      <c r="G89" s="18" t="n">
        <f aca="false">I88-Round_cost*B89+D89+(E89-E88)</f>
        <v>508.807285194849</v>
      </c>
      <c r="H89" s="18" t="n">
        <f aca="false">MAX(0,G89-F89)</f>
        <v>158.807285194849</v>
      </c>
      <c r="I89" s="18" t="n">
        <f aca="false">G89-H89</f>
        <v>350</v>
      </c>
      <c r="J89" s="11" t="n">
        <f aca="false">Beta_y^A89</f>
        <v>0.620921323059155</v>
      </c>
      <c r="K89" s="18" t="n">
        <f aca="false">J89*H89</f>
        <v>98.606829634618</v>
      </c>
      <c r="L89" s="21" t="n">
        <f aca="false">IF(AND(I89&gt;=Floor_cash-0.000000001,IF(B89=1,I88&gt;=Pre_cash-0.000000001,TRUE())),1,0)</f>
        <v>1</v>
      </c>
      <c r="N89" s="2" t="s">
        <v>20</v>
      </c>
      <c r="O89" s="18" t="n">
        <f aca="false">O88-O87</f>
        <v>937.597703872563</v>
      </c>
    </row>
    <row r="90" customFormat="false" ht="15" hidden="false" customHeight="false" outlineLevel="0" collapsed="false">
      <c r="A90" s="21" t="n">
        <v>6</v>
      </c>
      <c r="B90" s="16" t="n">
        <v>0</v>
      </c>
      <c r="C90" s="18" t="n">
        <f aca="false">IF(B90=1,C89+Gap_share*(Eff_ceil-C89),C89)</f>
        <v>83.25</v>
      </c>
      <c r="D90" s="14" t="n">
        <f aca="false">Save_pt*(C90-Eff_0)</f>
        <v>122.5</v>
      </c>
      <c r="E90" s="22" t="n">
        <f aca="false">INDEX(Plan_years,A90+1)</f>
        <v>614.80662622835</v>
      </c>
      <c r="F90" s="22" t="n">
        <f aca="false">End_cash</f>
        <v>470</v>
      </c>
      <c r="G90" s="18" t="n">
        <f aca="false">I89-Round_cost*B90+D90+(E90-E89)</f>
        <v>502.673897125482</v>
      </c>
      <c r="H90" s="18" t="n">
        <f aca="false">MAX(0,G90-F90)</f>
        <v>32.673897125482</v>
      </c>
      <c r="I90" s="18" t="n">
        <f aca="false">G90-H90</f>
        <v>470</v>
      </c>
      <c r="J90" s="11" t="n">
        <f aca="false">Beta_y^A90</f>
        <v>0.564473930053777</v>
      </c>
      <c r="K90" s="18" t="n">
        <f aca="false">J90*H90</f>
        <v>18.4435631205936</v>
      </c>
      <c r="L90" s="21" t="n">
        <f aca="false">IF(AND(I90&gt;=Floor_cash-0.000000001,IF(B90=1,I89&gt;=Pre_cash-0.000000001,TRUE()),I90&gt;=End_cash-0.000000001),1,0)</f>
        <v>1</v>
      </c>
      <c r="N90" s="2" t="s">
        <v>225</v>
      </c>
      <c r="O90" s="21" t="n">
        <f aca="false">IF(SUM(L87:L90)=4,1,0)</f>
        <v>1</v>
      </c>
    </row>
    <row r="94" customFormat="false" ht="15" hidden="false" customHeight="false" outlineLevel="0" collapsed="false">
      <c r="A94" s="4" t="s">
        <v>207</v>
      </c>
    </row>
    <row r="95" customFormat="false" ht="35.05" hidden="false" customHeight="false" outlineLevel="0" collapsed="false">
      <c r="A95" s="8" t="s">
        <v>106</v>
      </c>
      <c r="B95" s="8" t="s">
        <v>142</v>
      </c>
      <c r="C95" s="8" t="s">
        <v>108</v>
      </c>
      <c r="D95" s="8" t="s">
        <v>109</v>
      </c>
      <c r="E95" s="8" t="s">
        <v>218</v>
      </c>
      <c r="F95" s="8" t="s">
        <v>110</v>
      </c>
      <c r="G95" s="8" t="s">
        <v>111</v>
      </c>
      <c r="H95" s="8" t="s">
        <v>112</v>
      </c>
      <c r="I95" s="8" t="s">
        <v>219</v>
      </c>
      <c r="J95" s="8" t="s">
        <v>114</v>
      </c>
      <c r="K95" s="8" t="s">
        <v>115</v>
      </c>
      <c r="L95" s="8" t="s">
        <v>116</v>
      </c>
      <c r="N95" s="2" t="s">
        <v>220</v>
      </c>
      <c r="O95" s="23" t="n">
        <f aca="false">Sale_G</f>
        <v>92</v>
      </c>
    </row>
    <row r="96" customFormat="false" ht="15" hidden="false" customHeight="false" outlineLevel="0" collapsed="false">
      <c r="A96" s="21" t="n">
        <v>0</v>
      </c>
      <c r="C96" s="22" t="n">
        <f aca="false">Eff_0</f>
        <v>71</v>
      </c>
      <c r="E96" s="22" t="n">
        <f aca="false">INDEX(Plan_years,A96+1)</f>
        <v>620</v>
      </c>
      <c r="N96" s="2" t="s">
        <v>221</v>
      </c>
      <c r="O96" s="13" t="n">
        <v>0</v>
      </c>
    </row>
    <row r="97" customFormat="false" ht="15" hidden="false" customHeight="false" outlineLevel="0" collapsed="false">
      <c r="A97" s="21" t="n">
        <v>1</v>
      </c>
      <c r="B97" s="16" t="n">
        <v>0</v>
      </c>
      <c r="C97" s="18" t="n">
        <f aca="false">IF(B97=1,C96+Gap_share*(Eff_ceil-C96),C96)</f>
        <v>71</v>
      </c>
      <c r="D97" s="14" t="n">
        <f aca="false">Save_pt*(C97-Eff_0)</f>
        <v>0</v>
      </c>
      <c r="E97" s="22" t="n">
        <f aca="false">INDEX(Plan_years,A97+1)</f>
        <v>498.862199828157</v>
      </c>
      <c r="H97" s="13" t="n">
        <v>8</v>
      </c>
      <c r="J97" s="11" t="n">
        <f aca="false">Beta_y^A97</f>
        <v>0.909090909090909</v>
      </c>
      <c r="K97" s="18" t="n">
        <f aca="false">J97*H97</f>
        <v>7.27272727272727</v>
      </c>
      <c r="N97" s="2" t="s">
        <v>185</v>
      </c>
      <c r="O97" s="25" t="n">
        <v>140</v>
      </c>
    </row>
    <row r="98" customFormat="false" ht="15" hidden="false" customHeight="false" outlineLevel="0" collapsed="false">
      <c r="A98" s="21" t="n">
        <v>2</v>
      </c>
      <c r="B98" s="16" t="n">
        <v>0</v>
      </c>
      <c r="C98" s="18" t="n">
        <f aca="false">IF(B98=1,C97+Gap_share*(Eff_ceil-C97),C97)</f>
        <v>71</v>
      </c>
      <c r="D98" s="14" t="n">
        <f aca="false">Save_pt*(C98-Eff_0)</f>
        <v>0</v>
      </c>
      <c r="E98" s="22" t="n">
        <f aca="false">INDEX(Plan_years,A98+1)</f>
        <v>483.854053397919</v>
      </c>
      <c r="H98" s="13" t="n">
        <v>0</v>
      </c>
      <c r="J98" s="11" t="n">
        <f aca="false">Beta_y^A98</f>
        <v>0.826446280991735</v>
      </c>
      <c r="K98" s="18" t="n">
        <f aca="false">J98*H98</f>
        <v>0</v>
      </c>
      <c r="N98" s="2" t="s">
        <v>222</v>
      </c>
      <c r="O98" s="26" t="n">
        <v>0</v>
      </c>
    </row>
    <row r="99" customFormat="false" ht="15" hidden="false" customHeight="false" outlineLevel="0" collapsed="false">
      <c r="A99" s="21" t="n">
        <v>3</v>
      </c>
      <c r="B99" s="16" t="n">
        <v>1</v>
      </c>
      <c r="C99" s="18" t="n">
        <f aca="false">IF(B99=1,C98+Gap_share*(Eff_ceil-C98),C98)</f>
        <v>78</v>
      </c>
      <c r="D99" s="14" t="n">
        <f aca="false">Save_pt*(C99-Eff_0)</f>
        <v>70</v>
      </c>
      <c r="E99" s="22" t="n">
        <f aca="false">INDEX(Plan_years,A99+1)</f>
        <v>510.42404767696</v>
      </c>
      <c r="F99" s="18" t="n">
        <f aca="false">MAX(IF(B100=1,MAX((F100+Round_cost*B100-D100-(E100-E99)-$O$96),Pre_cash),(F100+Round_cost*B100-D100-(E100-E99)-$O$96)),Floor_cash)</f>
        <v>470</v>
      </c>
      <c r="G99" s="18" t="n">
        <f aca="false">E99+$O$95+SUMPRODUCT(-Round_cost*B97:B99+D97:D99)-H97-H98</f>
        <v>544.42404767696</v>
      </c>
      <c r="H99" s="18" t="n">
        <f aca="false">MAX(0,G99-F99)</f>
        <v>74.4240476769603</v>
      </c>
      <c r="I99" s="18" t="n">
        <f aca="false">G99-H99</f>
        <v>470</v>
      </c>
      <c r="J99" s="11" t="n">
        <f aca="false">Beta_y^A99</f>
        <v>0.751314800901578</v>
      </c>
      <c r="K99" s="18" t="n">
        <f aca="false">J99*H99</f>
        <v>55.915888562705</v>
      </c>
      <c r="L99" s="21" t="n">
        <f aca="false">IF(AND(I99&gt;=Floor_cash-0.000000001),1,0)</f>
        <v>1</v>
      </c>
      <c r="N99" s="2" t="s">
        <v>223</v>
      </c>
      <c r="O99" s="18" t="n">
        <f aca="false">Fee_line*O97+Cost_delay*O98</f>
        <v>4.2</v>
      </c>
    </row>
    <row r="100" customFormat="false" ht="15" hidden="false" customHeight="false" outlineLevel="0" collapsed="false">
      <c r="A100" s="21" t="n">
        <v>4</v>
      </c>
      <c r="B100" s="16" t="n">
        <v>1</v>
      </c>
      <c r="C100" s="18" t="n">
        <f aca="false">IF(B100=1,C99+Gap_share*(Eff_ceil-C99),C99)</f>
        <v>81.5</v>
      </c>
      <c r="D100" s="14" t="n">
        <f aca="false">Save_pt*(C100-Eff_0)</f>
        <v>105</v>
      </c>
      <c r="E100" s="22" t="n">
        <f aca="false">INDEX(Plan_years,A100+1)</f>
        <v>548.32544390802</v>
      </c>
      <c r="F100" s="18" t="n">
        <f aca="false">MAX(IF(B101=1,MAX((F101+Round_cost*B101-D101-(E101-E100)),Pre_cash),(F101+Round_cost*B101-D101-(E101-E100))),Floor_cash)</f>
        <v>470</v>
      </c>
      <c r="G100" s="18" t="n">
        <f aca="false">I99-Round_cost*B100+D100+(E100-E99)+$O$96</f>
        <v>492.901396231059</v>
      </c>
      <c r="H100" s="18" t="n">
        <f aca="false">MAX(0,G100-F100)</f>
        <v>22.9013962310594</v>
      </c>
      <c r="I100" s="18" t="n">
        <f aca="false">G100-H100</f>
        <v>470</v>
      </c>
      <c r="J100" s="11" t="n">
        <f aca="false">Beta_y^A100</f>
        <v>0.683013455365071</v>
      </c>
      <c r="K100" s="18" t="n">
        <f aca="false">J100*H100</f>
        <v>15.6419617724605</v>
      </c>
      <c r="L100" s="21" t="n">
        <f aca="false">IF(AND(I100&gt;=Floor_cash-0.000000001,IF(B100=1,I99&gt;=Pre_cash-0.000000001,TRUE())),1,0)</f>
        <v>1</v>
      </c>
      <c r="N100" s="2" t="s">
        <v>224</v>
      </c>
      <c r="O100" s="18" t="n">
        <f aca="false">SUM(K97:K102)+J102*D102/R_hurdle</f>
        <v>887.361534678982</v>
      </c>
    </row>
    <row r="101" customFormat="false" ht="15" hidden="false" customHeight="false" outlineLevel="0" collapsed="false">
      <c r="A101" s="21" t="n">
        <v>5</v>
      </c>
      <c r="B101" s="16" t="n">
        <v>1</v>
      </c>
      <c r="C101" s="18" t="n">
        <f aca="false">IF(B101=1,C100+Gap_share*(Eff_ceil-C100),C100)</f>
        <v>83.25</v>
      </c>
      <c r="D101" s="14" t="n">
        <f aca="false">Save_pt*(C101-Eff_0)</f>
        <v>122.5</v>
      </c>
      <c r="E101" s="22" t="n">
        <f aca="false">INDEX(Plan_years,A101+1)</f>
        <v>584.632729102868</v>
      </c>
      <c r="F101" s="18" t="n">
        <f aca="false">MAX(IF(B102=1,MAX((F102+Round_cost*B102-D102-(E102-E101)),Pre_cash),(F102+Round_cost*B102-D102-(E102-E101))),Floor_cash)</f>
        <v>350</v>
      </c>
      <c r="G101" s="18" t="n">
        <f aca="false">I100-Round_cost*B101+D101+(E101-E100)</f>
        <v>508.807285194849</v>
      </c>
      <c r="H101" s="18" t="n">
        <f aca="false">MAX(0,G101-F101)</f>
        <v>158.807285194849</v>
      </c>
      <c r="I101" s="18" t="n">
        <f aca="false">G101-H101</f>
        <v>350</v>
      </c>
      <c r="J101" s="11" t="n">
        <f aca="false">Beta_y^A101</f>
        <v>0.620921323059155</v>
      </c>
      <c r="K101" s="18" t="n">
        <f aca="false">J101*H101</f>
        <v>98.606829634618</v>
      </c>
      <c r="L101" s="21" t="n">
        <f aca="false">IF(AND(I101&gt;=Floor_cash-0.000000001,IF(B101=1,I100&gt;=Pre_cash-0.000000001,TRUE())),1,0)</f>
        <v>1</v>
      </c>
      <c r="N101" s="2" t="s">
        <v>20</v>
      </c>
      <c r="O101" s="18" t="n">
        <f aca="false">O100-O99</f>
        <v>883.161534678981</v>
      </c>
    </row>
    <row r="102" customFormat="false" ht="15" hidden="false" customHeight="false" outlineLevel="0" collapsed="false">
      <c r="A102" s="21" t="n">
        <v>6</v>
      </c>
      <c r="B102" s="16" t="n">
        <v>0</v>
      </c>
      <c r="C102" s="18" t="n">
        <f aca="false">IF(B102=1,C101+Gap_share*(Eff_ceil-C101),C101)</f>
        <v>83.25</v>
      </c>
      <c r="D102" s="14" t="n">
        <f aca="false">Save_pt*(C102-Eff_0)</f>
        <v>122.5</v>
      </c>
      <c r="E102" s="22" t="n">
        <f aca="false">INDEX(Plan_years,A102+1)</f>
        <v>614.80662622835</v>
      </c>
      <c r="F102" s="22" t="n">
        <f aca="false">End_cash</f>
        <v>470</v>
      </c>
      <c r="G102" s="18" t="n">
        <f aca="false">I101-Round_cost*B102+D102+(E102-E101)</f>
        <v>502.673897125482</v>
      </c>
      <c r="H102" s="18" t="n">
        <f aca="false">MAX(0,G102-F102)</f>
        <v>32.673897125482</v>
      </c>
      <c r="I102" s="18" t="n">
        <f aca="false">G102-H102</f>
        <v>470</v>
      </c>
      <c r="J102" s="11" t="n">
        <f aca="false">Beta_y^A102</f>
        <v>0.564473930053777</v>
      </c>
      <c r="K102" s="18" t="n">
        <f aca="false">J102*H102</f>
        <v>18.4435631205936</v>
      </c>
      <c r="L102" s="21" t="n">
        <f aca="false">IF(AND(I102&gt;=Floor_cash-0.000000001,IF(B102=1,I101&gt;=Pre_cash-0.000000001,TRUE()),I102&gt;=End_cash-0.000000001),1,0)</f>
        <v>1</v>
      </c>
      <c r="N102" s="2" t="s">
        <v>225</v>
      </c>
      <c r="O102" s="21" t="n">
        <f aca="false">IF(SUM(L99:L102)=4,1,0)</f>
        <v>1</v>
      </c>
    </row>
    <row r="106" customFormat="false" ht="15" hidden="false" customHeight="false" outlineLevel="0" collapsed="false">
      <c r="A106" s="4" t="s">
        <v>209</v>
      </c>
    </row>
    <row r="107" customFormat="false" ht="35.05" hidden="false" customHeight="false" outlineLevel="0" collapsed="false">
      <c r="A107" s="8" t="s">
        <v>106</v>
      </c>
      <c r="B107" s="8" t="s">
        <v>142</v>
      </c>
      <c r="C107" s="8" t="s">
        <v>108</v>
      </c>
      <c r="D107" s="8" t="s">
        <v>109</v>
      </c>
      <c r="E107" s="8" t="s">
        <v>218</v>
      </c>
      <c r="F107" s="8" t="s">
        <v>110</v>
      </c>
      <c r="G107" s="8" t="s">
        <v>111</v>
      </c>
      <c r="H107" s="8" t="s">
        <v>112</v>
      </c>
      <c r="I107" s="8" t="s">
        <v>219</v>
      </c>
      <c r="J107" s="8" t="s">
        <v>114</v>
      </c>
      <c r="K107" s="8" t="s">
        <v>115</v>
      </c>
      <c r="L107" s="8" t="s">
        <v>116</v>
      </c>
      <c r="N107" s="2" t="s">
        <v>220</v>
      </c>
      <c r="O107" s="23" t="n">
        <f aca="false">Sale_G</f>
        <v>92</v>
      </c>
    </row>
    <row r="108" customFormat="false" ht="15" hidden="false" customHeight="false" outlineLevel="0" collapsed="false">
      <c r="A108" s="21" t="n">
        <v>0</v>
      </c>
      <c r="C108" s="22" t="n">
        <f aca="false">Eff_0</f>
        <v>71</v>
      </c>
      <c r="E108" s="22" t="n">
        <f aca="false">INDEX(Plan_years,A108+1)</f>
        <v>620</v>
      </c>
      <c r="N108" s="2" t="s">
        <v>221</v>
      </c>
      <c r="O108" s="13" t="n">
        <v>0</v>
      </c>
    </row>
    <row r="109" customFormat="false" ht="15" hidden="false" customHeight="false" outlineLevel="0" collapsed="false">
      <c r="A109" s="21" t="n">
        <v>1</v>
      </c>
      <c r="B109" s="16" t="n">
        <v>0</v>
      </c>
      <c r="C109" s="18" t="n">
        <f aca="false">IF(B109=1,C108+Gap_share*(Eff_ceil-C108),C108)</f>
        <v>71</v>
      </c>
      <c r="D109" s="14" t="n">
        <f aca="false">Save_pt*(C109-Eff_0)</f>
        <v>0</v>
      </c>
      <c r="E109" s="22" t="n">
        <f aca="false">INDEX(Plan_years,A109+1)</f>
        <v>498.862199828157</v>
      </c>
      <c r="H109" s="13" t="n">
        <v>64</v>
      </c>
      <c r="J109" s="11" t="n">
        <f aca="false">Beta_y^A109</f>
        <v>0.909090909090909</v>
      </c>
      <c r="K109" s="18" t="n">
        <f aca="false">J109*H109</f>
        <v>58.1818181818182</v>
      </c>
      <c r="N109" s="2" t="s">
        <v>185</v>
      </c>
      <c r="O109" s="25" t="n">
        <v>135</v>
      </c>
    </row>
    <row r="110" customFormat="false" ht="15" hidden="false" customHeight="false" outlineLevel="0" collapsed="false">
      <c r="A110" s="21" t="n">
        <v>2</v>
      </c>
      <c r="B110" s="16" t="n">
        <v>0</v>
      </c>
      <c r="C110" s="18" t="n">
        <f aca="false">IF(B110=1,C109+Gap_share*(Eff_ceil-C109),C109)</f>
        <v>71</v>
      </c>
      <c r="D110" s="14" t="n">
        <f aca="false">Save_pt*(C110-Eff_0)</f>
        <v>0</v>
      </c>
      <c r="E110" s="22" t="n">
        <f aca="false">INDEX(Plan_years,A110+1)</f>
        <v>483.854053397919</v>
      </c>
      <c r="H110" s="13" t="n">
        <v>20</v>
      </c>
      <c r="J110" s="11" t="n">
        <f aca="false">Beta_y^A110</f>
        <v>0.826446280991735</v>
      </c>
      <c r="K110" s="18" t="n">
        <f aca="false">J110*H110</f>
        <v>16.5289256198347</v>
      </c>
      <c r="N110" s="2" t="s">
        <v>222</v>
      </c>
      <c r="O110" s="26" t="n">
        <v>0</v>
      </c>
    </row>
    <row r="111" customFormat="false" ht="15" hidden="false" customHeight="false" outlineLevel="0" collapsed="false">
      <c r="A111" s="21" t="n">
        <v>3</v>
      </c>
      <c r="B111" s="16" t="n">
        <v>0</v>
      </c>
      <c r="C111" s="18" t="n">
        <f aca="false">IF(B111=1,C110+Gap_share*(Eff_ceil-C110),C110)</f>
        <v>71</v>
      </c>
      <c r="D111" s="14" t="n">
        <f aca="false">Save_pt*(C111-Eff_0)</f>
        <v>0</v>
      </c>
      <c r="E111" s="22" t="n">
        <f aca="false">INDEX(Plan_years,A111+1)</f>
        <v>510.42404767696</v>
      </c>
      <c r="F111" s="18" t="n">
        <f aca="false">MAX(IF(B112=1,MAX((F112+Round_cost*B112-D112-(E112-E111)-$O$108),Pre_cash),(F112+Round_cost*B112-D112-(E112-E111)-$O$108)),Floor_cash)</f>
        <v>482.098603768941</v>
      </c>
      <c r="G111" s="18" t="n">
        <f aca="false">E111+$O$107+SUMPRODUCT(-Round_cost*B109:B111+D109:D111)-H109-H110</f>
        <v>518.42404767696</v>
      </c>
      <c r="H111" s="18" t="n">
        <f aca="false">MAX(0,G111-F111)</f>
        <v>36.3254439080197</v>
      </c>
      <c r="I111" s="18" t="n">
        <f aca="false">G111-H111</f>
        <v>482.098603768941</v>
      </c>
      <c r="J111" s="11" t="n">
        <f aca="false">Beta_y^A111</f>
        <v>0.751314800901578</v>
      </c>
      <c r="K111" s="18" t="n">
        <f aca="false">J111*H111</f>
        <v>27.2918436574153</v>
      </c>
      <c r="L111" s="21" t="n">
        <f aca="false">IF(AND(I111&gt;=Floor_cash-0.000000001),1,0)</f>
        <v>1</v>
      </c>
      <c r="N111" s="2" t="s">
        <v>223</v>
      </c>
      <c r="O111" s="18" t="n">
        <f aca="false">Fee_line*O109+Cost_delay*O110</f>
        <v>4.05</v>
      </c>
    </row>
    <row r="112" customFormat="false" ht="15" hidden="false" customHeight="false" outlineLevel="0" collapsed="false">
      <c r="A112" s="21" t="n">
        <v>4</v>
      </c>
      <c r="B112" s="16" t="n">
        <v>1</v>
      </c>
      <c r="C112" s="18" t="n">
        <f aca="false">IF(B112=1,C111+Gap_share*(Eff_ceil-C111),C111)</f>
        <v>78</v>
      </c>
      <c r="D112" s="14" t="n">
        <f aca="false">Save_pt*(C112-Eff_0)</f>
        <v>70</v>
      </c>
      <c r="E112" s="22" t="n">
        <f aca="false">INDEX(Plan_years,A112+1)</f>
        <v>548.32544390802</v>
      </c>
      <c r="F112" s="18" t="n">
        <f aca="false">MAX(IF(B113=1,MAX((F113+Round_cost*B113-D113-(E113-E112)),Pre_cash),(F113+Round_cost*B113-D113-(E113-E112))),Floor_cash)</f>
        <v>470</v>
      </c>
      <c r="G112" s="18" t="n">
        <f aca="false">I111-Round_cost*B112+D112+(E112-E111)+$O$108</f>
        <v>470</v>
      </c>
      <c r="H112" s="18" t="n">
        <f aca="false">MAX(0,G112-F112)</f>
        <v>0</v>
      </c>
      <c r="I112" s="18" t="n">
        <f aca="false">G112-H112</f>
        <v>470</v>
      </c>
      <c r="J112" s="11" t="n">
        <f aca="false">Beta_y^A112</f>
        <v>0.683013455365071</v>
      </c>
      <c r="K112" s="18" t="n">
        <f aca="false">J112*H112</f>
        <v>0</v>
      </c>
      <c r="L112" s="21" t="n">
        <f aca="false">IF(AND(I112&gt;=Floor_cash-0.000000001,IF(B112=1,I111&gt;=Pre_cash-0.000000001,TRUE())),1,0)</f>
        <v>1</v>
      </c>
      <c r="N112" s="2" t="s">
        <v>224</v>
      </c>
      <c r="O112" s="18" t="n">
        <f aca="false">SUM(K109:K114)+J114*D114/R_hurdle</f>
        <v>825.156862609523</v>
      </c>
    </row>
    <row r="113" customFormat="false" ht="15" hidden="false" customHeight="false" outlineLevel="0" collapsed="false">
      <c r="A113" s="21" t="n">
        <v>5</v>
      </c>
      <c r="B113" s="16" t="n">
        <v>1</v>
      </c>
      <c r="C113" s="18" t="n">
        <f aca="false">IF(B113=1,C112+Gap_share*(Eff_ceil-C112),C112)</f>
        <v>81.5</v>
      </c>
      <c r="D113" s="14" t="n">
        <f aca="false">Save_pt*(C113-Eff_0)</f>
        <v>105</v>
      </c>
      <c r="E113" s="22" t="n">
        <f aca="false">INDEX(Plan_years,A113+1)</f>
        <v>584.632729102868</v>
      </c>
      <c r="F113" s="18" t="n">
        <f aca="false">MAX(IF(B114=1,MAX((F114+Round_cost*B114-D114-(E114-E113)),Pre_cash),(F114+Round_cost*B114-D114-(E114-E113))),Floor_cash)</f>
        <v>470</v>
      </c>
      <c r="G113" s="18" t="n">
        <f aca="false">I112-Round_cost*B113+D113+(E113-E112)</f>
        <v>491.307285194849</v>
      </c>
      <c r="H113" s="18" t="n">
        <f aca="false">MAX(0,G113-F113)</f>
        <v>21.3072851948486</v>
      </c>
      <c r="I113" s="18" t="n">
        <f aca="false">G113-H113</f>
        <v>470</v>
      </c>
      <c r="J113" s="11" t="n">
        <f aca="false">Beta_y^A113</f>
        <v>0.620921323059155</v>
      </c>
      <c r="K113" s="18" t="n">
        <f aca="false">J113*H113</f>
        <v>13.2301477139842</v>
      </c>
      <c r="L113" s="21" t="n">
        <f aca="false">IF(AND(I113&gt;=Floor_cash-0.000000001,IF(B113=1,I112&gt;=Pre_cash-0.000000001,TRUE())),1,0)</f>
        <v>1</v>
      </c>
      <c r="N113" s="2" t="s">
        <v>20</v>
      </c>
      <c r="O113" s="18" t="n">
        <f aca="false">O112-O111</f>
        <v>821.106862609523</v>
      </c>
    </row>
    <row r="114" customFormat="false" ht="15" hidden="false" customHeight="false" outlineLevel="0" collapsed="false">
      <c r="A114" s="21" t="n">
        <v>6</v>
      </c>
      <c r="B114" s="16" t="n">
        <v>1</v>
      </c>
      <c r="C114" s="18" t="n">
        <f aca="false">IF(B114=1,C113+Gap_share*(Eff_ceil-C113),C113)</f>
        <v>83.25</v>
      </c>
      <c r="D114" s="14" t="n">
        <f aca="false">Save_pt*(C114-Eff_0)</f>
        <v>122.5</v>
      </c>
      <c r="E114" s="22" t="n">
        <f aca="false">INDEX(Plan_years,A114+1)</f>
        <v>614.80662622835</v>
      </c>
      <c r="F114" s="22" t="n">
        <f aca="false">End_cash</f>
        <v>470</v>
      </c>
      <c r="G114" s="18" t="n">
        <f aca="false">I113-Round_cost*B114+D114+(E114-E113)</f>
        <v>502.673897125482</v>
      </c>
      <c r="H114" s="18" t="n">
        <f aca="false">MAX(0,G114-F114)</f>
        <v>32.673897125482</v>
      </c>
      <c r="I114" s="18" t="n">
        <f aca="false">G114-H114</f>
        <v>470</v>
      </c>
      <c r="J114" s="11" t="n">
        <f aca="false">Beta_y^A114</f>
        <v>0.564473930053777</v>
      </c>
      <c r="K114" s="18" t="n">
        <f aca="false">J114*H114</f>
        <v>18.4435631205936</v>
      </c>
      <c r="L114" s="21" t="n">
        <f aca="false">IF(AND(I114&gt;=Floor_cash-0.000000001,IF(B114=1,I113&gt;=Pre_cash-0.000000001,TRUE()),I114&gt;=End_cash-0.000000001),1,0)</f>
        <v>1</v>
      </c>
      <c r="N114" s="2" t="s">
        <v>225</v>
      </c>
      <c r="O114" s="21" t="n">
        <f aca="false">IF(SUM(L111:L114)=4,1,0)</f>
        <v>1</v>
      </c>
    </row>
    <row r="118" customFormat="false" ht="15" hidden="false" customHeight="false" outlineLevel="0" collapsed="false">
      <c r="A118" s="4" t="s">
        <v>211</v>
      </c>
    </row>
    <row r="119" customFormat="false" ht="35.05" hidden="false" customHeight="false" outlineLevel="0" collapsed="false">
      <c r="A119" s="8" t="s">
        <v>106</v>
      </c>
      <c r="B119" s="8" t="s">
        <v>142</v>
      </c>
      <c r="C119" s="8" t="s">
        <v>108</v>
      </c>
      <c r="D119" s="8" t="s">
        <v>109</v>
      </c>
      <c r="E119" s="8" t="s">
        <v>218</v>
      </c>
      <c r="F119" s="8" t="s">
        <v>110</v>
      </c>
      <c r="G119" s="8" t="s">
        <v>111</v>
      </c>
      <c r="H119" s="8" t="s">
        <v>112</v>
      </c>
      <c r="I119" s="8" t="s">
        <v>219</v>
      </c>
      <c r="J119" s="8" t="s">
        <v>114</v>
      </c>
      <c r="K119" s="8" t="s">
        <v>115</v>
      </c>
      <c r="L119" s="8" t="s">
        <v>116</v>
      </c>
      <c r="N119" s="2" t="s">
        <v>220</v>
      </c>
      <c r="O119" s="13" t="n">
        <v>0</v>
      </c>
    </row>
    <row r="120" customFormat="false" ht="15" hidden="false" customHeight="false" outlineLevel="0" collapsed="false">
      <c r="A120" s="21" t="n">
        <v>0</v>
      </c>
      <c r="C120" s="22" t="n">
        <f aca="false">Eff_0</f>
        <v>71</v>
      </c>
      <c r="E120" s="22" t="n">
        <f aca="false">INDEX(Plan_years,A120+1)</f>
        <v>620</v>
      </c>
      <c r="N120" s="2" t="s">
        <v>221</v>
      </c>
      <c r="O120" s="13" t="n">
        <v>0</v>
      </c>
    </row>
    <row r="121" customFormat="false" ht="15" hidden="false" customHeight="false" outlineLevel="0" collapsed="false">
      <c r="A121" s="21" t="n">
        <v>1</v>
      </c>
      <c r="B121" s="16" t="n">
        <v>1</v>
      </c>
      <c r="C121" s="18" t="n">
        <f aca="false">IF(B121=1,C120+Gap_share*(Eff_ceil-C120),C120)</f>
        <v>78</v>
      </c>
      <c r="D121" s="14" t="n">
        <f aca="false">Save_pt*(C121-Eff_0)</f>
        <v>70</v>
      </c>
      <c r="E121" s="22" t="n">
        <f aca="false">INDEX(Plan_years,A121+1)</f>
        <v>498.862199828157</v>
      </c>
      <c r="H121" s="13" t="n">
        <v>0</v>
      </c>
      <c r="J121" s="11" t="n">
        <f aca="false">Beta_y^A121</f>
        <v>0.909090909090909</v>
      </c>
      <c r="K121" s="18" t="n">
        <f aca="false">J121*H121</f>
        <v>0</v>
      </c>
      <c r="N121" s="2" t="s">
        <v>185</v>
      </c>
      <c r="O121" s="25" t="n">
        <v>165</v>
      </c>
    </row>
    <row r="122" customFormat="false" ht="15" hidden="false" customHeight="false" outlineLevel="0" collapsed="false">
      <c r="A122" s="21" t="n">
        <v>2</v>
      </c>
      <c r="B122" s="16" t="n">
        <v>1</v>
      </c>
      <c r="C122" s="18" t="n">
        <f aca="false">IF(B122=1,C121+Gap_share*(Eff_ceil-C121),C121)</f>
        <v>81.5</v>
      </c>
      <c r="D122" s="14" t="n">
        <f aca="false">Save_pt*(C122-Eff_0)</f>
        <v>105</v>
      </c>
      <c r="E122" s="22" t="n">
        <f aca="false">INDEX(Plan_years,A122+1)</f>
        <v>483.854053397919</v>
      </c>
      <c r="H122" s="13" t="n">
        <v>0</v>
      </c>
      <c r="J122" s="11" t="n">
        <f aca="false">Beta_y^A122</f>
        <v>0.826446280991735</v>
      </c>
      <c r="K122" s="18" t="n">
        <f aca="false">J122*H122</f>
        <v>0</v>
      </c>
      <c r="N122" s="2" t="s">
        <v>222</v>
      </c>
      <c r="O122" s="26" t="n">
        <v>5.9700150269801</v>
      </c>
    </row>
    <row r="123" customFormat="false" ht="15" hidden="false" customHeight="false" outlineLevel="0" collapsed="false">
      <c r="A123" s="21" t="n">
        <v>3</v>
      </c>
      <c r="B123" s="16" t="n">
        <v>1</v>
      </c>
      <c r="C123" s="18" t="n">
        <f aca="false">IF(B123=1,C122+Gap_share*(Eff_ceil-C122),C122)</f>
        <v>83.25</v>
      </c>
      <c r="D123" s="14" t="n">
        <f aca="false">Save_pt*(C123-Eff_0)</f>
        <v>122.5</v>
      </c>
      <c r="E123" s="22" t="n">
        <f aca="false">INDEX(Plan_years,A123+1)</f>
        <v>510.42404767696</v>
      </c>
      <c r="F123" s="18" t="n">
        <f aca="false">MAX(IF(B124=1,MAX((F124+Round_cost*B124-D124-(E124-E123)-$O$120),Pre_cash),(F124+Round_cost*B124-D124-(E124-E123)-$O$120)),Floor_cash)</f>
        <v>350</v>
      </c>
      <c r="G123" s="18" t="n">
        <f aca="false">E123+$O$119+SUMPRODUCT(-Round_cost*B121:B123+D121:D123)-H121-H122</f>
        <v>447.92404767696</v>
      </c>
      <c r="H123" s="18" t="n">
        <f aca="false">MAX(0,G123-F123)</f>
        <v>97.9240476769602</v>
      </c>
      <c r="I123" s="18" t="n">
        <f aca="false">G123-H123</f>
        <v>350</v>
      </c>
      <c r="J123" s="11" t="n">
        <f aca="false">Beta_y^A123</f>
        <v>0.751314800901578</v>
      </c>
      <c r="K123" s="18" t="n">
        <f aca="false">J123*H123</f>
        <v>73.571786383892</v>
      </c>
      <c r="L123" s="21" t="n">
        <f aca="false">IF(AND(I123&gt;=Floor_cash-0.000000001),1,0)</f>
        <v>1</v>
      </c>
      <c r="N123" s="2" t="s">
        <v>223</v>
      </c>
      <c r="O123" s="18" t="n">
        <f aca="false">Fee_line*O121+Cost_delay*O122</f>
        <v>52.7101202158408</v>
      </c>
    </row>
    <row r="124" customFormat="false" ht="15" hidden="false" customHeight="false" outlineLevel="0" collapsed="false">
      <c r="A124" s="21" t="n">
        <v>4</v>
      </c>
      <c r="B124" s="16" t="n">
        <v>0</v>
      </c>
      <c r="C124" s="18" t="n">
        <f aca="false">IF(B124=1,C123+Gap_share*(Eff_ceil-C123),C123)</f>
        <v>83.25</v>
      </c>
      <c r="D124" s="14" t="n">
        <f aca="false">Save_pt*(C124-Eff_0)</f>
        <v>122.5</v>
      </c>
      <c r="E124" s="22" t="n">
        <f aca="false">INDEX(Plan_years,A124+1)</f>
        <v>548.32544390802</v>
      </c>
      <c r="F124" s="18" t="n">
        <f aca="false">MAX(IF(B125=1,MAX((F125+Round_cost*B125-D125-(E125-E124)),Pre_cash),(F125+Round_cost*B125-D125-(E125-E124))),Floor_cash)</f>
        <v>350</v>
      </c>
      <c r="G124" s="18" t="n">
        <f aca="false">I123-Round_cost*B124+D124+(E124-E123)+$O$120</f>
        <v>510.401396231059</v>
      </c>
      <c r="H124" s="18" t="n">
        <f aca="false">MAX(0,G124-F124)</f>
        <v>160.401396231059</v>
      </c>
      <c r="I124" s="18" t="n">
        <f aca="false">G124-H124</f>
        <v>350</v>
      </c>
      <c r="J124" s="11" t="n">
        <f aca="false">Beta_y^A124</f>
        <v>0.683013455365071</v>
      </c>
      <c r="K124" s="18" t="n">
        <f aca="false">J124*H124</f>
        <v>109.556311885158</v>
      </c>
      <c r="L124" s="21" t="n">
        <f aca="false">IF(AND(I124&gt;=Floor_cash-0.000000001,IF(B124=1,I123&gt;=Pre_cash-0.000000001,TRUE())),1,0)</f>
        <v>1</v>
      </c>
      <c r="N124" s="2" t="s">
        <v>224</v>
      </c>
      <c r="O124" s="18" t="n">
        <f aca="false">SUM(K121:K126)+J126*D126/R_hurdle</f>
        <v>991.659055340138</v>
      </c>
    </row>
    <row r="125" customFormat="false" ht="15" hidden="false" customHeight="false" outlineLevel="0" collapsed="false">
      <c r="A125" s="21" t="n">
        <v>5</v>
      </c>
      <c r="B125" s="16" t="n">
        <v>0</v>
      </c>
      <c r="C125" s="18" t="n">
        <f aca="false">IF(B125=1,C124+Gap_share*(Eff_ceil-C124),C124)</f>
        <v>83.25</v>
      </c>
      <c r="D125" s="14" t="n">
        <f aca="false">Save_pt*(C125-Eff_0)</f>
        <v>122.5</v>
      </c>
      <c r="E125" s="22" t="n">
        <f aca="false">INDEX(Plan_years,A125+1)</f>
        <v>584.632729102868</v>
      </c>
      <c r="F125" s="18" t="n">
        <f aca="false">MAX(IF(B126=1,MAX((F126+Round_cost*B126-D126-(E126-E125)),Pre_cash),(F126+Round_cost*B126-D126-(E126-E125))),Floor_cash)</f>
        <v>350</v>
      </c>
      <c r="G125" s="18" t="n">
        <f aca="false">I124-Round_cost*B125+D125+(E125-E124)</f>
        <v>508.807285194849</v>
      </c>
      <c r="H125" s="18" t="n">
        <f aca="false">MAX(0,G125-F125)</f>
        <v>158.807285194849</v>
      </c>
      <c r="I125" s="18" t="n">
        <f aca="false">G125-H125</f>
        <v>350</v>
      </c>
      <c r="J125" s="11" t="n">
        <f aca="false">Beta_y^A125</f>
        <v>0.620921323059155</v>
      </c>
      <c r="K125" s="18" t="n">
        <f aca="false">J125*H125</f>
        <v>98.606829634618</v>
      </c>
      <c r="L125" s="21" t="n">
        <f aca="false">IF(AND(I125&gt;=Floor_cash-0.000000001,IF(B125=1,I124&gt;=Pre_cash-0.000000001,TRUE())),1,0)</f>
        <v>1</v>
      </c>
      <c r="N125" s="2" t="s">
        <v>20</v>
      </c>
      <c r="O125" s="18" t="n">
        <f aca="false">O124-O123</f>
        <v>938.948935124298</v>
      </c>
    </row>
    <row r="126" customFormat="false" ht="15" hidden="false" customHeight="false" outlineLevel="0" collapsed="false">
      <c r="A126" s="21" t="n">
        <v>6</v>
      </c>
      <c r="B126" s="16" t="n">
        <v>0</v>
      </c>
      <c r="C126" s="18" t="n">
        <f aca="false">IF(B126=1,C125+Gap_share*(Eff_ceil-C125),C125)</f>
        <v>83.25</v>
      </c>
      <c r="D126" s="14" t="n">
        <f aca="false">Save_pt*(C126-Eff_0)</f>
        <v>122.5</v>
      </c>
      <c r="E126" s="22" t="n">
        <f aca="false">INDEX(Plan_years,A126+1)</f>
        <v>614.80662622835</v>
      </c>
      <c r="F126" s="22" t="n">
        <f aca="false">End_cash</f>
        <v>470</v>
      </c>
      <c r="G126" s="18" t="n">
        <f aca="false">I125-Round_cost*B126+D126+(E126-E125)</f>
        <v>502.673897125482</v>
      </c>
      <c r="H126" s="18" t="n">
        <f aca="false">MAX(0,G126-F126)</f>
        <v>32.673897125482</v>
      </c>
      <c r="I126" s="18" t="n">
        <f aca="false">G126-H126</f>
        <v>470</v>
      </c>
      <c r="J126" s="11" t="n">
        <f aca="false">Beta_y^A126</f>
        <v>0.564473930053777</v>
      </c>
      <c r="K126" s="18" t="n">
        <f aca="false">J126*H126</f>
        <v>18.4435631205936</v>
      </c>
      <c r="L126" s="21" t="n">
        <f aca="false">IF(AND(I126&gt;=Floor_cash-0.000000001,IF(B126=1,I125&gt;=Pre_cash-0.000000001,TRUE()),I126&gt;=End_cash-0.000000001),1,0)</f>
        <v>1</v>
      </c>
      <c r="N126" s="2" t="s">
        <v>225</v>
      </c>
      <c r="O126" s="21" t="n">
        <f aca="false">IF(SUM(L123:L126)=4,1,0)</f>
        <v>1</v>
      </c>
    </row>
    <row r="130" customFormat="false" ht="15" hidden="false" customHeight="false" outlineLevel="0" collapsed="false">
      <c r="A130" s="4" t="s">
        <v>212</v>
      </c>
    </row>
    <row r="131" customFormat="false" ht="35.05" hidden="false" customHeight="false" outlineLevel="0" collapsed="false">
      <c r="A131" s="8" t="s">
        <v>106</v>
      </c>
      <c r="B131" s="8" t="s">
        <v>142</v>
      </c>
      <c r="C131" s="8" t="s">
        <v>108</v>
      </c>
      <c r="D131" s="8" t="s">
        <v>109</v>
      </c>
      <c r="E131" s="8" t="s">
        <v>218</v>
      </c>
      <c r="F131" s="8" t="s">
        <v>110</v>
      </c>
      <c r="G131" s="8" t="s">
        <v>111</v>
      </c>
      <c r="H131" s="8" t="s">
        <v>112</v>
      </c>
      <c r="I131" s="8" t="s">
        <v>219</v>
      </c>
      <c r="J131" s="8" t="s">
        <v>114</v>
      </c>
      <c r="K131" s="8" t="s">
        <v>115</v>
      </c>
      <c r="L131" s="8" t="s">
        <v>116</v>
      </c>
      <c r="N131" s="2" t="s">
        <v>220</v>
      </c>
      <c r="O131" s="13" t="n">
        <v>0</v>
      </c>
    </row>
    <row r="132" customFormat="false" ht="15" hidden="false" customHeight="false" outlineLevel="0" collapsed="false">
      <c r="A132" s="21" t="n">
        <v>0</v>
      </c>
      <c r="C132" s="22" t="n">
        <f aca="false">Eff_0</f>
        <v>71</v>
      </c>
      <c r="E132" s="22" t="n">
        <f aca="false">INDEX(Plan_years,A132+1)</f>
        <v>620</v>
      </c>
      <c r="N132" s="2" t="s">
        <v>221</v>
      </c>
      <c r="O132" s="23" t="n">
        <f aca="false">Sale_G</f>
        <v>92</v>
      </c>
    </row>
    <row r="133" customFormat="false" ht="15" hidden="false" customHeight="false" outlineLevel="0" collapsed="false">
      <c r="A133" s="21" t="n">
        <v>1</v>
      </c>
      <c r="B133" s="16" t="n">
        <v>1</v>
      </c>
      <c r="C133" s="18" t="n">
        <f aca="false">IF(B133=1,C132+Gap_share*(Eff_ceil-C132),C132)</f>
        <v>78</v>
      </c>
      <c r="D133" s="14" t="n">
        <f aca="false">Save_pt*(C133-Eff_0)</f>
        <v>70</v>
      </c>
      <c r="E133" s="22" t="n">
        <f aca="false">INDEX(Plan_years,A133+1)</f>
        <v>498.862199828157</v>
      </c>
      <c r="H133" s="13" t="n">
        <v>0</v>
      </c>
      <c r="J133" s="11" t="n">
        <f aca="false">Beta_y^A133</f>
        <v>0.909090909090909</v>
      </c>
      <c r="K133" s="18" t="n">
        <f aca="false">J133*H133</f>
        <v>0</v>
      </c>
      <c r="N133" s="2" t="s">
        <v>185</v>
      </c>
      <c r="O133" s="25" t="n">
        <v>165</v>
      </c>
    </row>
    <row r="134" customFormat="false" ht="15" hidden="false" customHeight="false" outlineLevel="0" collapsed="false">
      <c r="A134" s="21" t="n">
        <v>2</v>
      </c>
      <c r="B134" s="16" t="n">
        <v>1</v>
      </c>
      <c r="C134" s="18" t="n">
        <f aca="false">IF(B134=1,C133+Gap_share*(Eff_ceil-C133),C133)</f>
        <v>81.5</v>
      </c>
      <c r="D134" s="14" t="n">
        <f aca="false">Save_pt*(C134-Eff_0)</f>
        <v>105</v>
      </c>
      <c r="E134" s="22" t="n">
        <f aca="false">INDEX(Plan_years,A134+1)</f>
        <v>483.854053397919</v>
      </c>
      <c r="H134" s="13" t="n">
        <v>0</v>
      </c>
      <c r="J134" s="11" t="n">
        <f aca="false">Beta_y^A134</f>
        <v>0.826446280991735</v>
      </c>
      <c r="K134" s="18" t="n">
        <f aca="false">J134*H134</f>
        <v>0</v>
      </c>
      <c r="N134" s="2" t="s">
        <v>222</v>
      </c>
      <c r="O134" s="26" t="n">
        <v>5.9700150269801</v>
      </c>
    </row>
    <row r="135" customFormat="false" ht="15" hidden="false" customHeight="false" outlineLevel="0" collapsed="false">
      <c r="A135" s="21" t="n">
        <v>3</v>
      </c>
      <c r="B135" s="16" t="n">
        <v>1</v>
      </c>
      <c r="C135" s="18" t="n">
        <f aca="false">IF(B135=1,C134+Gap_share*(Eff_ceil-C134),C134)</f>
        <v>83.25</v>
      </c>
      <c r="D135" s="14" t="n">
        <f aca="false">Save_pt*(C135-Eff_0)</f>
        <v>122.5</v>
      </c>
      <c r="E135" s="22" t="n">
        <f aca="false">INDEX(Plan_years,A135+1)</f>
        <v>510.42404767696</v>
      </c>
      <c r="F135" s="18" t="n">
        <f aca="false">MAX(IF(B136=1,MAX((F136+Round_cost*B136-D136-(E136-E135)-$O$132),Pre_cash),(F136+Round_cost*B136-D136-(E136-E135)-$O$132)),Floor_cash)</f>
        <v>350</v>
      </c>
      <c r="G135" s="18" t="n">
        <f aca="false">E135+$O$131+SUMPRODUCT(-Round_cost*B133:B135+D133:D135)-H133-H134</f>
        <v>447.92404767696</v>
      </c>
      <c r="H135" s="18" t="n">
        <f aca="false">MAX(0,G135-F135)</f>
        <v>97.9240476769602</v>
      </c>
      <c r="I135" s="18" t="n">
        <f aca="false">G135-H135</f>
        <v>350</v>
      </c>
      <c r="J135" s="11" t="n">
        <f aca="false">Beta_y^A135</f>
        <v>0.751314800901578</v>
      </c>
      <c r="K135" s="18" t="n">
        <f aca="false">J135*H135</f>
        <v>73.571786383892</v>
      </c>
      <c r="L135" s="21" t="n">
        <f aca="false">IF(AND(I135&gt;=Floor_cash-0.000000001),1,0)</f>
        <v>1</v>
      </c>
      <c r="N135" s="2" t="s">
        <v>223</v>
      </c>
      <c r="O135" s="18" t="n">
        <f aca="false">Fee_line*O133+Cost_delay*O134</f>
        <v>52.7101202158408</v>
      </c>
    </row>
    <row r="136" customFormat="false" ht="15" hidden="false" customHeight="false" outlineLevel="0" collapsed="false">
      <c r="A136" s="21" t="n">
        <v>4</v>
      </c>
      <c r="B136" s="16" t="n">
        <v>0</v>
      </c>
      <c r="C136" s="18" t="n">
        <f aca="false">IF(B136=1,C135+Gap_share*(Eff_ceil-C135),C135)</f>
        <v>83.25</v>
      </c>
      <c r="D136" s="14" t="n">
        <f aca="false">Save_pt*(C136-Eff_0)</f>
        <v>122.5</v>
      </c>
      <c r="E136" s="22" t="n">
        <f aca="false">INDEX(Plan_years,A136+1)</f>
        <v>548.32544390802</v>
      </c>
      <c r="F136" s="18" t="n">
        <f aca="false">MAX(IF(B137=1,MAX((F137+Round_cost*B137-D137-(E137-E136)),Pre_cash),(F137+Round_cost*B137-D137-(E137-E136))),Floor_cash)</f>
        <v>350</v>
      </c>
      <c r="G136" s="18" t="n">
        <f aca="false">I135-Round_cost*B136+D136+(E136-E135)+$O$132</f>
        <v>602.401396231059</v>
      </c>
      <c r="H136" s="18" t="n">
        <f aca="false">MAX(0,G136-F136)</f>
        <v>252.401396231059</v>
      </c>
      <c r="I136" s="18" t="n">
        <f aca="false">G136-H136</f>
        <v>350</v>
      </c>
      <c r="J136" s="11" t="n">
        <f aca="false">Beta_y^A136</f>
        <v>0.683013455365071</v>
      </c>
      <c r="K136" s="18" t="n">
        <f aca="false">J136*H136</f>
        <v>172.393549778744</v>
      </c>
      <c r="L136" s="21" t="n">
        <f aca="false">IF(AND(I136&gt;=Floor_cash-0.000000001,IF(B136=1,I135&gt;=Pre_cash-0.000000001,TRUE())),1,0)</f>
        <v>1</v>
      </c>
      <c r="N136" s="2" t="s">
        <v>224</v>
      </c>
      <c r="O136" s="18" t="n">
        <f aca="false">SUM(K133:K138)+J138*D138/R_hurdle</f>
        <v>1054.49629323372</v>
      </c>
    </row>
    <row r="137" customFormat="false" ht="15" hidden="false" customHeight="false" outlineLevel="0" collapsed="false">
      <c r="A137" s="21" t="n">
        <v>5</v>
      </c>
      <c r="B137" s="16" t="n">
        <v>0</v>
      </c>
      <c r="C137" s="18" t="n">
        <f aca="false">IF(B137=1,C136+Gap_share*(Eff_ceil-C136),C136)</f>
        <v>83.25</v>
      </c>
      <c r="D137" s="14" t="n">
        <f aca="false">Save_pt*(C137-Eff_0)</f>
        <v>122.5</v>
      </c>
      <c r="E137" s="22" t="n">
        <f aca="false">INDEX(Plan_years,A137+1)</f>
        <v>584.632729102868</v>
      </c>
      <c r="F137" s="18" t="n">
        <f aca="false">MAX(IF(B138=1,MAX((F138+Round_cost*B138-D138-(E138-E137)),Pre_cash),(F138+Round_cost*B138-D138-(E138-E137))),Floor_cash)</f>
        <v>350</v>
      </c>
      <c r="G137" s="18" t="n">
        <f aca="false">I136-Round_cost*B137+D137+(E137-E136)</f>
        <v>508.807285194849</v>
      </c>
      <c r="H137" s="18" t="n">
        <f aca="false">MAX(0,G137-F137)</f>
        <v>158.807285194849</v>
      </c>
      <c r="I137" s="18" t="n">
        <f aca="false">G137-H137</f>
        <v>350</v>
      </c>
      <c r="J137" s="11" t="n">
        <f aca="false">Beta_y^A137</f>
        <v>0.620921323059155</v>
      </c>
      <c r="K137" s="18" t="n">
        <f aca="false">J137*H137</f>
        <v>98.606829634618</v>
      </c>
      <c r="L137" s="21" t="n">
        <f aca="false">IF(AND(I137&gt;=Floor_cash-0.000000001,IF(B137=1,I136&gt;=Pre_cash-0.000000001,TRUE())),1,0)</f>
        <v>1</v>
      </c>
      <c r="N137" s="2" t="s">
        <v>20</v>
      </c>
      <c r="O137" s="18" t="n">
        <f aca="false">O136-O135</f>
        <v>1001.78617301788</v>
      </c>
    </row>
    <row r="138" customFormat="false" ht="15" hidden="false" customHeight="false" outlineLevel="0" collapsed="false">
      <c r="A138" s="21" t="n">
        <v>6</v>
      </c>
      <c r="B138" s="16" t="n">
        <v>0</v>
      </c>
      <c r="C138" s="18" t="n">
        <f aca="false">IF(B138=1,C137+Gap_share*(Eff_ceil-C137),C137)</f>
        <v>83.25</v>
      </c>
      <c r="D138" s="14" t="n">
        <f aca="false">Save_pt*(C138-Eff_0)</f>
        <v>122.5</v>
      </c>
      <c r="E138" s="22" t="n">
        <f aca="false">INDEX(Plan_years,A138+1)</f>
        <v>614.80662622835</v>
      </c>
      <c r="F138" s="22" t="n">
        <f aca="false">End_cash</f>
        <v>470</v>
      </c>
      <c r="G138" s="18" t="n">
        <f aca="false">I137-Round_cost*B138+D138+(E138-E137)</f>
        <v>502.673897125482</v>
      </c>
      <c r="H138" s="18" t="n">
        <f aca="false">MAX(0,G138-F138)</f>
        <v>32.673897125482</v>
      </c>
      <c r="I138" s="18" t="n">
        <f aca="false">G138-H138</f>
        <v>470</v>
      </c>
      <c r="J138" s="11" t="n">
        <f aca="false">Beta_y^A138</f>
        <v>0.564473930053777</v>
      </c>
      <c r="K138" s="18" t="n">
        <f aca="false">J138*H138</f>
        <v>18.4435631205936</v>
      </c>
      <c r="L138" s="21" t="n">
        <f aca="false">IF(AND(I138&gt;=Floor_cash-0.000000001,IF(B138=1,I137&gt;=Pre_cash-0.000000001,TRUE()),I138&gt;=End_cash-0.000000001),1,0)</f>
        <v>1</v>
      </c>
      <c r="N138" s="2" t="s">
        <v>225</v>
      </c>
      <c r="O138" s="21" t="n">
        <f aca="false">IF(SUM(L135:L138)=4,1,0)</f>
        <v>1</v>
      </c>
    </row>
    <row r="142" customFormat="false" ht="15" hidden="false" customHeight="false" outlineLevel="0" collapsed="false">
      <c r="A142" s="4" t="s">
        <v>213</v>
      </c>
    </row>
    <row r="143" customFormat="false" ht="35.05" hidden="false" customHeight="false" outlineLevel="0" collapsed="false">
      <c r="A143" s="8" t="s">
        <v>106</v>
      </c>
      <c r="B143" s="8" t="s">
        <v>142</v>
      </c>
      <c r="C143" s="8" t="s">
        <v>108</v>
      </c>
      <c r="D143" s="8" t="s">
        <v>109</v>
      </c>
      <c r="E143" s="8" t="s">
        <v>218</v>
      </c>
      <c r="F143" s="8" t="s">
        <v>110</v>
      </c>
      <c r="G143" s="8" t="s">
        <v>111</v>
      </c>
      <c r="H143" s="8" t="s">
        <v>112</v>
      </c>
      <c r="I143" s="8" t="s">
        <v>219</v>
      </c>
      <c r="J143" s="8" t="s">
        <v>114</v>
      </c>
      <c r="K143" s="8" t="s">
        <v>115</v>
      </c>
      <c r="L143" s="8" t="s">
        <v>116</v>
      </c>
      <c r="N143" s="2" t="s">
        <v>220</v>
      </c>
      <c r="O143" s="23" t="n">
        <f aca="false">Sale_G+1</f>
        <v>93</v>
      </c>
    </row>
    <row r="144" customFormat="false" ht="15" hidden="false" customHeight="false" outlineLevel="0" collapsed="false">
      <c r="A144" s="21" t="n">
        <v>0</v>
      </c>
      <c r="C144" s="22" t="n">
        <f aca="false">Eff_0</f>
        <v>71</v>
      </c>
      <c r="E144" s="22" t="n">
        <f aca="false">INDEX(Plan_years,A144+1)</f>
        <v>620</v>
      </c>
      <c r="N144" s="2" t="s">
        <v>221</v>
      </c>
      <c r="O144" s="13" t="n">
        <v>0</v>
      </c>
    </row>
    <row r="145" customFormat="false" ht="15" hidden="false" customHeight="false" outlineLevel="0" collapsed="false">
      <c r="A145" s="21" t="n">
        <v>1</v>
      </c>
      <c r="B145" s="16" t="n">
        <v>1</v>
      </c>
      <c r="C145" s="18" t="n">
        <f aca="false">IF(B145=1,C144+Gap_share*(Eff_ceil-C144),C144)</f>
        <v>78</v>
      </c>
      <c r="D145" s="14" t="n">
        <f aca="false">Save_pt*(C145-Eff_0)</f>
        <v>70</v>
      </c>
      <c r="E145" s="22" t="n">
        <f aca="false">INDEX(Plan_years,A145+1)</f>
        <v>498.862199828157</v>
      </c>
      <c r="H145" s="13" t="n">
        <v>0</v>
      </c>
      <c r="J145" s="11" t="n">
        <f aca="false">Beta_y^A145</f>
        <v>0.909090909090909</v>
      </c>
      <c r="K145" s="18" t="n">
        <f aca="false">J145*H145</f>
        <v>0</v>
      </c>
      <c r="N145" s="2" t="s">
        <v>185</v>
      </c>
      <c r="O145" s="25" t="n">
        <v>160</v>
      </c>
    </row>
    <row r="146" customFormat="false" ht="15" hidden="false" customHeight="false" outlineLevel="0" collapsed="false">
      <c r="A146" s="21" t="n">
        <v>2</v>
      </c>
      <c r="B146" s="16" t="n">
        <v>1</v>
      </c>
      <c r="C146" s="18" t="n">
        <f aca="false">IF(B146=1,C145+Gap_share*(Eff_ceil-C145),C145)</f>
        <v>81.5</v>
      </c>
      <c r="D146" s="14" t="n">
        <f aca="false">Save_pt*(C146-Eff_0)</f>
        <v>105</v>
      </c>
      <c r="E146" s="22" t="n">
        <f aca="false">INDEX(Plan_years,A146+1)</f>
        <v>483.854053397919</v>
      </c>
      <c r="H146" s="13" t="n">
        <v>0</v>
      </c>
      <c r="J146" s="11" t="n">
        <f aca="false">Beta_y^A146</f>
        <v>0.826446280991735</v>
      </c>
      <c r="K146" s="18" t="n">
        <f aca="false">J146*H146</f>
        <v>0</v>
      </c>
      <c r="N146" s="2" t="s">
        <v>222</v>
      </c>
      <c r="O146" s="26" t="n">
        <v>2.02939310710262</v>
      </c>
    </row>
    <row r="147" customFormat="false" ht="15" hidden="false" customHeight="false" outlineLevel="0" collapsed="false">
      <c r="A147" s="21" t="n">
        <v>3</v>
      </c>
      <c r="B147" s="16" t="n">
        <v>1</v>
      </c>
      <c r="C147" s="18" t="n">
        <f aca="false">IF(B147=1,C146+Gap_share*(Eff_ceil-C146),C146)</f>
        <v>83.25</v>
      </c>
      <c r="D147" s="14" t="n">
        <f aca="false">Save_pt*(C147-Eff_0)</f>
        <v>122.5</v>
      </c>
      <c r="E147" s="22" t="n">
        <f aca="false">INDEX(Plan_years,A147+1)</f>
        <v>510.42404767696</v>
      </c>
      <c r="F147" s="18" t="n">
        <f aca="false">MAX(IF(B148=1,MAX((F148+Round_cost*B148-D148-(E148-E147)-$O$144),Pre_cash),(F148+Round_cost*B148-D148-(E148-E147)-$O$144)),Floor_cash)</f>
        <v>350</v>
      </c>
      <c r="G147" s="18" t="n">
        <f aca="false">E147+$O$143+SUMPRODUCT(-Round_cost*B145:B147+D145:D147)-H145-H146</f>
        <v>540.92404767696</v>
      </c>
      <c r="H147" s="18" t="n">
        <f aca="false">MAX(0,G147-F147)</f>
        <v>190.92404767696</v>
      </c>
      <c r="I147" s="18" t="n">
        <f aca="false">G147-H147</f>
        <v>350</v>
      </c>
      <c r="J147" s="11" t="n">
        <f aca="false">Beta_y^A147</f>
        <v>0.751314800901578</v>
      </c>
      <c r="K147" s="18" t="n">
        <f aca="false">J147*H147</f>
        <v>143.444062867739</v>
      </c>
      <c r="L147" s="21" t="n">
        <f aca="false">IF(AND(I147&gt;=Floor_cash-0.000000001),1,0)</f>
        <v>1</v>
      </c>
      <c r="N147" s="2" t="s">
        <v>223</v>
      </c>
      <c r="O147" s="18" t="n">
        <f aca="false">Fee_line*O145+Cost_delay*O146</f>
        <v>21.0351448568209</v>
      </c>
    </row>
    <row r="148" customFormat="false" ht="15" hidden="false" customHeight="false" outlineLevel="0" collapsed="false">
      <c r="A148" s="21" t="n">
        <v>4</v>
      </c>
      <c r="B148" s="16" t="n">
        <v>0</v>
      </c>
      <c r="C148" s="18" t="n">
        <f aca="false">IF(B148=1,C147+Gap_share*(Eff_ceil-C147),C147)</f>
        <v>83.25</v>
      </c>
      <c r="D148" s="14" t="n">
        <f aca="false">Save_pt*(C148-Eff_0)</f>
        <v>122.5</v>
      </c>
      <c r="E148" s="22" t="n">
        <f aca="false">INDEX(Plan_years,A148+1)</f>
        <v>548.32544390802</v>
      </c>
      <c r="F148" s="18" t="n">
        <f aca="false">MAX(IF(B149=1,MAX((F149+Round_cost*B149-D149-(E149-E148)),Pre_cash),(F149+Round_cost*B149-D149-(E149-E148))),Floor_cash)</f>
        <v>350</v>
      </c>
      <c r="G148" s="18" t="n">
        <f aca="false">I147-Round_cost*B148+D148+(E148-E147)+$O$144</f>
        <v>510.401396231059</v>
      </c>
      <c r="H148" s="18" t="n">
        <f aca="false">MAX(0,G148-F148)</f>
        <v>160.401396231059</v>
      </c>
      <c r="I148" s="18" t="n">
        <f aca="false">G148-H148</f>
        <v>350</v>
      </c>
      <c r="J148" s="11" t="n">
        <f aca="false">Beta_y^A148</f>
        <v>0.683013455365071</v>
      </c>
      <c r="K148" s="18" t="n">
        <f aca="false">J148*H148</f>
        <v>109.556311885158</v>
      </c>
      <c r="L148" s="21" t="n">
        <f aca="false">IF(AND(I148&gt;=Floor_cash-0.000000001,IF(B148=1,I147&gt;=Pre_cash-0.000000001,TRUE())),1,0)</f>
        <v>1</v>
      </c>
      <c r="N148" s="2" t="s">
        <v>224</v>
      </c>
      <c r="O148" s="18" t="n">
        <f aca="false">SUM(K145:K150)+J150*D150/R_hurdle</f>
        <v>1061.53133182399</v>
      </c>
    </row>
    <row r="149" customFormat="false" ht="15" hidden="false" customHeight="false" outlineLevel="0" collapsed="false">
      <c r="A149" s="21" t="n">
        <v>5</v>
      </c>
      <c r="B149" s="16" t="n">
        <v>0</v>
      </c>
      <c r="C149" s="18" t="n">
        <f aca="false">IF(B149=1,C148+Gap_share*(Eff_ceil-C148),C148)</f>
        <v>83.25</v>
      </c>
      <c r="D149" s="14" t="n">
        <f aca="false">Save_pt*(C149-Eff_0)</f>
        <v>122.5</v>
      </c>
      <c r="E149" s="22" t="n">
        <f aca="false">INDEX(Plan_years,A149+1)</f>
        <v>584.632729102868</v>
      </c>
      <c r="F149" s="18" t="n">
        <f aca="false">MAX(IF(B150=1,MAX((F150+Round_cost*B150-D150-(E150-E149)),Pre_cash),(F150+Round_cost*B150-D150-(E150-E149))),Floor_cash)</f>
        <v>350</v>
      </c>
      <c r="G149" s="18" t="n">
        <f aca="false">I148-Round_cost*B149+D149+(E149-E148)</f>
        <v>508.807285194849</v>
      </c>
      <c r="H149" s="18" t="n">
        <f aca="false">MAX(0,G149-F149)</f>
        <v>158.807285194849</v>
      </c>
      <c r="I149" s="18" t="n">
        <f aca="false">G149-H149</f>
        <v>350</v>
      </c>
      <c r="J149" s="11" t="n">
        <f aca="false">Beta_y^A149</f>
        <v>0.620921323059155</v>
      </c>
      <c r="K149" s="18" t="n">
        <f aca="false">J149*H149</f>
        <v>98.606829634618</v>
      </c>
      <c r="L149" s="21" t="n">
        <f aca="false">IF(AND(I149&gt;=Floor_cash-0.000000001,IF(B149=1,I148&gt;=Pre_cash-0.000000001,TRUE())),1,0)</f>
        <v>1</v>
      </c>
      <c r="N149" s="2" t="s">
        <v>20</v>
      </c>
      <c r="O149" s="18" t="n">
        <f aca="false">O148-O147</f>
        <v>1040.49618696716</v>
      </c>
    </row>
    <row r="150" customFormat="false" ht="15" hidden="false" customHeight="false" outlineLevel="0" collapsed="false">
      <c r="A150" s="21" t="n">
        <v>6</v>
      </c>
      <c r="B150" s="16" t="n">
        <v>0</v>
      </c>
      <c r="C150" s="18" t="n">
        <f aca="false">IF(B150=1,C149+Gap_share*(Eff_ceil-C149),C149)</f>
        <v>83.25</v>
      </c>
      <c r="D150" s="14" t="n">
        <f aca="false">Save_pt*(C150-Eff_0)</f>
        <v>122.5</v>
      </c>
      <c r="E150" s="22" t="n">
        <f aca="false">INDEX(Plan_years,A150+1)</f>
        <v>614.80662622835</v>
      </c>
      <c r="F150" s="22" t="n">
        <f aca="false">End_cash</f>
        <v>470</v>
      </c>
      <c r="G150" s="18" t="n">
        <f aca="false">I149-Round_cost*B150+D150+(E150-E149)</f>
        <v>502.673897125482</v>
      </c>
      <c r="H150" s="18" t="n">
        <f aca="false">MAX(0,G150-F150)</f>
        <v>32.673897125482</v>
      </c>
      <c r="I150" s="18" t="n">
        <f aca="false">G150-H150</f>
        <v>470</v>
      </c>
      <c r="J150" s="11" t="n">
        <f aca="false">Beta_y^A150</f>
        <v>0.564473930053777</v>
      </c>
      <c r="K150" s="18" t="n">
        <f aca="false">J150*H150</f>
        <v>18.4435631205936</v>
      </c>
      <c r="L150" s="21" t="n">
        <f aca="false">IF(AND(I150&gt;=Floor_cash-0.000000001,IF(B150=1,I149&gt;=Pre_cash-0.000000001,TRUE()),I150&gt;=End_cash-0.000000001),1,0)</f>
        <v>1</v>
      </c>
      <c r="N150" s="2" t="s">
        <v>225</v>
      </c>
      <c r="O150" s="21" t="n">
        <f aca="false">IF(SUM(L147:L150)=4,1,0)</f>
        <v>1</v>
      </c>
    </row>
    <row r="154" customFormat="false" ht="15" hidden="false" customHeight="false" outlineLevel="0" collapsed="false">
      <c r="A154" s="4" t="s">
        <v>214</v>
      </c>
    </row>
    <row r="155" customFormat="false" ht="35.05" hidden="false" customHeight="false" outlineLevel="0" collapsed="false">
      <c r="A155" s="8" t="s">
        <v>106</v>
      </c>
      <c r="B155" s="8" t="s">
        <v>142</v>
      </c>
      <c r="C155" s="8" t="s">
        <v>108</v>
      </c>
      <c r="D155" s="8" t="s">
        <v>109</v>
      </c>
      <c r="E155" s="8" t="s">
        <v>218</v>
      </c>
      <c r="F155" s="8" t="s">
        <v>110</v>
      </c>
      <c r="G155" s="8" t="s">
        <v>111</v>
      </c>
      <c r="H155" s="8" t="s">
        <v>112</v>
      </c>
      <c r="I155" s="8" t="s">
        <v>219</v>
      </c>
      <c r="J155" s="8" t="s">
        <v>114</v>
      </c>
      <c r="K155" s="8" t="s">
        <v>115</v>
      </c>
      <c r="L155" s="8" t="s">
        <v>116</v>
      </c>
      <c r="N155" s="2" t="s">
        <v>220</v>
      </c>
      <c r="O155" s="23" t="n">
        <f aca="false">Sale_G</f>
        <v>92</v>
      </c>
    </row>
    <row r="156" customFormat="false" ht="15" hidden="false" customHeight="false" outlineLevel="0" collapsed="false">
      <c r="A156" s="21" t="n">
        <v>0</v>
      </c>
      <c r="C156" s="22" t="n">
        <f aca="false">Eff_0</f>
        <v>71</v>
      </c>
      <c r="E156" s="22" t="n">
        <f aca="false">INDEX(Plan_years,A156+1)</f>
        <v>620</v>
      </c>
      <c r="N156" s="2" t="s">
        <v>221</v>
      </c>
      <c r="O156" s="13" t="n">
        <v>0</v>
      </c>
    </row>
    <row r="157" customFormat="false" ht="15" hidden="false" customHeight="false" outlineLevel="0" collapsed="false">
      <c r="A157" s="21" t="n">
        <v>1</v>
      </c>
      <c r="B157" s="16" t="n">
        <v>1</v>
      </c>
      <c r="C157" s="18" t="n">
        <f aca="false">IF(B157=1,C156+Gap_share*(Eff_ceil-C156),C156)</f>
        <v>78</v>
      </c>
      <c r="D157" s="14" t="n">
        <f aca="false">Save_pt*(C157-Eff_0)</f>
        <v>70</v>
      </c>
      <c r="E157" s="22" t="n">
        <f aca="false">INDEX(Plan_years,A157+1)</f>
        <v>498.862199828157</v>
      </c>
      <c r="H157" s="13" t="n">
        <v>0</v>
      </c>
      <c r="J157" s="11" t="n">
        <f aca="false">Beta_y^A157</f>
        <v>0.909090909090909</v>
      </c>
      <c r="K157" s="18" t="n">
        <f aca="false">J157*H157</f>
        <v>0</v>
      </c>
      <c r="N157" s="2" t="s">
        <v>226</v>
      </c>
      <c r="O157" s="16" t="n">
        <v>0</v>
      </c>
    </row>
    <row r="158" customFormat="false" ht="15" hidden="false" customHeight="false" outlineLevel="0" collapsed="false">
      <c r="A158" s="21" t="n">
        <v>2</v>
      </c>
      <c r="B158" s="16" t="n">
        <v>1</v>
      </c>
      <c r="C158" s="18" t="n">
        <f aca="false">IF(B158=1,C157+Gap_share*(Eff_ceil-C157),C157)</f>
        <v>81.5</v>
      </c>
      <c r="D158" s="14" t="n">
        <f aca="false">Save_pt*(C158-Eff_0)</f>
        <v>105</v>
      </c>
      <c r="E158" s="22" t="n">
        <f aca="false">INDEX(Plan_years,A158+1)</f>
        <v>483.854053397919</v>
      </c>
      <c r="H158" s="13" t="n">
        <v>0</v>
      </c>
      <c r="J158" s="11" t="n">
        <f aca="false">Beta_y^A158</f>
        <v>0.826446280991735</v>
      </c>
      <c r="K158" s="18" t="n">
        <f aca="false">J158*H158</f>
        <v>0</v>
      </c>
      <c r="N158" s="2" t="s">
        <v>227</v>
      </c>
      <c r="O158" s="17" t="n">
        <v>0</v>
      </c>
    </row>
    <row r="159" customFormat="false" ht="15" hidden="false" customHeight="false" outlineLevel="0" collapsed="false">
      <c r="A159" s="21" t="n">
        <v>3</v>
      </c>
      <c r="B159" s="16" t="n">
        <v>0</v>
      </c>
      <c r="C159" s="18" t="n">
        <f aca="false">IF(B159=1,C158+Gap_share*(Eff_ceil-C158),C158)</f>
        <v>81.5</v>
      </c>
      <c r="D159" s="14" t="n">
        <f aca="false">Save_pt*(C159-Eff_0)</f>
        <v>105</v>
      </c>
      <c r="E159" s="22" t="n">
        <f aca="false">INDEX(Plan_years,A159+1)</f>
        <v>510.42404767696</v>
      </c>
      <c r="F159" s="18" t="n">
        <f aca="false">MAX(IF(B160=1,MAX((F160+Round_cost*B160-D160-(E160-E159)-$O$156),Pre_cash),(F160+Round_cost*B160-D160-(E160-E159)-$O$156)),Floor_cash)</f>
        <v>470</v>
      </c>
      <c r="G159" s="18" t="n">
        <f aca="false">E159+$O$155+SUMPRODUCT(-Round_cost*B157:B159+D157:D159)-H157-H158</f>
        <v>642.42404767696</v>
      </c>
      <c r="H159" s="18" t="n">
        <f aca="false">MAX(0,G159-F159)</f>
        <v>172.42404767696</v>
      </c>
      <c r="I159" s="18" t="n">
        <f aca="false">G159-H159</f>
        <v>470</v>
      </c>
      <c r="J159" s="11" t="n">
        <f aca="false">Beta_y^A159</f>
        <v>0.751314800901578</v>
      </c>
      <c r="K159" s="18" t="n">
        <f aca="false">J159*H159</f>
        <v>129.54473905106</v>
      </c>
      <c r="L159" s="21" t="n">
        <f aca="false">IF(AND(I159&gt;=Floor_cash-0.000000001),1,0)</f>
        <v>1</v>
      </c>
      <c r="N159" s="2" t="s">
        <v>223</v>
      </c>
      <c r="O159" s="18" t="n">
        <f aca="false">Fee_line*O157+Cost_delay*O158</f>
        <v>0</v>
      </c>
    </row>
    <row r="160" customFormat="false" ht="15" hidden="false" customHeight="false" outlineLevel="0" collapsed="false">
      <c r="A160" s="21" t="n">
        <v>4</v>
      </c>
      <c r="B160" s="16" t="n">
        <v>1</v>
      </c>
      <c r="C160" s="18" t="n">
        <f aca="false">IF(B160=1,C159+Gap_share*(Eff_ceil-C159),C159)</f>
        <v>83.25</v>
      </c>
      <c r="D160" s="14" t="n">
        <f aca="false">Save_pt*(C160-Eff_0)</f>
        <v>122.5</v>
      </c>
      <c r="E160" s="22" t="n">
        <f aca="false">INDEX(Plan_years,A160+1)</f>
        <v>548.32544390802</v>
      </c>
      <c r="F160" s="18" t="n">
        <f aca="false">MAX(IF(B161=1,MAX((F161+Round_cost*B161-D161-(E161-E160)),Pre_cash),(F161+Round_cost*B161-D161-(E161-E160))),Floor_cash)</f>
        <v>350</v>
      </c>
      <c r="G160" s="18" t="n">
        <f aca="false">I159-Round_cost*B160+D160+(E160-E159)+$O$156</f>
        <v>510.401396231059</v>
      </c>
      <c r="H160" s="18" t="n">
        <f aca="false">MAX(0,G160-F160)</f>
        <v>160.401396231059</v>
      </c>
      <c r="I160" s="18" t="n">
        <f aca="false">G160-H160</f>
        <v>350</v>
      </c>
      <c r="J160" s="11" t="n">
        <f aca="false">Beta_y^A160</f>
        <v>0.683013455365071</v>
      </c>
      <c r="K160" s="18" t="n">
        <f aca="false">J160*H160</f>
        <v>109.556311885158</v>
      </c>
      <c r="L160" s="21" t="n">
        <f aca="false">IF(AND(I160&gt;=Floor_cash-0.000000001,IF(B160=1,I159&gt;=Pre_cash-0.000000001,TRUE())),1,0)</f>
        <v>1</v>
      </c>
      <c r="N160" s="2" t="s">
        <v>224</v>
      </c>
      <c r="O160" s="18" t="n">
        <f aca="false">SUM(K157:K162)+J162*D162/R_hurdle</f>
        <v>1047.63200800731</v>
      </c>
    </row>
    <row r="161" customFormat="false" ht="15" hidden="false" customHeight="false" outlineLevel="0" collapsed="false">
      <c r="A161" s="21" t="n">
        <v>5</v>
      </c>
      <c r="B161" s="16" t="n">
        <v>0</v>
      </c>
      <c r="C161" s="18" t="n">
        <f aca="false">IF(B161=1,C160+Gap_share*(Eff_ceil-C160),C160)</f>
        <v>83.25</v>
      </c>
      <c r="D161" s="14" t="n">
        <f aca="false">Save_pt*(C161-Eff_0)</f>
        <v>122.5</v>
      </c>
      <c r="E161" s="22" t="n">
        <f aca="false">INDEX(Plan_years,A161+1)</f>
        <v>584.632729102868</v>
      </c>
      <c r="F161" s="18" t="n">
        <f aca="false">MAX(IF(B162=1,MAX((F162+Round_cost*B162-D162-(E162-E161)),Pre_cash),(F162+Round_cost*B162-D162-(E162-E161))),Floor_cash)</f>
        <v>350</v>
      </c>
      <c r="G161" s="18" t="n">
        <f aca="false">I160-Round_cost*B161+D161+(E161-E160)</f>
        <v>508.807285194849</v>
      </c>
      <c r="H161" s="18" t="n">
        <f aca="false">MAX(0,G161-F161)</f>
        <v>158.807285194849</v>
      </c>
      <c r="I161" s="18" t="n">
        <f aca="false">G161-H161</f>
        <v>350</v>
      </c>
      <c r="J161" s="11" t="n">
        <f aca="false">Beta_y^A161</f>
        <v>0.620921323059155</v>
      </c>
      <c r="K161" s="18" t="n">
        <f aca="false">J161*H161</f>
        <v>98.606829634618</v>
      </c>
      <c r="L161" s="21" t="n">
        <f aca="false">IF(AND(I161&gt;=Floor_cash-0.000000001,IF(B161=1,I160&gt;=Pre_cash-0.000000001,TRUE())),1,0)</f>
        <v>1</v>
      </c>
      <c r="N161" s="2" t="s">
        <v>20</v>
      </c>
      <c r="O161" s="18" t="n">
        <f aca="false">O160-O159</f>
        <v>1047.63200800731</v>
      </c>
    </row>
    <row r="162" customFormat="false" ht="15" hidden="false" customHeight="false" outlineLevel="0" collapsed="false">
      <c r="A162" s="21" t="n">
        <v>6</v>
      </c>
      <c r="B162" s="16" t="n">
        <v>0</v>
      </c>
      <c r="C162" s="18" t="n">
        <f aca="false">IF(B162=1,C161+Gap_share*(Eff_ceil-C161),C161)</f>
        <v>83.25</v>
      </c>
      <c r="D162" s="14" t="n">
        <f aca="false">Save_pt*(C162-Eff_0)</f>
        <v>122.5</v>
      </c>
      <c r="E162" s="22" t="n">
        <f aca="false">INDEX(Plan_years,A162+1)</f>
        <v>614.80662622835</v>
      </c>
      <c r="F162" s="22" t="n">
        <f aca="false">End_cash</f>
        <v>470</v>
      </c>
      <c r="G162" s="18" t="n">
        <f aca="false">I161-Round_cost*B162+D162+(E162-E161)</f>
        <v>502.673897125482</v>
      </c>
      <c r="H162" s="18" t="n">
        <f aca="false">MAX(0,G162-F162)</f>
        <v>32.673897125482</v>
      </c>
      <c r="I162" s="18" t="n">
        <f aca="false">G162-H162</f>
        <v>470</v>
      </c>
      <c r="J162" s="11" t="n">
        <f aca="false">Beta_y^A162</f>
        <v>0.564473930053777</v>
      </c>
      <c r="K162" s="18" t="n">
        <f aca="false">J162*H162</f>
        <v>18.4435631205936</v>
      </c>
      <c r="L162" s="21" t="n">
        <f aca="false">IF(AND(I162&gt;=Floor_cash-0.000000001,IF(B162=1,I161&gt;=Pre_cash-0.000000001,TRUE()),I162&gt;=End_cash-0.000000001),1,0)</f>
        <v>1</v>
      </c>
      <c r="N162" s="2" t="s">
        <v>225</v>
      </c>
      <c r="O162" s="21" t="n">
        <f aca="false">IF(SUM(L159:L162)=4,1,0)</f>
        <v>1</v>
      </c>
    </row>
    <row r="166" customFormat="false" ht="15" hidden="false" customHeight="false" outlineLevel="0" collapsed="false">
      <c r="A166" s="4" t="s">
        <v>216</v>
      </c>
    </row>
    <row r="167" customFormat="false" ht="35.05" hidden="false" customHeight="false" outlineLevel="0" collapsed="false">
      <c r="A167" s="8" t="s">
        <v>106</v>
      </c>
      <c r="B167" s="8" t="s">
        <v>142</v>
      </c>
      <c r="C167" s="8" t="s">
        <v>108</v>
      </c>
      <c r="D167" s="8" t="s">
        <v>109</v>
      </c>
      <c r="E167" s="8" t="s">
        <v>218</v>
      </c>
      <c r="F167" s="8" t="s">
        <v>110</v>
      </c>
      <c r="G167" s="8" t="s">
        <v>111</v>
      </c>
      <c r="H167" s="8" t="s">
        <v>112</v>
      </c>
      <c r="I167" s="8" t="s">
        <v>219</v>
      </c>
      <c r="J167" s="8" t="s">
        <v>114</v>
      </c>
      <c r="K167" s="8" t="s">
        <v>115</v>
      </c>
      <c r="L167" s="8" t="s">
        <v>116</v>
      </c>
      <c r="N167" s="2" t="s">
        <v>220</v>
      </c>
      <c r="O167" s="23" t="n">
        <f aca="false">Sale_G</f>
        <v>92</v>
      </c>
    </row>
    <row r="168" customFormat="false" ht="15" hidden="false" customHeight="false" outlineLevel="0" collapsed="false">
      <c r="A168" s="21" t="n">
        <v>0</v>
      </c>
      <c r="C168" s="22" t="n">
        <f aca="false">Eff_0</f>
        <v>71</v>
      </c>
      <c r="E168" s="22" t="n">
        <f aca="false">INDEX(Plan_years,A168+1)</f>
        <v>620</v>
      </c>
      <c r="N168" s="2" t="s">
        <v>221</v>
      </c>
      <c r="O168" s="13" t="n">
        <v>0</v>
      </c>
    </row>
    <row r="169" customFormat="false" ht="15" hidden="false" customHeight="false" outlineLevel="0" collapsed="false">
      <c r="A169" s="21" t="n">
        <v>1</v>
      </c>
      <c r="B169" s="16" t="n">
        <v>1</v>
      </c>
      <c r="C169" s="18" t="n">
        <f aca="false">IF(B169=1,C168+Gap_share*(Eff_ceil-C168),C168)</f>
        <v>78</v>
      </c>
      <c r="D169" s="14" t="n">
        <f aca="false">Save_pt*(C169-Eff_0)</f>
        <v>70</v>
      </c>
      <c r="E169" s="22" t="n">
        <f aca="false">INDEX(Plan_years,A169+1)</f>
        <v>498.862199828157</v>
      </c>
      <c r="H169" s="23" t="n">
        <f aca="false">Chapter5!G6</f>
        <v>85</v>
      </c>
      <c r="J169" s="11" t="n">
        <f aca="false">Beta_y^A169</f>
        <v>0.909090909090909</v>
      </c>
      <c r="K169" s="18" t="n">
        <f aca="false">J169*H169</f>
        <v>77.2727272727273</v>
      </c>
      <c r="N169" s="2" t="s">
        <v>185</v>
      </c>
      <c r="O169" s="25" t="n">
        <v>165</v>
      </c>
    </row>
    <row r="170" customFormat="false" ht="15" hidden="false" customHeight="false" outlineLevel="0" collapsed="false">
      <c r="A170" s="21" t="n">
        <v>2</v>
      </c>
      <c r="B170" s="16" t="n">
        <v>1</v>
      </c>
      <c r="C170" s="18" t="n">
        <f aca="false">IF(B170=1,C169+Gap_share*(Eff_ceil-C169),C169)</f>
        <v>81.5</v>
      </c>
      <c r="D170" s="14" t="n">
        <f aca="false">Save_pt*(C170-Eff_0)</f>
        <v>105</v>
      </c>
      <c r="E170" s="22" t="n">
        <f aca="false">INDEX(Plan_years,A170+1)</f>
        <v>483.854053397919</v>
      </c>
      <c r="H170" s="13" t="n">
        <v>0</v>
      </c>
      <c r="J170" s="11" t="n">
        <f aca="false">Beta_y^A170</f>
        <v>0.826446280991735</v>
      </c>
      <c r="K170" s="18" t="n">
        <f aca="false">J170*H170</f>
        <v>0</v>
      </c>
      <c r="N170" s="2" t="s">
        <v>222</v>
      </c>
      <c r="O170" s="26" t="n">
        <v>5.63362627768965</v>
      </c>
    </row>
    <row r="171" customFormat="false" ht="15" hidden="false" customHeight="false" outlineLevel="0" collapsed="false">
      <c r="A171" s="21" t="n">
        <v>3</v>
      </c>
      <c r="B171" s="16" t="n">
        <v>1</v>
      </c>
      <c r="C171" s="18" t="n">
        <f aca="false">IF(B171=1,C170+Gap_share*(Eff_ceil-C170),C170)</f>
        <v>83.25</v>
      </c>
      <c r="D171" s="14" t="n">
        <f aca="false">Save_pt*(C171-Eff_0)</f>
        <v>122.5</v>
      </c>
      <c r="E171" s="22" t="n">
        <f aca="false">INDEX(Plan_years,A171+1)</f>
        <v>510.42404767696</v>
      </c>
      <c r="F171" s="18" t="n">
        <f aca="false">MAX(IF(B172=1,MAX((F172+Round_cost*B172-D172-(E172-E171)-$O$168),Pre_cash),(F172+Round_cost*B172-D172-(E172-E171)-$O$168)),Floor_cash)</f>
        <v>350</v>
      </c>
      <c r="G171" s="18" t="n">
        <f aca="false">E171+$O$167+SUMPRODUCT(-Round_cost*B169:B171+D169:D171)-H169-H170</f>
        <v>454.92404767696</v>
      </c>
      <c r="H171" s="18" t="n">
        <f aca="false">MAX(0,G171-F171)</f>
        <v>104.92404767696</v>
      </c>
      <c r="I171" s="18" t="n">
        <f aca="false">G171-H171</f>
        <v>350</v>
      </c>
      <c r="J171" s="11" t="n">
        <f aca="false">Beta_y^A171</f>
        <v>0.751314800901578</v>
      </c>
      <c r="K171" s="18" t="n">
        <f aca="false">J171*H171</f>
        <v>78.8309899902031</v>
      </c>
      <c r="L171" s="21" t="n">
        <f aca="false">IF(AND(I171&gt;=Floor_cash-0.000000001),1,0)</f>
        <v>1</v>
      </c>
      <c r="N171" s="2" t="s">
        <v>223</v>
      </c>
      <c r="O171" s="18" t="n">
        <f aca="false">Fee_line*O169+Cost_delay*O170</f>
        <v>50.0190102215172</v>
      </c>
    </row>
    <row r="172" customFormat="false" ht="15" hidden="false" customHeight="false" outlineLevel="0" collapsed="false">
      <c r="A172" s="21" t="n">
        <v>4</v>
      </c>
      <c r="B172" s="16" t="n">
        <v>0</v>
      </c>
      <c r="C172" s="18" t="n">
        <f aca="false">IF(B172=1,C171+Gap_share*(Eff_ceil-C171),C171)</f>
        <v>83.25</v>
      </c>
      <c r="D172" s="14" t="n">
        <f aca="false">Save_pt*(C172-Eff_0)</f>
        <v>122.5</v>
      </c>
      <c r="E172" s="22" t="n">
        <f aca="false">INDEX(Plan_years,A172+1)</f>
        <v>548.32544390802</v>
      </c>
      <c r="F172" s="18" t="n">
        <f aca="false">MAX(IF(B173=1,MAX((F173+Round_cost*B173-D173-(E173-E172)),Pre_cash),(F173+Round_cost*B173-D173-(E173-E172))),Floor_cash)</f>
        <v>350</v>
      </c>
      <c r="G172" s="18" t="n">
        <f aca="false">I171-Round_cost*B172+D172+(E172-E171)+$O$168</f>
        <v>510.401396231059</v>
      </c>
      <c r="H172" s="18" t="n">
        <f aca="false">MAX(0,G172-F172)</f>
        <v>160.401396231059</v>
      </c>
      <c r="I172" s="18" t="n">
        <f aca="false">G172-H172</f>
        <v>350</v>
      </c>
      <c r="J172" s="11" t="n">
        <f aca="false">Beta_y^A172</f>
        <v>0.683013455365071</v>
      </c>
      <c r="K172" s="18" t="n">
        <f aca="false">J172*H172</f>
        <v>109.556311885158</v>
      </c>
      <c r="L172" s="21" t="n">
        <f aca="false">IF(AND(I172&gt;=Floor_cash-0.000000001,IF(B172=1,I171&gt;=Pre_cash-0.000000001,TRUE())),1,0)</f>
        <v>1</v>
      </c>
      <c r="N172" s="2" t="s">
        <v>224</v>
      </c>
      <c r="O172" s="18" t="n">
        <f aca="false">SUM(K169:K174)+J174*D174/R_hurdle</f>
        <v>1074.19098621918</v>
      </c>
    </row>
    <row r="173" customFormat="false" ht="15" hidden="false" customHeight="false" outlineLevel="0" collapsed="false">
      <c r="A173" s="21" t="n">
        <v>5</v>
      </c>
      <c r="B173" s="16" t="n">
        <v>0</v>
      </c>
      <c r="C173" s="18" t="n">
        <f aca="false">IF(B173=1,C172+Gap_share*(Eff_ceil-C172),C172)</f>
        <v>83.25</v>
      </c>
      <c r="D173" s="14" t="n">
        <f aca="false">Save_pt*(C173-Eff_0)</f>
        <v>122.5</v>
      </c>
      <c r="E173" s="22" t="n">
        <f aca="false">INDEX(Plan_years,A173+1)</f>
        <v>584.632729102868</v>
      </c>
      <c r="F173" s="18" t="n">
        <f aca="false">MAX(IF(B174=1,MAX((F174+Round_cost*B174-D174-(E174-E173)),Pre_cash),(F174+Round_cost*B174-D174-(E174-E173))),Floor_cash)</f>
        <v>350</v>
      </c>
      <c r="G173" s="18" t="n">
        <f aca="false">I172-Round_cost*B173+D173+(E173-E172)</f>
        <v>508.807285194849</v>
      </c>
      <c r="H173" s="18" t="n">
        <f aca="false">MAX(0,G173-F173)</f>
        <v>158.807285194849</v>
      </c>
      <c r="I173" s="18" t="n">
        <f aca="false">G173-H173</f>
        <v>350</v>
      </c>
      <c r="J173" s="11" t="n">
        <f aca="false">Beta_y^A173</f>
        <v>0.620921323059155</v>
      </c>
      <c r="K173" s="18" t="n">
        <f aca="false">J173*H173</f>
        <v>98.606829634618</v>
      </c>
      <c r="L173" s="21" t="n">
        <f aca="false">IF(AND(I173&gt;=Floor_cash-0.000000001,IF(B173=1,I172&gt;=Pre_cash-0.000000001,TRUE())),1,0)</f>
        <v>1</v>
      </c>
      <c r="N173" s="2" t="s">
        <v>20</v>
      </c>
      <c r="O173" s="18" t="n">
        <f aca="false">O172-O171</f>
        <v>1024.17197599766</v>
      </c>
    </row>
    <row r="174" customFormat="false" ht="15" hidden="false" customHeight="false" outlineLevel="0" collapsed="false">
      <c r="A174" s="21" t="n">
        <v>6</v>
      </c>
      <c r="B174" s="16" t="n">
        <v>0</v>
      </c>
      <c r="C174" s="18" t="n">
        <f aca="false">IF(B174=1,C173+Gap_share*(Eff_ceil-C173),C173)</f>
        <v>83.25</v>
      </c>
      <c r="D174" s="14" t="n">
        <f aca="false">Save_pt*(C174-Eff_0)</f>
        <v>122.5</v>
      </c>
      <c r="E174" s="22" t="n">
        <f aca="false">INDEX(Plan_years,A174+1)</f>
        <v>614.80662622835</v>
      </c>
      <c r="F174" s="22" t="n">
        <f aca="false">End_cash</f>
        <v>470</v>
      </c>
      <c r="G174" s="18" t="n">
        <f aca="false">I173-Round_cost*B174+D174+(E174-E173)</f>
        <v>502.673897125482</v>
      </c>
      <c r="H174" s="18" t="n">
        <f aca="false">MAX(0,G174-F174)</f>
        <v>32.673897125482</v>
      </c>
      <c r="I174" s="18" t="n">
        <f aca="false">G174-H174</f>
        <v>470</v>
      </c>
      <c r="J174" s="11" t="n">
        <f aca="false">Beta_y^A174</f>
        <v>0.564473930053777</v>
      </c>
      <c r="K174" s="18" t="n">
        <f aca="false">J174*H174</f>
        <v>18.4435631205936</v>
      </c>
      <c r="L174" s="21" t="n">
        <f aca="false">IF(AND(I174&gt;=Floor_cash-0.000000001,IF(B174=1,I173&gt;=Pre_cash-0.000000001,TRUE()),I174&gt;=End_cash-0.000000001),1,0)</f>
        <v>1</v>
      </c>
      <c r="N174" s="2" t="s">
        <v>225</v>
      </c>
      <c r="O174" s="21" t="n">
        <f aca="false">IF(SUM(L171:L174)=4,1,0)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6"/>
    <col collapsed="false" customWidth="true" hidden="false" outlineLevel="0" max="5" min="4" style="0" width="12"/>
  </cols>
  <sheetData>
    <row r="1" customFormat="false" ht="15" hidden="false" customHeight="false" outlineLevel="0" collapsed="false">
      <c r="A1" s="1" t="s">
        <v>228</v>
      </c>
    </row>
    <row r="2" customFormat="false" ht="15" hidden="false" customHeight="false" outlineLevel="0" collapsed="false">
      <c r="A2" s="10" t="s">
        <v>229</v>
      </c>
    </row>
    <row r="3" customFormat="false" ht="15" hidden="false" customHeight="false" outlineLevel="0" collapsed="false">
      <c r="A3" s="8" t="s">
        <v>230</v>
      </c>
      <c r="B3" s="8" t="s">
        <v>20</v>
      </c>
      <c r="C3" s="8" t="s">
        <v>166</v>
      </c>
    </row>
    <row r="4" customFormat="false" ht="15" hidden="false" customHeight="false" outlineLevel="0" collapsed="false">
      <c r="A4" s="2" t="s">
        <v>231</v>
      </c>
      <c r="B4" s="22" t="n">
        <f aca="false">Programs!O27</f>
        <v>21.3718597352414</v>
      </c>
      <c r="C4" s="10" t="s">
        <v>232</v>
      </c>
    </row>
    <row r="5" customFormat="false" ht="15" hidden="false" customHeight="false" outlineLevel="0" collapsed="false">
      <c r="A5" s="2" t="s">
        <v>117</v>
      </c>
      <c r="B5" s="18" t="n">
        <f aca="false">SUM(Programs!K25:K30)</f>
        <v>369.299452707207</v>
      </c>
      <c r="C5" s="10" t="s">
        <v>233</v>
      </c>
    </row>
    <row r="6" customFormat="false" ht="15" hidden="false" customHeight="false" outlineLevel="0" collapsed="false">
      <c r="A6" s="2" t="s">
        <v>234</v>
      </c>
      <c r="B6" s="18" t="n">
        <f aca="false">Programs!J30*Programs!D30/R_hurdle</f>
        <v>691.480564315877</v>
      </c>
    </row>
    <row r="7" customFormat="false" ht="15" hidden="false" customHeight="false" outlineLevel="0" collapsed="false">
      <c r="A7" s="2" t="s">
        <v>20</v>
      </c>
      <c r="B7" s="18" t="n">
        <f aca="false">B5+B6-B4</f>
        <v>1039.40815728784</v>
      </c>
      <c r="C7" s="10" t="s">
        <v>235</v>
      </c>
    </row>
    <row r="9" customFormat="false" ht="15" hidden="false" customHeight="false" outlineLevel="0" collapsed="false">
      <c r="A9" s="8" t="s">
        <v>236</v>
      </c>
      <c r="B9" s="8" t="s">
        <v>20</v>
      </c>
      <c r="C9" s="8" t="s">
        <v>166</v>
      </c>
    </row>
    <row r="10" customFormat="false" ht="15" hidden="false" customHeight="false" outlineLevel="0" collapsed="false">
      <c r="A10" s="2" t="s">
        <v>237</v>
      </c>
      <c r="B10" s="22" t="n">
        <f aca="false">Programs!O125</f>
        <v>938.948935124298</v>
      </c>
      <c r="C10" s="10" t="s">
        <v>238</v>
      </c>
    </row>
    <row r="11" customFormat="false" ht="15" hidden="false" customHeight="false" outlineLevel="0" collapsed="false">
      <c r="A11" s="2" t="s">
        <v>239</v>
      </c>
      <c r="B11" s="22" t="n">
        <f aca="false">Programs!O123</f>
        <v>52.7101202158408</v>
      </c>
      <c r="C11" s="10" t="s">
        <v>240</v>
      </c>
    </row>
    <row r="12" customFormat="false" ht="15" hidden="false" customHeight="false" outlineLevel="0" collapsed="false">
      <c r="A12" s="2" t="s">
        <v>241</v>
      </c>
      <c r="B12" s="22" t="n">
        <f aca="false">Programs!O137</f>
        <v>1001.78617301788</v>
      </c>
      <c r="C12" s="10" t="s">
        <v>242</v>
      </c>
    </row>
    <row r="13" customFormat="false" ht="15" hidden="false" customHeight="false" outlineLevel="0" collapsed="false">
      <c r="A13" s="2" t="s">
        <v>243</v>
      </c>
      <c r="B13" s="18" t="n">
        <f aca="false">B7-B10</f>
        <v>100.459222163545</v>
      </c>
      <c r="C13" s="10" t="s">
        <v>244</v>
      </c>
    </row>
    <row r="14" customFormat="false" ht="15" hidden="false" customHeight="false" outlineLevel="0" collapsed="false">
      <c r="A14" s="2" t="s">
        <v>245</v>
      </c>
      <c r="B14" s="18" t="n">
        <f aca="false">Sale_G*Beta_y^3</f>
        <v>69.1209616829452</v>
      </c>
      <c r="C14" s="10" t="s">
        <v>246</v>
      </c>
    </row>
    <row r="15" customFormat="false" ht="15" hidden="false" customHeight="false" outlineLevel="0" collapsed="false">
      <c r="A15" s="2" t="s">
        <v>247</v>
      </c>
      <c r="B15" s="18" t="n">
        <f aca="false">B11-B4</f>
        <v>31.3382604805994</v>
      </c>
      <c r="C15" s="10" t="s">
        <v>248</v>
      </c>
    </row>
    <row r="16" customFormat="false" ht="15" hidden="false" customHeight="false" outlineLevel="0" collapsed="false">
      <c r="A16" s="2" t="s">
        <v>249</v>
      </c>
      <c r="B16" s="18" t="n">
        <f aca="false">B14+B15</f>
        <v>100.459222163545</v>
      </c>
      <c r="C16" s="10" t="s">
        <v>250</v>
      </c>
    </row>
    <row r="17" customFormat="false" ht="15" hidden="false" customHeight="false" outlineLevel="0" collapsed="false">
      <c r="A17" s="2" t="s">
        <v>251</v>
      </c>
      <c r="B17" s="18" t="n">
        <f aca="false">B7-B12</f>
        <v>37.6219842699582</v>
      </c>
      <c r="C17" s="10" t="s">
        <v>252</v>
      </c>
    </row>
    <row r="18" customFormat="false" ht="15" hidden="false" customHeight="false" outlineLevel="0" collapsed="false">
      <c r="A18" s="2" t="s">
        <v>253</v>
      </c>
      <c r="B18" s="18" t="n">
        <f aca="false">Sale_G*(Beta_y^3-Beta_y^4)+B15</f>
        <v>37.6219842699581</v>
      </c>
    </row>
    <row r="20" customFormat="false" ht="15" hidden="false" customHeight="false" outlineLevel="0" collapsed="false">
      <c r="A20" s="8" t="s">
        <v>254</v>
      </c>
      <c r="B20" s="8" t="s">
        <v>185</v>
      </c>
      <c r="C20" s="8" t="s">
        <v>186</v>
      </c>
      <c r="D20" s="8" t="s">
        <v>187</v>
      </c>
      <c r="E20" s="8" t="s">
        <v>20</v>
      </c>
    </row>
    <row r="21" customFormat="false" ht="15" hidden="false" customHeight="false" outlineLevel="0" collapsed="false">
      <c r="A21" s="27" t="n">
        <v>0.045</v>
      </c>
      <c r="B21" s="25" t="n">
        <v>165</v>
      </c>
      <c r="C21" s="26" t="n">
        <v>2.17559448675082</v>
      </c>
      <c r="D21" s="18" t="n">
        <f aca="false">Fee_line*B21+Cost_delay*C21</f>
        <v>22.3547558940065</v>
      </c>
      <c r="E21" s="18" t="n">
        <f aca="false">Programs!O28-D21</f>
        <v>1038.42526112908</v>
      </c>
    </row>
    <row r="22" customFormat="false" ht="15" hidden="false" customHeight="false" outlineLevel="0" collapsed="false">
      <c r="A22" s="27" t="n">
        <v>0.055</v>
      </c>
      <c r="B22" s="25" t="n">
        <v>170</v>
      </c>
      <c r="C22" s="26" t="n">
        <v>1.92833463971569</v>
      </c>
      <c r="D22" s="18" t="n">
        <f aca="false">Fee_line*B22+Cost_delay*C22</f>
        <v>20.5266771177255</v>
      </c>
      <c r="E22" s="18" t="n">
        <f aca="false">Programs!O28-D22</f>
        <v>1040.25333990536</v>
      </c>
    </row>
    <row r="23" customFormat="false" ht="15" hidden="false" customHeight="false" outlineLevel="0" collapsed="false">
      <c r="A23" s="2" t="s">
        <v>255</v>
      </c>
      <c r="E23" s="12" t="n">
        <f aca="false">(E22-E21)/((A22-A21)*100)</f>
        <v>1.82807877628102</v>
      </c>
    </row>
    <row r="25" customFormat="false" ht="15" hidden="false" customHeight="false" outlineLevel="0" collapsed="false">
      <c r="A25" s="8" t="s">
        <v>256</v>
      </c>
      <c r="B25" s="8" t="s">
        <v>185</v>
      </c>
      <c r="C25" s="8" t="s">
        <v>186</v>
      </c>
      <c r="D25" s="8" t="s">
        <v>187</v>
      </c>
      <c r="E25" s="8" t="s">
        <v>166</v>
      </c>
    </row>
    <row r="26" customFormat="false" ht="15" hidden="false" customHeight="false" outlineLevel="0" collapsed="false">
      <c r="A26" s="27" t="n">
        <v>0.045</v>
      </c>
      <c r="B26" s="25" t="n">
        <v>165</v>
      </c>
      <c r="C26" s="26" t="n">
        <v>0.804813041527931</v>
      </c>
      <c r="D26" s="18" t="n">
        <f aca="false">Fee_line*B26+Cost_delay*C26</f>
        <v>11.3885043322234</v>
      </c>
    </row>
    <row r="27" customFormat="false" ht="15" hidden="false" customHeight="false" outlineLevel="0" collapsed="false">
      <c r="A27" s="27" t="n">
        <v>0.055</v>
      </c>
      <c r="B27" s="25" t="n">
        <v>165</v>
      </c>
      <c r="C27" s="26" t="n">
        <v>0.578936193444825</v>
      </c>
      <c r="D27" s="18" t="n">
        <f aca="false">Fee_line*B27+Cost_delay*C27</f>
        <v>9.5814895475586</v>
      </c>
    </row>
    <row r="28" customFormat="false" ht="15" hidden="false" customHeight="false" outlineLevel="0" collapsed="false">
      <c r="A28" s="2" t="s">
        <v>257</v>
      </c>
      <c r="D28" s="12" t="n">
        <f aca="false">(D26-D27)/((A27-A26)*100)</f>
        <v>1.80701478466484</v>
      </c>
      <c r="E28" s="10" t="s">
        <v>258</v>
      </c>
    </row>
    <row r="30" customFormat="false" ht="15" hidden="false" customHeight="false" outlineLevel="0" collapsed="false">
      <c r="A30" s="8" t="s">
        <v>259</v>
      </c>
      <c r="B30" s="8" t="s">
        <v>20</v>
      </c>
      <c r="C30" s="8" t="s">
        <v>166</v>
      </c>
    </row>
    <row r="31" customFormat="false" ht="15" hidden="false" customHeight="false" outlineLevel="0" collapsed="false">
      <c r="A31" s="2" t="s">
        <v>260</v>
      </c>
      <c r="B31" s="28" t="n">
        <v>0.05</v>
      </c>
      <c r="C31" s="10" t="s">
        <v>261</v>
      </c>
    </row>
    <row r="32" customFormat="false" ht="15" hidden="false" customHeight="false" outlineLevel="0" collapsed="false">
      <c r="A32" s="2" t="s">
        <v>262</v>
      </c>
      <c r="B32" s="28" t="n">
        <v>0.04915</v>
      </c>
    </row>
    <row r="33" customFormat="false" ht="15" hidden="false" customHeight="false" outlineLevel="0" collapsed="false">
      <c r="A33" s="2" t="s">
        <v>263</v>
      </c>
      <c r="B33" s="28" t="n">
        <v>0.04825</v>
      </c>
    </row>
    <row r="34" customFormat="false" ht="15" hidden="false" customHeight="false" outlineLevel="0" collapsed="false">
      <c r="A34" s="2" t="s">
        <v>264</v>
      </c>
      <c r="B34" s="28" t="n">
        <v>0.06018</v>
      </c>
    </row>
    <row r="35" customFormat="false" ht="15" hidden="false" customHeight="false" outlineLevel="0" collapsed="false">
      <c r="A35" s="2" t="s">
        <v>265</v>
      </c>
      <c r="B35" s="28" t="n">
        <v>0.05561</v>
      </c>
    </row>
    <row r="36" customFormat="false" ht="15" hidden="false" customHeight="false" outlineLevel="0" collapsed="false">
      <c r="A36" s="2" t="s">
        <v>266</v>
      </c>
      <c r="B36" s="13" t="n">
        <v>5</v>
      </c>
    </row>
    <row r="37" customFormat="false" ht="15" hidden="false" customHeight="false" outlineLevel="0" collapsed="false">
      <c r="A37" s="2" t="s">
        <v>267</v>
      </c>
      <c r="B37" s="9" t="n">
        <v>0.05</v>
      </c>
    </row>
    <row r="38" customFormat="false" ht="15" hidden="false" customHeight="false" outlineLevel="0" collapsed="false">
      <c r="A38" s="2" t="s">
        <v>268</v>
      </c>
      <c r="B38" s="13" t="n">
        <v>5</v>
      </c>
    </row>
    <row r="39" customFormat="false" ht="15" hidden="false" customHeight="false" outlineLevel="0" collapsed="false">
      <c r="A39" s="2" t="s">
        <v>269</v>
      </c>
      <c r="B39" s="12" t="n">
        <f aca="false">Fee_line*B36/(100*(B31-B32))</f>
        <v>1.76470588235293</v>
      </c>
      <c r="C39" s="10" t="s">
        <v>270</v>
      </c>
    </row>
    <row r="40" customFormat="false" ht="15" hidden="false" customHeight="false" outlineLevel="0" collapsed="false">
      <c r="A40" s="2" t="s">
        <v>271</v>
      </c>
      <c r="B40" s="12" t="n">
        <f aca="false">Cost_delay*B37/(100*(B31-B33))</f>
        <v>2.28571428571428</v>
      </c>
      <c r="C40" s="10" t="s">
        <v>272</v>
      </c>
    </row>
    <row r="41" customFormat="false" ht="15" hidden="false" customHeight="false" outlineLevel="0" collapsed="false">
      <c r="A41" s="2" t="s">
        <v>273</v>
      </c>
      <c r="B41" s="19" t="n">
        <f aca="false">Beta_y-Beta_y^3</f>
        <v>0.157776108189331</v>
      </c>
      <c r="C41" s="10" t="s">
        <v>274</v>
      </c>
    </row>
    <row r="42" customFormat="false" ht="15" hidden="false" customHeight="false" outlineLevel="0" collapsed="false">
      <c r="A42" s="2" t="s">
        <v>275</v>
      </c>
      <c r="B42" s="19" t="n">
        <f aca="false">100*(B34-B31)/B38</f>
        <v>0.2036</v>
      </c>
      <c r="C42" s="10" t="s">
        <v>276</v>
      </c>
    </row>
    <row r="43" customFormat="false" ht="15" hidden="false" customHeight="false" outlineLevel="0" collapsed="false">
      <c r="A43" s="2" t="s">
        <v>277</v>
      </c>
      <c r="B43" s="12" t="n">
        <f aca="false">B38*B41/(100*(B34-B31))</f>
        <v>0.774931769102807</v>
      </c>
      <c r="C43" s="10" t="s">
        <v>278</v>
      </c>
    </row>
    <row r="44" customFormat="false" ht="15" hidden="false" customHeight="false" outlineLevel="0" collapsed="false">
      <c r="A44" s="2" t="s">
        <v>279</v>
      </c>
      <c r="B44" s="19" t="n">
        <f aca="false">Beta_y^2-Beta_y^3</f>
        <v>0.0751314800901578</v>
      </c>
    </row>
    <row r="45" customFormat="false" ht="15" hidden="false" customHeight="false" outlineLevel="0" collapsed="false">
      <c r="A45" s="2" t="s">
        <v>280</v>
      </c>
      <c r="B45" s="12" t="n">
        <f aca="false">B38*B44/(100*(B35-B31))</f>
        <v>0.669621034671639</v>
      </c>
      <c r="C45" s="10" t="s">
        <v>281</v>
      </c>
    </row>
    <row r="46" customFormat="false" ht="15" hidden="false" customHeight="false" outlineLevel="0" collapsed="false">
      <c r="A46" s="2" t="s">
        <v>282</v>
      </c>
      <c r="B46" s="21" t="n">
        <f aca="false">IF(AND(B43&lt;E23,B45&lt;E23),1,0)</f>
        <v>1</v>
      </c>
      <c r="C46" s="10" t="s">
        <v>283</v>
      </c>
    </row>
    <row r="48" customFormat="false" ht="15" hidden="false" customHeight="false" outlineLevel="0" collapsed="false">
      <c r="A48" s="8" t="s">
        <v>284</v>
      </c>
      <c r="B48" s="8" t="s">
        <v>20</v>
      </c>
      <c r="C48" s="8" t="s">
        <v>166</v>
      </c>
    </row>
    <row r="49" customFormat="false" ht="15" hidden="false" customHeight="false" outlineLevel="0" collapsed="false">
      <c r="A49" s="2" t="s">
        <v>285</v>
      </c>
      <c r="B49" s="22" t="n">
        <f aca="false">Programs!O149</f>
        <v>1040.49618696716</v>
      </c>
      <c r="C49" s="10" t="s">
        <v>286</v>
      </c>
    </row>
    <row r="50" customFormat="false" ht="15" hidden="false" customHeight="false" outlineLevel="0" collapsed="false">
      <c r="A50" s="2" t="s">
        <v>287</v>
      </c>
      <c r="B50" s="19" t="n">
        <f aca="false">B49-B7</f>
        <v>1.08802967932206</v>
      </c>
      <c r="C50" s="10" t="s">
        <v>288</v>
      </c>
    </row>
    <row r="51" customFormat="false" ht="15" hidden="false" customHeight="false" outlineLevel="0" collapsed="false">
      <c r="A51" s="2" t="s">
        <v>289</v>
      </c>
      <c r="B51" s="19" t="n">
        <f aca="false">Beta_y^3</f>
        <v>0.751314800901578</v>
      </c>
      <c r="C51" s="10" t="s">
        <v>290</v>
      </c>
    </row>
    <row r="52" customFormat="false" ht="15" hidden="false" customHeight="false" outlineLevel="0" collapsed="false">
      <c r="A52" s="2" t="s">
        <v>291</v>
      </c>
      <c r="B52" s="19" t="n">
        <f aca="false">B4-Programs!O147</f>
        <v>0.33671487842048</v>
      </c>
      <c r="C52" s="10" t="s">
        <v>292</v>
      </c>
    </row>
    <row r="54" customFormat="false" ht="15" hidden="false" customHeight="false" outlineLevel="0" collapsed="false">
      <c r="A54" s="8" t="s">
        <v>293</v>
      </c>
      <c r="B54" s="8" t="s">
        <v>20</v>
      </c>
      <c r="C54" s="8" t="s">
        <v>166</v>
      </c>
    </row>
    <row r="55" customFormat="false" ht="15" hidden="false" customHeight="false" outlineLevel="0" collapsed="false">
      <c r="A55" s="2" t="s">
        <v>294</v>
      </c>
      <c r="B55" s="22" t="n">
        <f aca="false">Cap_price</f>
        <v>3.9</v>
      </c>
      <c r="C55" s="10" t="s">
        <v>295</v>
      </c>
    </row>
    <row r="56" customFormat="false" ht="15" hidden="false" customHeight="false" outlineLevel="0" collapsed="false">
      <c r="A56" s="2" t="s">
        <v>296</v>
      </c>
      <c r="B56" s="18" t="n">
        <f aca="false">Cap_price*SUMPRODUCT(Programs!B25:B30,Programs!J25:J30)/Beta_y</f>
        <v>10.6685950413223</v>
      </c>
      <c r="C56" s="10" t="s">
        <v>297</v>
      </c>
    </row>
    <row r="57" customFormat="false" ht="15" hidden="false" customHeight="false" outlineLevel="0" collapsed="false">
      <c r="A57" s="2" t="s">
        <v>298</v>
      </c>
      <c r="B57" s="18" t="n">
        <f aca="false">Cap_price*SUMPRODUCT(Programs!B37:B42,Programs!J37:J42)/Beta_y</f>
        <v>10.3755822689707</v>
      </c>
      <c r="C57" s="10" t="s">
        <v>299</v>
      </c>
    </row>
    <row r="59" customFormat="false" ht="15" hidden="false" customHeight="false" outlineLevel="0" collapsed="false">
      <c r="A59" s="8" t="s">
        <v>300</v>
      </c>
      <c r="B59" s="8" t="s">
        <v>20</v>
      </c>
      <c r="C59" s="8" t="s">
        <v>166</v>
      </c>
    </row>
    <row r="60" customFormat="false" ht="15" hidden="false" customHeight="false" outlineLevel="0" collapsed="false">
      <c r="A60" s="2" t="s">
        <v>301</v>
      </c>
      <c r="B60" s="22" t="n">
        <f aca="false">Programs!O171</f>
        <v>50.0190102215172</v>
      </c>
      <c r="C60" s="10" t="s">
        <v>302</v>
      </c>
    </row>
    <row r="61" customFormat="false" ht="15" hidden="false" customHeight="false" outlineLevel="0" collapsed="false">
      <c r="A61" s="2" t="s">
        <v>303</v>
      </c>
      <c r="B61" s="22" t="n">
        <f aca="false">Programs!O173</f>
        <v>1024.17197599766</v>
      </c>
    </row>
    <row r="62" customFormat="false" ht="15" hidden="false" customHeight="false" outlineLevel="0" collapsed="false">
      <c r="A62" s="2" t="s">
        <v>304</v>
      </c>
      <c r="B62" s="18" t="n">
        <f aca="false">B7-B61</f>
        <v>15.2361812901825</v>
      </c>
      <c r="C62" s="10"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3" min="2" style="0" width="14"/>
    <col collapsed="false" customWidth="true" hidden="false" outlineLevel="0" max="4" min="4" style="0" width="18"/>
    <col collapsed="false" customWidth="true" hidden="false" outlineLevel="0" max="5" min="5" style="0" width="14"/>
    <col collapsed="false" customWidth="true" hidden="false" outlineLevel="0" max="6" min="6" style="0" width="11"/>
    <col collapsed="false" customWidth="true" hidden="false" outlineLevel="0" max="7" min="7" style="0" width="12"/>
  </cols>
  <sheetData>
    <row r="1" customFormat="false" ht="15" hidden="false" customHeight="false" outlineLevel="0" collapsed="false">
      <c r="A1" s="1" t="s">
        <v>306</v>
      </c>
    </row>
    <row r="2" customFormat="false" ht="15" hidden="false" customHeight="false" outlineLevel="0" collapsed="false">
      <c r="A2" s="10" t="s">
        <v>307</v>
      </c>
    </row>
    <row r="3" customFormat="false" ht="15" hidden="false" customHeight="false" outlineLevel="0" collapsed="false">
      <c r="A3" s="2" t="s">
        <v>308</v>
      </c>
      <c r="B3" s="22" t="n">
        <f aca="false">Programs!O28</f>
        <v>1060.78001702308</v>
      </c>
      <c r="C3" s="10" t="s">
        <v>309</v>
      </c>
    </row>
    <row r="4" customFormat="false" ht="15" hidden="false" customHeight="false" outlineLevel="0" collapsed="false">
      <c r="A4" s="2" t="s">
        <v>310</v>
      </c>
      <c r="B4" s="22" t="n">
        <f aca="false">Programs!O160</f>
        <v>1047.63200800731</v>
      </c>
    </row>
    <row r="6" customFormat="false" ht="23.85" hidden="false" customHeight="false" outlineLevel="0" collapsed="false">
      <c r="A6" s="8" t="s">
        <v>311</v>
      </c>
      <c r="B6" s="8" t="s">
        <v>185</v>
      </c>
      <c r="C6" s="8" t="s">
        <v>186</v>
      </c>
      <c r="D6" s="8" t="s">
        <v>312</v>
      </c>
      <c r="E6" s="8" t="s">
        <v>313</v>
      </c>
      <c r="F6" s="8" t="s">
        <v>187</v>
      </c>
      <c r="G6" s="8" t="s">
        <v>20</v>
      </c>
    </row>
    <row r="7" customFormat="false" ht="15" hidden="false" customHeight="false" outlineLevel="0" collapsed="false">
      <c r="A7" s="16" t="n">
        <v>380</v>
      </c>
      <c r="B7" s="25" t="n">
        <v>165</v>
      </c>
      <c r="C7" s="26" t="n">
        <v>2.04001302731954</v>
      </c>
      <c r="D7" s="28" t="n">
        <v>0.99723</v>
      </c>
      <c r="E7" s="28" t="n">
        <v>0.05</v>
      </c>
      <c r="F7" s="18" t="n">
        <f aca="false">Fee_line*B7+Cost_delay*C7</f>
        <v>21.2701042185563</v>
      </c>
      <c r="G7" s="18" t="n">
        <f aca="false">D7*$B$3+(1-D7)*$B$4-F7</f>
        <v>1039.47349281955</v>
      </c>
    </row>
    <row r="8" customFormat="false" ht="15" hidden="false" customHeight="false" outlineLevel="0" collapsed="false">
      <c r="A8" s="16" t="n">
        <v>390</v>
      </c>
      <c r="B8" s="25" t="n">
        <v>155</v>
      </c>
      <c r="C8" s="26" t="n">
        <v>2.06546731556739</v>
      </c>
      <c r="D8" s="28" t="n">
        <v>0.99556</v>
      </c>
      <c r="E8" s="28" t="n">
        <v>0.05</v>
      </c>
      <c r="F8" s="18" t="n">
        <f aca="false">Fee_line*B8+Cost_delay*C8</f>
        <v>21.1737385245391</v>
      </c>
      <c r="G8" s="18" t="n">
        <f aca="false">D8*$B$3+(1-D8)*$B$4-F8</f>
        <v>1039.54790133851</v>
      </c>
    </row>
    <row r="9" customFormat="false" ht="15" hidden="false" customHeight="false" outlineLevel="0" collapsed="false">
      <c r="A9" s="16" t="n">
        <v>400</v>
      </c>
      <c r="B9" s="25" t="n">
        <v>165</v>
      </c>
      <c r="C9" s="26" t="n">
        <v>2.01465251616706</v>
      </c>
      <c r="D9" s="28" t="n">
        <v>0.99373</v>
      </c>
      <c r="E9" s="28" t="n">
        <v>0.05</v>
      </c>
      <c r="F9" s="18" t="n">
        <f aca="false">Fee_line*B9+Cost_delay*C9</f>
        <v>21.0672201293365</v>
      </c>
      <c r="G9" s="18" t="n">
        <f aca="false">D9*$B$3+(1-D9)*$B$4-F9</f>
        <v>1039.63035887722</v>
      </c>
    </row>
    <row r="10" customFormat="false" ht="15" hidden="false" customHeight="false" outlineLevel="0" collapsed="false">
      <c r="A10" s="16" t="n">
        <v>410</v>
      </c>
      <c r="B10" s="25" t="n">
        <v>155</v>
      </c>
      <c r="C10" s="26" t="n">
        <v>2.03615747808161</v>
      </c>
      <c r="D10" s="28" t="n">
        <v>0.99012</v>
      </c>
      <c r="E10" s="28" t="n">
        <v>0.05</v>
      </c>
      <c r="F10" s="18" t="n">
        <f aca="false">Fee_line*B10+Cost_delay*C10</f>
        <v>20.9392598246529</v>
      </c>
      <c r="G10" s="18" t="n">
        <f aca="false">D10*$B$3+(1-D10)*$B$4-F10</f>
        <v>1039.71085486936</v>
      </c>
    </row>
    <row r="11" customFormat="false" ht="15" hidden="false" customHeight="false" outlineLevel="0" collapsed="false">
      <c r="A11" s="16" t="n">
        <v>420</v>
      </c>
      <c r="B11" s="25" t="n">
        <v>155</v>
      </c>
      <c r="C11" s="26" t="n">
        <v>2.01030687002472</v>
      </c>
      <c r="D11" s="28" t="n">
        <v>0.98525</v>
      </c>
      <c r="E11" s="28" t="n">
        <v>0.05</v>
      </c>
      <c r="F11" s="18" t="n">
        <f aca="false">Fee_line*B11+Cost_delay*C11</f>
        <v>20.7324549601978</v>
      </c>
      <c r="G11" s="18" t="n">
        <f aca="false">D11*$B$3+(1-D11)*$B$4-F11</f>
        <v>1039.8536289299</v>
      </c>
    </row>
    <row r="12" customFormat="false" ht="15" hidden="false" customHeight="false" outlineLevel="0" collapsed="false">
      <c r="A12" s="16" t="n">
        <v>430</v>
      </c>
      <c r="B12" s="25" t="n">
        <v>150</v>
      </c>
      <c r="C12" s="26" t="n">
        <v>2.00055119863744</v>
      </c>
      <c r="D12" s="28" t="n">
        <v>0.97806</v>
      </c>
      <c r="E12" s="28" t="n">
        <v>0.05</v>
      </c>
      <c r="F12" s="18" t="n">
        <f aca="false">Fee_line*B12+Cost_delay*C12</f>
        <v>20.5044095890995</v>
      </c>
      <c r="G12" s="18" t="n">
        <f aca="false">D12*$B$3+(1-D12)*$B$4-F12</f>
        <v>1039.98714011618</v>
      </c>
    </row>
    <row r="13" customFormat="false" ht="15" hidden="false" customHeight="false" outlineLevel="0" collapsed="false">
      <c r="A13" s="16" t="n">
        <v>440</v>
      </c>
      <c r="B13" s="25" t="n">
        <v>150</v>
      </c>
      <c r="C13" s="26" t="n">
        <v>1.9568187357565</v>
      </c>
      <c r="D13" s="28" t="n">
        <v>0.96761</v>
      </c>
      <c r="E13" s="28" t="n">
        <v>0.05</v>
      </c>
      <c r="F13" s="18" t="n">
        <f aca="false">Fee_line*B13+Cost_delay*C13</f>
        <v>20.154549886052</v>
      </c>
      <c r="G13" s="18" t="n">
        <f aca="false">D13*$B$3+(1-D13)*$B$4-F13</f>
        <v>1040.19960312501</v>
      </c>
    </row>
    <row r="14" customFormat="false" ht="15" hidden="false" customHeight="false" outlineLevel="0" collapsed="false">
      <c r="A14" s="16" t="n">
        <v>450</v>
      </c>
      <c r="B14" s="25" t="n">
        <v>155</v>
      </c>
      <c r="C14" s="26" t="n">
        <v>1.8885491650747</v>
      </c>
      <c r="D14" s="28" t="n">
        <v>0.95314</v>
      </c>
      <c r="E14" s="28" t="n">
        <v>0.05</v>
      </c>
      <c r="F14" s="18" t="n">
        <f aca="false">Fee_line*B14+Cost_delay*C14</f>
        <v>19.7583933205976</v>
      </c>
      <c r="G14" s="18" t="n">
        <f aca="false">D14*$B$3+(1-D14)*$B$4-F14</f>
        <v>1040.40550800001</v>
      </c>
    </row>
    <row r="15" customFormat="false" ht="15" hidden="false" customHeight="false" outlineLevel="0" collapsed="false">
      <c r="A15" s="16" t="n">
        <v>460</v>
      </c>
      <c r="B15" s="25" t="n">
        <v>150</v>
      </c>
      <c r="C15" s="26" t="n">
        <v>1.85419867670627</v>
      </c>
      <c r="D15" s="28" t="n">
        <v>0.93227</v>
      </c>
      <c r="E15" s="28" t="n">
        <v>0.05</v>
      </c>
      <c r="F15" s="18" t="n">
        <f aca="false">Fee_line*B15+Cost_delay*C15</f>
        <v>19.3335894136502</v>
      </c>
      <c r="G15" s="18" t="n">
        <f aca="false">D15*$B$3+(1-D15)*$B$4-F15</f>
        <v>1040.5559129588</v>
      </c>
    </row>
    <row r="16" customFormat="false" ht="15" hidden="false" customHeight="false" outlineLevel="0" collapsed="false">
      <c r="A16" s="16" t="n">
        <v>470</v>
      </c>
      <c r="B16" s="25" t="n">
        <v>155</v>
      </c>
      <c r="C16" s="26" t="n">
        <v>1.78299380067171</v>
      </c>
      <c r="D16" s="28" t="n">
        <v>0.90719</v>
      </c>
      <c r="E16" s="28" t="n">
        <v>0.05</v>
      </c>
      <c r="F16" s="18" t="n">
        <f aca="false">Fee_line*B16+Cost_delay*C16</f>
        <v>18.9139504053736</v>
      </c>
      <c r="G16" s="18" t="n">
        <f aca="false">D16*$B$3+(1-D16)*$B$4-F16</f>
        <v>1040.64579990096</v>
      </c>
    </row>
    <row r="17" customFormat="false" ht="15" hidden="false" customHeight="false" outlineLevel="0" collapsed="false">
      <c r="A17" s="16" t="n">
        <v>480</v>
      </c>
      <c r="B17" s="25" t="n">
        <v>150</v>
      </c>
      <c r="C17" s="26" t="n">
        <v>1.73617310978001</v>
      </c>
      <c r="D17" s="28" t="n">
        <v>0.87371</v>
      </c>
      <c r="E17" s="28" t="n">
        <v>0.05</v>
      </c>
      <c r="F17" s="18" t="n">
        <f aca="false">Fee_line*B17+Cost_delay*C17</f>
        <v>18.3893848782401</v>
      </c>
      <c r="G17" s="18" t="n">
        <f aca="false">D17*$B$3+(1-D17)*$B$4-F17</f>
        <v>1040.73017008624</v>
      </c>
    </row>
    <row r="18" customFormat="false" ht="15" hidden="false" customHeight="false" outlineLevel="0" collapsed="false">
      <c r="A18" s="16" t="n">
        <v>490</v>
      </c>
      <c r="B18" s="25" t="n">
        <v>155</v>
      </c>
      <c r="C18" s="26" t="n">
        <v>1.64239436928403</v>
      </c>
      <c r="D18" s="28" t="n">
        <v>0.83</v>
      </c>
      <c r="E18" s="28" t="n">
        <v>0.05</v>
      </c>
      <c r="F18" s="18" t="n">
        <f aca="false">Fee_line*B18+Cost_delay*C18</f>
        <v>17.7891549542722</v>
      </c>
      <c r="G18" s="18" t="n">
        <f aca="false">D18*$B$3+(1-D18)*$B$4-F18</f>
        <v>1040.75570053613</v>
      </c>
    </row>
    <row r="19" customFormat="false" ht="15" hidden="false" customHeight="false" outlineLevel="0" collapsed="false">
      <c r="A19" s="16" t="n">
        <v>500</v>
      </c>
      <c r="B19" s="25" t="n">
        <v>155</v>
      </c>
      <c r="C19" s="26" t="n">
        <v>1.58422833564928</v>
      </c>
      <c r="D19" s="28" t="n">
        <v>0.78137</v>
      </c>
      <c r="E19" s="28" t="n">
        <v>0.05</v>
      </c>
      <c r="F19" s="18" t="n">
        <f aca="false">Fee_line*B19+Cost_delay*C19</f>
        <v>17.3238266851942</v>
      </c>
      <c r="G19" s="18" t="n">
        <f aca="false">D19*$B$3+(1-D19)*$B$4-F19</f>
        <v>1040.58164112677</v>
      </c>
    </row>
    <row r="20" customFormat="false" ht="15" hidden="false" customHeight="false" outlineLevel="0" collapsed="false">
      <c r="A20" s="16" t="n">
        <v>510</v>
      </c>
      <c r="B20" s="25" t="n">
        <v>150</v>
      </c>
      <c r="C20" s="26" t="n">
        <v>1.53431677296835</v>
      </c>
      <c r="D20" s="28" t="n">
        <v>0.72385</v>
      </c>
      <c r="E20" s="28" t="n">
        <v>0.05</v>
      </c>
      <c r="F20" s="18" t="n">
        <f aca="false">Fee_line*B20+Cost_delay*C20</f>
        <v>16.7745341837468</v>
      </c>
      <c r="G20" s="18" t="n">
        <f aca="false">D20*$B$3+(1-D20)*$B$4-F20</f>
        <v>1040.37466014963</v>
      </c>
    </row>
    <row r="21" customFormat="false" ht="15" hidden="false" customHeight="false" outlineLevel="0" collapsed="false">
      <c r="A21" s="16" t="n">
        <v>520</v>
      </c>
      <c r="B21" s="25" t="n">
        <v>150</v>
      </c>
      <c r="C21" s="26" t="n">
        <v>1.4767750893071</v>
      </c>
      <c r="D21" s="28" t="n">
        <v>0.6608</v>
      </c>
      <c r="E21" s="28" t="n">
        <v>0.05</v>
      </c>
      <c r="F21" s="18" t="n">
        <f aca="false">Fee_line*B21+Cost_delay*C21</f>
        <v>16.3142007144568</v>
      </c>
      <c r="G21" s="18" t="n">
        <f aca="false">D21*$B$3+(1-D21)*$B$4-F21</f>
        <v>1040.00601165048</v>
      </c>
    </row>
    <row r="22" customFormat="false" ht="15" hidden="false" customHeight="false" outlineLevel="0" collapsed="false">
      <c r="A22" s="16" t="n">
        <v>530</v>
      </c>
      <c r="B22" s="25" t="n">
        <v>150</v>
      </c>
      <c r="C22" s="26" t="n">
        <v>1.42616231187137</v>
      </c>
      <c r="D22" s="28" t="n">
        <v>0.59415</v>
      </c>
      <c r="E22" s="28" t="n">
        <v>0.05</v>
      </c>
      <c r="F22" s="18" t="n">
        <f aca="false">Fee_line*B22+Cost_delay*C22</f>
        <v>15.9092984949709</v>
      </c>
      <c r="G22" s="18" t="n">
        <f aca="false">D22*$B$3+(1-D22)*$B$4-F22</f>
        <v>1039.53459906906</v>
      </c>
    </row>
    <row r="23" customFormat="false" ht="15" hidden="false" customHeight="false" outlineLevel="0" collapsed="false">
      <c r="A23" s="16" t="n">
        <v>540</v>
      </c>
      <c r="B23" s="25" t="n">
        <v>145</v>
      </c>
      <c r="C23" s="26" t="n">
        <v>1.40187262611571</v>
      </c>
      <c r="D23" s="28" t="n">
        <v>0.52724</v>
      </c>
      <c r="E23" s="28" t="n">
        <v>0.05</v>
      </c>
      <c r="F23" s="18" t="n">
        <f aca="false">Fee_line*B23+Cost_delay*C23</f>
        <v>15.5649810089257</v>
      </c>
      <c r="G23" s="18" t="n">
        <f aca="false">D23*$B$3+(1-D23)*$B$4-F23</f>
        <v>1038.99918327186</v>
      </c>
    </row>
    <row r="24" customFormat="false" ht="15" hidden="false" customHeight="false" outlineLevel="0" collapsed="false">
      <c r="A24" s="16" t="n">
        <v>550</v>
      </c>
      <c r="B24" s="25" t="n">
        <v>150</v>
      </c>
      <c r="C24" s="26" t="n">
        <v>1.34558359066428</v>
      </c>
      <c r="D24" s="28" t="n">
        <v>0.45658</v>
      </c>
      <c r="E24" s="28" t="n">
        <v>0.05</v>
      </c>
      <c r="F24" s="18" t="n">
        <f aca="false">Fee_line*B24+Cost_delay*C24</f>
        <v>15.2646687253143</v>
      </c>
      <c r="G24" s="18" t="n">
        <f aca="false">D24*$B$3+(1-D24)*$B$4-F24</f>
        <v>1038.37045723842</v>
      </c>
    </row>
    <row r="25" customFormat="false" ht="15" hidden="false" customHeight="false" outlineLevel="0" collapsed="false">
      <c r="A25" s="16" t="n">
        <v>560</v>
      </c>
      <c r="B25" s="25" t="n">
        <v>145</v>
      </c>
      <c r="C25" s="26" t="n">
        <v>1.34179206673598</v>
      </c>
      <c r="D25" s="28" t="n">
        <v>0.39229</v>
      </c>
      <c r="E25" s="28" t="n">
        <v>0.05</v>
      </c>
      <c r="F25" s="18" t="n">
        <f aca="false">Fee_line*B25+Cost_delay*C25</f>
        <v>15.0843365338878</v>
      </c>
      <c r="G25" s="18" t="n">
        <f aca="false">D25*$B$3+(1-D25)*$B$4-F25</f>
        <v>1037.70550393022</v>
      </c>
    </row>
    <row r="26" customFormat="false" ht="15" hidden="false" customHeight="false" outlineLevel="0" collapsed="false">
      <c r="A26" s="16" t="n">
        <v>570</v>
      </c>
      <c r="B26" s="25" t="n">
        <v>140</v>
      </c>
      <c r="C26" s="26" t="n">
        <v>1.34847762461118</v>
      </c>
      <c r="D26" s="28" t="n">
        <v>0.33262</v>
      </c>
      <c r="E26" s="28" t="n">
        <v>0.05</v>
      </c>
      <c r="F26" s="18" t="n">
        <f aca="false">Fee_line*B26+Cost_delay*C26</f>
        <v>14.9878209968894</v>
      </c>
      <c r="G26" s="18" t="n">
        <f aca="false">D26*$B$3+(1-D26)*$B$4-F26</f>
        <v>1037.01747776924</v>
      </c>
    </row>
    <row r="27" customFormat="false" ht="15" hidden="false" customHeight="false" outlineLevel="0" collapsed="false">
      <c r="A27" s="16" t="n">
        <v>580</v>
      </c>
      <c r="B27" s="25" t="n">
        <v>150</v>
      </c>
      <c r="C27" s="26" t="n">
        <v>1.2906107334199</v>
      </c>
      <c r="D27" s="28" t="n">
        <v>0.27163</v>
      </c>
      <c r="E27" s="28" t="n">
        <v>0.05</v>
      </c>
      <c r="F27" s="18" t="n">
        <f aca="false">Fee_line*B27+Cost_delay*C27</f>
        <v>14.8248858673592</v>
      </c>
      <c r="G27" s="18" t="n">
        <f aca="false">D27*$B$3+(1-D27)*$B$4-F27</f>
        <v>1036.3785158289</v>
      </c>
    </row>
    <row r="28" customFormat="false" ht="15" hidden="false" customHeight="false" outlineLevel="0" collapsed="false">
      <c r="A28" s="16" t="n">
        <v>590</v>
      </c>
      <c r="B28" s="25" t="n">
        <v>150</v>
      </c>
      <c r="C28" s="26" t="n">
        <v>1.27647878102298</v>
      </c>
      <c r="D28" s="28" t="n">
        <v>0.21833</v>
      </c>
      <c r="E28" s="28" t="n">
        <v>0.05</v>
      </c>
      <c r="F28" s="18" t="n">
        <f aca="false">Fee_line*B28+Cost_delay*C28</f>
        <v>14.7118302481838</v>
      </c>
      <c r="G28" s="18" t="n">
        <f aca="false">D28*$B$3+(1-D28)*$B$4-F28</f>
        <v>1035.79078256754</v>
      </c>
    </row>
    <row r="29" customFormat="false" ht="15" hidden="false" customHeight="false" outlineLevel="0" collapsed="false">
      <c r="A29" s="16" t="n">
        <v>600</v>
      </c>
      <c r="B29" s="25" t="n">
        <v>150</v>
      </c>
      <c r="C29" s="26" t="n">
        <v>1.27144122001927</v>
      </c>
      <c r="D29" s="28" t="n">
        <v>0.17318</v>
      </c>
      <c r="E29" s="28" t="n">
        <v>0.05</v>
      </c>
      <c r="F29" s="18" t="n">
        <f aca="false">Fee_line*B29+Cost_delay*C29</f>
        <v>14.6715297601542</v>
      </c>
      <c r="G29" s="18" t="n">
        <f aca="false">D29*$B$3+(1-D29)*$B$4-F29</f>
        <v>1035.2374504485</v>
      </c>
    </row>
    <row r="30" customFormat="false" ht="15" hidden="false" customHeight="false" outlineLevel="0" collapsed="false">
      <c r="A30" s="16" t="n">
        <v>610</v>
      </c>
      <c r="B30" s="25" t="n">
        <v>150</v>
      </c>
      <c r="C30" s="26" t="n">
        <v>1.26354621614527</v>
      </c>
      <c r="D30" s="28" t="n">
        <v>0.13509</v>
      </c>
      <c r="E30" s="28" t="n">
        <v>0.05</v>
      </c>
      <c r="F30" s="18" t="n">
        <f aca="false">Fee_line*B30+Cost_delay*C30</f>
        <v>14.6083697291622</v>
      </c>
      <c r="G30" s="18" t="n">
        <f aca="false">D30*$B$3+(1-D30)*$B$4-F30</f>
        <v>1034.79980281609</v>
      </c>
    </row>
    <row r="31" customFormat="false" ht="15" hidden="false" customHeight="false" outlineLevel="0" collapsed="false">
      <c r="A31" s="16" t="n">
        <v>620</v>
      </c>
      <c r="B31" s="25" t="n">
        <v>150</v>
      </c>
      <c r="C31" s="26" t="n">
        <v>1.26089323337806</v>
      </c>
      <c r="D31" s="28" t="n">
        <v>0.10351</v>
      </c>
      <c r="E31" s="28" t="n">
        <v>0.05</v>
      </c>
      <c r="F31" s="18" t="n">
        <f aca="false">Fee_line*B31+Cost_delay*C31</f>
        <v>14.5871458670245</v>
      </c>
      <c r="G31" s="18" t="n">
        <f aca="false">D31*$B$3+(1-D31)*$B$4-F31</f>
        <v>1034.4058125535</v>
      </c>
    </row>
    <row r="32" customFormat="false" ht="15" hidden="false" customHeight="false" outlineLevel="0" collapsed="false">
      <c r="A32" s="16" t="n">
        <v>630</v>
      </c>
      <c r="B32" s="25" t="n">
        <v>150</v>
      </c>
      <c r="C32" s="26" t="n">
        <v>1.25790528132872</v>
      </c>
      <c r="D32" s="28" t="n">
        <v>0.07686</v>
      </c>
      <c r="E32" s="28" t="n">
        <v>0.05</v>
      </c>
      <c r="F32" s="18" t="n">
        <f aca="false">Fee_line*B32+Cost_delay*C32</f>
        <v>14.5632422506298</v>
      </c>
      <c r="G32" s="18" t="n">
        <f aca="false">D32*$B$3+(1-D32)*$B$4-F32</f>
        <v>1034.07932172963</v>
      </c>
    </row>
    <row r="33" customFormat="false" ht="15" hidden="false" customHeight="false" outlineLevel="0" collapsed="false">
      <c r="A33" s="16" t="n">
        <v>640</v>
      </c>
      <c r="B33" s="25" t="n">
        <v>150</v>
      </c>
      <c r="C33" s="26" t="n">
        <v>1.25621949665707</v>
      </c>
      <c r="D33" s="28" t="n">
        <v>0.05569</v>
      </c>
      <c r="E33" s="28" t="n">
        <v>0.05</v>
      </c>
      <c r="F33" s="18" t="n">
        <f aca="false">Fee_line*B33+Cost_delay*C33</f>
        <v>14.5497559732566</v>
      </c>
      <c r="G33" s="18" t="n">
        <f aca="false">D33*$B$3+(1-D33)*$B$4-F33</f>
        <v>1033.81446465614</v>
      </c>
    </row>
    <row r="34" customFormat="false" ht="15" hidden="false" customHeight="false" outlineLevel="0" collapsed="false">
      <c r="A34" s="16" t="n">
        <v>650</v>
      </c>
      <c r="B34" s="25" t="n">
        <v>150</v>
      </c>
      <c r="C34" s="26" t="n">
        <v>1.25563673418823</v>
      </c>
      <c r="D34" s="28" t="n">
        <v>0.03965</v>
      </c>
      <c r="E34" s="28" t="n">
        <v>0.05</v>
      </c>
      <c r="F34" s="18" t="n">
        <f aca="false">Fee_line*B34+Cost_delay*C34</f>
        <v>14.5450938735058</v>
      </c>
      <c r="G34" s="18" t="n">
        <f aca="false">D34*$B$3+(1-D34)*$B$4-F34</f>
        <v>1033.60823269128</v>
      </c>
    </row>
    <row r="35" customFormat="false" ht="15" hidden="false" customHeight="false" outlineLevel="0" collapsed="false">
      <c r="A35" s="16" t="n">
        <v>660</v>
      </c>
      <c r="B35" s="25" t="n">
        <v>150</v>
      </c>
      <c r="C35" s="26" t="n">
        <v>1.25436891740041</v>
      </c>
      <c r="D35" s="28" t="n">
        <v>0.02778</v>
      </c>
      <c r="E35" s="28" t="n">
        <v>0.05</v>
      </c>
      <c r="F35" s="18" t="n">
        <f aca="false">Fee_line*B35+Cost_delay*C35</f>
        <v>14.5349513392033</v>
      </c>
      <c r="G35" s="18" t="n">
        <f aca="false">D35*$B$3+(1-D35)*$B$4-F35</f>
        <v>1033.46230835856</v>
      </c>
    </row>
    <row r="36" customFormat="false" ht="15" hidden="false" customHeight="false" outlineLevel="0" collapsed="false">
      <c r="A36" s="16" t="n">
        <v>670</v>
      </c>
      <c r="B36" s="25" t="n">
        <v>150</v>
      </c>
      <c r="C36" s="26" t="n">
        <v>1.25419543584694</v>
      </c>
      <c r="D36" s="28" t="n">
        <v>0.01932</v>
      </c>
      <c r="E36" s="28" t="n">
        <v>0.05</v>
      </c>
      <c r="F36" s="18" t="n">
        <f aca="false">Fee_line*B36+Cost_delay*C36</f>
        <v>14.5335634867756</v>
      </c>
      <c r="G36" s="18" t="n">
        <f aca="false">D36*$B$3+(1-D36)*$B$4-F36</f>
        <v>1033.35246405472</v>
      </c>
    </row>
    <row r="37" customFormat="false" ht="15" hidden="false" customHeight="false" outlineLevel="0" collapsed="false">
      <c r="A37" s="16" t="n">
        <v>680</v>
      </c>
      <c r="B37" s="25" t="n">
        <v>150</v>
      </c>
      <c r="C37" s="26" t="n">
        <v>1.25401695187194</v>
      </c>
      <c r="D37" s="28" t="n">
        <v>0.01267</v>
      </c>
      <c r="E37" s="28" t="n">
        <v>0.05</v>
      </c>
      <c r="F37" s="18" t="n">
        <f aca="false">Fee_line*B37+Cost_delay*C37</f>
        <v>14.5321356149755</v>
      </c>
      <c r="G37" s="18" t="n">
        <f aca="false">D37*$B$3+(1-D37)*$B$4-F37</f>
        <v>1033.26645766656</v>
      </c>
    </row>
    <row r="38" customFormat="false" ht="15" hidden="false" customHeight="false" outlineLevel="0" collapsed="false">
      <c r="A38" s="16" t="n">
        <v>690</v>
      </c>
      <c r="B38" s="25" t="n">
        <v>150</v>
      </c>
      <c r="C38" s="26" t="n">
        <v>1.25401695187194</v>
      </c>
      <c r="D38" s="28" t="n">
        <v>0.00829</v>
      </c>
      <c r="E38" s="28" t="n">
        <v>0.05</v>
      </c>
      <c r="F38" s="18" t="n">
        <f aca="false">Fee_line*B38+Cost_delay*C38</f>
        <v>14.5321356149755</v>
      </c>
      <c r="G38" s="18" t="n">
        <f aca="false">D38*$B$3+(1-D38)*$B$4-F38</f>
        <v>1033.20886938707</v>
      </c>
    </row>
    <row r="39" customFormat="false" ht="15" hidden="false" customHeight="false" outlineLevel="0" collapsed="false">
      <c r="A39" s="16" t="n">
        <v>700</v>
      </c>
      <c r="B39" s="25" t="n">
        <v>150</v>
      </c>
      <c r="C39" s="26" t="n">
        <v>1.25401695187194</v>
      </c>
      <c r="D39" s="28" t="n">
        <v>0.00546</v>
      </c>
      <c r="E39" s="28" t="n">
        <v>0.05</v>
      </c>
      <c r="F39" s="18" t="n">
        <f aca="false">Fee_line*B39+Cost_delay*C39</f>
        <v>14.5321356149755</v>
      </c>
      <c r="G39" s="18" t="n">
        <f aca="false">D39*$B$3+(1-D39)*$B$4-F39</f>
        <v>1033.17166052156</v>
      </c>
    </row>
    <row r="41" customFormat="false" ht="15" hidden="false" customHeight="false" outlineLevel="0" collapsed="false">
      <c r="A41" s="2" t="s">
        <v>314</v>
      </c>
      <c r="B41" s="18" t="n">
        <f aca="false">MAX(G7:G39)</f>
        <v>1040.75570053613</v>
      </c>
      <c r="C41" s="10" t="s">
        <v>315</v>
      </c>
    </row>
    <row r="42" customFormat="false" ht="15" hidden="false" customHeight="false" outlineLevel="0" collapsed="false">
      <c r="A42" s="2" t="s">
        <v>316</v>
      </c>
      <c r="B42" s="21" t="n">
        <f aca="false">INDEX(A7:A39,MATCH(B41,G7:G39,0))</f>
        <v>490</v>
      </c>
      <c r="C42" s="10" t="s">
        <v>317</v>
      </c>
    </row>
    <row r="43" customFormat="false" ht="15" hidden="false" customHeight="false" outlineLevel="0" collapsed="false">
      <c r="A43" s="2" t="s">
        <v>318</v>
      </c>
      <c r="B43" s="21" t="n">
        <f aca="false">INDEX(B7:B39,MATCH(B41,G7:G39,0))</f>
        <v>155</v>
      </c>
      <c r="C43" s="10" t="s">
        <v>319</v>
      </c>
    </row>
    <row r="44" customFormat="false" ht="15" hidden="false" customHeight="false" outlineLevel="0" collapsed="false">
      <c r="A44" s="2" t="s">
        <v>320</v>
      </c>
      <c r="B44" s="12" t="n">
        <f aca="false">INDEX(C7:C39,MATCH(B41,G7:G39,0))</f>
        <v>1.64239436928403</v>
      </c>
      <c r="C44" s="10" t="s">
        <v>321</v>
      </c>
    </row>
    <row r="45" customFormat="false" ht="15" hidden="false" customHeight="false" outlineLevel="0" collapsed="false">
      <c r="A45" s="2" t="s">
        <v>322</v>
      </c>
      <c r="B45" s="18" t="n">
        <f aca="false">INDEX(F7:F39,MATCH(B41,G7:G39,0))</f>
        <v>17.7891549542722</v>
      </c>
      <c r="C45" s="10" t="s">
        <v>323</v>
      </c>
    </row>
    <row r="46" customFormat="false" ht="15" hidden="false" customHeight="false" outlineLevel="0" collapsed="false">
      <c r="A46" s="2" t="s">
        <v>324</v>
      </c>
      <c r="B46" s="29" t="n">
        <f aca="false">INDEX(D7:D39,MATCH(B41,G7:G39,0))</f>
        <v>0.83</v>
      </c>
      <c r="C46" s="10" t="s">
        <v>325</v>
      </c>
    </row>
    <row r="47" customFormat="false" ht="15" hidden="false" customHeight="false" outlineLevel="0" collapsed="false">
      <c r="A47" s="2" t="s">
        <v>326</v>
      </c>
      <c r="B47" s="22" t="n">
        <f aca="false">Programs!O29</f>
        <v>1039.40815728784</v>
      </c>
      <c r="C47" s="10" t="s">
        <v>235</v>
      </c>
    </row>
    <row r="48" customFormat="false" ht="15" hidden="false" customHeight="false" outlineLevel="0" collapsed="false">
      <c r="A48" s="2" t="s">
        <v>327</v>
      </c>
      <c r="B48" s="22" t="n">
        <f aca="false">Programs!O41</f>
        <v>1036.80090738394</v>
      </c>
      <c r="C48" s="10" t="s">
        <v>328</v>
      </c>
    </row>
    <row r="49" customFormat="false" ht="15" hidden="false" customHeight="false" outlineLevel="0" collapsed="false">
      <c r="A49" s="2" t="s">
        <v>329</v>
      </c>
      <c r="B49" s="18" t="n">
        <f aca="false">B41-B47</f>
        <v>1.34754324828714</v>
      </c>
      <c r="C49" s="10" t="s">
        <v>330</v>
      </c>
    </row>
    <row r="50" customFormat="false" ht="15" hidden="false" customHeight="false" outlineLevel="0" collapsed="false">
      <c r="A50" s="2" t="s">
        <v>331</v>
      </c>
      <c r="B50" s="18" t="n">
        <f aca="false">B41-B48</f>
        <v>3.95479315219109</v>
      </c>
    </row>
    <row r="51" customFormat="false" ht="15" hidden="false" customHeight="false" outlineLevel="0" collapsed="false">
      <c r="A51" s="2" t="s">
        <v>332</v>
      </c>
      <c r="B51" s="21" t="n">
        <f aca="false">IF(B41&gt;MAX(B47,B48),1,0)</f>
        <v>1</v>
      </c>
      <c r="C51" s="10" t="s">
        <v>333</v>
      </c>
    </row>
    <row r="53" customFormat="false" ht="15" hidden="false" customHeight="false" outlineLevel="0" collapsed="false">
      <c r="A53" s="8" t="s">
        <v>334</v>
      </c>
      <c r="B53" s="8" t="s">
        <v>20</v>
      </c>
      <c r="C53" s="8" t="s">
        <v>166</v>
      </c>
    </row>
    <row r="54" customFormat="false" ht="15" hidden="false" customHeight="false" outlineLevel="0" collapsed="false">
      <c r="A54" s="2" t="s">
        <v>335</v>
      </c>
      <c r="B54" s="9" t="n">
        <v>100</v>
      </c>
    </row>
    <row r="55" customFormat="false" ht="15" hidden="false" customHeight="false" outlineLevel="0" collapsed="false">
      <c r="A55" s="2" t="s">
        <v>336</v>
      </c>
      <c r="B55" s="9" t="n">
        <v>150</v>
      </c>
      <c r="C55" s="10" t="s">
        <v>337</v>
      </c>
    </row>
    <row r="56" customFormat="false" ht="15" hidden="false" customHeight="false" outlineLevel="0" collapsed="false">
      <c r="A56" s="2" t="s">
        <v>338</v>
      </c>
      <c r="B56" s="9" t="n">
        <v>60</v>
      </c>
    </row>
    <row r="57" customFormat="false" ht="15" hidden="false" customHeight="false" outlineLevel="0" collapsed="false">
      <c r="A57" s="2" t="s">
        <v>339</v>
      </c>
      <c r="B57" s="9" t="n">
        <v>0.5</v>
      </c>
    </row>
    <row r="58" customFormat="false" ht="15" hidden="false" customHeight="false" outlineLevel="0" collapsed="false">
      <c r="A58" s="2" t="s">
        <v>340</v>
      </c>
      <c r="B58" s="9" t="n">
        <v>0.1</v>
      </c>
    </row>
    <row r="59" customFormat="false" ht="15" hidden="false" customHeight="false" outlineLevel="0" collapsed="false">
      <c r="A59" s="2" t="s">
        <v>341</v>
      </c>
      <c r="B59" s="9" t="n">
        <v>0</v>
      </c>
    </row>
    <row r="60" customFormat="false" ht="15" hidden="false" customHeight="false" outlineLevel="0" collapsed="false">
      <c r="A60" s="2" t="s">
        <v>342</v>
      </c>
      <c r="B60" s="18" t="n">
        <f aca="false">B57*B55+(1-B57)*B56-B54</f>
        <v>5</v>
      </c>
      <c r="C60" s="10" t="s">
        <v>343</v>
      </c>
    </row>
    <row r="61" customFormat="false" ht="15" hidden="false" customHeight="false" outlineLevel="0" collapsed="false">
      <c r="A61" s="2" t="s">
        <v>344</v>
      </c>
      <c r="B61" s="18" t="n">
        <f aca="false">(B57*MAX(B55-B54,0)+(1-B57)*MAX(B56-B54,0))/(1+B58)-B59</f>
        <v>22.7272727272727</v>
      </c>
      <c r="C61" s="10" t="s">
        <v>345</v>
      </c>
    </row>
    <row r="62" customFormat="false" ht="15" hidden="false" customHeight="false" outlineLevel="0" collapsed="false">
      <c r="A62" s="2" t="s">
        <v>346</v>
      </c>
      <c r="B62" s="18" t="n">
        <f aca="false">B57*MAX(B54-B55,0)+(1-B57)*MAX(B54-B56,0)</f>
        <v>20</v>
      </c>
      <c r="C62" s="10" t="s">
        <v>347</v>
      </c>
    </row>
    <row r="63" customFormat="false" ht="15" hidden="false" customHeight="false" outlineLevel="0" collapsed="false">
      <c r="A63" s="2" t="s">
        <v>348</v>
      </c>
      <c r="B63" s="18" t="n">
        <f aca="false">(1-1/(1+B58))*(B57*MAX(B55-B54,0)+(1-B57)*MAX(B56-B54,0))+B59</f>
        <v>2.27272727272727</v>
      </c>
      <c r="C63" s="10" t="s">
        <v>349</v>
      </c>
    </row>
    <row r="64" customFormat="false" ht="15" hidden="false" customHeight="false" outlineLevel="0" collapsed="false">
      <c r="A64" s="2" t="s">
        <v>350</v>
      </c>
      <c r="B64" s="21" t="n">
        <f aca="false">IF(B61&gt;MAX(B60,0),1,0)</f>
        <v>1</v>
      </c>
      <c r="C64" s="10" t="s">
        <v>351</v>
      </c>
    </row>
    <row r="65" customFormat="false" ht="15" hidden="false" customHeight="false" outlineLevel="0" collapsed="false">
      <c r="A65" s="2" t="s">
        <v>352</v>
      </c>
      <c r="B65" s="21" t="n">
        <f aca="false">IF(B62&lt;=B63,1,0)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3" min="2" style="0" width="14"/>
    <col collapsed="false" customWidth="true" hidden="false" outlineLevel="0" max="4" min="4" style="0" width="11"/>
    <col collapsed="false" customWidth="true" hidden="false" outlineLevel="0" max="5" min="5" style="0" width="12"/>
    <col collapsed="false" customWidth="true" hidden="false" outlineLevel="0" max="6" min="6" style="0" width="14"/>
    <col collapsed="false" customWidth="true" hidden="false" outlineLevel="0" max="7" min="7" style="0" width="16"/>
    <col collapsed="false" customWidth="true" hidden="false" outlineLevel="0" max="9" min="8" style="0" width="15"/>
    <col collapsed="false" customWidth="true" hidden="false" outlineLevel="0" max="10" min="10" style="0" width="14"/>
    <col collapsed="false" customWidth="true" hidden="false" outlineLevel="0" max="11" min="11" style="0" width="18"/>
  </cols>
  <sheetData>
    <row r="1" customFormat="false" ht="15" hidden="false" customHeight="false" outlineLevel="0" collapsed="false">
      <c r="A1" s="1" t="s">
        <v>353</v>
      </c>
    </row>
    <row r="2" customFormat="false" ht="15" hidden="false" customHeight="false" outlineLevel="0" collapsed="false">
      <c r="A2" s="10" t="s">
        <v>354</v>
      </c>
    </row>
    <row r="4" customFormat="false" ht="35.05" hidden="false" customHeight="false" outlineLevel="0" collapsed="false">
      <c r="A4" s="8" t="s">
        <v>355</v>
      </c>
      <c r="B4" s="8" t="s">
        <v>185</v>
      </c>
      <c r="C4" s="8" t="s">
        <v>186</v>
      </c>
      <c r="D4" s="8" t="s">
        <v>187</v>
      </c>
      <c r="E4" s="8" t="s">
        <v>20</v>
      </c>
      <c r="F4" s="8" t="s">
        <v>356</v>
      </c>
      <c r="G4" s="8" t="s">
        <v>357</v>
      </c>
      <c r="H4" s="8" t="s">
        <v>358</v>
      </c>
      <c r="I4" s="8" t="s">
        <v>359</v>
      </c>
      <c r="J4" s="8" t="s">
        <v>360</v>
      </c>
      <c r="K4" s="8" t="s">
        <v>361</v>
      </c>
    </row>
    <row r="5" customFormat="false" ht="15" hidden="false" customHeight="false" outlineLevel="0" collapsed="false">
      <c r="A5" s="27" t="n">
        <v>0.05</v>
      </c>
      <c r="B5" s="25" t="n">
        <v>160</v>
      </c>
      <c r="C5" s="26" t="n">
        <v>2.07148246690518</v>
      </c>
      <c r="D5" s="18" t="n">
        <f aca="false">Fee_line*B5+Cost_delay*C5</f>
        <v>21.3718597352414</v>
      </c>
      <c r="E5" s="18" t="n">
        <f aca="false">Programs!O28-D5</f>
        <v>1039.40815728784</v>
      </c>
      <c r="F5" s="18" t="n">
        <f aca="false">$E$5-E5</f>
        <v>0</v>
      </c>
      <c r="G5" s="30" t="n">
        <v>0.05</v>
      </c>
      <c r="H5" s="31" t="n">
        <v>0.100062004849315</v>
      </c>
      <c r="I5" s="25" t="n">
        <v>0</v>
      </c>
      <c r="J5" s="32" t="n">
        <v>50</v>
      </c>
      <c r="K5" s="30" t="n">
        <v>0.13878</v>
      </c>
    </row>
    <row r="6" customFormat="false" ht="15" hidden="false" customHeight="false" outlineLevel="0" collapsed="false">
      <c r="A6" s="27" t="n">
        <v>0.045</v>
      </c>
      <c r="B6" s="25" t="n">
        <v>165</v>
      </c>
      <c r="C6" s="26" t="n">
        <v>2.17559448675082</v>
      </c>
      <c r="D6" s="18" t="n">
        <f aca="false">Fee_line*B6+Cost_delay*C6</f>
        <v>22.3547558940065</v>
      </c>
      <c r="E6" s="18" t="n">
        <f aca="false">Programs!O28-D6</f>
        <v>1038.42526112908</v>
      </c>
      <c r="F6" s="18" t="n">
        <f aca="false">$E$5-E6</f>
        <v>0.982896158765016</v>
      </c>
      <c r="G6" s="30" t="n">
        <v>0.045</v>
      </c>
      <c r="H6" s="31" t="n">
        <v>0.191704454086721</v>
      </c>
      <c r="I6" s="25" t="n">
        <v>0</v>
      </c>
      <c r="J6" s="32" t="n">
        <v>51.0493853362277</v>
      </c>
      <c r="K6" s="30" t="n">
        <v>0.12821</v>
      </c>
    </row>
    <row r="7" customFormat="false" ht="15" hidden="false" customHeight="false" outlineLevel="0" collapsed="false">
      <c r="A7" s="27" t="n">
        <v>0.04</v>
      </c>
      <c r="B7" s="25" t="n">
        <v>165</v>
      </c>
      <c r="C7" s="26" t="n">
        <v>2.31086023720048</v>
      </c>
      <c r="D7" s="18" t="n">
        <f aca="false">Fee_line*B7+Cost_delay*C7</f>
        <v>23.4368818976039</v>
      </c>
      <c r="E7" s="18" t="n">
        <f aca="false">Programs!O28-D7</f>
        <v>1037.34313512548</v>
      </c>
      <c r="F7" s="18" t="n">
        <f aca="false">$E$5-E7</f>
        <v>2.06502216236231</v>
      </c>
      <c r="G7" s="30" t="n">
        <v>0.04</v>
      </c>
      <c r="H7" s="31" t="n">
        <v>0.298434200510383</v>
      </c>
      <c r="I7" s="25" t="n">
        <v>0</v>
      </c>
      <c r="J7" s="32" t="n">
        <v>52.1867339033634</v>
      </c>
      <c r="K7" s="30" t="n">
        <v>0.1185</v>
      </c>
    </row>
    <row r="8" customFormat="false" ht="15" hidden="false" customHeight="false" outlineLevel="0" collapsed="false">
      <c r="A8" s="27" t="n">
        <v>0.035</v>
      </c>
      <c r="B8" s="25" t="n">
        <v>165</v>
      </c>
      <c r="C8" s="26" t="n">
        <v>2.46228658372376</v>
      </c>
      <c r="D8" s="18" t="n">
        <f aca="false">Fee_line*B8+Cost_delay*C8</f>
        <v>24.6482926697901</v>
      </c>
      <c r="E8" s="18" t="n">
        <f aca="false">Programs!O28-D8</f>
        <v>1036.13172435329</v>
      </c>
      <c r="F8" s="18" t="n">
        <f aca="false">$E$5-E8</f>
        <v>3.27643293454844</v>
      </c>
      <c r="G8" s="30" t="n">
        <v>0.035</v>
      </c>
      <c r="H8" s="31" t="n">
        <v>0.4</v>
      </c>
      <c r="I8" s="25" t="n">
        <v>1</v>
      </c>
      <c r="J8" s="32" t="n">
        <v>53.4877639263868</v>
      </c>
      <c r="K8" s="30" t="n">
        <v>0.10836</v>
      </c>
    </row>
    <row r="9" customFormat="false" ht="15" hidden="false" customHeight="false" outlineLevel="0" collapsed="false">
      <c r="A9" s="27" t="n">
        <v>0.03</v>
      </c>
      <c r="B9" s="25" t="n">
        <v>170</v>
      </c>
      <c r="C9" s="26" t="n">
        <v>2.61538558817762</v>
      </c>
      <c r="D9" s="18" t="n">
        <f aca="false">Fee_line*B9+Cost_delay*C9</f>
        <v>26.0230847054209</v>
      </c>
      <c r="E9" s="18" t="n">
        <f aca="false">Programs!O28-D9</f>
        <v>1034.75693231766</v>
      </c>
      <c r="F9" s="18" t="n">
        <f aca="false">$E$5-E9</f>
        <v>4.65122497017933</v>
      </c>
      <c r="G9" s="30" t="n">
        <v>0.03</v>
      </c>
      <c r="H9" s="31" t="n">
        <v>0.4</v>
      </c>
      <c r="I9" s="25" t="n">
        <v>1</v>
      </c>
      <c r="J9" s="32" t="n">
        <v>54.9577552126721</v>
      </c>
      <c r="K9" s="30" t="n">
        <v>0.09688</v>
      </c>
    </row>
    <row r="10" customFormat="false" ht="15" hidden="false" customHeight="false" outlineLevel="0" collapsed="false">
      <c r="A10" s="27" t="n">
        <v>0.025</v>
      </c>
      <c r="B10" s="25" t="n">
        <v>170</v>
      </c>
      <c r="C10" s="26" t="n">
        <v>2.80049329302904</v>
      </c>
      <c r="D10" s="18" t="n">
        <f aca="false">Fee_line*B10+Cost_delay*C10</f>
        <v>27.5039463442323</v>
      </c>
      <c r="E10" s="18" t="n">
        <f aca="false">Programs!O28-D10</f>
        <v>1033.27607067885</v>
      </c>
      <c r="F10" s="18" t="n">
        <f aca="false">$E$5-E10</f>
        <v>6.13208660899068</v>
      </c>
      <c r="G10" s="30" t="n">
        <v>0.025</v>
      </c>
      <c r="H10" s="31" t="n">
        <v>0.4</v>
      </c>
      <c r="I10" s="25" t="n">
        <v>1</v>
      </c>
      <c r="J10" s="32" t="n">
        <v>56.5445840358734</v>
      </c>
      <c r="K10" s="30" t="n">
        <v>0.08646</v>
      </c>
    </row>
    <row r="11" customFormat="false" ht="15" hidden="false" customHeight="false" outlineLevel="0" collapsed="false">
      <c r="A11" s="27" t="n">
        <v>0.02</v>
      </c>
      <c r="B11" s="25" t="n">
        <v>165</v>
      </c>
      <c r="C11" s="26" t="n">
        <v>3.04336710978432</v>
      </c>
      <c r="D11" s="18" t="n">
        <f aca="false">Fee_line*B11+Cost_delay*C11</f>
        <v>29.2969368782745</v>
      </c>
      <c r="E11" s="18" t="n">
        <f aca="false">Programs!O28-D11</f>
        <v>1031.48308014481</v>
      </c>
      <c r="F11" s="18" t="n">
        <f aca="false">$E$5-E11</f>
        <v>7.92507714303292</v>
      </c>
      <c r="G11" s="30" t="n">
        <v>0.02</v>
      </c>
      <c r="H11" s="31" t="n">
        <v>0.4</v>
      </c>
      <c r="I11" s="25" t="n">
        <v>1</v>
      </c>
      <c r="J11" s="32" t="n">
        <v>58.4483110113069</v>
      </c>
      <c r="K11" s="30" t="n">
        <v>0.07578</v>
      </c>
    </row>
    <row r="13" customFormat="false" ht="15" hidden="false" customHeight="false" outlineLevel="0" collapsed="false">
      <c r="A13" s="8" t="s">
        <v>362</v>
      </c>
      <c r="B13" s="8" t="s">
        <v>20</v>
      </c>
      <c r="C13" s="8" t="s">
        <v>166</v>
      </c>
    </row>
    <row r="14" customFormat="false" ht="15" hidden="false" customHeight="false" outlineLevel="0" collapsed="false">
      <c r="A14" s="2" t="s">
        <v>363</v>
      </c>
      <c r="B14" s="16" t="n">
        <v>2</v>
      </c>
      <c r="C14" s="10" t="s">
        <v>364</v>
      </c>
    </row>
    <row r="15" customFormat="false" ht="15" hidden="false" customHeight="false" outlineLevel="0" collapsed="false">
      <c r="A15" s="2" t="s">
        <v>365</v>
      </c>
      <c r="B15" s="16" t="n">
        <v>20</v>
      </c>
    </row>
    <row r="16" customFormat="false" ht="15" hidden="false" customHeight="false" outlineLevel="0" collapsed="false">
      <c r="A16" s="2" t="s">
        <v>366</v>
      </c>
      <c r="B16" s="19" t="n">
        <f aca="false">CHIINV(0.05,2*B14+2)/(2*B15)</f>
        <v>0.3147896810936</v>
      </c>
      <c r="C16" s="10" t="s">
        <v>367</v>
      </c>
    </row>
    <row r="17" customFormat="false" ht="15" hidden="false" customHeight="false" outlineLevel="0" collapsed="false">
      <c r="A17" s="2" t="s">
        <v>368</v>
      </c>
      <c r="B17" s="16" t="n">
        <v>39</v>
      </c>
      <c r="C17" s="10" t="s">
        <v>369</v>
      </c>
    </row>
    <row r="18" customFormat="false" ht="15" hidden="false" customHeight="false" outlineLevel="0" collapsed="false">
      <c r="A18" s="2" t="s">
        <v>370</v>
      </c>
      <c r="B18" s="18" t="n">
        <f aca="false">Sig_0*SQRT(B17/CHIINV(0.95,B17))</f>
        <v>61.5991469068091</v>
      </c>
      <c r="C18" s="10" t="s">
        <v>371</v>
      </c>
    </row>
    <row r="19" customFormat="false" ht="15" hidden="false" customHeight="false" outlineLevel="0" collapsed="false">
      <c r="A19" s="2" t="s">
        <v>372</v>
      </c>
      <c r="B19" s="18" t="n">
        <f aca="false">Sig_0*SQRT(79/CHIINV(0.95,79))</f>
        <v>57.6028166616579</v>
      </c>
      <c r="C19" s="10" t="s">
        <v>373</v>
      </c>
    </row>
    <row r="20" customFormat="false" ht="15" hidden="false" customHeight="false" outlineLevel="0" collapsed="false">
      <c r="A20" s="2" t="s">
        <v>374</v>
      </c>
      <c r="B20" s="13" t="n">
        <v>61.6</v>
      </c>
      <c r="C20" s="10" t="s">
        <v>375</v>
      </c>
    </row>
    <row r="22" customFormat="false" ht="15" hidden="false" customHeight="false" outlineLevel="0" collapsed="false">
      <c r="A22" s="8" t="s">
        <v>376</v>
      </c>
      <c r="B22" s="8" t="s">
        <v>20</v>
      </c>
      <c r="C22" s="8" t="s">
        <v>166</v>
      </c>
    </row>
    <row r="23" customFormat="false" ht="15" hidden="false" customHeight="false" outlineLevel="0" collapsed="false">
      <c r="A23" s="2" t="s">
        <v>377</v>
      </c>
      <c r="B23" s="25" t="n">
        <v>200</v>
      </c>
      <c r="C23" s="10" t="s">
        <v>378</v>
      </c>
    </row>
    <row r="24" customFormat="false" ht="15" hidden="false" customHeight="false" outlineLevel="0" collapsed="false">
      <c r="A24" s="2" t="s">
        <v>379</v>
      </c>
      <c r="B24" s="26" t="n">
        <v>3.43950661497549</v>
      </c>
      <c r="C24" s="10" t="s">
        <v>380</v>
      </c>
    </row>
    <row r="25" customFormat="false" ht="15" hidden="false" customHeight="false" outlineLevel="0" collapsed="false">
      <c r="A25" s="2" t="s">
        <v>381</v>
      </c>
      <c r="B25" s="18" t="n">
        <f aca="false">Fee_line*B23+Cost_delay*B24</f>
        <v>33.5160529198039</v>
      </c>
      <c r="C25" s="10" t="s">
        <v>382</v>
      </c>
    </row>
    <row r="26" customFormat="false" ht="15" hidden="false" customHeight="false" outlineLevel="0" collapsed="false">
      <c r="A26" s="2" t="s">
        <v>383</v>
      </c>
      <c r="B26" s="18" t="n">
        <f aca="false">Programs!O28-B25</f>
        <v>1027.26396410328</v>
      </c>
      <c r="C26" s="10" t="s">
        <v>384</v>
      </c>
    </row>
    <row r="27" customFormat="false" ht="15" hidden="false" customHeight="false" outlineLevel="0" collapsed="false">
      <c r="A27" s="2" t="s">
        <v>385</v>
      </c>
      <c r="B27" s="19" t="n">
        <f aca="false">B25-Programs!O27</f>
        <v>12.1441931845625</v>
      </c>
      <c r="C27" s="10" t="s">
        <v>386</v>
      </c>
    </row>
    <row r="28" customFormat="false" ht="15" hidden="false" customHeight="false" outlineLevel="0" collapsed="false">
      <c r="A28" s="2" t="s">
        <v>387</v>
      </c>
      <c r="B28" s="25" t="n">
        <v>200</v>
      </c>
      <c r="C28" s="10" t="s">
        <v>388</v>
      </c>
    </row>
    <row r="29" customFormat="false" ht="15" hidden="false" customHeight="false" outlineLevel="0" collapsed="false">
      <c r="A29" s="2" t="s">
        <v>379</v>
      </c>
      <c r="B29" s="26" t="n">
        <v>2.25040414029763</v>
      </c>
    </row>
    <row r="30" customFormat="false" ht="15" hidden="false" customHeight="false" outlineLevel="0" collapsed="false">
      <c r="A30" s="2" t="s">
        <v>381</v>
      </c>
      <c r="B30" s="18" t="n">
        <f aca="false">Fee_line*B28+Cost_delay*B29</f>
        <v>24.003233122381</v>
      </c>
      <c r="C30" s="10" t="s">
        <v>389</v>
      </c>
    </row>
    <row r="31" customFormat="false" ht="15" hidden="false" customHeight="false" outlineLevel="0" collapsed="false">
      <c r="A31" s="2" t="s">
        <v>390</v>
      </c>
      <c r="B31" s="19" t="n">
        <f aca="false">B30-Pkg_cost</f>
        <v>13.562622230968</v>
      </c>
      <c r="C31" s="10" t="s">
        <v>391</v>
      </c>
    </row>
    <row r="33" customFormat="false" ht="15" hidden="false" customHeight="false" outlineLevel="0" collapsed="false">
      <c r="A33" s="8" t="s">
        <v>392</v>
      </c>
      <c r="B33" s="8" t="s">
        <v>20</v>
      </c>
      <c r="C33" s="8" t="s">
        <v>166</v>
      </c>
    </row>
    <row r="34" customFormat="false" ht="15" hidden="false" customHeight="false" outlineLevel="0" collapsed="false">
      <c r="A34" s="2" t="s">
        <v>393</v>
      </c>
      <c r="B34" s="33" t="n">
        <f aca="false">H7</f>
        <v>0.298434200510383</v>
      </c>
      <c r="C34" s="10" t="s">
        <v>394</v>
      </c>
    </row>
    <row r="35" customFormat="false" ht="15" hidden="false" customHeight="false" outlineLevel="0" collapsed="false">
      <c r="A35" s="2" t="s">
        <v>395</v>
      </c>
      <c r="B35" s="23" t="n">
        <f aca="false">J7</f>
        <v>52.1867339033634</v>
      </c>
      <c r="C35" s="10" t="s">
        <v>396</v>
      </c>
    </row>
    <row r="36" customFormat="false" ht="15" hidden="false" customHeight="false" outlineLevel="0" collapsed="false">
      <c r="A36" s="2" t="s">
        <v>397</v>
      </c>
      <c r="B36" s="17" t="s">
        <v>398</v>
      </c>
    </row>
    <row r="37" customFormat="false" ht="15" hidden="false" customHeight="false" outlineLevel="0" collapsed="false">
      <c r="A37" s="2" t="s">
        <v>399</v>
      </c>
      <c r="B37" s="12" t="n">
        <f aca="false">J7/B18</f>
        <v>0.847198971477877</v>
      </c>
      <c r="C37" s="10" t="s">
        <v>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4" min="2" style="0" width="10"/>
    <col collapsed="false" customWidth="true" hidden="false" outlineLevel="0" max="6" min="5" style="0" width="14"/>
    <col collapsed="false" customWidth="true" hidden="false" outlineLevel="0" max="7" min="7" style="0" width="11"/>
    <col collapsed="false" customWidth="true" hidden="false" outlineLevel="0" max="9" min="8" style="0" width="16"/>
    <col collapsed="false" customWidth="true" hidden="false" outlineLevel="0" max="10" min="10" style="0" width="3"/>
    <col collapsed="false" customWidth="true" hidden="false" outlineLevel="0" max="11" min="11" style="0" width="16"/>
    <col collapsed="false" customWidth="true" hidden="false" outlineLevel="0" max="16" min="12" style="0" width="12"/>
  </cols>
  <sheetData>
    <row r="1" customFormat="false" ht="15" hidden="false" customHeight="false" outlineLevel="0" collapsed="false">
      <c r="A1" s="1" t="s">
        <v>401</v>
      </c>
    </row>
    <row r="2" customFormat="false" ht="15" hidden="false" customHeight="false" outlineLevel="0" collapsed="false">
      <c r="A2" s="10" t="s">
        <v>402</v>
      </c>
    </row>
    <row r="3" customFormat="false" ht="15" hidden="false" customHeight="false" outlineLevel="0" collapsed="false">
      <c r="A3" s="2" t="s">
        <v>403</v>
      </c>
      <c r="B3" s="9" t="n">
        <v>0.4</v>
      </c>
      <c r="C3" s="10" t="s">
        <v>404</v>
      </c>
    </row>
    <row r="4" customFormat="false" ht="15" hidden="false" customHeight="false" outlineLevel="0" collapsed="false">
      <c r="A4" s="2" t="s">
        <v>405</v>
      </c>
      <c r="B4" s="19" t="n">
        <f aca="false">0.5^(1/4)</f>
        <v>0.840896415253715</v>
      </c>
      <c r="C4" s="10" t="s">
        <v>406</v>
      </c>
    </row>
    <row r="5" customFormat="false" ht="15" hidden="false" customHeight="false" outlineLevel="0" collapsed="false">
      <c r="A5" s="2" t="s">
        <v>407</v>
      </c>
      <c r="B5" s="19" t="n">
        <f aca="false">SQRT((B4^2-B3*B4)/4)</f>
        <v>0.304445485713396</v>
      </c>
      <c r="C5" s="10" t="s">
        <v>408</v>
      </c>
    </row>
    <row r="6" customFormat="false" ht="15" hidden="false" customHeight="false" outlineLevel="0" collapsed="false">
      <c r="A6" s="2" t="s">
        <v>409</v>
      </c>
      <c r="B6" s="19" t="n">
        <f aca="false">(B4^2-2*(B3^2+B3^2))/B4</f>
        <v>0.0798038616519728</v>
      </c>
      <c r="C6" s="10" t="s">
        <v>410</v>
      </c>
    </row>
    <row r="8" customFormat="false" ht="35.05" hidden="false" customHeight="false" outlineLevel="0" collapsed="false">
      <c r="A8" s="8" t="s">
        <v>411</v>
      </c>
      <c r="B8" s="8" t="s">
        <v>412</v>
      </c>
      <c r="C8" s="8" t="s">
        <v>413</v>
      </c>
      <c r="D8" s="8" t="s">
        <v>414</v>
      </c>
      <c r="E8" s="8" t="s">
        <v>415</v>
      </c>
      <c r="F8" s="8" t="s">
        <v>416</v>
      </c>
      <c r="G8" s="8" t="s">
        <v>417</v>
      </c>
      <c r="H8" s="8" t="s">
        <v>418</v>
      </c>
      <c r="I8" s="8" t="s">
        <v>419</v>
      </c>
    </row>
    <row r="9" customFormat="false" ht="15" hidden="false" customHeight="false" outlineLevel="0" collapsed="false">
      <c r="A9" s="2" t="s">
        <v>420</v>
      </c>
      <c r="B9" s="34" t="n">
        <f aca="false">$B$3</f>
        <v>0.4</v>
      </c>
      <c r="C9" s="34" t="n">
        <f aca="false">$B$3</f>
        <v>0.4</v>
      </c>
      <c r="D9" s="35" t="n">
        <v>0</v>
      </c>
      <c r="E9" s="19" t="n">
        <f aca="false">(D9+SQRT(D9^2+8*(B9^2+C9^2)))/2</f>
        <v>0.8</v>
      </c>
      <c r="F9" s="18" t="n">
        <f aca="false">IF(E9&lt;1,LN(2)/LN(1/E9),"none")</f>
        <v>3.10628371950539</v>
      </c>
      <c r="G9" s="21" t="n">
        <f aca="false">IF(E9&lt;1,1,0)</f>
        <v>1</v>
      </c>
      <c r="H9" s="21" t="n">
        <f aca="false">IF(E9&lt;=$B$4+0.000000001,1,0)</f>
        <v>1</v>
      </c>
      <c r="I9" s="19" t="n">
        <f aca="false">P52/P51-1</f>
        <v>0.8</v>
      </c>
    </row>
    <row r="10" customFormat="false" ht="15" hidden="false" customHeight="false" outlineLevel="0" collapsed="false">
      <c r="A10" s="2" t="s">
        <v>421</v>
      </c>
      <c r="B10" s="34" t="n">
        <f aca="false">$B$3</f>
        <v>0.4</v>
      </c>
      <c r="C10" s="34" t="n">
        <f aca="false">$B$3</f>
        <v>0.4</v>
      </c>
      <c r="D10" s="34" t="n">
        <f aca="false">$B$3</f>
        <v>0.4</v>
      </c>
      <c r="E10" s="19" t="n">
        <f aca="false">(D10+SQRT(D10^2+8*(B10^2+C10^2)))/2</f>
        <v>1.02462112512353</v>
      </c>
      <c r="F10" s="18" t="str">
        <f aca="false">IF(E10&lt;1,LN(2)/LN(1/E10),"none")</f>
        <v>none</v>
      </c>
      <c r="G10" s="21" t="n">
        <f aca="false">IF(E10&lt;1,1,0)</f>
        <v>0</v>
      </c>
      <c r="H10" s="21" t="n">
        <f aca="false">IF(E10&lt;=$B$4+0.000000001,1,0)</f>
        <v>0</v>
      </c>
      <c r="I10" s="19" t="n">
        <f aca="false">P90/P89-1</f>
        <v>1.02462112512353</v>
      </c>
    </row>
    <row r="11" customFormat="false" ht="15" hidden="false" customHeight="false" outlineLevel="0" collapsed="false">
      <c r="A11" s="2" t="s">
        <v>422</v>
      </c>
      <c r="B11" s="34" t="n">
        <f aca="false">$B$3</f>
        <v>0.4</v>
      </c>
      <c r="C11" s="34" t="n">
        <f aca="false">$B$3</f>
        <v>0.4</v>
      </c>
      <c r="D11" s="34" t="n">
        <f aca="false">$B$6</f>
        <v>0.0798038616519728</v>
      </c>
      <c r="E11" s="19" t="n">
        <f aca="false">(D11+SQRT(D11^2+8*(B11^2+C11^2)))/2</f>
        <v>0.840896415253715</v>
      </c>
      <c r="F11" s="18" t="n">
        <f aca="false">IF(E11&lt;1,LN(2)/LN(1/E11),"none")</f>
        <v>4</v>
      </c>
      <c r="G11" s="21" t="n">
        <f aca="false">IF(E11&lt;1,1,0)</f>
        <v>1</v>
      </c>
      <c r="H11" s="21" t="n">
        <f aca="false">IF(E11&lt;=$B$4+0.000000001,1,0)</f>
        <v>1</v>
      </c>
      <c r="I11" s="19" t="n">
        <f aca="false">P128/P127-1</f>
        <v>0.840896415253714</v>
      </c>
    </row>
    <row r="12" customFormat="false" ht="15" hidden="false" customHeight="false" outlineLevel="0" collapsed="false">
      <c r="A12" s="2" t="s">
        <v>423</v>
      </c>
      <c r="B12" s="34" t="n">
        <f aca="false">$B$5</f>
        <v>0.304445485713396</v>
      </c>
      <c r="C12" s="34" t="n">
        <f aca="false">$B$5</f>
        <v>0.304445485713396</v>
      </c>
      <c r="D12" s="34" t="n">
        <f aca="false">$B$3</f>
        <v>0.4</v>
      </c>
      <c r="E12" s="19" t="n">
        <f aca="false">(D12+SQRT(D12^2+8*(B12^2+C12^2)))/2</f>
        <v>0.840896415253715</v>
      </c>
      <c r="F12" s="18" t="n">
        <f aca="false">IF(E12&lt;1,LN(2)/LN(1/E12),"none")</f>
        <v>4</v>
      </c>
      <c r="G12" s="21" t="n">
        <f aca="false">IF(E12&lt;1,1,0)</f>
        <v>1</v>
      </c>
      <c r="H12" s="21" t="n">
        <f aca="false">IF(E12&lt;=$B$4+0.000000001,1,0)</f>
        <v>1</v>
      </c>
      <c r="I12" s="19" t="n">
        <f aca="false">P166/P165-1</f>
        <v>0.840896415253714</v>
      </c>
    </row>
    <row r="13" customFormat="false" ht="15" hidden="false" customHeight="false" outlineLevel="0" collapsed="false">
      <c r="A13" s="2" t="s">
        <v>424</v>
      </c>
      <c r="B13" s="34" t="n">
        <f aca="false">$B$5</f>
        <v>0.304445485713396</v>
      </c>
      <c r="C13" s="34" t="n">
        <f aca="false">$B$5</f>
        <v>0.304445485713396</v>
      </c>
      <c r="D13" s="35" t="n">
        <v>0</v>
      </c>
      <c r="E13" s="19" t="n">
        <f aca="false">(D13+SQRT(D13^2+8*(B13^2+C13^2)))/2</f>
        <v>0.608890971426791</v>
      </c>
      <c r="F13" s="18" t="n">
        <f aca="false">IF(E13&lt;1,LN(2)/LN(1/E13),"none")</f>
        <v>1.39714724399579</v>
      </c>
      <c r="G13" s="21" t="n">
        <f aca="false">IF(E13&lt;1,1,0)</f>
        <v>1</v>
      </c>
      <c r="H13" s="21" t="n">
        <f aca="false">IF(E13&lt;=$B$4+0.000000001,1,0)</f>
        <v>1</v>
      </c>
      <c r="I13" s="19" t="n">
        <f aca="false">P204/P203-1</f>
        <v>0.608890971426791</v>
      </c>
    </row>
    <row r="15" customFormat="false" ht="15" hidden="false" customHeight="false" outlineLevel="0" collapsed="false">
      <c r="A15" s="10" t="s">
        <v>425</v>
      </c>
    </row>
    <row r="16" customFormat="false" ht="15" hidden="false" customHeight="false" outlineLevel="0" collapsed="false">
      <c r="K16" s="4" t="s">
        <v>426</v>
      </c>
    </row>
    <row r="17" customFormat="false" ht="15" hidden="false" customHeight="false" outlineLevel="0" collapsed="false">
      <c r="L17" s="4" t="s">
        <v>427</v>
      </c>
      <c r="M17" s="4" t="s">
        <v>428</v>
      </c>
      <c r="N17" s="4" t="s">
        <v>429</v>
      </c>
      <c r="O17" s="4" t="s">
        <v>430</v>
      </c>
    </row>
    <row r="18" customFormat="false" ht="15" hidden="false" customHeight="false" outlineLevel="0" collapsed="false">
      <c r="K18" s="4" t="s">
        <v>427</v>
      </c>
      <c r="L18" s="19" t="n">
        <v>0</v>
      </c>
      <c r="M18" s="34" t="n">
        <f aca="false">$D$9</f>
        <v>0</v>
      </c>
      <c r="N18" s="34" t="n">
        <f aca="false">$B$9</f>
        <v>0.4</v>
      </c>
      <c r="O18" s="34" t="n">
        <f aca="false">$C$9</f>
        <v>0.4</v>
      </c>
    </row>
    <row r="19" customFormat="false" ht="15" hidden="false" customHeight="false" outlineLevel="0" collapsed="false">
      <c r="K19" s="4" t="s">
        <v>428</v>
      </c>
      <c r="L19" s="34" t="n">
        <f aca="false">$D$9</f>
        <v>0</v>
      </c>
      <c r="M19" s="19" t="n">
        <v>0</v>
      </c>
      <c r="N19" s="34" t="n">
        <f aca="false">$B$9</f>
        <v>0.4</v>
      </c>
      <c r="O19" s="34" t="n">
        <f aca="false">$C$9</f>
        <v>0.4</v>
      </c>
    </row>
    <row r="20" customFormat="false" ht="15" hidden="false" customHeight="false" outlineLevel="0" collapsed="false">
      <c r="K20" s="4" t="s">
        <v>429</v>
      </c>
      <c r="L20" s="34" t="n">
        <f aca="false">$B$9</f>
        <v>0.4</v>
      </c>
      <c r="M20" s="34" t="n">
        <f aca="false">$B$9</f>
        <v>0.4</v>
      </c>
      <c r="N20" s="19" t="n">
        <v>0</v>
      </c>
      <c r="O20" s="19" t="n">
        <v>0</v>
      </c>
    </row>
    <row r="21" customFormat="false" ht="15" hidden="false" customHeight="false" outlineLevel="0" collapsed="false">
      <c r="K21" s="4" t="s">
        <v>430</v>
      </c>
      <c r="L21" s="34" t="n">
        <f aca="false">$C$9</f>
        <v>0.4</v>
      </c>
      <c r="M21" s="34" t="n">
        <f aca="false">$C$9</f>
        <v>0.4</v>
      </c>
      <c r="N21" s="19" t="n">
        <v>0</v>
      </c>
      <c r="O21" s="19" t="n">
        <v>0</v>
      </c>
    </row>
    <row r="23" customFormat="false" ht="15" hidden="false" customHeight="false" outlineLevel="0" collapsed="false">
      <c r="K23" s="4" t="s">
        <v>431</v>
      </c>
      <c r="L23" s="4" t="s">
        <v>427</v>
      </c>
      <c r="M23" s="4" t="s">
        <v>428</v>
      </c>
      <c r="N23" s="4" t="s">
        <v>429</v>
      </c>
      <c r="O23" s="4" t="s">
        <v>430</v>
      </c>
      <c r="P23" s="4" t="s">
        <v>432</v>
      </c>
    </row>
    <row r="24" customFormat="false" ht="15" hidden="false" customHeight="false" outlineLevel="0" collapsed="false">
      <c r="K24" s="21" t="n">
        <v>0</v>
      </c>
      <c r="L24" s="17" t="n">
        <v>1</v>
      </c>
      <c r="M24" s="17" t="n">
        <v>1</v>
      </c>
      <c r="N24" s="17" t="n">
        <v>1</v>
      </c>
      <c r="O24" s="17" t="n">
        <v>1</v>
      </c>
      <c r="P24" s="11" t="n">
        <f aca="false">SUM(L24:O24)</f>
        <v>4</v>
      </c>
    </row>
    <row r="25" customFormat="false" ht="15" hidden="false" customHeight="false" outlineLevel="0" collapsed="false">
      <c r="K25" s="21" t="n">
        <v>1</v>
      </c>
      <c r="L25" s="12" t="n">
        <f aca="false">SUMPRODUCT($L$18:$O$18,L24:O24)+L24</f>
        <v>1.8</v>
      </c>
      <c r="M25" s="12" t="n">
        <f aca="false">SUMPRODUCT($L$19:$O$19,L24:O24)+M24</f>
        <v>1.8</v>
      </c>
      <c r="N25" s="12" t="n">
        <f aca="false">SUMPRODUCT($L$20:$O$20,L24:O24)+N24</f>
        <v>1.8</v>
      </c>
      <c r="O25" s="12" t="n">
        <f aca="false">SUMPRODUCT($L$21:$O$21,L24:O24)+O24</f>
        <v>1.8</v>
      </c>
      <c r="P25" s="11" t="n">
        <f aca="false">SUM(L25:O25)</f>
        <v>7.2</v>
      </c>
    </row>
    <row r="26" customFormat="false" ht="15" hidden="false" customHeight="false" outlineLevel="0" collapsed="false">
      <c r="K26" s="21" t="n">
        <v>2</v>
      </c>
      <c r="L26" s="12" t="n">
        <f aca="false">SUMPRODUCT($L$18:$O$18,L25:O25)+L25</f>
        <v>3.24</v>
      </c>
      <c r="M26" s="12" t="n">
        <f aca="false">SUMPRODUCT($L$19:$O$19,L25:O25)+M25</f>
        <v>3.24</v>
      </c>
      <c r="N26" s="12" t="n">
        <f aca="false">SUMPRODUCT($L$20:$O$20,L25:O25)+N25</f>
        <v>3.24</v>
      </c>
      <c r="O26" s="12" t="n">
        <f aca="false">SUMPRODUCT($L$21:$O$21,L25:O25)+O25</f>
        <v>3.24</v>
      </c>
      <c r="P26" s="11" t="n">
        <f aca="false">SUM(L26:O26)</f>
        <v>12.96</v>
      </c>
    </row>
    <row r="27" customFormat="false" ht="15" hidden="false" customHeight="false" outlineLevel="0" collapsed="false">
      <c r="K27" s="21" t="n">
        <v>3</v>
      </c>
      <c r="L27" s="12" t="n">
        <f aca="false">SUMPRODUCT($L$18:$O$18,L26:O26)+L26</f>
        <v>5.832</v>
      </c>
      <c r="M27" s="12" t="n">
        <f aca="false">SUMPRODUCT($L$19:$O$19,L26:O26)+M26</f>
        <v>5.832</v>
      </c>
      <c r="N27" s="12" t="n">
        <f aca="false">SUMPRODUCT($L$20:$O$20,L26:O26)+N26</f>
        <v>5.832</v>
      </c>
      <c r="O27" s="12" t="n">
        <f aca="false">SUMPRODUCT($L$21:$O$21,L26:O26)+O26</f>
        <v>5.832</v>
      </c>
      <c r="P27" s="11" t="n">
        <f aca="false">SUM(L27:O27)</f>
        <v>23.328</v>
      </c>
    </row>
    <row r="28" customFormat="false" ht="15" hidden="false" customHeight="false" outlineLevel="0" collapsed="false">
      <c r="K28" s="21" t="n">
        <v>4</v>
      </c>
      <c r="L28" s="12" t="n">
        <f aca="false">SUMPRODUCT($L$18:$O$18,L27:O27)+L27</f>
        <v>10.4976</v>
      </c>
      <c r="M28" s="12" t="n">
        <f aca="false">SUMPRODUCT($L$19:$O$19,L27:O27)+M27</f>
        <v>10.4976</v>
      </c>
      <c r="N28" s="12" t="n">
        <f aca="false">SUMPRODUCT($L$20:$O$20,L27:O27)+N27</f>
        <v>10.4976</v>
      </c>
      <c r="O28" s="12" t="n">
        <f aca="false">SUMPRODUCT($L$21:$O$21,L27:O27)+O27</f>
        <v>10.4976</v>
      </c>
      <c r="P28" s="11" t="n">
        <f aca="false">SUM(L28:O28)</f>
        <v>41.9904</v>
      </c>
    </row>
    <row r="29" customFormat="false" ht="15" hidden="false" customHeight="false" outlineLevel="0" collapsed="false">
      <c r="K29" s="21" t="n">
        <v>5</v>
      </c>
      <c r="L29" s="12" t="n">
        <f aca="false">SUMPRODUCT($L$18:$O$18,L28:O28)+L28</f>
        <v>18.89568</v>
      </c>
      <c r="M29" s="12" t="n">
        <f aca="false">SUMPRODUCT($L$19:$O$19,L28:O28)+M28</f>
        <v>18.89568</v>
      </c>
      <c r="N29" s="12" t="n">
        <f aca="false">SUMPRODUCT($L$20:$O$20,L28:O28)+N28</f>
        <v>18.89568</v>
      </c>
      <c r="O29" s="12" t="n">
        <f aca="false">SUMPRODUCT($L$21:$O$21,L28:O28)+O28</f>
        <v>18.89568</v>
      </c>
      <c r="P29" s="11" t="n">
        <f aca="false">SUM(L29:O29)</f>
        <v>75.58272</v>
      </c>
    </row>
    <row r="30" customFormat="false" ht="15" hidden="false" customHeight="false" outlineLevel="0" collapsed="false">
      <c r="K30" s="21" t="n">
        <v>6</v>
      </c>
      <c r="L30" s="12" t="n">
        <f aca="false">SUMPRODUCT($L$18:$O$18,L29:O29)+L29</f>
        <v>34.012224</v>
      </c>
      <c r="M30" s="12" t="n">
        <f aca="false">SUMPRODUCT($L$19:$O$19,L29:O29)+M29</f>
        <v>34.012224</v>
      </c>
      <c r="N30" s="12" t="n">
        <f aca="false">SUMPRODUCT($L$20:$O$20,L29:O29)+N29</f>
        <v>34.012224</v>
      </c>
      <c r="O30" s="12" t="n">
        <f aca="false">SUMPRODUCT($L$21:$O$21,L29:O29)+O29</f>
        <v>34.012224</v>
      </c>
      <c r="P30" s="11" t="n">
        <f aca="false">SUM(L30:O30)</f>
        <v>136.048896</v>
      </c>
    </row>
    <row r="31" customFormat="false" ht="15" hidden="false" customHeight="false" outlineLevel="0" collapsed="false">
      <c r="K31" s="21" t="n">
        <v>7</v>
      </c>
      <c r="L31" s="12" t="n">
        <f aca="false">SUMPRODUCT($L$18:$O$18,L30:O30)+L30</f>
        <v>61.2220032</v>
      </c>
      <c r="M31" s="12" t="n">
        <f aca="false">SUMPRODUCT($L$19:$O$19,L30:O30)+M30</f>
        <v>61.2220032</v>
      </c>
      <c r="N31" s="12" t="n">
        <f aca="false">SUMPRODUCT($L$20:$O$20,L30:O30)+N30</f>
        <v>61.2220032</v>
      </c>
      <c r="O31" s="12" t="n">
        <f aca="false">SUMPRODUCT($L$21:$O$21,L30:O30)+O30</f>
        <v>61.2220032</v>
      </c>
      <c r="P31" s="11" t="n">
        <f aca="false">SUM(L31:O31)</f>
        <v>244.8880128</v>
      </c>
    </row>
    <row r="32" customFormat="false" ht="15" hidden="false" customHeight="false" outlineLevel="0" collapsed="false">
      <c r="K32" s="21" t="n">
        <v>8</v>
      </c>
      <c r="L32" s="12" t="n">
        <f aca="false">SUMPRODUCT($L$18:$O$18,L31:O31)+L31</f>
        <v>110.19960576</v>
      </c>
      <c r="M32" s="12" t="n">
        <f aca="false">SUMPRODUCT($L$19:$O$19,L31:O31)+M31</f>
        <v>110.19960576</v>
      </c>
      <c r="N32" s="12" t="n">
        <f aca="false">SUMPRODUCT($L$20:$O$20,L31:O31)+N31</f>
        <v>110.19960576</v>
      </c>
      <c r="O32" s="12" t="n">
        <f aca="false">SUMPRODUCT($L$21:$O$21,L31:O31)+O31</f>
        <v>110.19960576</v>
      </c>
      <c r="P32" s="11" t="n">
        <f aca="false">SUM(L32:O32)</f>
        <v>440.79842304</v>
      </c>
    </row>
    <row r="33" customFormat="false" ht="15" hidden="false" customHeight="false" outlineLevel="0" collapsed="false">
      <c r="K33" s="21" t="n">
        <v>9</v>
      </c>
      <c r="L33" s="12" t="n">
        <f aca="false">SUMPRODUCT($L$18:$O$18,L32:O32)+L32</f>
        <v>198.359290368</v>
      </c>
      <c r="M33" s="12" t="n">
        <f aca="false">SUMPRODUCT($L$19:$O$19,L32:O32)+M32</f>
        <v>198.359290368</v>
      </c>
      <c r="N33" s="12" t="n">
        <f aca="false">SUMPRODUCT($L$20:$O$20,L32:O32)+N32</f>
        <v>198.359290368</v>
      </c>
      <c r="O33" s="12" t="n">
        <f aca="false">SUMPRODUCT($L$21:$O$21,L32:O32)+O32</f>
        <v>198.359290368</v>
      </c>
      <c r="P33" s="11" t="n">
        <f aca="false">SUM(L33:O33)</f>
        <v>793.437161472</v>
      </c>
    </row>
    <row r="34" customFormat="false" ht="15" hidden="false" customHeight="false" outlineLevel="0" collapsed="false">
      <c r="K34" s="21" t="n">
        <v>10</v>
      </c>
      <c r="L34" s="12" t="n">
        <f aca="false">SUMPRODUCT($L$18:$O$18,L33:O33)+L33</f>
        <v>357.0467226624</v>
      </c>
      <c r="M34" s="12" t="n">
        <f aca="false">SUMPRODUCT($L$19:$O$19,L33:O33)+M33</f>
        <v>357.0467226624</v>
      </c>
      <c r="N34" s="12" t="n">
        <f aca="false">SUMPRODUCT($L$20:$O$20,L33:O33)+N33</f>
        <v>357.0467226624</v>
      </c>
      <c r="O34" s="12" t="n">
        <f aca="false">SUMPRODUCT($L$21:$O$21,L33:O33)+O33</f>
        <v>357.0467226624</v>
      </c>
      <c r="P34" s="11" t="n">
        <f aca="false">SUM(L34:O34)</f>
        <v>1428.1868906496</v>
      </c>
    </row>
    <row r="35" customFormat="false" ht="15" hidden="false" customHeight="false" outlineLevel="0" collapsed="false">
      <c r="K35" s="21" t="n">
        <v>11</v>
      </c>
      <c r="L35" s="12" t="n">
        <f aca="false">SUMPRODUCT($L$18:$O$18,L34:O34)+L34</f>
        <v>642.68410079232</v>
      </c>
      <c r="M35" s="12" t="n">
        <f aca="false">SUMPRODUCT($L$19:$O$19,L34:O34)+M34</f>
        <v>642.68410079232</v>
      </c>
      <c r="N35" s="12" t="n">
        <f aca="false">SUMPRODUCT($L$20:$O$20,L34:O34)+N34</f>
        <v>642.68410079232</v>
      </c>
      <c r="O35" s="12" t="n">
        <f aca="false">SUMPRODUCT($L$21:$O$21,L34:O34)+O34</f>
        <v>642.68410079232</v>
      </c>
      <c r="P35" s="11" t="n">
        <f aca="false">SUM(L35:O35)</f>
        <v>2570.73640316928</v>
      </c>
    </row>
    <row r="36" customFormat="false" ht="15" hidden="false" customHeight="false" outlineLevel="0" collapsed="false">
      <c r="K36" s="21" t="n">
        <v>12</v>
      </c>
      <c r="L36" s="12" t="n">
        <f aca="false">SUMPRODUCT($L$18:$O$18,L35:O35)+L35</f>
        <v>1156.83138142618</v>
      </c>
      <c r="M36" s="12" t="n">
        <f aca="false">SUMPRODUCT($L$19:$O$19,L35:O35)+M35</f>
        <v>1156.83138142618</v>
      </c>
      <c r="N36" s="12" t="n">
        <f aca="false">SUMPRODUCT($L$20:$O$20,L35:O35)+N35</f>
        <v>1156.83138142618</v>
      </c>
      <c r="O36" s="12" t="n">
        <f aca="false">SUMPRODUCT($L$21:$O$21,L35:O35)+O35</f>
        <v>1156.83138142618</v>
      </c>
      <c r="P36" s="11" t="n">
        <f aca="false">SUM(L36:O36)</f>
        <v>4627.32552570471</v>
      </c>
    </row>
    <row r="37" customFormat="false" ht="15" hidden="false" customHeight="false" outlineLevel="0" collapsed="false">
      <c r="K37" s="21" t="n">
        <v>13</v>
      </c>
      <c r="L37" s="12" t="n">
        <f aca="false">SUMPRODUCT($L$18:$O$18,L36:O36)+L36</f>
        <v>2082.29648656712</v>
      </c>
      <c r="M37" s="12" t="n">
        <f aca="false">SUMPRODUCT($L$19:$O$19,L36:O36)+M36</f>
        <v>2082.29648656712</v>
      </c>
      <c r="N37" s="12" t="n">
        <f aca="false">SUMPRODUCT($L$20:$O$20,L36:O36)+N36</f>
        <v>2082.29648656712</v>
      </c>
      <c r="O37" s="12" t="n">
        <f aca="false">SUMPRODUCT($L$21:$O$21,L36:O36)+O36</f>
        <v>2082.29648656712</v>
      </c>
      <c r="P37" s="11" t="n">
        <f aca="false">SUM(L37:O37)</f>
        <v>8329.18594626847</v>
      </c>
    </row>
    <row r="38" customFormat="false" ht="15" hidden="false" customHeight="false" outlineLevel="0" collapsed="false">
      <c r="K38" s="21" t="n">
        <v>14</v>
      </c>
      <c r="L38" s="12" t="n">
        <f aca="false">SUMPRODUCT($L$18:$O$18,L37:O37)+L37</f>
        <v>3748.13367582081</v>
      </c>
      <c r="M38" s="12" t="n">
        <f aca="false">SUMPRODUCT($L$19:$O$19,L37:O37)+M37</f>
        <v>3748.13367582081</v>
      </c>
      <c r="N38" s="12" t="n">
        <f aca="false">SUMPRODUCT($L$20:$O$20,L37:O37)+N37</f>
        <v>3748.13367582081</v>
      </c>
      <c r="O38" s="12" t="n">
        <f aca="false">SUMPRODUCT($L$21:$O$21,L37:O37)+O37</f>
        <v>3748.13367582081</v>
      </c>
      <c r="P38" s="11" t="n">
        <f aca="false">SUM(L38:O38)</f>
        <v>14992.5347032832</v>
      </c>
    </row>
    <row r="39" customFormat="false" ht="15" hidden="false" customHeight="false" outlineLevel="0" collapsed="false">
      <c r="K39" s="21" t="n">
        <v>15</v>
      </c>
      <c r="L39" s="12" t="n">
        <f aca="false">SUMPRODUCT($L$18:$O$18,L38:O38)+L38</f>
        <v>6746.64061647746</v>
      </c>
      <c r="M39" s="12" t="n">
        <f aca="false">SUMPRODUCT($L$19:$O$19,L38:O38)+M38</f>
        <v>6746.64061647746</v>
      </c>
      <c r="N39" s="12" t="n">
        <f aca="false">SUMPRODUCT($L$20:$O$20,L38:O38)+N38</f>
        <v>6746.64061647746</v>
      </c>
      <c r="O39" s="12" t="n">
        <f aca="false">SUMPRODUCT($L$21:$O$21,L38:O38)+O38</f>
        <v>6746.64061647746</v>
      </c>
      <c r="P39" s="11" t="n">
        <f aca="false">SUM(L39:O39)</f>
        <v>26986.5624659098</v>
      </c>
    </row>
    <row r="40" customFormat="false" ht="15" hidden="false" customHeight="false" outlineLevel="0" collapsed="false">
      <c r="K40" s="21" t="n">
        <v>16</v>
      </c>
      <c r="L40" s="12" t="n">
        <f aca="false">SUMPRODUCT($L$18:$O$18,L39:O39)+L39</f>
        <v>12143.9531096594</v>
      </c>
      <c r="M40" s="12" t="n">
        <f aca="false">SUMPRODUCT($L$19:$O$19,L39:O39)+M39</f>
        <v>12143.9531096594</v>
      </c>
      <c r="N40" s="12" t="n">
        <f aca="false">SUMPRODUCT($L$20:$O$20,L39:O39)+N39</f>
        <v>12143.9531096594</v>
      </c>
      <c r="O40" s="12" t="n">
        <f aca="false">SUMPRODUCT($L$21:$O$21,L39:O39)+O39</f>
        <v>12143.9531096594</v>
      </c>
      <c r="P40" s="11" t="n">
        <f aca="false">SUM(L40:O40)</f>
        <v>48575.8124386377</v>
      </c>
    </row>
    <row r="41" customFormat="false" ht="15" hidden="false" customHeight="false" outlineLevel="0" collapsed="false">
      <c r="K41" s="21" t="n">
        <v>17</v>
      </c>
      <c r="L41" s="12" t="n">
        <f aca="false">SUMPRODUCT($L$18:$O$18,L40:O40)+L40</f>
        <v>21859.115597387</v>
      </c>
      <c r="M41" s="12" t="n">
        <f aca="false">SUMPRODUCT($L$19:$O$19,L40:O40)+M40</f>
        <v>21859.115597387</v>
      </c>
      <c r="N41" s="12" t="n">
        <f aca="false">SUMPRODUCT($L$20:$O$20,L40:O40)+N40</f>
        <v>21859.115597387</v>
      </c>
      <c r="O41" s="12" t="n">
        <f aca="false">SUMPRODUCT($L$21:$O$21,L40:O40)+O40</f>
        <v>21859.115597387</v>
      </c>
      <c r="P41" s="11" t="n">
        <f aca="false">SUM(L41:O41)</f>
        <v>87436.4623895479</v>
      </c>
    </row>
    <row r="42" customFormat="false" ht="15" hidden="false" customHeight="false" outlineLevel="0" collapsed="false">
      <c r="K42" s="21" t="n">
        <v>18</v>
      </c>
      <c r="L42" s="12" t="n">
        <f aca="false">SUMPRODUCT($L$18:$O$18,L41:O41)+L41</f>
        <v>39346.4080752966</v>
      </c>
      <c r="M42" s="12" t="n">
        <f aca="false">SUMPRODUCT($L$19:$O$19,L41:O41)+M41</f>
        <v>39346.4080752966</v>
      </c>
      <c r="N42" s="12" t="n">
        <f aca="false">SUMPRODUCT($L$20:$O$20,L41:O41)+N41</f>
        <v>39346.4080752966</v>
      </c>
      <c r="O42" s="12" t="n">
        <f aca="false">SUMPRODUCT($L$21:$O$21,L41:O41)+O41</f>
        <v>39346.4080752966</v>
      </c>
      <c r="P42" s="11" t="n">
        <f aca="false">SUM(L42:O42)</f>
        <v>157385.632301186</v>
      </c>
    </row>
    <row r="43" customFormat="false" ht="15" hidden="false" customHeight="false" outlineLevel="0" collapsed="false">
      <c r="K43" s="21" t="n">
        <v>19</v>
      </c>
      <c r="L43" s="12" t="n">
        <f aca="false">SUMPRODUCT($L$18:$O$18,L42:O42)+L42</f>
        <v>70823.5345355338</v>
      </c>
      <c r="M43" s="12" t="n">
        <f aca="false">SUMPRODUCT($L$19:$O$19,L42:O42)+M42</f>
        <v>70823.5345355338</v>
      </c>
      <c r="N43" s="12" t="n">
        <f aca="false">SUMPRODUCT($L$20:$O$20,L42:O42)+N42</f>
        <v>70823.5345355338</v>
      </c>
      <c r="O43" s="12" t="n">
        <f aca="false">SUMPRODUCT($L$21:$O$21,L42:O42)+O42</f>
        <v>70823.5345355338</v>
      </c>
      <c r="P43" s="11" t="n">
        <f aca="false">SUM(L43:O43)</f>
        <v>283294.138142135</v>
      </c>
    </row>
    <row r="44" customFormat="false" ht="15" hidden="false" customHeight="false" outlineLevel="0" collapsed="false">
      <c r="K44" s="21" t="n">
        <v>20</v>
      </c>
      <c r="L44" s="12" t="n">
        <f aca="false">SUMPRODUCT($L$18:$O$18,L43:O43)+L43</f>
        <v>127482.362163961</v>
      </c>
      <c r="M44" s="12" t="n">
        <f aca="false">SUMPRODUCT($L$19:$O$19,L43:O43)+M43</f>
        <v>127482.362163961</v>
      </c>
      <c r="N44" s="12" t="n">
        <f aca="false">SUMPRODUCT($L$20:$O$20,L43:O43)+N43</f>
        <v>127482.362163961</v>
      </c>
      <c r="O44" s="12" t="n">
        <f aca="false">SUMPRODUCT($L$21:$O$21,L43:O43)+O43</f>
        <v>127482.362163961</v>
      </c>
      <c r="P44" s="11" t="n">
        <f aca="false">SUM(L44:O44)</f>
        <v>509929.448655843</v>
      </c>
    </row>
    <row r="45" customFormat="false" ht="15" hidden="false" customHeight="false" outlineLevel="0" collapsed="false">
      <c r="K45" s="21" t="n">
        <v>21</v>
      </c>
      <c r="L45" s="12" t="n">
        <f aca="false">SUMPRODUCT($L$18:$O$18,L44:O44)+L44</f>
        <v>229468.25189513</v>
      </c>
      <c r="M45" s="12" t="n">
        <f aca="false">SUMPRODUCT($L$19:$O$19,L44:O44)+M44</f>
        <v>229468.25189513</v>
      </c>
      <c r="N45" s="12" t="n">
        <f aca="false">SUMPRODUCT($L$20:$O$20,L44:O44)+N44</f>
        <v>229468.25189513</v>
      </c>
      <c r="O45" s="12" t="n">
        <f aca="false">SUMPRODUCT($L$21:$O$21,L44:O44)+O44</f>
        <v>229468.25189513</v>
      </c>
      <c r="P45" s="11" t="n">
        <f aca="false">SUM(L45:O45)</f>
        <v>917873.007580518</v>
      </c>
    </row>
    <row r="46" customFormat="false" ht="15" hidden="false" customHeight="false" outlineLevel="0" collapsed="false">
      <c r="K46" s="21" t="n">
        <v>22</v>
      </c>
      <c r="L46" s="12" t="n">
        <f aca="false">SUMPRODUCT($L$18:$O$18,L45:O45)+L45</f>
        <v>413042.853411233</v>
      </c>
      <c r="M46" s="12" t="n">
        <f aca="false">SUMPRODUCT($L$19:$O$19,L45:O45)+M45</f>
        <v>413042.853411233</v>
      </c>
      <c r="N46" s="12" t="n">
        <f aca="false">SUMPRODUCT($L$20:$O$20,L45:O45)+N45</f>
        <v>413042.853411233</v>
      </c>
      <c r="O46" s="12" t="n">
        <f aca="false">SUMPRODUCT($L$21:$O$21,L45:O45)+O45</f>
        <v>413042.853411233</v>
      </c>
      <c r="P46" s="11" t="n">
        <f aca="false">SUM(L46:O46)</f>
        <v>1652171.41364493</v>
      </c>
    </row>
    <row r="47" customFormat="false" ht="15" hidden="false" customHeight="false" outlineLevel="0" collapsed="false">
      <c r="K47" s="21" t="n">
        <v>23</v>
      </c>
      <c r="L47" s="12" t="n">
        <f aca="false">SUMPRODUCT($L$18:$O$18,L46:O46)+L46</f>
        <v>743477.13614022</v>
      </c>
      <c r="M47" s="12" t="n">
        <f aca="false">SUMPRODUCT($L$19:$O$19,L46:O46)+M46</f>
        <v>743477.13614022</v>
      </c>
      <c r="N47" s="12" t="n">
        <f aca="false">SUMPRODUCT($L$20:$O$20,L46:O46)+N46</f>
        <v>743477.13614022</v>
      </c>
      <c r="O47" s="12" t="n">
        <f aca="false">SUMPRODUCT($L$21:$O$21,L46:O46)+O46</f>
        <v>743477.13614022</v>
      </c>
      <c r="P47" s="11" t="n">
        <f aca="false">SUM(L47:O47)</f>
        <v>2973908.54456088</v>
      </c>
    </row>
    <row r="48" customFormat="false" ht="15" hidden="false" customHeight="false" outlineLevel="0" collapsed="false">
      <c r="K48" s="21" t="n">
        <v>24</v>
      </c>
      <c r="L48" s="12" t="n">
        <f aca="false">SUMPRODUCT($L$18:$O$18,L47:O47)+L47</f>
        <v>1338258.8450524</v>
      </c>
      <c r="M48" s="12" t="n">
        <f aca="false">SUMPRODUCT($L$19:$O$19,L47:O47)+M47</f>
        <v>1338258.8450524</v>
      </c>
      <c r="N48" s="12" t="n">
        <f aca="false">SUMPRODUCT($L$20:$O$20,L47:O47)+N47</f>
        <v>1338258.8450524</v>
      </c>
      <c r="O48" s="12" t="n">
        <f aca="false">SUMPRODUCT($L$21:$O$21,L47:O47)+O47</f>
        <v>1338258.8450524</v>
      </c>
      <c r="P48" s="11" t="n">
        <f aca="false">SUM(L48:O48)</f>
        <v>5353035.38020958</v>
      </c>
    </row>
    <row r="49" customFormat="false" ht="15" hidden="false" customHeight="false" outlineLevel="0" collapsed="false">
      <c r="K49" s="21" t="n">
        <v>25</v>
      </c>
      <c r="L49" s="12" t="n">
        <f aca="false">SUMPRODUCT($L$18:$O$18,L48:O48)+L48</f>
        <v>2408865.92109431</v>
      </c>
      <c r="M49" s="12" t="n">
        <f aca="false">SUMPRODUCT($L$19:$O$19,L48:O48)+M48</f>
        <v>2408865.92109431</v>
      </c>
      <c r="N49" s="12" t="n">
        <f aca="false">SUMPRODUCT($L$20:$O$20,L48:O48)+N48</f>
        <v>2408865.92109431</v>
      </c>
      <c r="O49" s="12" t="n">
        <f aca="false">SUMPRODUCT($L$21:$O$21,L48:O48)+O48</f>
        <v>2408865.92109431</v>
      </c>
      <c r="P49" s="11" t="n">
        <f aca="false">SUM(L49:O49)</f>
        <v>9635463.68437725</v>
      </c>
    </row>
    <row r="50" customFormat="false" ht="15" hidden="false" customHeight="false" outlineLevel="0" collapsed="false">
      <c r="K50" s="21" t="n">
        <v>26</v>
      </c>
      <c r="L50" s="12" t="n">
        <f aca="false">SUMPRODUCT($L$18:$O$18,L49:O49)+L49</f>
        <v>4335958.65796976</v>
      </c>
      <c r="M50" s="12" t="n">
        <f aca="false">SUMPRODUCT($L$19:$O$19,L49:O49)+M49</f>
        <v>4335958.65796976</v>
      </c>
      <c r="N50" s="12" t="n">
        <f aca="false">SUMPRODUCT($L$20:$O$20,L49:O49)+N49</f>
        <v>4335958.65796976</v>
      </c>
      <c r="O50" s="12" t="n">
        <f aca="false">SUMPRODUCT($L$21:$O$21,L49:O49)+O49</f>
        <v>4335958.65796976</v>
      </c>
      <c r="P50" s="11" t="n">
        <f aca="false">SUM(L50:O50)</f>
        <v>17343834.631879</v>
      </c>
    </row>
    <row r="51" customFormat="false" ht="15" hidden="false" customHeight="false" outlineLevel="0" collapsed="false">
      <c r="K51" s="21" t="n">
        <v>27</v>
      </c>
      <c r="L51" s="12" t="n">
        <f aca="false">SUMPRODUCT($L$18:$O$18,L50:O50)+L50</f>
        <v>7804725.58434557</v>
      </c>
      <c r="M51" s="12" t="n">
        <f aca="false">SUMPRODUCT($L$19:$O$19,L50:O50)+M50</f>
        <v>7804725.58434557</v>
      </c>
      <c r="N51" s="12" t="n">
        <f aca="false">SUMPRODUCT($L$20:$O$20,L50:O50)+N50</f>
        <v>7804725.58434557</v>
      </c>
      <c r="O51" s="12" t="n">
        <f aca="false">SUMPRODUCT($L$21:$O$21,L50:O50)+O50</f>
        <v>7804725.58434557</v>
      </c>
      <c r="P51" s="11" t="n">
        <f aca="false">SUM(L51:O51)</f>
        <v>31218902.3373823</v>
      </c>
    </row>
    <row r="52" customFormat="false" ht="15" hidden="false" customHeight="false" outlineLevel="0" collapsed="false">
      <c r="K52" s="21" t="n">
        <v>28</v>
      </c>
      <c r="L52" s="12" t="n">
        <f aca="false">SUMPRODUCT($L$18:$O$18,L51:O51)+L51</f>
        <v>14048506.051822</v>
      </c>
      <c r="M52" s="12" t="n">
        <f aca="false">SUMPRODUCT($L$19:$O$19,L51:O51)+M51</f>
        <v>14048506.051822</v>
      </c>
      <c r="N52" s="12" t="n">
        <f aca="false">SUMPRODUCT($L$20:$O$20,L51:O51)+N51</f>
        <v>14048506.051822</v>
      </c>
      <c r="O52" s="12" t="n">
        <f aca="false">SUMPRODUCT($L$21:$O$21,L51:O51)+O51</f>
        <v>14048506.051822</v>
      </c>
      <c r="P52" s="11" t="n">
        <f aca="false">SUM(L52:O52)</f>
        <v>56194024.2072881</v>
      </c>
    </row>
    <row r="54" customFormat="false" ht="15" hidden="false" customHeight="false" outlineLevel="0" collapsed="false">
      <c r="K54" s="4" t="s">
        <v>433</v>
      </c>
    </row>
    <row r="55" customFormat="false" ht="15" hidden="false" customHeight="false" outlineLevel="0" collapsed="false">
      <c r="L55" s="4" t="s">
        <v>427</v>
      </c>
      <c r="M55" s="4" t="s">
        <v>428</v>
      </c>
      <c r="N55" s="4" t="s">
        <v>429</v>
      </c>
      <c r="O55" s="4" t="s">
        <v>430</v>
      </c>
    </row>
    <row r="56" customFormat="false" ht="15" hidden="false" customHeight="false" outlineLevel="0" collapsed="false">
      <c r="K56" s="4" t="s">
        <v>427</v>
      </c>
      <c r="L56" s="19" t="n">
        <v>0</v>
      </c>
      <c r="M56" s="34" t="n">
        <f aca="false">$D$10</f>
        <v>0.4</v>
      </c>
      <c r="N56" s="34" t="n">
        <f aca="false">$B$10</f>
        <v>0.4</v>
      </c>
      <c r="O56" s="34" t="n">
        <f aca="false">$C$10</f>
        <v>0.4</v>
      </c>
    </row>
    <row r="57" customFormat="false" ht="15" hidden="false" customHeight="false" outlineLevel="0" collapsed="false">
      <c r="K57" s="4" t="s">
        <v>428</v>
      </c>
      <c r="L57" s="34" t="n">
        <f aca="false">$D$10</f>
        <v>0.4</v>
      </c>
      <c r="M57" s="19" t="n">
        <v>0</v>
      </c>
      <c r="N57" s="34" t="n">
        <f aca="false">$B$10</f>
        <v>0.4</v>
      </c>
      <c r="O57" s="34" t="n">
        <f aca="false">$C$10</f>
        <v>0.4</v>
      </c>
    </row>
    <row r="58" customFormat="false" ht="15" hidden="false" customHeight="false" outlineLevel="0" collapsed="false">
      <c r="K58" s="4" t="s">
        <v>429</v>
      </c>
      <c r="L58" s="34" t="n">
        <f aca="false">$B$10</f>
        <v>0.4</v>
      </c>
      <c r="M58" s="34" t="n">
        <f aca="false">$B$10</f>
        <v>0.4</v>
      </c>
      <c r="N58" s="19" t="n">
        <v>0</v>
      </c>
      <c r="O58" s="19" t="n">
        <v>0</v>
      </c>
    </row>
    <row r="59" customFormat="false" ht="15" hidden="false" customHeight="false" outlineLevel="0" collapsed="false">
      <c r="K59" s="4" t="s">
        <v>430</v>
      </c>
      <c r="L59" s="34" t="n">
        <f aca="false">$C$10</f>
        <v>0.4</v>
      </c>
      <c r="M59" s="34" t="n">
        <f aca="false">$C$10</f>
        <v>0.4</v>
      </c>
      <c r="N59" s="19" t="n">
        <v>0</v>
      </c>
      <c r="O59" s="19" t="n">
        <v>0</v>
      </c>
    </row>
    <row r="61" customFormat="false" ht="15" hidden="false" customHeight="false" outlineLevel="0" collapsed="false">
      <c r="K61" s="4" t="s">
        <v>431</v>
      </c>
      <c r="L61" s="4" t="s">
        <v>427</v>
      </c>
      <c r="M61" s="4" t="s">
        <v>428</v>
      </c>
      <c r="N61" s="4" t="s">
        <v>429</v>
      </c>
      <c r="O61" s="4" t="s">
        <v>430</v>
      </c>
      <c r="P61" s="4" t="s">
        <v>432</v>
      </c>
    </row>
    <row r="62" customFormat="false" ht="15" hidden="false" customHeight="false" outlineLevel="0" collapsed="false">
      <c r="K62" s="21" t="n">
        <v>0</v>
      </c>
      <c r="L62" s="17" t="n">
        <v>1</v>
      </c>
      <c r="M62" s="17" t="n">
        <v>1</v>
      </c>
      <c r="N62" s="17" t="n">
        <v>1</v>
      </c>
      <c r="O62" s="17" t="n">
        <v>1</v>
      </c>
      <c r="P62" s="11" t="n">
        <f aca="false">SUM(L62:O62)</f>
        <v>4</v>
      </c>
    </row>
    <row r="63" customFormat="false" ht="15" hidden="false" customHeight="false" outlineLevel="0" collapsed="false">
      <c r="K63" s="21" t="n">
        <v>1</v>
      </c>
      <c r="L63" s="12" t="n">
        <f aca="false">SUMPRODUCT($L$56:$O$56,L62:O62)+L62</f>
        <v>2.2</v>
      </c>
      <c r="M63" s="12" t="n">
        <f aca="false">SUMPRODUCT($L$57:$O$57,L62:O62)+M62</f>
        <v>2.2</v>
      </c>
      <c r="N63" s="12" t="n">
        <f aca="false">SUMPRODUCT($L$58:$O$58,L62:O62)+N62</f>
        <v>1.8</v>
      </c>
      <c r="O63" s="12" t="n">
        <f aca="false">SUMPRODUCT($L$59:$O$59,L62:O62)+O62</f>
        <v>1.8</v>
      </c>
      <c r="P63" s="11" t="n">
        <f aca="false">SUM(L63:O63)</f>
        <v>8</v>
      </c>
    </row>
    <row r="64" customFormat="false" ht="15" hidden="false" customHeight="false" outlineLevel="0" collapsed="false">
      <c r="K64" s="21" t="n">
        <v>2</v>
      </c>
      <c r="L64" s="12" t="n">
        <f aca="false">SUMPRODUCT($L$56:$O$56,L63:O63)+L63</f>
        <v>4.52</v>
      </c>
      <c r="M64" s="12" t="n">
        <f aca="false">SUMPRODUCT($L$57:$O$57,L63:O63)+M63</f>
        <v>4.52</v>
      </c>
      <c r="N64" s="12" t="n">
        <f aca="false">SUMPRODUCT($L$58:$O$58,L63:O63)+N63</f>
        <v>3.56</v>
      </c>
      <c r="O64" s="12" t="n">
        <f aca="false">SUMPRODUCT($L$59:$O$59,L63:O63)+O63</f>
        <v>3.56</v>
      </c>
      <c r="P64" s="11" t="n">
        <f aca="false">SUM(L64:O64)</f>
        <v>16.16</v>
      </c>
    </row>
    <row r="65" customFormat="false" ht="15" hidden="false" customHeight="false" outlineLevel="0" collapsed="false">
      <c r="K65" s="21" t="n">
        <v>3</v>
      </c>
      <c r="L65" s="12" t="n">
        <f aca="false">SUMPRODUCT($L$56:$O$56,L64:O64)+L64</f>
        <v>9.176</v>
      </c>
      <c r="M65" s="12" t="n">
        <f aca="false">SUMPRODUCT($L$57:$O$57,L64:O64)+M64</f>
        <v>9.176</v>
      </c>
      <c r="N65" s="12" t="n">
        <f aca="false">SUMPRODUCT($L$58:$O$58,L64:O64)+N64</f>
        <v>7.176</v>
      </c>
      <c r="O65" s="12" t="n">
        <f aca="false">SUMPRODUCT($L$59:$O$59,L64:O64)+O64</f>
        <v>7.176</v>
      </c>
      <c r="P65" s="11" t="n">
        <f aca="false">SUM(L65:O65)</f>
        <v>32.704</v>
      </c>
    </row>
    <row r="66" customFormat="false" ht="15" hidden="false" customHeight="false" outlineLevel="0" collapsed="false">
      <c r="K66" s="21" t="n">
        <v>4</v>
      </c>
      <c r="L66" s="12" t="n">
        <f aca="false">SUMPRODUCT($L$56:$O$56,L65:O65)+L65</f>
        <v>18.5872</v>
      </c>
      <c r="M66" s="12" t="n">
        <f aca="false">SUMPRODUCT($L$57:$O$57,L65:O65)+M65</f>
        <v>18.5872</v>
      </c>
      <c r="N66" s="12" t="n">
        <f aca="false">SUMPRODUCT($L$58:$O$58,L65:O65)+N65</f>
        <v>14.5168</v>
      </c>
      <c r="O66" s="12" t="n">
        <f aca="false">SUMPRODUCT($L$59:$O$59,L65:O65)+O65</f>
        <v>14.5168</v>
      </c>
      <c r="P66" s="11" t="n">
        <f aca="false">SUM(L66:O66)</f>
        <v>66.208</v>
      </c>
    </row>
    <row r="67" customFormat="false" ht="15" hidden="false" customHeight="false" outlineLevel="0" collapsed="false">
      <c r="K67" s="21" t="n">
        <v>5</v>
      </c>
      <c r="L67" s="12" t="n">
        <f aca="false">SUMPRODUCT($L$56:$O$56,L66:O66)+L66</f>
        <v>37.63552</v>
      </c>
      <c r="M67" s="12" t="n">
        <f aca="false">SUMPRODUCT($L$57:$O$57,L66:O66)+M66</f>
        <v>37.63552</v>
      </c>
      <c r="N67" s="12" t="n">
        <f aca="false">SUMPRODUCT($L$58:$O$58,L66:O66)+N66</f>
        <v>29.38656</v>
      </c>
      <c r="O67" s="12" t="n">
        <f aca="false">SUMPRODUCT($L$59:$O$59,L66:O66)+O66</f>
        <v>29.38656</v>
      </c>
      <c r="P67" s="11" t="n">
        <f aca="false">SUM(L67:O67)</f>
        <v>134.04416</v>
      </c>
    </row>
    <row r="68" customFormat="false" ht="15" hidden="false" customHeight="false" outlineLevel="0" collapsed="false">
      <c r="K68" s="21" t="n">
        <v>6</v>
      </c>
      <c r="L68" s="12" t="n">
        <f aca="false">SUMPRODUCT($L$56:$O$56,L67:O67)+L67</f>
        <v>76.198976</v>
      </c>
      <c r="M68" s="12" t="n">
        <f aca="false">SUMPRODUCT($L$57:$O$57,L67:O67)+M67</f>
        <v>76.198976</v>
      </c>
      <c r="N68" s="12" t="n">
        <f aca="false">SUMPRODUCT($L$58:$O$58,L67:O67)+N67</f>
        <v>59.494976</v>
      </c>
      <c r="O68" s="12" t="n">
        <f aca="false">SUMPRODUCT($L$59:$O$59,L67:O67)+O67</f>
        <v>59.494976</v>
      </c>
      <c r="P68" s="11" t="n">
        <f aca="false">SUM(L68:O68)</f>
        <v>271.387904</v>
      </c>
    </row>
    <row r="69" customFormat="false" ht="15" hidden="false" customHeight="false" outlineLevel="0" collapsed="false">
      <c r="K69" s="21" t="n">
        <v>7</v>
      </c>
      <c r="L69" s="12" t="n">
        <f aca="false">SUMPRODUCT($L$56:$O$56,L68:O68)+L68</f>
        <v>154.2745472</v>
      </c>
      <c r="M69" s="12" t="n">
        <f aca="false">SUMPRODUCT($L$57:$O$57,L68:O68)+M68</f>
        <v>154.2745472</v>
      </c>
      <c r="N69" s="12" t="n">
        <f aca="false">SUMPRODUCT($L$58:$O$58,L68:O68)+N68</f>
        <v>120.4541568</v>
      </c>
      <c r="O69" s="12" t="n">
        <f aca="false">SUMPRODUCT($L$59:$O$59,L68:O68)+O68</f>
        <v>120.4541568</v>
      </c>
      <c r="P69" s="11" t="n">
        <f aca="false">SUM(L69:O69)</f>
        <v>549.457408</v>
      </c>
    </row>
    <row r="70" customFormat="false" ht="15" hidden="false" customHeight="false" outlineLevel="0" collapsed="false">
      <c r="K70" s="21" t="n">
        <v>8</v>
      </c>
      <c r="L70" s="12" t="n">
        <f aca="false">SUMPRODUCT($L$56:$O$56,L69:O69)+L69</f>
        <v>312.34769152</v>
      </c>
      <c r="M70" s="12" t="n">
        <f aca="false">SUMPRODUCT($L$57:$O$57,L69:O69)+M69</f>
        <v>312.34769152</v>
      </c>
      <c r="N70" s="12" t="n">
        <f aca="false">SUMPRODUCT($L$58:$O$58,L69:O69)+N69</f>
        <v>243.87379456</v>
      </c>
      <c r="O70" s="12" t="n">
        <f aca="false">SUMPRODUCT($L$59:$O$59,L69:O69)+O69</f>
        <v>243.87379456</v>
      </c>
      <c r="P70" s="11" t="n">
        <f aca="false">SUM(L70:O70)</f>
        <v>1112.44297216</v>
      </c>
    </row>
    <row r="71" customFormat="false" ht="15" hidden="false" customHeight="false" outlineLevel="0" collapsed="false">
      <c r="K71" s="21" t="n">
        <v>9</v>
      </c>
      <c r="L71" s="12" t="n">
        <f aca="false">SUMPRODUCT($L$56:$O$56,L70:O70)+L70</f>
        <v>632.385803776</v>
      </c>
      <c r="M71" s="12" t="n">
        <f aca="false">SUMPRODUCT($L$57:$O$57,L70:O70)+M70</f>
        <v>632.385803776</v>
      </c>
      <c r="N71" s="12" t="n">
        <f aca="false">SUMPRODUCT($L$58:$O$58,L70:O70)+N70</f>
        <v>493.751947776</v>
      </c>
      <c r="O71" s="12" t="n">
        <f aca="false">SUMPRODUCT($L$59:$O$59,L70:O70)+O70</f>
        <v>493.751947776</v>
      </c>
      <c r="P71" s="11" t="n">
        <f aca="false">SUM(L71:O71)</f>
        <v>2252.275503104</v>
      </c>
    </row>
    <row r="72" customFormat="false" ht="15" hidden="false" customHeight="false" outlineLevel="0" collapsed="false">
      <c r="K72" s="21" t="n">
        <v>10</v>
      </c>
      <c r="L72" s="12" t="n">
        <f aca="false">SUMPRODUCT($L$56:$O$56,L71:O71)+L71</f>
        <v>1280.3416835072</v>
      </c>
      <c r="M72" s="12" t="n">
        <f aca="false">SUMPRODUCT($L$57:$O$57,L71:O71)+M71</f>
        <v>1280.3416835072</v>
      </c>
      <c r="N72" s="12" t="n">
        <f aca="false">SUMPRODUCT($L$58:$O$58,L71:O71)+N71</f>
        <v>999.6605907968</v>
      </c>
      <c r="O72" s="12" t="n">
        <f aca="false">SUMPRODUCT($L$59:$O$59,L71:O71)+O71</f>
        <v>999.6605907968</v>
      </c>
      <c r="P72" s="11" t="n">
        <f aca="false">SUM(L72:O72)</f>
        <v>4560.004548608</v>
      </c>
    </row>
    <row r="73" customFormat="false" ht="15" hidden="false" customHeight="false" outlineLevel="0" collapsed="false">
      <c r="K73" s="21" t="n">
        <v>11</v>
      </c>
      <c r="L73" s="12" t="n">
        <f aca="false">SUMPRODUCT($L$56:$O$56,L72:O72)+L72</f>
        <v>2592.20682954752</v>
      </c>
      <c r="M73" s="12" t="n">
        <f aca="false">SUMPRODUCT($L$57:$O$57,L72:O72)+M72</f>
        <v>2592.20682954752</v>
      </c>
      <c r="N73" s="12" t="n">
        <f aca="false">SUMPRODUCT($L$58:$O$58,L72:O72)+N72</f>
        <v>2023.93393760256</v>
      </c>
      <c r="O73" s="12" t="n">
        <f aca="false">SUMPRODUCT($L$59:$O$59,L72:O72)+O72</f>
        <v>2023.93393760256</v>
      </c>
      <c r="P73" s="11" t="n">
        <f aca="false">SUM(L73:O73)</f>
        <v>9232.28153430016</v>
      </c>
    </row>
    <row r="74" customFormat="false" ht="15" hidden="false" customHeight="false" outlineLevel="0" collapsed="false">
      <c r="K74" s="21" t="n">
        <v>12</v>
      </c>
      <c r="L74" s="12" t="n">
        <f aca="false">SUMPRODUCT($L$56:$O$56,L73:O73)+L73</f>
        <v>5248.23671144858</v>
      </c>
      <c r="M74" s="12" t="n">
        <f aca="false">SUMPRODUCT($L$57:$O$57,L73:O73)+M73</f>
        <v>5248.23671144858</v>
      </c>
      <c r="N74" s="12" t="n">
        <f aca="false">SUMPRODUCT($L$58:$O$58,L73:O73)+N73</f>
        <v>4097.69940124058</v>
      </c>
      <c r="O74" s="12" t="n">
        <f aca="false">SUMPRODUCT($L$59:$O$59,L73:O73)+O73</f>
        <v>4097.69940124058</v>
      </c>
      <c r="P74" s="11" t="n">
        <f aca="false">SUM(L74:O74)</f>
        <v>18691.8722253783</v>
      </c>
    </row>
    <row r="75" customFormat="false" ht="15" hidden="false" customHeight="false" outlineLevel="0" collapsed="false">
      <c r="K75" s="21" t="n">
        <v>13</v>
      </c>
      <c r="L75" s="12" t="n">
        <f aca="false">SUMPRODUCT($L$56:$O$56,L74:O74)+L74</f>
        <v>10625.6909170205</v>
      </c>
      <c r="M75" s="12" t="n">
        <f aca="false">SUMPRODUCT($L$57:$O$57,L74:O74)+M74</f>
        <v>10625.6909170205</v>
      </c>
      <c r="N75" s="12" t="n">
        <f aca="false">SUMPRODUCT($L$58:$O$58,L74:O74)+N74</f>
        <v>8296.28877039944</v>
      </c>
      <c r="O75" s="12" t="n">
        <f aca="false">SUMPRODUCT($L$59:$O$59,L74:O74)+O74</f>
        <v>8296.28877039944</v>
      </c>
      <c r="P75" s="11" t="n">
        <f aca="false">SUM(L75:O75)</f>
        <v>37843.9593748398</v>
      </c>
    </row>
    <row r="76" customFormat="false" ht="15" hidden="false" customHeight="false" outlineLevel="0" collapsed="false">
      <c r="K76" s="21" t="n">
        <v>14</v>
      </c>
      <c r="L76" s="12" t="n">
        <f aca="false">SUMPRODUCT($L$56:$O$56,L75:O75)+L75</f>
        <v>21512.9983001482</v>
      </c>
      <c r="M76" s="12" t="n">
        <f aca="false">SUMPRODUCT($L$57:$O$57,L75:O75)+M75</f>
        <v>21512.9983001482</v>
      </c>
      <c r="N76" s="12" t="n">
        <f aca="false">SUMPRODUCT($L$58:$O$58,L75:O75)+N75</f>
        <v>16796.8415040158</v>
      </c>
      <c r="O76" s="12" t="n">
        <f aca="false">SUMPRODUCT($L$59:$O$59,L75:O75)+O75</f>
        <v>16796.8415040158</v>
      </c>
      <c r="P76" s="11" t="n">
        <f aca="false">SUM(L76:O76)</f>
        <v>76619.6796083281</v>
      </c>
    </row>
    <row r="77" customFormat="false" ht="15" hidden="false" customHeight="false" outlineLevel="0" collapsed="false">
      <c r="K77" s="21" t="n">
        <v>15</v>
      </c>
      <c r="L77" s="12" t="n">
        <f aca="false">SUMPRODUCT($L$56:$O$56,L76:O76)+L76</f>
        <v>43555.6708234202</v>
      </c>
      <c r="M77" s="12" t="n">
        <f aca="false">SUMPRODUCT($L$57:$O$57,L76:O76)+M76</f>
        <v>43555.6708234202</v>
      </c>
      <c r="N77" s="12" t="n">
        <f aca="false">SUMPRODUCT($L$58:$O$58,L76:O76)+N76</f>
        <v>34007.2401441344</v>
      </c>
      <c r="O77" s="12" t="n">
        <f aca="false">SUMPRODUCT($L$59:$O$59,L76:O76)+O76</f>
        <v>34007.2401441344</v>
      </c>
      <c r="P77" s="11" t="n">
        <f aca="false">SUM(L77:O77)</f>
        <v>155125.821935109</v>
      </c>
    </row>
    <row r="78" customFormat="false" ht="15" hidden="false" customHeight="false" outlineLevel="0" collapsed="false">
      <c r="K78" s="21" t="n">
        <v>16</v>
      </c>
      <c r="L78" s="12" t="n">
        <f aca="false">SUMPRODUCT($L$56:$O$56,L77:O77)+L77</f>
        <v>88183.7312680957</v>
      </c>
      <c r="M78" s="12" t="n">
        <f aca="false">SUMPRODUCT($L$57:$O$57,L77:O77)+M77</f>
        <v>88183.7312680957</v>
      </c>
      <c r="N78" s="12" t="n">
        <f aca="false">SUMPRODUCT($L$58:$O$58,L77:O77)+N77</f>
        <v>68851.7768028705</v>
      </c>
      <c r="O78" s="12" t="n">
        <f aca="false">SUMPRODUCT($L$59:$O$59,L77:O77)+O77</f>
        <v>68851.7768028705</v>
      </c>
      <c r="P78" s="11" t="n">
        <f aca="false">SUM(L78:O78)</f>
        <v>314071.016141932</v>
      </c>
    </row>
    <row r="79" customFormat="false" ht="15" hidden="false" customHeight="false" outlineLevel="0" collapsed="false">
      <c r="K79" s="21" t="n">
        <v>17</v>
      </c>
      <c r="L79" s="12" t="n">
        <f aca="false">SUMPRODUCT($L$56:$O$56,L78:O78)+L78</f>
        <v>178538.64521763</v>
      </c>
      <c r="M79" s="12" t="n">
        <f aca="false">SUMPRODUCT($L$57:$O$57,L78:O78)+M78</f>
        <v>178538.64521763</v>
      </c>
      <c r="N79" s="12" t="n">
        <f aca="false">SUMPRODUCT($L$58:$O$58,L78:O78)+N78</f>
        <v>139398.761817347</v>
      </c>
      <c r="O79" s="12" t="n">
        <f aca="false">SUMPRODUCT($L$59:$O$59,L78:O78)+O78</f>
        <v>139398.761817347</v>
      </c>
      <c r="P79" s="11" t="n">
        <f aca="false">SUM(L79:O79)</f>
        <v>635874.814069955</v>
      </c>
    </row>
    <row r="80" customFormat="false" ht="15" hidden="false" customHeight="false" outlineLevel="0" collapsed="false">
      <c r="K80" s="21" t="n">
        <v>18</v>
      </c>
      <c r="L80" s="12" t="n">
        <f aca="false">SUMPRODUCT($L$56:$O$56,L79:O79)+L79</f>
        <v>361473.11275856</v>
      </c>
      <c r="M80" s="12" t="n">
        <f aca="false">SUMPRODUCT($L$57:$O$57,L79:O79)+M79</f>
        <v>361473.11275856</v>
      </c>
      <c r="N80" s="12" t="n">
        <f aca="false">SUMPRODUCT($L$58:$O$58,L79:O79)+N79</f>
        <v>282229.677991451</v>
      </c>
      <c r="O80" s="12" t="n">
        <f aca="false">SUMPRODUCT($L$59:$O$59,L79:O79)+O79</f>
        <v>282229.677991451</v>
      </c>
      <c r="P80" s="11" t="n">
        <f aca="false">SUM(L80:O80)</f>
        <v>1287405.58150002</v>
      </c>
    </row>
    <row r="81" customFormat="false" ht="15" hidden="false" customHeight="false" outlineLevel="0" collapsed="false">
      <c r="K81" s="21" t="n">
        <v>19</v>
      </c>
      <c r="L81" s="12" t="n">
        <f aca="false">SUMPRODUCT($L$56:$O$56,L80:O80)+L80</f>
        <v>731846.100255146</v>
      </c>
      <c r="M81" s="12" t="n">
        <f aca="false">SUMPRODUCT($L$57:$O$57,L80:O80)+M80</f>
        <v>731846.100255146</v>
      </c>
      <c r="N81" s="12" t="n">
        <f aca="false">SUMPRODUCT($L$58:$O$58,L80:O80)+N80</f>
        <v>571408.1681983</v>
      </c>
      <c r="O81" s="12" t="n">
        <f aca="false">SUMPRODUCT($L$59:$O$59,L80:O80)+O80</f>
        <v>571408.1681983</v>
      </c>
      <c r="P81" s="11" t="n">
        <f aca="false">SUM(L81:O81)</f>
        <v>2606508.53690689</v>
      </c>
    </row>
    <row r="82" customFormat="false" ht="15" hidden="false" customHeight="false" outlineLevel="0" collapsed="false">
      <c r="K82" s="21" t="n">
        <v>20</v>
      </c>
      <c r="L82" s="12" t="n">
        <f aca="false">SUMPRODUCT($L$56:$O$56,L81:O81)+L81</f>
        <v>1481711.07491584</v>
      </c>
      <c r="M82" s="12" t="n">
        <f aca="false">SUMPRODUCT($L$57:$O$57,L81:O81)+M81</f>
        <v>1481711.07491584</v>
      </c>
      <c r="N82" s="12" t="n">
        <f aca="false">SUMPRODUCT($L$58:$O$58,L81:O81)+N81</f>
        <v>1156885.04840242</v>
      </c>
      <c r="O82" s="12" t="n">
        <f aca="false">SUMPRODUCT($L$59:$O$59,L81:O81)+O81</f>
        <v>1156885.04840242</v>
      </c>
      <c r="P82" s="11" t="n">
        <f aca="false">SUM(L82:O82)</f>
        <v>5277192.24663652</v>
      </c>
    </row>
    <row r="83" customFormat="false" ht="15" hidden="false" customHeight="false" outlineLevel="0" collapsed="false">
      <c r="K83" s="21" t="n">
        <v>21</v>
      </c>
      <c r="L83" s="12" t="n">
        <f aca="false">SUMPRODUCT($L$56:$O$56,L82:O82)+L82</f>
        <v>2999903.54360411</v>
      </c>
      <c r="M83" s="12" t="n">
        <f aca="false">SUMPRODUCT($L$57:$O$57,L82:O82)+M82</f>
        <v>2999903.54360411</v>
      </c>
      <c r="N83" s="12" t="n">
        <f aca="false">SUMPRODUCT($L$58:$O$58,L82:O82)+N82</f>
        <v>2342253.90833509</v>
      </c>
      <c r="O83" s="12" t="n">
        <f aca="false">SUMPRODUCT($L$59:$O$59,L82:O82)+O82</f>
        <v>2342253.90833509</v>
      </c>
      <c r="P83" s="11" t="n">
        <f aca="false">SUM(L83:O83)</f>
        <v>10684314.9038784</v>
      </c>
    </row>
    <row r="84" customFormat="false" ht="15" hidden="false" customHeight="false" outlineLevel="0" collapsed="false">
      <c r="K84" s="21" t="n">
        <v>22</v>
      </c>
      <c r="L84" s="12" t="n">
        <f aca="false">SUMPRODUCT($L$56:$O$56,L83:O83)+L83</f>
        <v>6073668.08771383</v>
      </c>
      <c r="M84" s="12" t="n">
        <f aca="false">SUMPRODUCT($L$57:$O$57,L83:O83)+M83</f>
        <v>6073668.08771383</v>
      </c>
      <c r="N84" s="12" t="n">
        <f aca="false">SUMPRODUCT($L$58:$O$58,L83:O83)+N83</f>
        <v>4742176.74321838</v>
      </c>
      <c r="O84" s="12" t="n">
        <f aca="false">SUMPRODUCT($L$59:$O$59,L83:O83)+O83</f>
        <v>4742176.74321838</v>
      </c>
      <c r="P84" s="11" t="n">
        <f aca="false">SUM(L84:O84)</f>
        <v>21631689.6618644</v>
      </c>
    </row>
    <row r="85" customFormat="false" ht="15" hidden="false" customHeight="false" outlineLevel="0" collapsed="false">
      <c r="K85" s="21" t="n">
        <v>23</v>
      </c>
      <c r="L85" s="12" t="n">
        <f aca="false">SUMPRODUCT($L$56:$O$56,L84:O84)+L84</f>
        <v>12296876.7173741</v>
      </c>
      <c r="M85" s="12" t="n">
        <f aca="false">SUMPRODUCT($L$57:$O$57,L84:O84)+M84</f>
        <v>12296876.7173741</v>
      </c>
      <c r="N85" s="12" t="n">
        <f aca="false">SUMPRODUCT($L$58:$O$58,L84:O84)+N84</f>
        <v>9601111.21338945</v>
      </c>
      <c r="O85" s="12" t="n">
        <f aca="false">SUMPRODUCT($L$59:$O$59,L84:O84)+O84</f>
        <v>9601111.21338945</v>
      </c>
      <c r="P85" s="11" t="n">
        <f aca="false">SUM(L85:O85)</f>
        <v>43795975.861527</v>
      </c>
    </row>
    <row r="86" customFormat="false" ht="15" hidden="false" customHeight="false" outlineLevel="0" collapsed="false">
      <c r="K86" s="21" t="n">
        <v>24</v>
      </c>
      <c r="L86" s="12" t="n">
        <f aca="false">SUMPRODUCT($L$56:$O$56,L85:O85)+L85</f>
        <v>24896516.3750353</v>
      </c>
      <c r="M86" s="12" t="n">
        <f aca="false">SUMPRODUCT($L$57:$O$57,L85:O85)+M85</f>
        <v>24896516.3750353</v>
      </c>
      <c r="N86" s="12" t="n">
        <f aca="false">SUMPRODUCT($L$58:$O$58,L85:O85)+N85</f>
        <v>19438612.5872887</v>
      </c>
      <c r="O86" s="12" t="n">
        <f aca="false">SUMPRODUCT($L$59:$O$59,L85:O85)+O85</f>
        <v>19438612.5872887</v>
      </c>
      <c r="P86" s="11" t="n">
        <f aca="false">SUM(L86:O86)</f>
        <v>88670257.9246479</v>
      </c>
    </row>
    <row r="87" customFormat="false" ht="15" hidden="false" customHeight="false" outlineLevel="0" collapsed="false">
      <c r="K87" s="21" t="n">
        <v>25</v>
      </c>
      <c r="L87" s="12" t="n">
        <f aca="false">SUMPRODUCT($L$56:$O$56,L86:O86)+L86</f>
        <v>50406012.9948803</v>
      </c>
      <c r="M87" s="12" t="n">
        <f aca="false">SUMPRODUCT($L$57:$O$57,L86:O86)+M86</f>
        <v>50406012.9948803</v>
      </c>
      <c r="N87" s="12" t="n">
        <f aca="false">SUMPRODUCT($L$58:$O$58,L86:O86)+N86</f>
        <v>39355825.6873169</v>
      </c>
      <c r="O87" s="12" t="n">
        <f aca="false">SUMPRODUCT($L$59:$O$59,L86:O86)+O86</f>
        <v>39355825.6873169</v>
      </c>
      <c r="P87" s="11" t="n">
        <f aca="false">SUM(L87:O87)</f>
        <v>179523677.364395</v>
      </c>
    </row>
    <row r="88" customFormat="false" ht="15" hidden="false" customHeight="false" outlineLevel="0" collapsed="false">
      <c r="K88" s="21" t="n">
        <v>26</v>
      </c>
      <c r="L88" s="12" t="n">
        <f aca="false">SUMPRODUCT($L$56:$O$56,L87:O87)+L87</f>
        <v>102053078.742686</v>
      </c>
      <c r="M88" s="12" t="n">
        <f aca="false">SUMPRODUCT($L$57:$O$57,L87:O87)+M87</f>
        <v>102053078.742686</v>
      </c>
      <c r="N88" s="12" t="n">
        <f aca="false">SUMPRODUCT($L$58:$O$58,L87:O87)+N87</f>
        <v>79680636.0832212</v>
      </c>
      <c r="O88" s="12" t="n">
        <f aca="false">SUMPRODUCT($L$59:$O$59,L87:O87)+O87</f>
        <v>79680636.0832212</v>
      </c>
      <c r="P88" s="11" t="n">
        <f aca="false">SUM(L88:O88)</f>
        <v>363467429.651814</v>
      </c>
    </row>
    <row r="89" customFormat="false" ht="15" hidden="false" customHeight="false" outlineLevel="0" collapsed="false">
      <c r="K89" s="21" t="n">
        <v>27</v>
      </c>
      <c r="L89" s="12" t="n">
        <f aca="false">SUMPRODUCT($L$56:$O$56,L88:O88)+L88</f>
        <v>206618819.106337</v>
      </c>
      <c r="M89" s="12" t="n">
        <f aca="false">SUMPRODUCT($L$57:$O$57,L88:O88)+M88</f>
        <v>206618819.106337</v>
      </c>
      <c r="N89" s="12" t="n">
        <f aca="false">SUMPRODUCT($L$58:$O$58,L88:O88)+N88</f>
        <v>161323099.07737</v>
      </c>
      <c r="O89" s="12" t="n">
        <f aca="false">SUMPRODUCT($L$59:$O$59,L88:O88)+O88</f>
        <v>161323099.07737</v>
      </c>
      <c r="P89" s="11" t="n">
        <f aca="false">SUM(L89:O89)</f>
        <v>735883836.367415</v>
      </c>
    </row>
    <row r="90" customFormat="false" ht="15" hidden="false" customHeight="false" outlineLevel="0" collapsed="false">
      <c r="K90" s="21" t="n">
        <v>28</v>
      </c>
      <c r="L90" s="12" t="n">
        <f aca="false">SUMPRODUCT($L$56:$O$56,L89:O89)+L89</f>
        <v>418324826.010768</v>
      </c>
      <c r="M90" s="12" t="n">
        <f aca="false">SUMPRODUCT($L$57:$O$57,L89:O89)+M89</f>
        <v>418324826.010768</v>
      </c>
      <c r="N90" s="12" t="n">
        <f aca="false">SUMPRODUCT($L$58:$O$58,L89:O89)+N89</f>
        <v>326618154.36244</v>
      </c>
      <c r="O90" s="12" t="n">
        <f aca="false">SUMPRODUCT($L$59:$O$59,L89:O89)+O89</f>
        <v>326618154.36244</v>
      </c>
      <c r="P90" s="11" t="n">
        <f aca="false">SUM(L90:O90)</f>
        <v>1489885960.74642</v>
      </c>
    </row>
    <row r="92" customFormat="false" ht="15" hidden="false" customHeight="false" outlineLevel="0" collapsed="false">
      <c r="K92" s="4" t="s">
        <v>434</v>
      </c>
    </row>
    <row r="93" customFormat="false" ht="15" hidden="false" customHeight="false" outlineLevel="0" collapsed="false">
      <c r="L93" s="4" t="s">
        <v>427</v>
      </c>
      <c r="M93" s="4" t="s">
        <v>428</v>
      </c>
      <c r="N93" s="4" t="s">
        <v>429</v>
      </c>
      <c r="O93" s="4" t="s">
        <v>430</v>
      </c>
    </row>
    <row r="94" customFormat="false" ht="15" hidden="false" customHeight="false" outlineLevel="0" collapsed="false">
      <c r="K94" s="4" t="s">
        <v>427</v>
      </c>
      <c r="L94" s="19" t="n">
        <v>0</v>
      </c>
      <c r="M94" s="34" t="n">
        <f aca="false">$D$11</f>
        <v>0.0798038616519728</v>
      </c>
      <c r="N94" s="34" t="n">
        <f aca="false">$B$11</f>
        <v>0.4</v>
      </c>
      <c r="O94" s="34" t="n">
        <f aca="false">$C$11</f>
        <v>0.4</v>
      </c>
    </row>
    <row r="95" customFormat="false" ht="15" hidden="false" customHeight="false" outlineLevel="0" collapsed="false">
      <c r="K95" s="4" t="s">
        <v>428</v>
      </c>
      <c r="L95" s="34" t="n">
        <f aca="false">$D$11</f>
        <v>0.0798038616519728</v>
      </c>
      <c r="M95" s="19" t="n">
        <v>0</v>
      </c>
      <c r="N95" s="34" t="n">
        <f aca="false">$B$11</f>
        <v>0.4</v>
      </c>
      <c r="O95" s="34" t="n">
        <f aca="false">$C$11</f>
        <v>0.4</v>
      </c>
    </row>
    <row r="96" customFormat="false" ht="15" hidden="false" customHeight="false" outlineLevel="0" collapsed="false">
      <c r="K96" s="4" t="s">
        <v>429</v>
      </c>
      <c r="L96" s="34" t="n">
        <f aca="false">$B$11</f>
        <v>0.4</v>
      </c>
      <c r="M96" s="34" t="n">
        <f aca="false">$B$11</f>
        <v>0.4</v>
      </c>
      <c r="N96" s="19" t="n">
        <v>0</v>
      </c>
      <c r="O96" s="19" t="n">
        <v>0</v>
      </c>
    </row>
    <row r="97" customFormat="false" ht="15" hidden="false" customHeight="false" outlineLevel="0" collapsed="false">
      <c r="K97" s="4" t="s">
        <v>430</v>
      </c>
      <c r="L97" s="34" t="n">
        <f aca="false">$C$11</f>
        <v>0.4</v>
      </c>
      <c r="M97" s="34" t="n">
        <f aca="false">$C$11</f>
        <v>0.4</v>
      </c>
      <c r="N97" s="19" t="n">
        <v>0</v>
      </c>
      <c r="O97" s="19" t="n">
        <v>0</v>
      </c>
    </row>
    <row r="99" customFormat="false" ht="15" hidden="false" customHeight="false" outlineLevel="0" collapsed="false">
      <c r="K99" s="4" t="s">
        <v>431</v>
      </c>
      <c r="L99" s="4" t="s">
        <v>427</v>
      </c>
      <c r="M99" s="4" t="s">
        <v>428</v>
      </c>
      <c r="N99" s="4" t="s">
        <v>429</v>
      </c>
      <c r="O99" s="4" t="s">
        <v>430</v>
      </c>
      <c r="P99" s="4" t="s">
        <v>432</v>
      </c>
    </row>
    <row r="100" customFormat="false" ht="15" hidden="false" customHeight="false" outlineLevel="0" collapsed="false">
      <c r="K100" s="21" t="n">
        <v>0</v>
      </c>
      <c r="L100" s="17" t="n">
        <v>1</v>
      </c>
      <c r="M100" s="17" t="n">
        <v>1</v>
      </c>
      <c r="N100" s="17" t="n">
        <v>1</v>
      </c>
      <c r="O100" s="17" t="n">
        <v>1</v>
      </c>
      <c r="P100" s="11" t="n">
        <f aca="false">SUM(L100:O100)</f>
        <v>4</v>
      </c>
    </row>
    <row r="101" customFormat="false" ht="15" hidden="false" customHeight="false" outlineLevel="0" collapsed="false">
      <c r="K101" s="21" t="n">
        <v>1</v>
      </c>
      <c r="L101" s="12" t="n">
        <f aca="false">SUMPRODUCT($L$94:$O$94,L100:O100)+L100</f>
        <v>1.87980386165197</v>
      </c>
      <c r="M101" s="12" t="n">
        <f aca="false">SUMPRODUCT($L$95:$O$95,L100:O100)+M100</f>
        <v>1.87980386165197</v>
      </c>
      <c r="N101" s="12" t="n">
        <f aca="false">SUMPRODUCT($L$96:$O$96,L100:O100)+N100</f>
        <v>1.8</v>
      </c>
      <c r="O101" s="12" t="n">
        <f aca="false">SUMPRODUCT($L$97:$O$97,L100:O100)+O100</f>
        <v>1.8</v>
      </c>
      <c r="P101" s="11" t="n">
        <f aca="false">SUM(L101:O101)</f>
        <v>7.35960772330395</v>
      </c>
    </row>
    <row r="102" customFormat="false" ht="15" hidden="false" customHeight="false" outlineLevel="0" collapsed="false">
      <c r="K102" s="21" t="n">
        <v>2</v>
      </c>
      <c r="L102" s="12" t="n">
        <f aca="false">SUMPRODUCT($L$94:$O$94,L101:O101)+L101</f>
        <v>3.46981946896009</v>
      </c>
      <c r="M102" s="12" t="n">
        <f aca="false">SUMPRODUCT($L$95:$O$95,L101:O101)+M101</f>
        <v>3.46981946896009</v>
      </c>
      <c r="N102" s="12" t="n">
        <f aca="false">SUMPRODUCT($L$96:$O$96,L101:O101)+N101</f>
        <v>3.30384308932158</v>
      </c>
      <c r="O102" s="12" t="n">
        <f aca="false">SUMPRODUCT($L$97:$O$97,L101:O101)+O101</f>
        <v>3.30384308932158</v>
      </c>
      <c r="P102" s="11" t="n">
        <f aca="false">SUM(L102:O102)</f>
        <v>13.5473251165633</v>
      </c>
    </row>
    <row r="103" customFormat="false" ht="15" hidden="false" customHeight="false" outlineLevel="0" collapsed="false">
      <c r="K103" s="21" t="n">
        <v>3</v>
      </c>
      <c r="L103" s="12" t="n">
        <f aca="false">SUMPRODUCT($L$94:$O$94,L102:O102)+L102</f>
        <v>6.38979893327557</v>
      </c>
      <c r="M103" s="12" t="n">
        <f aca="false">SUMPRODUCT($L$95:$O$95,L102:O102)+M102</f>
        <v>6.38979893327557</v>
      </c>
      <c r="N103" s="12" t="n">
        <f aca="false">SUMPRODUCT($L$96:$O$96,L102:O102)+N102</f>
        <v>6.07969866448965</v>
      </c>
      <c r="O103" s="12" t="n">
        <f aca="false">SUMPRODUCT($L$97:$O$97,L102:O102)+O102</f>
        <v>6.07969866448965</v>
      </c>
      <c r="P103" s="11" t="n">
        <f aca="false">SUM(L103:O103)</f>
        <v>24.9389951955304</v>
      </c>
    </row>
    <row r="104" customFormat="false" ht="15" hidden="false" customHeight="false" outlineLevel="0" collapsed="false">
      <c r="K104" s="21" t="n">
        <v>4</v>
      </c>
      <c r="L104" s="12" t="n">
        <f aca="false">SUMPRODUCT($L$94:$O$94,L103:O103)+L103</f>
        <v>11.7634884949223</v>
      </c>
      <c r="M104" s="12" t="n">
        <f aca="false">SUMPRODUCT($L$95:$O$95,L103:O103)+M103</f>
        <v>11.7634884949223</v>
      </c>
      <c r="N104" s="12" t="n">
        <f aca="false">SUMPRODUCT($L$96:$O$96,L103:O103)+N103</f>
        <v>11.1915378111101</v>
      </c>
      <c r="O104" s="12" t="n">
        <f aca="false">SUMPRODUCT($L$97:$O$97,L103:O103)+O103</f>
        <v>11.1915378111101</v>
      </c>
      <c r="P104" s="11" t="n">
        <f aca="false">SUM(L104:O104)</f>
        <v>45.9100526120649</v>
      </c>
    </row>
    <row r="105" customFormat="false" ht="15" hidden="false" customHeight="false" outlineLevel="0" collapsed="false">
      <c r="K105" s="21" t="n">
        <v>5</v>
      </c>
      <c r="L105" s="12" t="n">
        <f aca="false">SUMPRODUCT($L$94:$O$94,L104:O104)+L104</f>
        <v>21.6554905522038</v>
      </c>
      <c r="M105" s="12" t="n">
        <f aca="false">SUMPRODUCT($L$95:$O$95,L104:O104)+M104</f>
        <v>21.6554905522038</v>
      </c>
      <c r="N105" s="12" t="n">
        <f aca="false">SUMPRODUCT($L$96:$O$96,L104:O104)+N104</f>
        <v>20.602328607048</v>
      </c>
      <c r="O105" s="12" t="n">
        <f aca="false">SUMPRODUCT($L$97:$O$97,L104:O104)+O104</f>
        <v>20.602328607048</v>
      </c>
      <c r="P105" s="11" t="n">
        <f aca="false">SUM(L105:O105)</f>
        <v>84.5156383185035</v>
      </c>
    </row>
    <row r="106" customFormat="false" ht="15" hidden="false" customHeight="false" outlineLevel="0" collapsed="false">
      <c r="K106" s="21" t="n">
        <v>6</v>
      </c>
      <c r="L106" s="12" t="n">
        <f aca="false">SUMPRODUCT($L$94:$O$94,L105:O105)+L105</f>
        <v>39.8655452098758</v>
      </c>
      <c r="M106" s="12" t="n">
        <f aca="false">SUMPRODUCT($L$95:$O$95,L105:O105)+M105</f>
        <v>39.8655452098758</v>
      </c>
      <c r="N106" s="12" t="n">
        <f aca="false">SUMPRODUCT($L$96:$O$96,L105:O105)+N105</f>
        <v>37.926721048811</v>
      </c>
      <c r="O106" s="12" t="n">
        <f aca="false">SUMPRODUCT($L$97:$O$97,L105:O105)+O105</f>
        <v>37.926721048811</v>
      </c>
      <c r="P106" s="11" t="n">
        <f aca="false">SUM(L106:O106)</f>
        <v>155.584532517374</v>
      </c>
    </row>
    <row r="107" customFormat="false" ht="15" hidden="false" customHeight="false" outlineLevel="0" collapsed="false">
      <c r="K107" s="21" t="n">
        <v>7</v>
      </c>
      <c r="L107" s="12" t="n">
        <f aca="false">SUMPRODUCT($L$94:$O$94,L106:O106)+L106</f>
        <v>73.388346503534</v>
      </c>
      <c r="M107" s="12" t="n">
        <f aca="false">SUMPRODUCT($L$95:$O$95,L106:O106)+M106</f>
        <v>73.388346503534</v>
      </c>
      <c r="N107" s="12" t="n">
        <f aca="false">SUMPRODUCT($L$96:$O$96,L106:O106)+N106</f>
        <v>69.8191572167117</v>
      </c>
      <c r="O107" s="12" t="n">
        <f aca="false">SUMPRODUCT($L$97:$O$97,L106:O106)+O106</f>
        <v>69.8191572167117</v>
      </c>
      <c r="P107" s="11" t="n">
        <f aca="false">SUM(L107:O107)</f>
        <v>286.415007440491</v>
      </c>
    </row>
    <row r="108" customFormat="false" ht="15" hidden="false" customHeight="false" outlineLevel="0" collapsed="false">
      <c r="K108" s="21" t="n">
        <v>8</v>
      </c>
      <c r="L108" s="12" t="n">
        <f aca="false">SUMPRODUCT($L$94:$O$94,L107:O107)+L107</f>
        <v>135.100345728138</v>
      </c>
      <c r="M108" s="12" t="n">
        <f aca="false">SUMPRODUCT($L$95:$O$95,L107:O107)+M107</f>
        <v>135.100345728138</v>
      </c>
      <c r="N108" s="12" t="n">
        <f aca="false">SUMPRODUCT($L$96:$O$96,L107:O107)+N107</f>
        <v>128.529834419539</v>
      </c>
      <c r="O108" s="12" t="n">
        <f aca="false">SUMPRODUCT($L$97:$O$97,L107:O107)+O107</f>
        <v>128.529834419539</v>
      </c>
      <c r="P108" s="11" t="n">
        <f aca="false">SUM(L108:O108)</f>
        <v>527.260360295355</v>
      </c>
    </row>
    <row r="109" customFormat="false" ht="15" hidden="false" customHeight="false" outlineLevel="0" collapsed="false">
      <c r="K109" s="21" t="n">
        <v>9</v>
      </c>
      <c r="L109" s="12" t="n">
        <f aca="false">SUMPRODUCT($L$94:$O$94,L108:O108)+L108</f>
        <v>248.705742563392</v>
      </c>
      <c r="M109" s="12" t="n">
        <f aca="false">SUMPRODUCT($L$95:$O$95,L108:O108)+M108</f>
        <v>248.705742563392</v>
      </c>
      <c r="N109" s="12" t="n">
        <f aca="false">SUMPRODUCT($L$96:$O$96,L108:O108)+N108</f>
        <v>236.61011100205</v>
      </c>
      <c r="O109" s="12" t="n">
        <f aca="false">SUMPRODUCT($L$97:$O$97,L108:O108)+O108</f>
        <v>236.61011100205</v>
      </c>
      <c r="P109" s="11" t="n">
        <f aca="false">SUM(L109:O109)</f>
        <v>970.631707130882</v>
      </c>
    </row>
    <row r="110" customFormat="false" ht="15" hidden="false" customHeight="false" outlineLevel="0" collapsed="false">
      <c r="K110" s="21" t="n">
        <v>10</v>
      </c>
      <c r="L110" s="12" t="n">
        <f aca="false">SUMPRODUCT($L$94:$O$94,L109:O109)+L109</f>
        <v>457.841510036611</v>
      </c>
      <c r="M110" s="12" t="n">
        <f aca="false">SUMPRODUCT($L$95:$O$95,L109:O109)+M109</f>
        <v>457.841510036611</v>
      </c>
      <c r="N110" s="12" t="n">
        <f aca="false">SUMPRODUCT($L$96:$O$96,L109:O109)+N109</f>
        <v>435.574705052763</v>
      </c>
      <c r="O110" s="12" t="n">
        <f aca="false">SUMPRODUCT($L$97:$O$97,L109:O109)+O109</f>
        <v>435.574705052763</v>
      </c>
      <c r="P110" s="11" t="n">
        <f aca="false">SUM(L110:O110)</f>
        <v>1786.83243017875</v>
      </c>
    </row>
    <row r="111" customFormat="false" ht="15" hidden="false" customHeight="false" outlineLevel="0" collapsed="false">
      <c r="K111" s="21" t="n">
        <v>11</v>
      </c>
      <c r="L111" s="12" t="n">
        <f aca="false">SUMPRODUCT($L$94:$O$94,L110:O110)+L110</f>
        <v>842.838794604314</v>
      </c>
      <c r="M111" s="12" t="n">
        <f aca="false">SUMPRODUCT($L$95:$O$95,L110:O110)+M110</f>
        <v>842.838794604314</v>
      </c>
      <c r="N111" s="12" t="n">
        <f aca="false">SUMPRODUCT($L$96:$O$96,L110:O110)+N110</f>
        <v>801.847913082052</v>
      </c>
      <c r="O111" s="12" t="n">
        <f aca="false">SUMPRODUCT($L$97:$O$97,L110:O110)+O110</f>
        <v>801.847913082052</v>
      </c>
      <c r="P111" s="11" t="n">
        <f aca="false">SUM(L111:O111)</f>
        <v>3289.37341537273</v>
      </c>
    </row>
    <row r="112" customFormat="false" ht="15" hidden="false" customHeight="false" outlineLevel="0" collapsed="false">
      <c r="K112" s="21" t="n">
        <v>12</v>
      </c>
      <c r="L112" s="12" t="n">
        <f aca="false">SUMPRODUCT($L$94:$O$94,L111:O111)+L111</f>
        <v>1551.57891562947</v>
      </c>
      <c r="M112" s="12" t="n">
        <f aca="false">SUMPRODUCT($L$95:$O$95,L111:O111)+M111</f>
        <v>1551.57891562947</v>
      </c>
      <c r="N112" s="12" t="n">
        <f aca="false">SUMPRODUCT($L$96:$O$96,L111:O111)+N111</f>
        <v>1476.1189487655</v>
      </c>
      <c r="O112" s="12" t="n">
        <f aca="false">SUMPRODUCT($L$97:$O$97,L111:O111)+O111</f>
        <v>1476.1189487655</v>
      </c>
      <c r="P112" s="11" t="n">
        <f aca="false">SUM(L112:O112)</f>
        <v>6055.39572878995</v>
      </c>
    </row>
    <row r="113" customFormat="false" ht="15" hidden="false" customHeight="false" outlineLevel="0" collapsed="false">
      <c r="K113" s="21" t="n">
        <v>13</v>
      </c>
      <c r="L113" s="12" t="n">
        <f aca="false">SUMPRODUCT($L$94:$O$94,L112:O112)+L112</f>
        <v>2856.29606376689</v>
      </c>
      <c r="M113" s="12" t="n">
        <f aca="false">SUMPRODUCT($L$95:$O$95,L112:O112)+M112</f>
        <v>2856.29606376689</v>
      </c>
      <c r="N113" s="12" t="n">
        <f aca="false">SUMPRODUCT($L$96:$O$96,L112:O112)+N112</f>
        <v>2717.38208126908</v>
      </c>
      <c r="O113" s="12" t="n">
        <f aca="false">SUMPRODUCT($L$97:$O$97,L112:O112)+O112</f>
        <v>2717.38208126908</v>
      </c>
      <c r="P113" s="11" t="n">
        <f aca="false">SUM(L113:O113)</f>
        <v>11147.3562900719</v>
      </c>
    </row>
    <row r="114" customFormat="false" ht="15" hidden="false" customHeight="false" outlineLevel="0" collapsed="false">
      <c r="K114" s="21" t="n">
        <v>14</v>
      </c>
      <c r="L114" s="12" t="n">
        <f aca="false">SUMPRODUCT($L$94:$O$94,L113:O113)+L113</f>
        <v>5258.14518469208</v>
      </c>
      <c r="M114" s="12" t="n">
        <f aca="false">SUMPRODUCT($L$95:$O$95,L113:O113)+M113</f>
        <v>5258.14518469208</v>
      </c>
      <c r="N114" s="12" t="n">
        <f aca="false">SUMPRODUCT($L$96:$O$96,L113:O113)+N113</f>
        <v>5002.41893228259</v>
      </c>
      <c r="O114" s="12" t="n">
        <f aca="false">SUMPRODUCT($L$97:$O$97,L113:O113)+O113</f>
        <v>5002.41893228259</v>
      </c>
      <c r="P114" s="11" t="n">
        <f aca="false">SUM(L114:O114)</f>
        <v>20521.1282339494</v>
      </c>
    </row>
    <row r="115" customFormat="false" ht="15" hidden="false" customHeight="false" outlineLevel="0" collapsed="false">
      <c r="K115" s="21" t="n">
        <v>15</v>
      </c>
      <c r="L115" s="12" t="n">
        <f aca="false">SUMPRODUCT($L$94:$O$94,L114:O114)+L114</f>
        <v>9679.70062138331</v>
      </c>
      <c r="M115" s="12" t="n">
        <f aca="false">SUMPRODUCT($L$95:$O$95,L114:O114)+M114</f>
        <v>9679.70062138331</v>
      </c>
      <c r="N115" s="12" t="n">
        <f aca="false">SUMPRODUCT($L$96:$O$96,L114:O114)+N114</f>
        <v>9208.93508003626</v>
      </c>
      <c r="O115" s="12" t="n">
        <f aca="false">SUMPRODUCT($L$97:$O$97,L114:O114)+O114</f>
        <v>9208.93508003626</v>
      </c>
      <c r="P115" s="11" t="n">
        <f aca="false">SUM(L115:O115)</f>
        <v>37777.2714028391</v>
      </c>
    </row>
    <row r="116" customFormat="false" ht="15" hidden="false" customHeight="false" outlineLevel="0" collapsed="false">
      <c r="K116" s="21" t="n">
        <v>16</v>
      </c>
      <c r="L116" s="12" t="n">
        <f aca="false">SUMPRODUCT($L$94:$O$94,L115:O115)+L115</f>
        <v>17819.3261746337</v>
      </c>
      <c r="M116" s="12" t="n">
        <f aca="false">SUMPRODUCT($L$95:$O$95,L115:O115)+M115</f>
        <v>17819.3261746337</v>
      </c>
      <c r="N116" s="12" t="n">
        <f aca="false">SUMPRODUCT($L$96:$O$96,L115:O115)+N115</f>
        <v>16952.6955771429</v>
      </c>
      <c r="O116" s="12" t="n">
        <f aca="false">SUMPRODUCT($L$97:$O$97,L115:O115)+O115</f>
        <v>16952.6955771429</v>
      </c>
      <c r="P116" s="11" t="n">
        <f aca="false">SUM(L116:O116)</f>
        <v>69544.0435035532</v>
      </c>
    </row>
    <row r="117" customFormat="false" ht="15" hidden="false" customHeight="false" outlineLevel="0" collapsed="false">
      <c r="K117" s="21" t="n">
        <v>17</v>
      </c>
      <c r="L117" s="12" t="n">
        <f aca="false">SUMPRODUCT($L$94:$O$94,L116:O116)+L116</f>
        <v>32803.5336771199</v>
      </c>
      <c r="M117" s="12" t="n">
        <f aca="false">SUMPRODUCT($L$95:$O$95,L116:O116)+M116</f>
        <v>32803.5336771199</v>
      </c>
      <c r="N117" s="12" t="n">
        <f aca="false">SUMPRODUCT($L$96:$O$96,L116:O116)+N116</f>
        <v>31208.1565168499</v>
      </c>
      <c r="O117" s="12" t="n">
        <f aca="false">SUMPRODUCT($L$97:$O$97,L116:O116)+O116</f>
        <v>31208.1565168499</v>
      </c>
      <c r="P117" s="11" t="n">
        <f aca="false">SUM(L117:O117)</f>
        <v>128023.38038794</v>
      </c>
    </row>
    <row r="118" customFormat="false" ht="15" hidden="false" customHeight="false" outlineLevel="0" collapsed="false">
      <c r="K118" s="21" t="n">
        <v>18</v>
      </c>
      <c r="L118" s="12" t="n">
        <f aca="false">SUMPRODUCT($L$94:$O$94,L117:O117)+L117</f>
        <v>60387.9075538645</v>
      </c>
      <c r="M118" s="12" t="n">
        <f aca="false">SUMPRODUCT($L$95:$O$95,L117:O117)+M117</f>
        <v>60387.9075538645</v>
      </c>
      <c r="N118" s="12" t="n">
        <f aca="false">SUMPRODUCT($L$96:$O$96,L117:O117)+N117</f>
        <v>57450.9834585458</v>
      </c>
      <c r="O118" s="12" t="n">
        <f aca="false">SUMPRODUCT($L$97:$O$97,L117:O117)+O117</f>
        <v>57450.9834585458</v>
      </c>
      <c r="P118" s="11" t="n">
        <f aca="false">SUM(L118:O118)</f>
        <v>235677.782024821</v>
      </c>
    </row>
    <row r="119" customFormat="false" ht="15" hidden="false" customHeight="false" outlineLevel="0" collapsed="false">
      <c r="K119" s="21" t="n">
        <v>19</v>
      </c>
      <c r="L119" s="12" t="n">
        <f aca="false">SUMPRODUCT($L$94:$O$94,L118:O118)+L118</f>
        <v>111167.882540582</v>
      </c>
      <c r="M119" s="12" t="n">
        <f aca="false">SUMPRODUCT($L$95:$O$95,L118:O118)+M118</f>
        <v>111167.882540582</v>
      </c>
      <c r="N119" s="12" t="n">
        <f aca="false">SUMPRODUCT($L$96:$O$96,L118:O118)+N118</f>
        <v>105761.309501637</v>
      </c>
      <c r="O119" s="12" t="n">
        <f aca="false">SUMPRODUCT($L$97:$O$97,L118:O118)+O118</f>
        <v>105761.309501637</v>
      </c>
      <c r="P119" s="11" t="n">
        <f aca="false">SUM(L119:O119)</f>
        <v>433858.384084438</v>
      </c>
    </row>
    <row r="120" customFormat="false" ht="15" hidden="false" customHeight="false" outlineLevel="0" collapsed="false">
      <c r="K120" s="21" t="n">
        <v>20</v>
      </c>
      <c r="L120" s="12" t="n">
        <f aca="false">SUMPRODUCT($L$94:$O$94,L119:O119)+L119</f>
        <v>204648.556460303</v>
      </c>
      <c r="M120" s="12" t="n">
        <f aca="false">SUMPRODUCT($L$95:$O$95,L119:O119)+M119</f>
        <v>204648.556460303</v>
      </c>
      <c r="N120" s="12" t="n">
        <f aca="false">SUMPRODUCT($L$96:$O$96,L119:O119)+N119</f>
        <v>194695.615534103</v>
      </c>
      <c r="O120" s="12" t="n">
        <f aca="false">SUMPRODUCT($L$97:$O$97,L119:O119)+O119</f>
        <v>194695.615534103</v>
      </c>
      <c r="P120" s="11" t="n">
        <f aca="false">SUM(L120:O120)</f>
        <v>798688.343988812</v>
      </c>
    </row>
    <row r="121" customFormat="false" ht="15" hidden="false" customHeight="false" outlineLevel="0" collapsed="false">
      <c r="K121" s="21" t="n">
        <v>21</v>
      </c>
      <c r="L121" s="12" t="n">
        <f aca="false">SUMPRODUCT($L$94:$O$94,L120:O120)+L120</f>
        <v>376736.793974619</v>
      </c>
      <c r="M121" s="12" t="n">
        <f aca="false">SUMPRODUCT($L$95:$O$95,L120:O120)+M120</f>
        <v>376736.793974619</v>
      </c>
      <c r="N121" s="12" t="n">
        <f aca="false">SUMPRODUCT($L$96:$O$96,L120:O120)+N120</f>
        <v>358414.460702345</v>
      </c>
      <c r="O121" s="12" t="n">
        <f aca="false">SUMPRODUCT($L$97:$O$97,L120:O120)+O120</f>
        <v>358414.460702345</v>
      </c>
      <c r="P121" s="11" t="n">
        <f aca="false">SUM(L121:O121)</f>
        <v>1470302.50935393</v>
      </c>
    </row>
    <row r="122" customFormat="false" ht="15" hidden="false" customHeight="false" outlineLevel="0" collapsed="false">
      <c r="K122" s="21" t="n">
        <v>22</v>
      </c>
      <c r="L122" s="12" t="n">
        <f aca="false">SUMPRODUCT($L$94:$O$94,L121:O121)+L121</f>
        <v>693533.413522054</v>
      </c>
      <c r="M122" s="12" t="n">
        <f aca="false">SUMPRODUCT($L$95:$O$95,L121:O121)+M121</f>
        <v>693533.413522054</v>
      </c>
      <c r="N122" s="12" t="n">
        <f aca="false">SUMPRODUCT($L$96:$O$96,L121:O121)+N121</f>
        <v>659803.895882041</v>
      </c>
      <c r="O122" s="12" t="n">
        <f aca="false">SUMPRODUCT($L$97:$O$97,L121:O121)+O121</f>
        <v>659803.895882041</v>
      </c>
      <c r="P122" s="11" t="n">
        <f aca="false">SUM(L122:O122)</f>
        <v>2706674.61880819</v>
      </c>
    </row>
    <row r="123" customFormat="false" ht="15" hidden="false" customHeight="false" outlineLevel="0" collapsed="false">
      <c r="K123" s="21" t="n">
        <v>23</v>
      </c>
      <c r="L123" s="12" t="n">
        <f aca="false">SUMPRODUCT($L$94:$O$94,L122:O122)+L122</f>
        <v>1276723.17481142</v>
      </c>
      <c r="M123" s="12" t="n">
        <f aca="false">SUMPRODUCT($L$95:$O$95,L122:O122)+M122</f>
        <v>1276723.17481142</v>
      </c>
      <c r="N123" s="12" t="n">
        <f aca="false">SUMPRODUCT($L$96:$O$96,L122:O122)+N122</f>
        <v>1214630.62669968</v>
      </c>
      <c r="O123" s="12" t="n">
        <f aca="false">SUMPRODUCT($L$97:$O$97,L122:O122)+O122</f>
        <v>1214630.62669968</v>
      </c>
      <c r="P123" s="11" t="n">
        <f aca="false">SUM(L123:O123)</f>
        <v>4982707.60302221</v>
      </c>
    </row>
    <row r="124" customFormat="false" ht="15" hidden="false" customHeight="false" outlineLevel="0" collapsed="false">
      <c r="K124" s="21" t="n">
        <v>24</v>
      </c>
      <c r="L124" s="12" t="n">
        <f aca="false">SUMPRODUCT($L$94:$O$94,L123:O123)+L123</f>
        <v>2350315.11578169</v>
      </c>
      <c r="M124" s="12" t="n">
        <f aca="false">SUMPRODUCT($L$95:$O$95,L123:O123)+M123</f>
        <v>2350315.11578169</v>
      </c>
      <c r="N124" s="12" t="n">
        <f aca="false">SUMPRODUCT($L$96:$O$96,L123:O123)+N123</f>
        <v>2236009.16654882</v>
      </c>
      <c r="O124" s="12" t="n">
        <f aca="false">SUMPRODUCT($L$97:$O$97,L123:O123)+O123</f>
        <v>2236009.16654882</v>
      </c>
      <c r="P124" s="11" t="n">
        <f aca="false">SUM(L124:O124)</f>
        <v>9172648.56466101</v>
      </c>
    </row>
    <row r="125" customFormat="false" ht="15" hidden="false" customHeight="false" outlineLevel="0" collapsed="false">
      <c r="K125" s="21" t="n">
        <v>25</v>
      </c>
      <c r="L125" s="12" t="n">
        <f aca="false">SUMPRODUCT($L$94:$O$94,L124:O124)+L124</f>
        <v>4326686.67135913</v>
      </c>
      <c r="M125" s="12" t="n">
        <f aca="false">SUMPRODUCT($L$95:$O$95,L124:O124)+M124</f>
        <v>4326686.67135913</v>
      </c>
      <c r="N125" s="12" t="n">
        <f aca="false">SUMPRODUCT($L$96:$O$96,L124:O124)+N124</f>
        <v>4116261.25917417</v>
      </c>
      <c r="O125" s="12" t="n">
        <f aca="false">SUMPRODUCT($L$97:$O$97,L124:O124)+O124</f>
        <v>4116261.25917417</v>
      </c>
      <c r="P125" s="11" t="n">
        <f aca="false">SUM(L125:O125)</f>
        <v>16885895.8610666</v>
      </c>
    </row>
    <row r="126" customFormat="false" ht="15" hidden="false" customHeight="false" outlineLevel="0" collapsed="false">
      <c r="K126" s="21" t="n">
        <v>26</v>
      </c>
      <c r="L126" s="12" t="n">
        <f aca="false">SUMPRODUCT($L$94:$O$94,L125:O125)+L125</f>
        <v>7964981.98323104</v>
      </c>
      <c r="M126" s="12" t="n">
        <f aca="false">SUMPRODUCT($L$95:$O$95,L125:O125)+M125</f>
        <v>7964981.98323104</v>
      </c>
      <c r="N126" s="12" t="n">
        <f aca="false">SUMPRODUCT($L$96:$O$96,L125:O125)+N125</f>
        <v>7577610.59626147</v>
      </c>
      <c r="O126" s="12" t="n">
        <f aca="false">SUMPRODUCT($L$97:$O$97,L125:O125)+O125</f>
        <v>7577610.59626147</v>
      </c>
      <c r="P126" s="11" t="n">
        <f aca="false">SUM(L126:O126)</f>
        <v>31085185.158985</v>
      </c>
    </row>
    <row r="127" customFormat="false" ht="15" hidden="false" customHeight="false" outlineLevel="0" collapsed="false">
      <c r="K127" s="21" t="n">
        <v>27</v>
      </c>
      <c r="L127" s="12" t="n">
        <f aca="false">SUMPRODUCT($L$94:$O$94,L126:O126)+L126</f>
        <v>14662706.7804904</v>
      </c>
      <c r="M127" s="12" t="n">
        <f aca="false">SUMPRODUCT($L$95:$O$95,L126:O126)+M126</f>
        <v>14662706.7804904</v>
      </c>
      <c r="N127" s="12" t="n">
        <f aca="false">SUMPRODUCT($L$96:$O$96,L126:O126)+N126</f>
        <v>13949596.1828463</v>
      </c>
      <c r="O127" s="12" t="n">
        <f aca="false">SUMPRODUCT($L$97:$O$97,L126:O126)+O126</f>
        <v>13949596.1828463</v>
      </c>
      <c r="P127" s="11" t="n">
        <f aca="false">SUM(L127:O127)</f>
        <v>57224605.9266735</v>
      </c>
    </row>
    <row r="128" customFormat="false" ht="15" hidden="false" customHeight="false" outlineLevel="0" collapsed="false">
      <c r="K128" s="21" t="n">
        <v>28</v>
      </c>
      <c r="L128" s="12" t="n">
        <f aca="false">SUMPRODUCT($L$94:$O$94,L127:O127)+L127</f>
        <v>26992524.3501212</v>
      </c>
      <c r="M128" s="12" t="n">
        <f aca="false">SUMPRODUCT($L$95:$O$95,L127:O127)+M127</f>
        <v>26992524.3501212</v>
      </c>
      <c r="N128" s="12" t="n">
        <f aca="false">SUMPRODUCT($L$96:$O$96,L127:O127)+N127</f>
        <v>25679761.6072387</v>
      </c>
      <c r="O128" s="12" t="n">
        <f aca="false">SUMPRODUCT($L$97:$O$97,L127:O127)+O127</f>
        <v>25679761.6072387</v>
      </c>
      <c r="P128" s="11" t="n">
        <f aca="false">SUM(L128:O128)</f>
        <v>105344571.91472</v>
      </c>
    </row>
    <row r="130" customFormat="false" ht="15" hidden="false" customHeight="false" outlineLevel="0" collapsed="false">
      <c r="K130" s="4" t="s">
        <v>435</v>
      </c>
    </row>
    <row r="131" customFormat="false" ht="15" hidden="false" customHeight="false" outlineLevel="0" collapsed="false">
      <c r="L131" s="4" t="s">
        <v>427</v>
      </c>
      <c r="M131" s="4" t="s">
        <v>428</v>
      </c>
      <c r="N131" s="4" t="s">
        <v>429</v>
      </c>
      <c r="O131" s="4" t="s">
        <v>430</v>
      </c>
    </row>
    <row r="132" customFormat="false" ht="15" hidden="false" customHeight="false" outlineLevel="0" collapsed="false">
      <c r="K132" s="4" t="s">
        <v>427</v>
      </c>
      <c r="L132" s="19" t="n">
        <v>0</v>
      </c>
      <c r="M132" s="34" t="n">
        <f aca="false">$D$12</f>
        <v>0.4</v>
      </c>
      <c r="N132" s="34" t="n">
        <f aca="false">$B$12</f>
        <v>0.304445485713396</v>
      </c>
      <c r="O132" s="34" t="n">
        <f aca="false">$C$12</f>
        <v>0.304445485713396</v>
      </c>
    </row>
    <row r="133" customFormat="false" ht="15" hidden="false" customHeight="false" outlineLevel="0" collapsed="false">
      <c r="K133" s="4" t="s">
        <v>428</v>
      </c>
      <c r="L133" s="34" t="n">
        <f aca="false">$D$12</f>
        <v>0.4</v>
      </c>
      <c r="M133" s="19" t="n">
        <v>0</v>
      </c>
      <c r="N133" s="34" t="n">
        <f aca="false">$B$12</f>
        <v>0.304445485713396</v>
      </c>
      <c r="O133" s="34" t="n">
        <f aca="false">$C$12</f>
        <v>0.304445485713396</v>
      </c>
    </row>
    <row r="134" customFormat="false" ht="15" hidden="false" customHeight="false" outlineLevel="0" collapsed="false">
      <c r="K134" s="4" t="s">
        <v>429</v>
      </c>
      <c r="L134" s="34" t="n">
        <f aca="false">$B$12</f>
        <v>0.304445485713396</v>
      </c>
      <c r="M134" s="34" t="n">
        <f aca="false">$B$12</f>
        <v>0.304445485713396</v>
      </c>
      <c r="N134" s="19" t="n">
        <v>0</v>
      </c>
      <c r="O134" s="19" t="n">
        <v>0</v>
      </c>
    </row>
    <row r="135" customFormat="false" ht="15" hidden="false" customHeight="false" outlineLevel="0" collapsed="false">
      <c r="K135" s="4" t="s">
        <v>430</v>
      </c>
      <c r="L135" s="34" t="n">
        <f aca="false">$C$12</f>
        <v>0.304445485713396</v>
      </c>
      <c r="M135" s="34" t="n">
        <f aca="false">$C$12</f>
        <v>0.304445485713396</v>
      </c>
      <c r="N135" s="19" t="n">
        <v>0</v>
      </c>
      <c r="O135" s="19" t="n">
        <v>0</v>
      </c>
    </row>
    <row r="137" customFormat="false" ht="15" hidden="false" customHeight="false" outlineLevel="0" collapsed="false">
      <c r="K137" s="4" t="s">
        <v>431</v>
      </c>
      <c r="L137" s="4" t="s">
        <v>427</v>
      </c>
      <c r="M137" s="4" t="s">
        <v>428</v>
      </c>
      <c r="N137" s="4" t="s">
        <v>429</v>
      </c>
      <c r="O137" s="4" t="s">
        <v>430</v>
      </c>
      <c r="P137" s="4" t="s">
        <v>432</v>
      </c>
    </row>
    <row r="138" customFormat="false" ht="15" hidden="false" customHeight="false" outlineLevel="0" collapsed="false">
      <c r="K138" s="21" t="n">
        <v>0</v>
      </c>
      <c r="L138" s="17" t="n">
        <v>1</v>
      </c>
      <c r="M138" s="17" t="n">
        <v>1</v>
      </c>
      <c r="N138" s="17" t="n">
        <v>1</v>
      </c>
      <c r="O138" s="17" t="n">
        <v>1</v>
      </c>
      <c r="P138" s="11" t="n">
        <f aca="false">SUM(L138:O138)</f>
        <v>4</v>
      </c>
    </row>
    <row r="139" customFormat="false" ht="15" hidden="false" customHeight="false" outlineLevel="0" collapsed="false">
      <c r="K139" s="21" t="n">
        <v>1</v>
      </c>
      <c r="L139" s="12" t="n">
        <f aca="false">SUMPRODUCT($L$132:$O$132,L138:O138)+L138</f>
        <v>2.00889097142679</v>
      </c>
      <c r="M139" s="12" t="n">
        <f aca="false">SUMPRODUCT($L$133:$O$133,L138:O138)+M138</f>
        <v>2.00889097142679</v>
      </c>
      <c r="N139" s="12" t="n">
        <f aca="false">SUMPRODUCT($L$134:$O$134,L138:O138)+N138</f>
        <v>1.60889097142679</v>
      </c>
      <c r="O139" s="12" t="n">
        <f aca="false">SUMPRODUCT($L$135:$O$135,L138:O138)+O138</f>
        <v>1.60889097142679</v>
      </c>
      <c r="P139" s="11" t="n">
        <f aca="false">SUM(L139:O139)</f>
        <v>7.23556388570717</v>
      </c>
    </row>
    <row r="140" customFormat="false" ht="15" hidden="false" customHeight="false" outlineLevel="0" collapsed="false">
      <c r="K140" s="21" t="n">
        <v>2</v>
      </c>
      <c r="L140" s="12" t="n">
        <f aca="false">SUMPRODUCT($L$132:$O$132,L139:O139)+L139</f>
        <v>3.79208654650936</v>
      </c>
      <c r="M140" s="12" t="n">
        <f aca="false">SUMPRODUCT($L$133:$O$133,L139:O139)+M139</f>
        <v>3.79208654650936</v>
      </c>
      <c r="N140" s="12" t="n">
        <f aca="false">SUMPRODUCT($L$134:$O$134,L139:O139)+N139</f>
        <v>2.83208654650936</v>
      </c>
      <c r="O140" s="12" t="n">
        <f aca="false">SUMPRODUCT($L$135:$O$135,L139:O139)+O139</f>
        <v>2.83208654650936</v>
      </c>
      <c r="P140" s="11" t="n">
        <f aca="false">SUM(L140:O140)</f>
        <v>13.2483461860374</v>
      </c>
    </row>
    <row r="141" customFormat="false" ht="15" hidden="false" customHeight="false" outlineLevel="0" collapsed="false">
      <c r="K141" s="21" t="n">
        <v>3</v>
      </c>
      <c r="L141" s="12" t="n">
        <f aca="false">SUMPRODUCT($L$132:$O$132,L140:O140)+L140</f>
        <v>7.03335309358194</v>
      </c>
      <c r="M141" s="12" t="n">
        <f aca="false">SUMPRODUCT($L$133:$O$133,L140:O140)+M140</f>
        <v>7.03335309358194</v>
      </c>
      <c r="N141" s="12" t="n">
        <f aca="false">SUMPRODUCT($L$134:$O$134,L140:O140)+N140</f>
        <v>5.14105380754791</v>
      </c>
      <c r="O141" s="12" t="n">
        <f aca="false">SUMPRODUCT($L$135:$O$135,L140:O140)+O140</f>
        <v>5.14105380754791</v>
      </c>
      <c r="P141" s="11" t="n">
        <f aca="false">SUM(L141:O141)</f>
        <v>24.3488138022597</v>
      </c>
    </row>
    <row r="142" customFormat="false" ht="15" hidden="false" customHeight="false" outlineLevel="0" collapsed="false">
      <c r="K142" s="21" t="n">
        <v>4</v>
      </c>
      <c r="L142" s="12" t="n">
        <f aca="false">SUMPRODUCT($L$132:$O$132,L141:O141)+L141</f>
        <v>12.97703557805</v>
      </c>
      <c r="M142" s="12" t="n">
        <f aca="false">SUMPRODUCT($L$133:$O$133,L141:O141)+M141</f>
        <v>12.97703557805</v>
      </c>
      <c r="N142" s="12" t="n">
        <f aca="false">SUMPRODUCT($L$134:$O$134,L141:O141)+N141</f>
        <v>9.42359900508665</v>
      </c>
      <c r="O142" s="12" t="n">
        <f aca="false">SUMPRODUCT($L$135:$O$135,L141:O141)+O141</f>
        <v>9.42359900508665</v>
      </c>
      <c r="P142" s="11" t="n">
        <f aca="false">SUM(L142:O142)</f>
        <v>44.8012691662732</v>
      </c>
    </row>
    <row r="143" customFormat="false" ht="15" hidden="false" customHeight="false" outlineLevel="0" collapsed="false">
      <c r="K143" s="21" t="n">
        <v>5</v>
      </c>
      <c r="L143" s="12" t="n">
        <f aca="false">SUMPRODUCT($L$132:$O$132,L142:O142)+L142</f>
        <v>23.9057941618137</v>
      </c>
      <c r="M143" s="12" t="n">
        <f aca="false">SUMPRODUCT($L$133:$O$133,L142:O142)+M142</f>
        <v>23.9057941618137</v>
      </c>
      <c r="N143" s="12" t="n">
        <f aca="false">SUMPRODUCT($L$134:$O$134,L142:O142)+N142</f>
        <v>17.3251988044455</v>
      </c>
      <c r="O143" s="12" t="n">
        <f aca="false">SUMPRODUCT($L$135:$O$135,L142:O142)+O142</f>
        <v>17.3251988044455</v>
      </c>
      <c r="P143" s="11" t="n">
        <f aca="false">SUM(L143:O143)</f>
        <v>82.4619859325184</v>
      </c>
    </row>
    <row r="144" customFormat="false" ht="15" hidden="false" customHeight="false" outlineLevel="0" collapsed="false">
      <c r="K144" s="21" t="n">
        <v>6</v>
      </c>
      <c r="L144" s="12" t="n">
        <f aca="false">SUMPRODUCT($L$132:$O$132,L143:O143)+L143</f>
        <v>44.0172689567403</v>
      </c>
      <c r="M144" s="12" t="n">
        <f aca="false">SUMPRODUCT($L$133:$O$133,L143:O143)+M143</f>
        <v>44.0172689567403</v>
      </c>
      <c r="N144" s="12" t="n">
        <f aca="false">SUMPRODUCT($L$134:$O$134,L143:O143)+N143</f>
        <v>31.8812210343612</v>
      </c>
      <c r="O144" s="12" t="n">
        <f aca="false">SUMPRODUCT($L$135:$O$135,L143:O143)+O143</f>
        <v>31.8812210343612</v>
      </c>
      <c r="P144" s="11" t="n">
        <f aca="false">SUM(L144:O144)</f>
        <v>151.796979982203</v>
      </c>
    </row>
    <row r="145" customFormat="false" ht="15" hidden="false" customHeight="false" outlineLevel="0" collapsed="false">
      <c r="K145" s="21" t="n">
        <v>7</v>
      </c>
      <c r="L145" s="12" t="n">
        <f aca="false">SUMPRODUCT($L$132:$O$132,L144:O144)+L144</f>
        <v>81.0363641853209</v>
      </c>
      <c r="M145" s="12" t="n">
        <f aca="false">SUMPRODUCT($L$133:$O$133,L144:O144)+M144</f>
        <v>81.0363641853209</v>
      </c>
      <c r="N145" s="12" t="n">
        <f aca="false">SUMPRODUCT($L$134:$O$134,L144:O144)+N144</f>
        <v>58.6829386889851</v>
      </c>
      <c r="O145" s="12" t="n">
        <f aca="false">SUMPRODUCT($L$135:$O$135,L144:O144)+O144</f>
        <v>58.6829386889851</v>
      </c>
      <c r="P145" s="11" t="n">
        <f aca="false">SUM(L145:O145)</f>
        <v>279.438605748612</v>
      </c>
    </row>
    <row r="146" customFormat="false" ht="15" hidden="false" customHeight="false" outlineLevel="0" collapsed="false">
      <c r="K146" s="21" t="n">
        <v>8</v>
      </c>
      <c r="L146" s="12" t="n">
        <f aca="false">SUMPRODUCT($L$132:$O$132,L145:O145)+L145</f>
        <v>149.182421403964</v>
      </c>
      <c r="M146" s="12" t="n">
        <f aca="false">SUMPRODUCT($L$133:$O$133,L145:O145)+M145</f>
        <v>149.182421403964</v>
      </c>
      <c r="N146" s="12" t="n">
        <f aca="false">SUMPRODUCT($L$134:$O$134,L145:O145)+N145</f>
        <v>108.02524919868</v>
      </c>
      <c r="O146" s="12" t="n">
        <f aca="false">SUMPRODUCT($L$135:$O$135,L145:O145)+O145</f>
        <v>108.02524919868</v>
      </c>
      <c r="P146" s="11" t="n">
        <f aca="false">SUM(L146:O146)</f>
        <v>514.415341205289</v>
      </c>
    </row>
    <row r="147" customFormat="false" ht="15" hidden="false" customHeight="false" outlineLevel="0" collapsed="false">
      <c r="K147" s="21" t="n">
        <v>9</v>
      </c>
      <c r="L147" s="12" t="n">
        <f aca="false">SUMPRODUCT($L$132:$O$132,L146:O146)+L146</f>
        <v>274.630988888756</v>
      </c>
      <c r="M147" s="12" t="n">
        <f aca="false">SUMPRODUCT($L$133:$O$133,L146:O146)+M146</f>
        <v>274.630988888756</v>
      </c>
      <c r="N147" s="12" t="n">
        <f aca="false">SUMPRODUCT($L$134:$O$134,L146:O146)+N146</f>
        <v>198.861078687141</v>
      </c>
      <c r="O147" s="12" t="n">
        <f aca="false">SUMPRODUCT($L$135:$O$135,L146:O146)+O146</f>
        <v>198.861078687141</v>
      </c>
      <c r="P147" s="11" t="n">
        <f aca="false">SUM(L147:O147)</f>
        <v>946.984135151794</v>
      </c>
    </row>
    <row r="148" customFormat="false" ht="15" hidden="false" customHeight="false" outlineLevel="0" collapsed="false">
      <c r="K148" s="21" t="n">
        <v>10</v>
      </c>
      <c r="L148" s="12" t="n">
        <f aca="false">SUMPRODUCT($L$132:$O$132,L147:O147)+L147</f>
        <v>505.568099825051</v>
      </c>
      <c r="M148" s="12" t="n">
        <f aca="false">SUMPRODUCT($L$133:$O$133,L147:O147)+M147</f>
        <v>505.568099825051</v>
      </c>
      <c r="N148" s="12" t="n">
        <f aca="false">SUMPRODUCT($L$134:$O$134,L147:O147)+N147</f>
        <v>366.081408295516</v>
      </c>
      <c r="O148" s="12" t="n">
        <f aca="false">SUMPRODUCT($L$135:$O$135,L147:O147)+O147</f>
        <v>366.081408295516</v>
      </c>
      <c r="P148" s="11" t="n">
        <f aca="false">SUM(L148:O148)</f>
        <v>1743.29901624113</v>
      </c>
    </row>
    <row r="149" customFormat="false" ht="15" hidden="false" customHeight="false" outlineLevel="0" collapsed="false">
      <c r="K149" s="21" t="n">
        <v>11</v>
      </c>
      <c r="L149" s="12" t="n">
        <f aca="false">SUMPRODUCT($L$132:$O$132,L148:O148)+L148</f>
        <v>930.699004073416</v>
      </c>
      <c r="M149" s="12" t="n">
        <f aca="false">SUMPRODUCT($L$133:$O$133,L148:O148)+M148</f>
        <v>930.699004073416</v>
      </c>
      <c r="N149" s="12" t="n">
        <f aca="false">SUMPRODUCT($L$134:$O$134,L148:O148)+N148</f>
        <v>673.917259720388</v>
      </c>
      <c r="O149" s="12" t="n">
        <f aca="false">SUMPRODUCT($L$135:$O$135,L148:O148)+O148</f>
        <v>673.917259720388</v>
      </c>
      <c r="P149" s="11" t="n">
        <f aca="false">SUM(L149:O149)</f>
        <v>3209.23252758761</v>
      </c>
    </row>
    <row r="150" customFormat="false" ht="15" hidden="false" customHeight="false" outlineLevel="0" collapsed="false">
      <c r="K150" s="21" t="n">
        <v>12</v>
      </c>
      <c r="L150" s="12" t="n">
        <f aca="false">SUMPRODUCT($L$132:$O$132,L149:O149)+L149</f>
        <v>1713.32074063521</v>
      </c>
      <c r="M150" s="12" t="n">
        <f aca="false">SUMPRODUCT($L$133:$O$133,L149:O149)+M149</f>
        <v>1713.32074063521</v>
      </c>
      <c r="N150" s="12" t="n">
        <f aca="false">SUMPRODUCT($L$134:$O$134,L149:O149)+N149</f>
        <v>1240.6114804166</v>
      </c>
      <c r="O150" s="12" t="n">
        <f aca="false">SUMPRODUCT($L$135:$O$135,L149:O149)+O149</f>
        <v>1240.6114804166</v>
      </c>
      <c r="P150" s="11" t="n">
        <f aca="false">SUM(L150:O150)</f>
        <v>5907.86444210362</v>
      </c>
    </row>
    <row r="151" customFormat="false" ht="15" hidden="false" customHeight="false" outlineLevel="0" collapsed="false">
      <c r="K151" s="21" t="n">
        <v>13</v>
      </c>
      <c r="L151" s="12" t="n">
        <f aca="false">SUMPRODUCT($L$132:$O$132,L150:O150)+L150</f>
        <v>3154.04616636339</v>
      </c>
      <c r="M151" s="12" t="n">
        <f aca="false">SUMPRODUCT($L$133:$O$133,L150:O150)+M150</f>
        <v>3154.04616636339</v>
      </c>
      <c r="N151" s="12" t="n">
        <f aca="false">SUMPRODUCT($L$134:$O$134,L150:O150)+N150</f>
        <v>2283.83701054764</v>
      </c>
      <c r="O151" s="12" t="n">
        <f aca="false">SUMPRODUCT($L$135:$O$135,L150:O150)+O150</f>
        <v>2283.83701054764</v>
      </c>
      <c r="P151" s="11" t="n">
        <f aca="false">SUM(L151:O151)</f>
        <v>10875.7663538221</v>
      </c>
    </row>
    <row r="152" customFormat="false" ht="15" hidden="false" customHeight="false" outlineLevel="0" collapsed="false">
      <c r="K152" s="21" t="n">
        <v>14</v>
      </c>
      <c r="L152" s="12" t="n">
        <f aca="false">SUMPRODUCT($L$132:$O$132,L151:O151)+L151</f>
        <v>5806.27236884155</v>
      </c>
      <c r="M152" s="12" t="n">
        <f aca="false">SUMPRODUCT($L$133:$O$133,L151:O151)+M151</f>
        <v>5806.27236884155</v>
      </c>
      <c r="N152" s="12" t="n">
        <f aca="false">SUMPRODUCT($L$134:$O$134,L151:O151)+N151</f>
        <v>4204.30724470959</v>
      </c>
      <c r="O152" s="12" t="n">
        <f aca="false">SUMPRODUCT($L$135:$O$135,L151:O151)+O151</f>
        <v>4204.30724470959</v>
      </c>
      <c r="P152" s="11" t="n">
        <f aca="false">SUM(L152:O152)</f>
        <v>20021.1592271023</v>
      </c>
    </row>
    <row r="153" customFormat="false" ht="15" hidden="false" customHeight="false" outlineLevel="0" collapsed="false">
      <c r="K153" s="21" t="n">
        <v>15</v>
      </c>
      <c r="L153" s="12" t="n">
        <f aca="false">SUMPRODUCT($L$132:$O$132,L152:O152)+L152</f>
        <v>10688.7460387861</v>
      </c>
      <c r="M153" s="12" t="n">
        <f aca="false">SUMPRODUCT($L$133:$O$133,L152:O152)+M152</f>
        <v>10688.7460387861</v>
      </c>
      <c r="N153" s="12" t="n">
        <f aca="false">SUMPRODUCT($L$134:$O$134,L152:O152)+N152</f>
        <v>7739.69406774206</v>
      </c>
      <c r="O153" s="12" t="n">
        <f aca="false">SUMPRODUCT($L$135:$O$135,L152:O152)+O152</f>
        <v>7739.69406774206</v>
      </c>
      <c r="P153" s="11" t="n">
        <f aca="false">SUM(L153:O153)</f>
        <v>36856.8802130563</v>
      </c>
    </row>
    <row r="154" customFormat="false" ht="15" hidden="false" customHeight="false" outlineLevel="0" collapsed="false">
      <c r="K154" s="21" t="n">
        <v>16</v>
      </c>
      <c r="L154" s="12" t="n">
        <f aca="false">SUMPRODUCT($L$132:$O$132,L153:O153)+L153</f>
        <v>19676.8742937542</v>
      </c>
      <c r="M154" s="12" t="n">
        <f aca="false">SUMPRODUCT($L$133:$O$133,L153:O153)+M153</f>
        <v>19676.8742937542</v>
      </c>
      <c r="N154" s="12" t="n">
        <f aca="false">SUMPRODUCT($L$134:$O$134,L153:O153)+N153</f>
        <v>14247.9750266328</v>
      </c>
      <c r="O154" s="12" t="n">
        <f aca="false">SUMPRODUCT($L$135:$O$135,L153:O153)+O153</f>
        <v>14247.9750266328</v>
      </c>
      <c r="P154" s="11" t="n">
        <f aca="false">SUM(L154:O154)</f>
        <v>67849.6986407739</v>
      </c>
    </row>
    <row r="155" customFormat="false" ht="15" hidden="false" customHeight="false" outlineLevel="0" collapsed="false">
      <c r="K155" s="21" t="n">
        <v>17</v>
      </c>
      <c r="L155" s="12" t="n">
        <f aca="false">SUMPRODUCT($L$132:$O$132,L154:O154)+L154</f>
        <v>36223.0873660869</v>
      </c>
      <c r="M155" s="12" t="n">
        <f aca="false">SUMPRODUCT($L$133:$O$133,L154:O154)+M154</f>
        <v>36223.0873660869</v>
      </c>
      <c r="N155" s="12" t="n">
        <f aca="false">SUMPRODUCT($L$134:$O$134,L154:O154)+N154</f>
        <v>26229.0461299996</v>
      </c>
      <c r="O155" s="12" t="n">
        <f aca="false">SUMPRODUCT($L$135:$O$135,L154:O154)+O154</f>
        <v>26229.0461299996</v>
      </c>
      <c r="P155" s="11" t="n">
        <f aca="false">SUM(L155:O155)</f>
        <v>124904.266992173</v>
      </c>
    </row>
    <row r="156" customFormat="false" ht="15" hidden="false" customHeight="false" outlineLevel="0" collapsed="false">
      <c r="K156" s="21" t="n">
        <v>18</v>
      </c>
      <c r="L156" s="12" t="n">
        <f aca="false">SUMPRODUCT($L$132:$O$132,L155:O155)+L155</f>
        <v>66682.9516902153</v>
      </c>
      <c r="M156" s="12" t="n">
        <f aca="false">SUMPRODUCT($L$133:$O$133,L155:O155)+M155</f>
        <v>66682.9516902153</v>
      </c>
      <c r="N156" s="12" t="n">
        <f aca="false">SUMPRODUCT($L$134:$O$134,L155:O155)+N155</f>
        <v>48284.9569844138</v>
      </c>
      <c r="O156" s="12" t="n">
        <f aca="false">SUMPRODUCT($L$135:$O$135,L155:O155)+O155</f>
        <v>48284.9569844138</v>
      </c>
      <c r="P156" s="11" t="n">
        <f aca="false">SUM(L156:O156)</f>
        <v>229935.817349258</v>
      </c>
    </row>
    <row r="157" customFormat="false" ht="15" hidden="false" customHeight="false" outlineLevel="0" collapsed="false">
      <c r="K157" s="21" t="n">
        <v>19</v>
      </c>
      <c r="L157" s="12" t="n">
        <f aca="false">SUMPRODUCT($L$132:$O$132,L156:O156)+L156</f>
        <v>122756.406729842</v>
      </c>
      <c r="M157" s="12" t="n">
        <f aca="false">SUMPRODUCT($L$133:$O$133,L156:O156)+M156</f>
        <v>122756.406729842</v>
      </c>
      <c r="N157" s="12" t="n">
        <f aca="false">SUMPRODUCT($L$134:$O$134,L156:O156)+N156</f>
        <v>88887.6042166748</v>
      </c>
      <c r="O157" s="12" t="n">
        <f aca="false">SUMPRODUCT($L$135:$O$135,L156:O156)+O156</f>
        <v>88887.6042166748</v>
      </c>
      <c r="P157" s="11" t="n">
        <f aca="false">SUM(L157:O157)</f>
        <v>423288.021893034</v>
      </c>
    </row>
    <row r="158" customFormat="false" ht="15" hidden="false" customHeight="false" outlineLevel="0" collapsed="false">
      <c r="K158" s="21" t="n">
        <v>20</v>
      </c>
      <c r="L158" s="12" t="n">
        <f aca="false">SUMPRODUCT($L$132:$O$132,L157:O157)+L157</f>
        <v>225981.82910107</v>
      </c>
      <c r="M158" s="12" t="n">
        <f aca="false">SUMPRODUCT($L$133:$O$133,L157:O157)+M157</f>
        <v>225981.82910107</v>
      </c>
      <c r="N158" s="12" t="n">
        <f aca="false">SUMPRODUCT($L$134:$O$134,L157:O157)+N157</f>
        <v>163632.871959271</v>
      </c>
      <c r="O158" s="12" t="n">
        <f aca="false">SUMPRODUCT($L$135:$O$135,L157:O157)+O157</f>
        <v>163632.871959271</v>
      </c>
      <c r="P158" s="11" t="n">
        <f aca="false">SUM(L158:O158)</f>
        <v>779229.402120682</v>
      </c>
    </row>
    <row r="159" customFormat="false" ht="15" hidden="false" customHeight="false" outlineLevel="0" collapsed="false">
      <c r="K159" s="21" t="n">
        <v>21</v>
      </c>
      <c r="L159" s="12" t="n">
        <f aca="false">SUMPRODUCT($L$132:$O$132,L158:O158)+L158</f>
        <v>416009.139106134</v>
      </c>
      <c r="M159" s="12" t="n">
        <f aca="false">SUMPRODUCT($L$133:$O$133,L158:O158)+M158</f>
        <v>416009.139106134</v>
      </c>
      <c r="N159" s="12" t="n">
        <f aca="false">SUMPRODUCT($L$134:$O$134,L158:O158)+N158</f>
        <v>301231.167405424</v>
      </c>
      <c r="O159" s="12" t="n">
        <f aca="false">SUMPRODUCT($L$135:$O$135,L158:O158)+O158</f>
        <v>301231.167405424</v>
      </c>
      <c r="P159" s="11" t="n">
        <f aca="false">SUM(L159:O159)</f>
        <v>1434480.61302312</v>
      </c>
    </row>
    <row r="160" customFormat="false" ht="15" hidden="false" customHeight="false" outlineLevel="0" collapsed="false">
      <c r="K160" s="21" t="n">
        <v>22</v>
      </c>
      <c r="L160" s="12" t="n">
        <f aca="false">SUMPRODUCT($L$132:$O$132,L159:O159)+L159</f>
        <v>765829.732894103</v>
      </c>
      <c r="M160" s="12" t="n">
        <f aca="false">SUMPRODUCT($L$133:$O$133,L159:O159)+M159</f>
        <v>765829.732894103</v>
      </c>
      <c r="N160" s="12" t="n">
        <f aca="false">SUMPRODUCT($L$134:$O$134,L159:O159)+N159</f>
        <v>554535.376238182</v>
      </c>
      <c r="O160" s="12" t="n">
        <f aca="false">SUMPRODUCT($L$135:$O$135,L159:O159)+O159</f>
        <v>554535.376238182</v>
      </c>
      <c r="P160" s="11" t="n">
        <f aca="false">SUM(L160:O160)</f>
        <v>2640730.21826457</v>
      </c>
    </row>
    <row r="161" customFormat="false" ht="15" hidden="false" customHeight="false" outlineLevel="0" collapsed="false">
      <c r="K161" s="21" t="n">
        <v>23</v>
      </c>
      <c r="L161" s="12" t="n">
        <f aca="false">SUMPRODUCT($L$132:$O$132,L160:O160)+L160</f>
        <v>1409813.20997993</v>
      </c>
      <c r="M161" s="12" t="n">
        <f aca="false">SUMPRODUCT($L$133:$O$133,L160:O160)+M160</f>
        <v>1409813.20997993</v>
      </c>
      <c r="N161" s="12" t="n">
        <f aca="false">SUMPRODUCT($L$134:$O$134,L160:O160)+N160</f>
        <v>1020842.18624759</v>
      </c>
      <c r="O161" s="12" t="n">
        <f aca="false">SUMPRODUCT($L$135:$O$135,L160:O160)+O160</f>
        <v>1020842.18624759</v>
      </c>
      <c r="P161" s="11" t="n">
        <f aca="false">SUM(L161:O161)</f>
        <v>4861310.79245505</v>
      </c>
    </row>
    <row r="162" customFormat="false" ht="15" hidden="false" customHeight="false" outlineLevel="0" collapsed="false">
      <c r="K162" s="21" t="n">
        <v>24</v>
      </c>
      <c r="L162" s="12" t="n">
        <f aca="false">SUMPRODUCT($L$132:$O$132,L161:O161)+L161</f>
        <v>2595320.08442965</v>
      </c>
      <c r="M162" s="12" t="n">
        <f aca="false">SUMPRODUCT($L$133:$O$133,L161:O161)+M161</f>
        <v>2595320.08442965</v>
      </c>
      <c r="N162" s="12" t="n">
        <f aca="false">SUMPRODUCT($L$134:$O$134,L161:O161)+N161</f>
        <v>1879264.7212026</v>
      </c>
      <c r="O162" s="12" t="n">
        <f aca="false">SUMPRODUCT($L$135:$O$135,L161:O161)+O161</f>
        <v>1879264.7212026</v>
      </c>
      <c r="P162" s="11" t="n">
        <f aca="false">SUM(L162:O162)</f>
        <v>8949169.6112645</v>
      </c>
    </row>
    <row r="163" customFormat="false" ht="15" hidden="false" customHeight="false" outlineLevel="0" collapsed="false">
      <c r="K163" s="21" t="n">
        <v>25</v>
      </c>
      <c r="L163" s="12" t="n">
        <f aca="false">SUMPRODUCT($L$132:$O$132,L162:O162)+L162</f>
        <v>4777715.43986266</v>
      </c>
      <c r="M163" s="12" t="n">
        <f aca="false">SUMPRODUCT($L$133:$O$133,L162:O162)+M162</f>
        <v>4777715.43986266</v>
      </c>
      <c r="N163" s="12" t="n">
        <f aca="false">SUMPRODUCT($L$134:$O$134,L162:O162)+N162</f>
        <v>3459531.68857443</v>
      </c>
      <c r="O163" s="12" t="n">
        <f aca="false">SUMPRODUCT($L$135:$O$135,L162:O162)+O162</f>
        <v>3459531.68857443</v>
      </c>
      <c r="P163" s="11" t="n">
        <f aca="false">SUM(L163:O163)</f>
        <v>16474494.2568742</v>
      </c>
    </row>
    <row r="164" customFormat="false" ht="15" hidden="false" customHeight="false" outlineLevel="0" collapsed="false">
      <c r="K164" s="21" t="n">
        <v>26</v>
      </c>
      <c r="L164" s="12" t="n">
        <f aca="false">SUMPRODUCT($L$132:$O$132,L163:O163)+L163</f>
        <v>8795279.22634557</v>
      </c>
      <c r="M164" s="12" t="n">
        <f aca="false">SUMPRODUCT($L$133:$O$133,L163:O163)+M163</f>
        <v>8795279.22634557</v>
      </c>
      <c r="N164" s="12" t="n">
        <f aca="false">SUMPRODUCT($L$134:$O$134,L163:O163)+N163</f>
        <v>6368639.48395318</v>
      </c>
      <c r="O164" s="12" t="n">
        <f aca="false">SUMPRODUCT($L$135:$O$135,L163:O163)+O163</f>
        <v>6368639.48395318</v>
      </c>
      <c r="P164" s="11" t="n">
        <f aca="false">SUM(L164:O164)</f>
        <v>30327837.4205975</v>
      </c>
    </row>
    <row r="165" customFormat="false" ht="15" hidden="false" customHeight="false" outlineLevel="0" collapsed="false">
      <c r="K165" s="21" t="n">
        <v>27</v>
      </c>
      <c r="L165" s="12" t="n">
        <f aca="false">SUMPRODUCT($L$132:$O$132,L164:O164)+L164</f>
        <v>16191197.9989351</v>
      </c>
      <c r="M165" s="12" t="n">
        <f aca="false">SUMPRODUCT($L$133:$O$133,L164:O164)+M164</f>
        <v>16191197.9989351</v>
      </c>
      <c r="N165" s="12" t="n">
        <f aca="false">SUMPRODUCT($L$134:$O$134,L164:O164)+N164</f>
        <v>11724005.5960526</v>
      </c>
      <c r="O165" s="12" t="n">
        <f aca="false">SUMPRODUCT($L$135:$O$135,L164:O164)+O164</f>
        <v>11724005.5960526</v>
      </c>
      <c r="P165" s="11" t="n">
        <f aca="false">SUM(L165:O165)</f>
        <v>55830407.1899754</v>
      </c>
    </row>
    <row r="166" customFormat="false" ht="15" hidden="false" customHeight="false" outlineLevel="0" collapsed="false">
      <c r="K166" s="21" t="n">
        <v>28</v>
      </c>
      <c r="L166" s="12" t="n">
        <f aca="false">SUMPRODUCT($L$132:$O$132,L165:O165)+L165</f>
        <v>29806318.3549027</v>
      </c>
      <c r="M166" s="12" t="n">
        <f aca="false">SUMPRODUCT($L$133:$O$133,L165:O165)+M165</f>
        <v>29806318.3549027</v>
      </c>
      <c r="N166" s="12" t="n">
        <f aca="false">SUMPRODUCT($L$134:$O$134,L165:O165)+N165</f>
        <v>21582679.8741877</v>
      </c>
      <c r="O166" s="12" t="n">
        <f aca="false">SUMPRODUCT($L$135:$O$135,L165:O165)+O165</f>
        <v>21582679.8741877</v>
      </c>
      <c r="P166" s="11" t="n">
        <f aca="false">SUM(L166:O166)</f>
        <v>102777996.458181</v>
      </c>
    </row>
    <row r="168" customFormat="false" ht="15" hidden="false" customHeight="false" outlineLevel="0" collapsed="false">
      <c r="K168" s="4" t="s">
        <v>436</v>
      </c>
    </row>
    <row r="169" customFormat="false" ht="15" hidden="false" customHeight="false" outlineLevel="0" collapsed="false">
      <c r="L169" s="4" t="s">
        <v>427</v>
      </c>
      <c r="M169" s="4" t="s">
        <v>428</v>
      </c>
      <c r="N169" s="4" t="s">
        <v>429</v>
      </c>
      <c r="O169" s="4" t="s">
        <v>430</v>
      </c>
    </row>
    <row r="170" customFormat="false" ht="15" hidden="false" customHeight="false" outlineLevel="0" collapsed="false">
      <c r="K170" s="4" t="s">
        <v>427</v>
      </c>
      <c r="L170" s="19" t="n">
        <v>0</v>
      </c>
      <c r="M170" s="34" t="n">
        <f aca="false">$D$13</f>
        <v>0</v>
      </c>
      <c r="N170" s="34" t="n">
        <f aca="false">$B$13</f>
        <v>0.304445485713396</v>
      </c>
      <c r="O170" s="34" t="n">
        <f aca="false">$C$13</f>
        <v>0.304445485713396</v>
      </c>
    </row>
    <row r="171" customFormat="false" ht="15" hidden="false" customHeight="false" outlineLevel="0" collapsed="false">
      <c r="K171" s="4" t="s">
        <v>428</v>
      </c>
      <c r="L171" s="34" t="n">
        <f aca="false">$D$13</f>
        <v>0</v>
      </c>
      <c r="M171" s="19" t="n">
        <v>0</v>
      </c>
      <c r="N171" s="34" t="n">
        <f aca="false">$B$13</f>
        <v>0.304445485713396</v>
      </c>
      <c r="O171" s="34" t="n">
        <f aca="false">$C$13</f>
        <v>0.304445485713396</v>
      </c>
    </row>
    <row r="172" customFormat="false" ht="15" hidden="false" customHeight="false" outlineLevel="0" collapsed="false">
      <c r="K172" s="4" t="s">
        <v>429</v>
      </c>
      <c r="L172" s="34" t="n">
        <f aca="false">$B$13</f>
        <v>0.304445485713396</v>
      </c>
      <c r="M172" s="34" t="n">
        <f aca="false">$B$13</f>
        <v>0.304445485713396</v>
      </c>
      <c r="N172" s="19" t="n">
        <v>0</v>
      </c>
      <c r="O172" s="19" t="n">
        <v>0</v>
      </c>
    </row>
    <row r="173" customFormat="false" ht="15" hidden="false" customHeight="false" outlineLevel="0" collapsed="false">
      <c r="K173" s="4" t="s">
        <v>430</v>
      </c>
      <c r="L173" s="34" t="n">
        <f aca="false">$C$13</f>
        <v>0.304445485713396</v>
      </c>
      <c r="M173" s="34" t="n">
        <f aca="false">$C$13</f>
        <v>0.304445485713396</v>
      </c>
      <c r="N173" s="19" t="n">
        <v>0</v>
      </c>
      <c r="O173" s="19" t="n">
        <v>0</v>
      </c>
    </row>
    <row r="175" customFormat="false" ht="15" hidden="false" customHeight="false" outlineLevel="0" collapsed="false">
      <c r="K175" s="4" t="s">
        <v>431</v>
      </c>
      <c r="L175" s="4" t="s">
        <v>427</v>
      </c>
      <c r="M175" s="4" t="s">
        <v>428</v>
      </c>
      <c r="N175" s="4" t="s">
        <v>429</v>
      </c>
      <c r="O175" s="4" t="s">
        <v>430</v>
      </c>
      <c r="P175" s="4" t="s">
        <v>432</v>
      </c>
    </row>
    <row r="176" customFormat="false" ht="15" hidden="false" customHeight="false" outlineLevel="0" collapsed="false">
      <c r="K176" s="21" t="n">
        <v>0</v>
      </c>
      <c r="L176" s="17" t="n">
        <v>1</v>
      </c>
      <c r="M176" s="17" t="n">
        <v>1</v>
      </c>
      <c r="N176" s="17" t="n">
        <v>1</v>
      </c>
      <c r="O176" s="17" t="n">
        <v>1</v>
      </c>
      <c r="P176" s="11" t="n">
        <f aca="false">SUM(L176:O176)</f>
        <v>4</v>
      </c>
    </row>
    <row r="177" customFormat="false" ht="15" hidden="false" customHeight="false" outlineLevel="0" collapsed="false">
      <c r="K177" s="21" t="n">
        <v>1</v>
      </c>
      <c r="L177" s="12" t="n">
        <f aca="false">SUMPRODUCT($L$170:$O$170,L176:O176)+L176</f>
        <v>1.60889097142679</v>
      </c>
      <c r="M177" s="12" t="n">
        <f aca="false">SUMPRODUCT($L$171:$O$171,L176:O176)+M176</f>
        <v>1.60889097142679</v>
      </c>
      <c r="N177" s="12" t="n">
        <f aca="false">SUMPRODUCT($L$172:$O$172,L176:O176)+N176</f>
        <v>1.60889097142679</v>
      </c>
      <c r="O177" s="12" t="n">
        <f aca="false">SUMPRODUCT($L$173:$O$173,L176:O176)+O176</f>
        <v>1.60889097142679</v>
      </c>
      <c r="P177" s="11" t="n">
        <f aca="false">SUM(L177:O177)</f>
        <v>6.43556388570717</v>
      </c>
    </row>
    <row r="178" customFormat="false" ht="15" hidden="false" customHeight="false" outlineLevel="0" collapsed="false">
      <c r="K178" s="21" t="n">
        <v>2</v>
      </c>
      <c r="L178" s="12" t="n">
        <f aca="false">SUMPRODUCT($L$170:$O$170,L177:O177)+L177</f>
        <v>2.58853015793864</v>
      </c>
      <c r="M178" s="12" t="n">
        <f aca="false">SUMPRODUCT($L$171:$O$171,L177:O177)+M177</f>
        <v>2.58853015793864</v>
      </c>
      <c r="N178" s="12" t="n">
        <f aca="false">SUMPRODUCT($L$172:$O$172,L177:O177)+N177</f>
        <v>2.58853015793864</v>
      </c>
      <c r="O178" s="12" t="n">
        <f aca="false">SUMPRODUCT($L$173:$O$173,L177:O177)+O177</f>
        <v>2.58853015793864</v>
      </c>
      <c r="P178" s="11" t="n">
        <f aca="false">SUM(L178:O178)</f>
        <v>10.3541206317546</v>
      </c>
    </row>
    <row r="179" customFormat="false" ht="15" hidden="false" customHeight="false" outlineLevel="0" collapsed="false">
      <c r="K179" s="21" t="n">
        <v>3</v>
      </c>
      <c r="L179" s="12" t="n">
        <f aca="false">SUMPRODUCT($L$170:$O$170,L178:O178)+L178</f>
        <v>4.16466280037345</v>
      </c>
      <c r="M179" s="12" t="n">
        <f aca="false">SUMPRODUCT($L$171:$O$171,L178:O178)+M178</f>
        <v>4.16466280037345</v>
      </c>
      <c r="N179" s="12" t="n">
        <f aca="false">SUMPRODUCT($L$172:$O$172,L178:O178)+N178</f>
        <v>4.16466280037345</v>
      </c>
      <c r="O179" s="12" t="n">
        <f aca="false">SUMPRODUCT($L$173:$O$173,L178:O178)+O178</f>
        <v>4.16466280037345</v>
      </c>
      <c r="P179" s="11" t="n">
        <f aca="false">SUM(L179:O179)</f>
        <v>16.6586512014938</v>
      </c>
    </row>
    <row r="180" customFormat="false" ht="15" hidden="false" customHeight="false" outlineLevel="0" collapsed="false">
      <c r="K180" s="21" t="n">
        <v>4</v>
      </c>
      <c r="L180" s="12" t="n">
        <f aca="false">SUMPRODUCT($L$170:$O$170,L179:O179)+L179</f>
        <v>6.70048837855786</v>
      </c>
      <c r="M180" s="12" t="n">
        <f aca="false">SUMPRODUCT($L$171:$O$171,L179:O179)+M179</f>
        <v>6.70048837855786</v>
      </c>
      <c r="N180" s="12" t="n">
        <f aca="false">SUMPRODUCT($L$172:$O$172,L179:O179)+N179</f>
        <v>6.70048837855786</v>
      </c>
      <c r="O180" s="12" t="n">
        <f aca="false">SUMPRODUCT($L$173:$O$173,L179:O179)+O179</f>
        <v>6.70048837855786</v>
      </c>
      <c r="P180" s="11" t="n">
        <f aca="false">SUM(L180:O180)</f>
        <v>26.8019535142315</v>
      </c>
    </row>
    <row r="181" customFormat="false" ht="15" hidden="false" customHeight="false" outlineLevel="0" collapsed="false">
      <c r="K181" s="21" t="n">
        <v>5</v>
      </c>
      <c r="L181" s="12" t="n">
        <f aca="false">SUMPRODUCT($L$170:$O$170,L180:O180)+L180</f>
        <v>10.7803552564119</v>
      </c>
      <c r="M181" s="12" t="n">
        <f aca="false">SUMPRODUCT($L$171:$O$171,L180:O180)+M180</f>
        <v>10.7803552564119</v>
      </c>
      <c r="N181" s="12" t="n">
        <f aca="false">SUMPRODUCT($L$172:$O$172,L180:O180)+N180</f>
        <v>10.7803552564119</v>
      </c>
      <c r="O181" s="12" t="n">
        <f aca="false">SUMPRODUCT($L$173:$O$173,L180:O180)+O180</f>
        <v>10.7803552564119</v>
      </c>
      <c r="P181" s="11" t="n">
        <f aca="false">SUM(L181:O181)</f>
        <v>43.1214210256475</v>
      </c>
    </row>
    <row r="182" customFormat="false" ht="15" hidden="false" customHeight="false" outlineLevel="0" collapsed="false">
      <c r="K182" s="21" t="n">
        <v>6</v>
      </c>
      <c r="L182" s="12" t="n">
        <f aca="false">SUMPRODUCT($L$170:$O$170,L181:O181)+L181</f>
        <v>17.3444162408144</v>
      </c>
      <c r="M182" s="12" t="n">
        <f aca="false">SUMPRODUCT($L$171:$O$171,L181:O181)+M181</f>
        <v>17.3444162408144</v>
      </c>
      <c r="N182" s="12" t="n">
        <f aca="false">SUMPRODUCT($L$172:$O$172,L181:O181)+N181</f>
        <v>17.3444162408144</v>
      </c>
      <c r="O182" s="12" t="n">
        <f aca="false">SUMPRODUCT($L$173:$O$173,L181:O181)+O181</f>
        <v>17.3444162408144</v>
      </c>
      <c r="P182" s="11" t="n">
        <f aca="false">SUM(L182:O182)</f>
        <v>69.3776649632577</v>
      </c>
    </row>
    <row r="183" customFormat="false" ht="15" hidden="false" customHeight="false" outlineLevel="0" collapsed="false">
      <c r="K183" s="21" t="n">
        <v>7</v>
      </c>
      <c r="L183" s="12" t="n">
        <f aca="false">SUMPRODUCT($L$170:$O$170,L182:O182)+L182</f>
        <v>27.9052746945146</v>
      </c>
      <c r="M183" s="12" t="n">
        <f aca="false">SUMPRODUCT($L$171:$O$171,L182:O182)+M182</f>
        <v>27.9052746945146</v>
      </c>
      <c r="N183" s="12" t="n">
        <f aca="false">SUMPRODUCT($L$172:$O$172,L182:O182)+N182</f>
        <v>27.9052746945146</v>
      </c>
      <c r="O183" s="12" t="n">
        <f aca="false">SUMPRODUCT($L$173:$O$173,L182:O182)+O182</f>
        <v>27.9052746945146</v>
      </c>
      <c r="P183" s="11" t="n">
        <f aca="false">SUM(L183:O183)</f>
        <v>111.621098778058</v>
      </c>
    </row>
    <row r="184" customFormat="false" ht="15" hidden="false" customHeight="false" outlineLevel="0" collapsed="false">
      <c r="K184" s="21" t="n">
        <v>8</v>
      </c>
      <c r="L184" s="12" t="n">
        <f aca="false">SUMPRODUCT($L$170:$O$170,L183:O183)+L183</f>
        <v>44.896544511189</v>
      </c>
      <c r="M184" s="12" t="n">
        <f aca="false">SUMPRODUCT($L$171:$O$171,L183:O183)+M183</f>
        <v>44.896544511189</v>
      </c>
      <c r="N184" s="12" t="n">
        <f aca="false">SUMPRODUCT($L$172:$O$172,L183:O183)+N183</f>
        <v>44.896544511189</v>
      </c>
      <c r="O184" s="12" t="n">
        <f aca="false">SUMPRODUCT($L$173:$O$173,L183:O183)+O183</f>
        <v>44.896544511189</v>
      </c>
      <c r="P184" s="11" t="n">
        <f aca="false">SUM(L184:O184)</f>
        <v>179.586178044756</v>
      </c>
    </row>
    <row r="185" customFormat="false" ht="15" hidden="false" customHeight="false" outlineLevel="0" collapsed="false">
      <c r="K185" s="21" t="n">
        <v>9</v>
      </c>
      <c r="L185" s="12" t="n">
        <f aca="false">SUMPRODUCT($L$170:$O$170,L184:O184)+L184</f>
        <v>72.233645112313</v>
      </c>
      <c r="M185" s="12" t="n">
        <f aca="false">SUMPRODUCT($L$171:$O$171,L184:O184)+M184</f>
        <v>72.233645112313</v>
      </c>
      <c r="N185" s="12" t="n">
        <f aca="false">SUMPRODUCT($L$172:$O$172,L184:O184)+N184</f>
        <v>72.233645112313</v>
      </c>
      <c r="O185" s="12" t="n">
        <f aca="false">SUMPRODUCT($L$173:$O$173,L184:O184)+O184</f>
        <v>72.233645112313</v>
      </c>
      <c r="P185" s="11" t="n">
        <f aca="false">SUM(L185:O185)</f>
        <v>288.934580449252</v>
      </c>
    </row>
    <row r="186" customFormat="false" ht="15" hidden="false" customHeight="false" outlineLevel="0" collapsed="false">
      <c r="K186" s="21" t="n">
        <v>10</v>
      </c>
      <c r="L186" s="12" t="n">
        <f aca="false">SUMPRODUCT($L$170:$O$170,L185:O185)+L185</f>
        <v>116.216059454447</v>
      </c>
      <c r="M186" s="12" t="n">
        <f aca="false">SUMPRODUCT($L$171:$O$171,L185:O185)+M185</f>
        <v>116.216059454447</v>
      </c>
      <c r="N186" s="12" t="n">
        <f aca="false">SUMPRODUCT($L$172:$O$172,L185:O185)+N185</f>
        <v>116.216059454447</v>
      </c>
      <c r="O186" s="12" t="n">
        <f aca="false">SUMPRODUCT($L$173:$O$173,L185:O185)+O185</f>
        <v>116.216059454447</v>
      </c>
      <c r="P186" s="11" t="n">
        <f aca="false">SUM(L186:O186)</f>
        <v>464.86423781779</v>
      </c>
    </row>
    <row r="187" customFormat="false" ht="15" hidden="false" customHeight="false" outlineLevel="0" collapsed="false">
      <c r="K187" s="21" t="n">
        <v>11</v>
      </c>
      <c r="L187" s="12" t="n">
        <f aca="false">SUMPRODUCT($L$170:$O$170,L186:O186)+L186</f>
        <v>186.97896879106</v>
      </c>
      <c r="M187" s="12" t="n">
        <f aca="false">SUMPRODUCT($L$171:$O$171,L186:O186)+M186</f>
        <v>186.97896879106</v>
      </c>
      <c r="N187" s="12" t="n">
        <f aca="false">SUMPRODUCT($L$172:$O$172,L186:O186)+N186</f>
        <v>186.97896879106</v>
      </c>
      <c r="O187" s="12" t="n">
        <f aca="false">SUMPRODUCT($L$173:$O$173,L186:O186)+O186</f>
        <v>186.97896879106</v>
      </c>
      <c r="P187" s="11" t="n">
        <f aca="false">SUM(L187:O187)</f>
        <v>747.915875164238</v>
      </c>
    </row>
    <row r="188" customFormat="false" ht="15" hidden="false" customHeight="false" outlineLevel="0" collapsed="false">
      <c r="K188" s="21" t="n">
        <v>12</v>
      </c>
      <c r="L188" s="12" t="n">
        <f aca="false">SUMPRODUCT($L$170:$O$170,L187:O187)+L187</f>
        <v>300.828774734628</v>
      </c>
      <c r="M188" s="12" t="n">
        <f aca="false">SUMPRODUCT($L$171:$O$171,L187:O187)+M187</f>
        <v>300.828774734628</v>
      </c>
      <c r="N188" s="12" t="n">
        <f aca="false">SUMPRODUCT($L$172:$O$172,L187:O187)+N187</f>
        <v>300.828774734628</v>
      </c>
      <c r="O188" s="12" t="n">
        <f aca="false">SUMPRODUCT($L$173:$O$173,L187:O187)+O187</f>
        <v>300.828774734628</v>
      </c>
      <c r="P188" s="11" t="n">
        <f aca="false">SUM(L188:O188)</f>
        <v>1203.31509893851</v>
      </c>
    </row>
    <row r="189" customFormat="false" ht="15" hidden="false" customHeight="false" outlineLevel="0" collapsed="false">
      <c r="K189" s="21" t="n">
        <v>13</v>
      </c>
      <c r="L189" s="12" t="n">
        <f aca="false">SUMPRODUCT($L$170:$O$170,L188:O188)+L188</f>
        <v>484.000699615926</v>
      </c>
      <c r="M189" s="12" t="n">
        <f aca="false">SUMPRODUCT($L$171:$O$171,L188:O188)+M188</f>
        <v>484.000699615926</v>
      </c>
      <c r="N189" s="12" t="n">
        <f aca="false">SUMPRODUCT($L$172:$O$172,L188:O188)+N188</f>
        <v>484.000699615926</v>
      </c>
      <c r="O189" s="12" t="n">
        <f aca="false">SUMPRODUCT($L$173:$O$173,L188:O188)+O188</f>
        <v>484.000699615926</v>
      </c>
      <c r="P189" s="11" t="n">
        <f aca="false">SUM(L189:O189)</f>
        <v>1936.00279846371</v>
      </c>
    </row>
    <row r="190" customFormat="false" ht="15" hidden="false" customHeight="false" outlineLevel="0" collapsed="false">
      <c r="K190" s="21" t="n">
        <v>14</v>
      </c>
      <c r="L190" s="12" t="n">
        <f aca="false">SUMPRODUCT($L$170:$O$170,L189:O189)+L189</f>
        <v>778.704355776314</v>
      </c>
      <c r="M190" s="12" t="n">
        <f aca="false">SUMPRODUCT($L$171:$O$171,L189:O189)+M189</f>
        <v>778.704355776314</v>
      </c>
      <c r="N190" s="12" t="n">
        <f aca="false">SUMPRODUCT($L$172:$O$172,L189:O189)+N189</f>
        <v>778.704355776314</v>
      </c>
      <c r="O190" s="12" t="n">
        <f aca="false">SUMPRODUCT($L$173:$O$173,L189:O189)+O189</f>
        <v>778.704355776314</v>
      </c>
      <c r="P190" s="11" t="n">
        <f aca="false">SUM(L190:O190)</f>
        <v>3114.81742310526</v>
      </c>
    </row>
    <row r="191" customFormat="false" ht="15" hidden="false" customHeight="false" outlineLevel="0" collapsed="false">
      <c r="K191" s="21" t="n">
        <v>15</v>
      </c>
      <c r="L191" s="12" t="n">
        <f aca="false">SUMPRODUCT($L$170:$O$170,L190:O190)+L190</f>
        <v>1252.85040741923</v>
      </c>
      <c r="M191" s="12" t="n">
        <f aca="false">SUMPRODUCT($L$171:$O$171,L190:O190)+M190</f>
        <v>1252.85040741923</v>
      </c>
      <c r="N191" s="12" t="n">
        <f aca="false">SUMPRODUCT($L$172:$O$172,L190:O190)+N190</f>
        <v>1252.85040741923</v>
      </c>
      <c r="O191" s="12" t="n">
        <f aca="false">SUMPRODUCT($L$173:$O$173,L190:O190)+O190</f>
        <v>1252.85040741923</v>
      </c>
      <c r="P191" s="11" t="n">
        <f aca="false">SUM(L191:O191)</f>
        <v>5011.40162967691</v>
      </c>
    </row>
    <row r="192" customFormat="false" ht="15" hidden="false" customHeight="false" outlineLevel="0" collapsed="false">
      <c r="K192" s="21" t="n">
        <v>16</v>
      </c>
      <c r="L192" s="12" t="n">
        <f aca="false">SUMPRODUCT($L$170:$O$170,L191:O191)+L191</f>
        <v>2015.69970904517</v>
      </c>
      <c r="M192" s="12" t="n">
        <f aca="false">SUMPRODUCT($L$171:$O$171,L191:O191)+M191</f>
        <v>2015.69970904517</v>
      </c>
      <c r="N192" s="12" t="n">
        <f aca="false">SUMPRODUCT($L$172:$O$172,L191:O191)+N191</f>
        <v>2015.69970904517</v>
      </c>
      <c r="O192" s="12" t="n">
        <f aca="false">SUMPRODUCT($L$173:$O$173,L191:O191)+O191</f>
        <v>2015.69970904517</v>
      </c>
      <c r="P192" s="11" t="n">
        <f aca="false">SUM(L192:O192)</f>
        <v>8062.7988361807</v>
      </c>
    </row>
    <row r="193" customFormat="false" ht="15" hidden="false" customHeight="false" outlineLevel="0" collapsed="false">
      <c r="K193" s="21" t="n">
        <v>17</v>
      </c>
      <c r="L193" s="12" t="n">
        <f aca="false">SUMPRODUCT($L$170:$O$170,L192:O192)+L192</f>
        <v>3243.04106299039</v>
      </c>
      <c r="M193" s="12" t="n">
        <f aca="false">SUMPRODUCT($L$171:$O$171,L192:O192)+M192</f>
        <v>3243.04106299039</v>
      </c>
      <c r="N193" s="12" t="n">
        <f aca="false">SUMPRODUCT($L$172:$O$172,L192:O192)+N192</f>
        <v>3243.04106299039</v>
      </c>
      <c r="O193" s="12" t="n">
        <f aca="false">SUMPRODUCT($L$173:$O$173,L192:O192)+O192</f>
        <v>3243.04106299039</v>
      </c>
      <c r="P193" s="11" t="n">
        <f aca="false">SUM(L193:O193)</f>
        <v>12972.1642519616</v>
      </c>
    </row>
    <row r="194" customFormat="false" ht="15" hidden="false" customHeight="false" outlineLevel="0" collapsed="false">
      <c r="K194" s="21" t="n">
        <v>18</v>
      </c>
      <c r="L194" s="12" t="n">
        <f aca="false">SUMPRODUCT($L$170:$O$170,L193:O193)+L193</f>
        <v>5217.69948621158</v>
      </c>
      <c r="M194" s="12" t="n">
        <f aca="false">SUMPRODUCT($L$171:$O$171,L193:O193)+M193</f>
        <v>5217.69948621158</v>
      </c>
      <c r="N194" s="12" t="n">
        <f aca="false">SUMPRODUCT($L$172:$O$172,L193:O193)+N193</f>
        <v>5217.69948621158</v>
      </c>
      <c r="O194" s="12" t="n">
        <f aca="false">SUMPRODUCT($L$173:$O$173,L193:O193)+O193</f>
        <v>5217.69948621158</v>
      </c>
      <c r="P194" s="11" t="n">
        <f aca="false">SUM(L194:O194)</f>
        <v>20870.7979448463</v>
      </c>
    </row>
    <row r="195" customFormat="false" ht="15" hidden="false" customHeight="false" outlineLevel="0" collapsed="false">
      <c r="K195" s="21" t="n">
        <v>19</v>
      </c>
      <c r="L195" s="12" t="n">
        <f aca="false">SUMPRODUCT($L$170:$O$170,L194:O194)+L194</f>
        <v>8394.70959498402</v>
      </c>
      <c r="M195" s="12" t="n">
        <f aca="false">SUMPRODUCT($L$171:$O$171,L194:O194)+M194</f>
        <v>8394.70959498402</v>
      </c>
      <c r="N195" s="12" t="n">
        <f aca="false">SUMPRODUCT($L$172:$O$172,L194:O194)+N194</f>
        <v>8394.70959498402</v>
      </c>
      <c r="O195" s="12" t="n">
        <f aca="false">SUMPRODUCT($L$173:$O$173,L194:O194)+O194</f>
        <v>8394.70959498402</v>
      </c>
      <c r="P195" s="11" t="n">
        <f aca="false">SUM(L195:O195)</f>
        <v>33578.8383799361</v>
      </c>
    </row>
    <row r="196" customFormat="false" ht="15" hidden="false" customHeight="false" outlineLevel="0" collapsed="false">
      <c r="K196" s="21" t="n">
        <v>20</v>
      </c>
      <c r="L196" s="12" t="n">
        <f aca="false">SUMPRODUCT($L$170:$O$170,L195:O195)+L195</f>
        <v>13506.1724751196</v>
      </c>
      <c r="M196" s="12" t="n">
        <f aca="false">SUMPRODUCT($L$171:$O$171,L195:O195)+M195</f>
        <v>13506.1724751196</v>
      </c>
      <c r="N196" s="12" t="n">
        <f aca="false">SUMPRODUCT($L$172:$O$172,L195:O195)+N195</f>
        <v>13506.1724751196</v>
      </c>
      <c r="O196" s="12" t="n">
        <f aca="false">SUMPRODUCT($L$173:$O$173,L195:O195)+O195</f>
        <v>13506.1724751196</v>
      </c>
      <c r="P196" s="11" t="n">
        <f aca="false">SUM(L196:O196)</f>
        <v>54024.6899004786</v>
      </c>
    </row>
    <row r="197" customFormat="false" ht="15" hidden="false" customHeight="false" outlineLevel="0" collapsed="false">
      <c r="K197" s="21" t="n">
        <v>21</v>
      </c>
      <c r="L197" s="12" t="n">
        <f aca="false">SUMPRODUCT($L$170:$O$170,L196:O196)+L196</f>
        <v>21729.958953753</v>
      </c>
      <c r="M197" s="12" t="n">
        <f aca="false">SUMPRODUCT($L$171:$O$171,L196:O196)+M196</f>
        <v>21729.958953753</v>
      </c>
      <c r="N197" s="12" t="n">
        <f aca="false">SUMPRODUCT($L$172:$O$172,L196:O196)+N196</f>
        <v>21729.958953753</v>
      </c>
      <c r="O197" s="12" t="n">
        <f aca="false">SUMPRODUCT($L$173:$O$173,L196:O196)+O196</f>
        <v>21729.958953753</v>
      </c>
      <c r="P197" s="11" t="n">
        <f aca="false">SUM(L197:O197)</f>
        <v>86919.8358150122</v>
      </c>
    </row>
    <row r="198" customFormat="false" ht="15" hidden="false" customHeight="false" outlineLevel="0" collapsed="false">
      <c r="K198" s="21" t="n">
        <v>22</v>
      </c>
      <c r="L198" s="12" t="n">
        <f aca="false">SUMPRODUCT($L$170:$O$170,L197:O197)+L197</f>
        <v>34961.134770168</v>
      </c>
      <c r="M198" s="12" t="n">
        <f aca="false">SUMPRODUCT($L$171:$O$171,L197:O197)+M197</f>
        <v>34961.134770168</v>
      </c>
      <c r="N198" s="12" t="n">
        <f aca="false">SUMPRODUCT($L$172:$O$172,L197:O197)+N197</f>
        <v>34961.134770168</v>
      </c>
      <c r="O198" s="12" t="n">
        <f aca="false">SUMPRODUCT($L$173:$O$173,L197:O197)+O197</f>
        <v>34961.134770168</v>
      </c>
      <c r="P198" s="11" t="n">
        <f aca="false">SUM(L198:O198)</f>
        <v>139844.539080672</v>
      </c>
    </row>
    <row r="199" customFormat="false" ht="15" hidden="false" customHeight="false" outlineLevel="0" collapsed="false">
      <c r="K199" s="21" t="n">
        <v>23</v>
      </c>
      <c r="L199" s="12" t="n">
        <f aca="false">SUMPRODUCT($L$170:$O$170,L198:O198)+L198</f>
        <v>56248.6540825586</v>
      </c>
      <c r="M199" s="12" t="n">
        <f aca="false">SUMPRODUCT($L$171:$O$171,L198:O198)+M198</f>
        <v>56248.6540825586</v>
      </c>
      <c r="N199" s="12" t="n">
        <f aca="false">SUMPRODUCT($L$172:$O$172,L198:O198)+N198</f>
        <v>56248.6540825586</v>
      </c>
      <c r="O199" s="12" t="n">
        <f aca="false">SUMPRODUCT($L$173:$O$173,L198:O198)+O198</f>
        <v>56248.6540825586</v>
      </c>
      <c r="P199" s="11" t="n">
        <f aca="false">SUM(L199:O199)</f>
        <v>224994.616330235</v>
      </c>
    </row>
    <row r="200" customFormat="false" ht="15" hidden="false" customHeight="false" outlineLevel="0" collapsed="false">
      <c r="K200" s="21" t="n">
        <v>24</v>
      </c>
      <c r="L200" s="12" t="n">
        <f aca="false">SUMPRODUCT($L$170:$O$170,L199:O199)+L199</f>
        <v>90497.9517083373</v>
      </c>
      <c r="M200" s="12" t="n">
        <f aca="false">SUMPRODUCT($L$171:$O$171,L199:O199)+M199</f>
        <v>90497.9517083373</v>
      </c>
      <c r="N200" s="12" t="n">
        <f aca="false">SUMPRODUCT($L$172:$O$172,L199:O199)+N199</f>
        <v>90497.9517083373</v>
      </c>
      <c r="O200" s="12" t="n">
        <f aca="false">SUMPRODUCT($L$173:$O$173,L199:O199)+O199</f>
        <v>90497.9517083373</v>
      </c>
      <c r="P200" s="11" t="n">
        <f aca="false">SUM(L200:O200)</f>
        <v>361991.806833349</v>
      </c>
    </row>
    <row r="201" customFormat="false" ht="15" hidden="false" customHeight="false" outlineLevel="0" collapsed="false">
      <c r="K201" s="21" t="n">
        <v>25</v>
      </c>
      <c r="L201" s="12" t="n">
        <f aca="false">SUMPRODUCT($L$170:$O$170,L200:O200)+L200</f>
        <v>145601.337436162</v>
      </c>
      <c r="M201" s="12" t="n">
        <f aca="false">SUMPRODUCT($L$171:$O$171,L200:O200)+M200</f>
        <v>145601.337436162</v>
      </c>
      <c r="N201" s="12" t="n">
        <f aca="false">SUMPRODUCT($L$172:$O$172,L200:O200)+N200</f>
        <v>145601.337436162</v>
      </c>
      <c r="O201" s="12" t="n">
        <f aca="false">SUMPRODUCT($L$173:$O$173,L200:O200)+O200</f>
        <v>145601.337436162</v>
      </c>
      <c r="P201" s="11" t="n">
        <f aca="false">SUM(L201:O201)</f>
        <v>582405.349744647</v>
      </c>
    </row>
    <row r="202" customFormat="false" ht="15" hidden="false" customHeight="false" outlineLevel="0" collapsed="false">
      <c r="K202" s="21" t="n">
        <v>26</v>
      </c>
      <c r="L202" s="12" t="n">
        <f aca="false">SUMPRODUCT($L$170:$O$170,L201:O201)+L201</f>
        <v>234256.677228706</v>
      </c>
      <c r="M202" s="12" t="n">
        <f aca="false">SUMPRODUCT($L$171:$O$171,L201:O201)+M201</f>
        <v>234256.677228706</v>
      </c>
      <c r="N202" s="12" t="n">
        <f aca="false">SUMPRODUCT($L$172:$O$172,L201:O201)+N201</f>
        <v>234256.677228706</v>
      </c>
      <c r="O202" s="12" t="n">
        <f aca="false">SUMPRODUCT($L$173:$O$173,L201:O201)+O201</f>
        <v>234256.677228706</v>
      </c>
      <c r="P202" s="11" t="n">
        <f aca="false">SUM(L202:O202)</f>
        <v>937026.708914825</v>
      </c>
    </row>
    <row r="203" customFormat="false" ht="15" hidden="false" customHeight="false" outlineLevel="0" collapsed="false">
      <c r="K203" s="21" t="n">
        <v>27</v>
      </c>
      <c r="L203" s="12" t="n">
        <f aca="false">SUMPRODUCT($L$170:$O$170,L202:O202)+L202</f>
        <v>376893.452989705</v>
      </c>
      <c r="M203" s="12" t="n">
        <f aca="false">SUMPRODUCT($L$171:$O$171,L202:O202)+M202</f>
        <v>376893.452989705</v>
      </c>
      <c r="N203" s="12" t="n">
        <f aca="false">SUMPRODUCT($L$172:$O$172,L202:O202)+N202</f>
        <v>376893.452989705</v>
      </c>
      <c r="O203" s="12" t="n">
        <f aca="false">SUMPRODUCT($L$173:$O$173,L202:O202)+O202</f>
        <v>376893.452989705</v>
      </c>
      <c r="P203" s="11" t="n">
        <f aca="false">SUM(L203:O203)</f>
        <v>1507573.81195882</v>
      </c>
    </row>
    <row r="204" customFormat="false" ht="15" hidden="false" customHeight="false" outlineLevel="0" collapsed="false">
      <c r="K204" s="21" t="n">
        <v>28</v>
      </c>
      <c r="L204" s="12" t="n">
        <f aca="false">SUMPRODUCT($L$170:$O$170,L203:O203)+L203</f>
        <v>606380.473705005</v>
      </c>
      <c r="M204" s="12" t="n">
        <f aca="false">SUMPRODUCT($L$171:$O$171,L203:O203)+M203</f>
        <v>606380.473705005</v>
      </c>
      <c r="N204" s="12" t="n">
        <f aca="false">SUMPRODUCT($L$172:$O$172,L203:O203)+N203</f>
        <v>606380.473705005</v>
      </c>
      <c r="O204" s="12" t="n">
        <f aca="false">SUMPRODUCT($L$173:$O$173,L203:O203)+O203</f>
        <v>606380.473705005</v>
      </c>
      <c r="P204" s="11" t="n">
        <f aca="false">SUM(L204:O204)</f>
        <v>2425521.89482002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5"/>
    <col collapsed="false" customWidth="true" hidden="false" outlineLevel="0" max="3" min="3" style="0" width="9"/>
    <col collapsed="false" customWidth="true" hidden="false" outlineLevel="0" max="5" min="4" style="0" width="10"/>
    <col collapsed="false" customWidth="true" hidden="false" outlineLevel="0" max="6" min="6" style="0" width="12"/>
    <col collapsed="false" customWidth="true" hidden="false" outlineLevel="0" max="7" min="7" style="0" width="11"/>
  </cols>
  <sheetData>
    <row r="1" customFormat="false" ht="15" hidden="false" customHeight="false" outlineLevel="0" collapsed="false">
      <c r="A1" s="1" t="s">
        <v>437</v>
      </c>
    </row>
    <row r="2" customFormat="false" ht="15" hidden="false" customHeight="false" outlineLevel="0" collapsed="false">
      <c r="A2" s="10" t="s">
        <v>438</v>
      </c>
    </row>
    <row r="4" customFormat="false" ht="15" hidden="false" customHeight="false" outlineLevel="0" collapsed="false">
      <c r="A4" s="8" t="s">
        <v>163</v>
      </c>
      <c r="B4" s="8" t="s">
        <v>180</v>
      </c>
      <c r="C4" s="8" t="s">
        <v>439</v>
      </c>
      <c r="D4" s="8" t="s">
        <v>440</v>
      </c>
      <c r="E4" s="8" t="s">
        <v>187</v>
      </c>
      <c r="F4" s="8" t="s">
        <v>20</v>
      </c>
      <c r="G4" s="8" t="s">
        <v>441</v>
      </c>
    </row>
    <row r="5" customFormat="false" ht="15" hidden="false" customHeight="false" outlineLevel="0" collapsed="false">
      <c r="A5" s="2" t="s">
        <v>442</v>
      </c>
      <c r="B5" s="2" t="s">
        <v>443</v>
      </c>
      <c r="C5" s="24" t="n">
        <f aca="false">Pkg_line</f>
        <v>170</v>
      </c>
      <c r="D5" s="22" t="n">
        <f aca="false">Pkg_delay</f>
        <v>0.667576361426625</v>
      </c>
      <c r="E5" s="22" t="n">
        <f aca="false">Pkg_cost</f>
        <v>10.440610891413</v>
      </c>
      <c r="F5" s="36" t="s">
        <v>215</v>
      </c>
      <c r="G5" s="32" t="n">
        <v>74.331</v>
      </c>
    </row>
    <row r="6" customFormat="false" ht="15" hidden="false" customHeight="false" outlineLevel="0" collapsed="false">
      <c r="A6" s="2" t="s">
        <v>444</v>
      </c>
      <c r="B6" s="2" t="s">
        <v>443</v>
      </c>
      <c r="C6" s="25" t="n">
        <v>165</v>
      </c>
      <c r="D6" s="37" t="n">
        <v>5.63362627768965</v>
      </c>
      <c r="E6" s="18" t="n">
        <f aca="false">Fee_line*C6+Cost_delay*D6</f>
        <v>50.0190102215172</v>
      </c>
      <c r="F6" s="36" t="s">
        <v>215</v>
      </c>
      <c r="G6" s="32" t="n">
        <v>5</v>
      </c>
    </row>
    <row r="7" customFormat="false" ht="15" hidden="false" customHeight="false" outlineLevel="0" collapsed="false">
      <c r="A7" s="4" t="s">
        <v>445</v>
      </c>
      <c r="B7" s="2" t="s">
        <v>443</v>
      </c>
      <c r="C7" s="24" t="n">
        <f aca="false">Programs!O25</f>
        <v>160</v>
      </c>
      <c r="D7" s="22" t="n">
        <f aca="false">Programs!O26</f>
        <v>2.07148246690518</v>
      </c>
      <c r="E7" s="22" t="n">
        <f aca="false">Programs!O27</f>
        <v>21.3718597352414</v>
      </c>
      <c r="F7" s="38" t="n">
        <f aca="false">Programs!O29</f>
        <v>1039.40815728784</v>
      </c>
      <c r="G7" s="32" t="n">
        <v>5</v>
      </c>
    </row>
    <row r="8" customFormat="false" ht="15" hidden="false" customHeight="false" outlineLevel="0" collapsed="false">
      <c r="A8" s="2" t="s">
        <v>446</v>
      </c>
      <c r="B8" s="2" t="s">
        <v>198</v>
      </c>
      <c r="C8" s="24" t="n">
        <f aca="false">Programs!O37</f>
        <v>160</v>
      </c>
      <c r="D8" s="22" t="n">
        <f aca="false">Programs!O38</f>
        <v>1.47702807378874</v>
      </c>
      <c r="E8" s="22" t="n">
        <f aca="false">Programs!O39</f>
        <v>16.6162245903099</v>
      </c>
      <c r="F8" s="38" t="n">
        <f aca="false">Programs!O41</f>
        <v>1036.80090738394</v>
      </c>
      <c r="G8" s="32" t="n">
        <v>5</v>
      </c>
    </row>
    <row r="9" customFormat="false" ht="15" hidden="false" customHeight="false" outlineLevel="0" collapsed="false">
      <c r="A9" s="2" t="s">
        <v>447</v>
      </c>
      <c r="B9" s="2" t="s">
        <v>448</v>
      </c>
      <c r="C9" s="24" t="n">
        <f aca="false">Trigger!B43</f>
        <v>155</v>
      </c>
      <c r="D9" s="22" t="n">
        <f aca="false">Trigger!B44</f>
        <v>1.64239436928403</v>
      </c>
      <c r="E9" s="22" t="n">
        <f aca="false">Trigger!B45</f>
        <v>17.7891549542722</v>
      </c>
      <c r="F9" s="38" t="n">
        <f aca="false">Trigger!B41</f>
        <v>1040.75570053613</v>
      </c>
      <c r="G9" s="32" t="n">
        <v>5</v>
      </c>
    </row>
    <row r="10" customFormat="false" ht="15" hidden="false" customHeight="false" outlineLevel="0" collapsed="false">
      <c r="A10" s="2" t="s">
        <v>212</v>
      </c>
      <c r="B10" s="2" t="s">
        <v>443</v>
      </c>
      <c r="C10" s="24" t="n">
        <f aca="false">Programs!O133</f>
        <v>165</v>
      </c>
      <c r="D10" s="22" t="n">
        <f aca="false">Programs!O134</f>
        <v>5.9700150269801</v>
      </c>
      <c r="E10" s="22" t="n">
        <f aca="false">Programs!O135</f>
        <v>52.7101202158408</v>
      </c>
      <c r="F10" s="38" t="n">
        <f aca="false">Programs!O137</f>
        <v>1001.78617301788</v>
      </c>
      <c r="G10" s="32" t="n">
        <v>5</v>
      </c>
    </row>
    <row r="11" customFormat="false" ht="15" hidden="false" customHeight="false" outlineLevel="0" collapsed="false">
      <c r="A11" s="2" t="s">
        <v>211</v>
      </c>
      <c r="B11" s="2" t="s">
        <v>443</v>
      </c>
      <c r="C11" s="24" t="n">
        <f aca="false">Programs!O121</f>
        <v>165</v>
      </c>
      <c r="D11" s="22" t="n">
        <f aca="false">Programs!O122</f>
        <v>5.9700150269801</v>
      </c>
      <c r="E11" s="22" t="n">
        <f aca="false">Programs!O123</f>
        <v>52.7101202158408</v>
      </c>
      <c r="F11" s="38" t="n">
        <f aca="false">Programs!O125</f>
        <v>938.948935124298</v>
      </c>
      <c r="G11" s="32" t="n">
        <v>5</v>
      </c>
    </row>
    <row r="12" customFormat="false" ht="15" hidden="false" customHeight="false" outlineLevel="0" collapsed="false">
      <c r="A12" s="2" t="s">
        <v>449</v>
      </c>
      <c r="B12" s="2" t="s">
        <v>443</v>
      </c>
      <c r="C12" s="24" t="n">
        <f aca="false">Certify!B7</f>
        <v>165</v>
      </c>
      <c r="D12" s="22" t="n">
        <f aca="false">Certify!C7</f>
        <v>2.31086023720048</v>
      </c>
      <c r="E12" s="22" t="n">
        <f aca="false">Certify!D7</f>
        <v>23.4368818976039</v>
      </c>
      <c r="F12" s="38" t="n">
        <f aca="false">Certify!E7</f>
        <v>1037.34313512548</v>
      </c>
      <c r="G12" s="32" t="n">
        <v>4</v>
      </c>
    </row>
    <row r="13" customFormat="false" ht="15" hidden="false" customHeight="false" outlineLevel="0" collapsed="false">
      <c r="A13" s="2" t="s">
        <v>376</v>
      </c>
      <c r="B13" s="2" t="s">
        <v>443</v>
      </c>
      <c r="C13" s="24" t="n">
        <f aca="false">Certify!B23</f>
        <v>200</v>
      </c>
      <c r="D13" s="22" t="n">
        <f aca="false">Certify!B24</f>
        <v>3.43950661497549</v>
      </c>
      <c r="E13" s="22" t="n">
        <f aca="false">Certify!B25</f>
        <v>33.5160529198039</v>
      </c>
      <c r="F13" s="38" t="n">
        <f aca="false">Certify!B26</f>
        <v>1027.26396410328</v>
      </c>
      <c r="G13" s="32"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450</v>
      </c>
      <c r="B1" s="8" t="s">
        <v>451</v>
      </c>
      <c r="C1" s="8" t="s">
        <v>452</v>
      </c>
    </row>
    <row r="2" customFormat="false" ht="15" hidden="false" customHeight="false" outlineLevel="0" collapsed="false">
      <c r="A2" s="2" t="s">
        <v>453</v>
      </c>
      <c r="B2" s="26" t="n">
        <v>92</v>
      </c>
      <c r="C2" s="2" t="s">
        <v>454</v>
      </c>
    </row>
    <row r="3" customFormat="false" ht="15" hidden="false" customHeight="false" outlineLevel="0" collapsed="false">
      <c r="A3" s="2" t="s">
        <v>455</v>
      </c>
      <c r="B3" s="26" t="n">
        <v>5.64473930053777</v>
      </c>
      <c r="C3" s="2" t="s">
        <v>456</v>
      </c>
    </row>
    <row r="4" customFormat="false" ht="15" hidden="false" customHeight="false" outlineLevel="0" collapsed="false">
      <c r="A4" s="2" t="s">
        <v>457</v>
      </c>
      <c r="B4" s="26" t="n">
        <v>1021.93254988115</v>
      </c>
      <c r="C4" s="2" t="s">
        <v>458</v>
      </c>
    </row>
    <row r="5" customFormat="false" ht="15" hidden="false" customHeight="false" outlineLevel="0" collapsed="false">
      <c r="A5" s="2" t="s">
        <v>459</v>
      </c>
      <c r="B5" s="26" t="n">
        <v>85</v>
      </c>
      <c r="C5" s="2" t="s">
        <v>460</v>
      </c>
    </row>
    <row r="6" customFormat="false" ht="15" hidden="false" customHeight="false" outlineLevel="0" collapsed="false">
      <c r="A6" s="2" t="s">
        <v>461</v>
      </c>
      <c r="B6" s="26" t="n">
        <v>0</v>
      </c>
      <c r="C6" s="2" t="s">
        <v>460</v>
      </c>
    </row>
    <row r="7" customFormat="false" ht="15" hidden="false" customHeight="false" outlineLevel="0" collapsed="false">
      <c r="A7" s="2" t="s">
        <v>462</v>
      </c>
      <c r="B7" s="26" t="n">
        <v>122.5</v>
      </c>
      <c r="C7" s="2" t="s">
        <v>460</v>
      </c>
    </row>
    <row r="8" customFormat="false" ht="15" hidden="false" customHeight="false" outlineLevel="0" collapsed="false">
      <c r="A8" s="2" t="s">
        <v>463</v>
      </c>
      <c r="B8" s="26" t="n">
        <v>122.5</v>
      </c>
      <c r="C8" s="2" t="s">
        <v>460</v>
      </c>
    </row>
    <row r="9" customFormat="false" ht="15" hidden="false" customHeight="false" outlineLevel="0" collapsed="false">
      <c r="A9" s="2" t="s">
        <v>464</v>
      </c>
      <c r="B9" s="26" t="n">
        <v>122.5</v>
      </c>
      <c r="C9" s="2" t="s">
        <v>460</v>
      </c>
    </row>
    <row r="10" customFormat="false" ht="15" hidden="false" customHeight="false" outlineLevel="0" collapsed="false">
      <c r="A10" s="2" t="s">
        <v>465</v>
      </c>
      <c r="B10" s="26" t="n">
        <v>2.5</v>
      </c>
      <c r="C10" s="2" t="s">
        <v>460</v>
      </c>
    </row>
    <row r="11" customFormat="false" ht="15" hidden="false" customHeight="false" outlineLevel="0" collapsed="false">
      <c r="A11" s="2" t="s">
        <v>466</v>
      </c>
      <c r="B11" s="26" t="n">
        <v>6.2</v>
      </c>
      <c r="C11" s="2" t="s">
        <v>467</v>
      </c>
    </row>
    <row r="12" customFormat="false" ht="15" hidden="false" customHeight="false" outlineLevel="0" collapsed="false">
      <c r="A12" s="2" t="s">
        <v>74</v>
      </c>
      <c r="B12" s="26" t="n">
        <v>694.4</v>
      </c>
      <c r="C12" s="2" t="s">
        <v>468</v>
      </c>
    </row>
    <row r="13" customFormat="false" ht="15" hidden="false" customHeight="false" outlineLevel="0" collapsed="false">
      <c r="A13" s="2" t="s">
        <v>469</v>
      </c>
      <c r="B13" s="26" t="n">
        <v>10.440610891413</v>
      </c>
      <c r="C13" s="2" t="s">
        <v>63</v>
      </c>
    </row>
    <row r="14" customFormat="false" ht="15" hidden="false" customHeight="false" outlineLevel="0" collapsed="false">
      <c r="A14" s="2" t="s">
        <v>470</v>
      </c>
      <c r="B14" s="26" t="n">
        <v>7</v>
      </c>
      <c r="C14" s="2" t="s">
        <v>168</v>
      </c>
    </row>
    <row r="15" customFormat="false" ht="15" hidden="false" customHeight="false" outlineLevel="0" collapsed="false">
      <c r="A15" s="2" t="s">
        <v>471</v>
      </c>
      <c r="B15" s="26" t="n">
        <v>121.634367910991</v>
      </c>
      <c r="C15" s="2" t="s">
        <v>170</v>
      </c>
    </row>
    <row r="16" customFormat="false" ht="15" hidden="false" customHeight="false" outlineLevel="0" collapsed="false">
      <c r="A16" s="2" t="s">
        <v>472</v>
      </c>
      <c r="B16" s="26" t="n">
        <v>16.8669763706644</v>
      </c>
      <c r="C16" s="2" t="s">
        <v>172</v>
      </c>
    </row>
    <row r="17" customFormat="false" ht="15" hidden="false" customHeight="false" outlineLevel="0" collapsed="false">
      <c r="A17" s="2" t="s">
        <v>473</v>
      </c>
      <c r="B17" s="26" t="n">
        <v>7.25962200381196</v>
      </c>
      <c r="C17" s="2" t="s">
        <v>474</v>
      </c>
    </row>
    <row r="18" customFormat="false" ht="15" hidden="false" customHeight="false" outlineLevel="0" collapsed="false">
      <c r="A18" s="2" t="s">
        <v>475</v>
      </c>
      <c r="B18" s="26" t="n">
        <v>-84.740377996188</v>
      </c>
      <c r="C18" s="2" t="s">
        <v>476</v>
      </c>
    </row>
    <row r="19" customFormat="false" ht="15" hidden="false" customHeight="false" outlineLevel="0" collapsed="false">
      <c r="A19" s="2" t="s">
        <v>477</v>
      </c>
      <c r="B19" s="26" t="n">
        <v>9</v>
      </c>
      <c r="C19" s="2" t="s">
        <v>478</v>
      </c>
    </row>
    <row r="20" customFormat="false" ht="15" hidden="false" customHeight="false" outlineLevel="0" collapsed="false">
      <c r="A20" s="2" t="s">
        <v>479</v>
      </c>
      <c r="B20" s="26" t="n">
        <v>115.365377996188</v>
      </c>
      <c r="C20" s="2" t="s">
        <v>480</v>
      </c>
    </row>
    <row r="21" customFormat="false" ht="15" hidden="false" customHeight="false" outlineLevel="0" collapsed="false">
      <c r="A21" s="2" t="s">
        <v>481</v>
      </c>
      <c r="B21" s="26" t="n">
        <v>154.375</v>
      </c>
      <c r="C21" s="2" t="s">
        <v>482</v>
      </c>
    </row>
    <row r="22" customFormat="false" ht="15" hidden="false" customHeight="false" outlineLevel="0" collapsed="false">
      <c r="A22" s="2" t="s">
        <v>483</v>
      </c>
      <c r="B22" s="26" t="n">
        <v>85</v>
      </c>
      <c r="C22" s="2" t="s">
        <v>484</v>
      </c>
    </row>
    <row r="23" customFormat="false" ht="15" hidden="false" customHeight="false" outlineLevel="0" collapsed="false">
      <c r="A23" s="2" t="s">
        <v>485</v>
      </c>
      <c r="B23" s="26" t="n">
        <v>16.8669763706644</v>
      </c>
      <c r="C23" s="2" t="s">
        <v>486</v>
      </c>
    </row>
    <row r="24" customFormat="false" ht="15" hidden="false" customHeight="false" outlineLevel="0" collapsed="false">
      <c r="A24" s="2" t="s">
        <v>487</v>
      </c>
      <c r="B24" s="26" t="n">
        <v>-9.60735436685241</v>
      </c>
      <c r="C24" s="2" t="s">
        <v>488</v>
      </c>
    </row>
    <row r="25" customFormat="false" ht="15" hidden="false" customHeight="false" outlineLevel="0" collapsed="false">
      <c r="A25" s="2" t="s">
        <v>489</v>
      </c>
      <c r="B25" s="26" t="n">
        <v>-101.607354366852</v>
      </c>
      <c r="C25" s="2" t="s">
        <v>490</v>
      </c>
    </row>
    <row r="26" customFormat="false" ht="15" hidden="false" customHeight="false" outlineLevel="0" collapsed="false">
      <c r="A26" s="2" t="s">
        <v>491</v>
      </c>
      <c r="B26" s="26" t="n">
        <v>362</v>
      </c>
      <c r="C26" s="2" t="s">
        <v>492</v>
      </c>
    </row>
    <row r="27" customFormat="false" ht="15" hidden="false" customHeight="false" outlineLevel="0" collapsed="false">
      <c r="A27" s="2" t="s">
        <v>493</v>
      </c>
      <c r="B27" s="26" t="n">
        <v>80.7988741662247</v>
      </c>
      <c r="C27" s="2" t="s">
        <v>494</v>
      </c>
    </row>
    <row r="28" customFormat="false" ht="15" hidden="false" customHeight="false" outlineLevel="0" collapsed="false">
      <c r="A28" s="2" t="s">
        <v>495</v>
      </c>
      <c r="B28" s="26" t="n">
        <v>154.375</v>
      </c>
      <c r="C28" s="2" t="s">
        <v>482</v>
      </c>
    </row>
    <row r="29" customFormat="false" ht="15" hidden="false" customHeight="false" outlineLevel="0" collapsed="false">
      <c r="A29" s="2" t="s">
        <v>496</v>
      </c>
      <c r="B29" s="26" t="n">
        <v>0</v>
      </c>
      <c r="C29" s="2" t="s">
        <v>497</v>
      </c>
    </row>
    <row r="30" customFormat="false" ht="15" hidden="false" customHeight="false" outlineLevel="0" collapsed="false">
      <c r="A30" s="2" t="s">
        <v>498</v>
      </c>
      <c r="B30" s="26" t="n">
        <v>26.8669763706644</v>
      </c>
      <c r="C30" s="2" t="s">
        <v>499</v>
      </c>
    </row>
    <row r="31" customFormat="false" ht="15" hidden="false" customHeight="false" outlineLevel="0" collapsed="false">
      <c r="A31" s="2" t="s">
        <v>500</v>
      </c>
      <c r="B31" s="26" t="n">
        <v>99.959149463111</v>
      </c>
      <c r="C31" s="2" t="s">
        <v>501</v>
      </c>
    </row>
    <row r="32" customFormat="false" ht="15" hidden="false" customHeight="false" outlineLevel="0" collapsed="false">
      <c r="A32" s="2" t="s">
        <v>502</v>
      </c>
      <c r="B32" s="26" t="n">
        <v>50.0190102215172</v>
      </c>
      <c r="C32" s="2" t="s">
        <v>503</v>
      </c>
    </row>
    <row r="33" customFormat="false" ht="15" hidden="false" customHeight="false" outlineLevel="0" collapsed="false">
      <c r="A33" s="2" t="s">
        <v>504</v>
      </c>
      <c r="B33" s="26" t="n">
        <v>1039.40815728784</v>
      </c>
      <c r="C33" s="2" t="s">
        <v>505</v>
      </c>
    </row>
    <row r="34" customFormat="false" ht="15" hidden="false" customHeight="false" outlineLevel="0" collapsed="false">
      <c r="A34" s="2" t="s">
        <v>506</v>
      </c>
      <c r="B34" s="26" t="n">
        <v>1036.80090738394</v>
      </c>
      <c r="C34" s="2" t="s">
        <v>505</v>
      </c>
    </row>
    <row r="35" customFormat="false" ht="15" hidden="false" customHeight="false" outlineLevel="0" collapsed="false">
      <c r="A35" s="2" t="s">
        <v>507</v>
      </c>
      <c r="B35" s="26" t="n">
        <v>1022.5658791809</v>
      </c>
      <c r="C35" s="2" t="s">
        <v>505</v>
      </c>
    </row>
    <row r="36" customFormat="false" ht="15" hidden="false" customHeight="false" outlineLevel="0" collapsed="false">
      <c r="A36" s="2" t="s">
        <v>508</v>
      </c>
      <c r="B36" s="26" t="n">
        <v>1001.5912867451</v>
      </c>
      <c r="C36" s="2" t="s">
        <v>505</v>
      </c>
    </row>
    <row r="37" customFormat="false" ht="15" hidden="false" customHeight="false" outlineLevel="0" collapsed="false">
      <c r="A37" s="2" t="s">
        <v>509</v>
      </c>
      <c r="B37" s="26" t="n">
        <v>953.575791901162</v>
      </c>
      <c r="C37" s="2" t="s">
        <v>505</v>
      </c>
    </row>
    <row r="38" customFormat="false" ht="15" hidden="false" customHeight="false" outlineLevel="0" collapsed="false">
      <c r="A38" s="2" t="s">
        <v>510</v>
      </c>
      <c r="B38" s="26" t="n">
        <v>937.597703872563</v>
      </c>
      <c r="C38" s="2" t="s">
        <v>505</v>
      </c>
    </row>
    <row r="39" customFormat="false" ht="15" hidden="false" customHeight="false" outlineLevel="0" collapsed="false">
      <c r="A39" s="2" t="s">
        <v>511</v>
      </c>
      <c r="B39" s="26" t="n">
        <v>883.161534678981</v>
      </c>
      <c r="C39" s="2" t="s">
        <v>505</v>
      </c>
    </row>
    <row r="40" customFormat="false" ht="15" hidden="false" customHeight="false" outlineLevel="0" collapsed="false">
      <c r="A40" s="2" t="s">
        <v>512</v>
      </c>
      <c r="B40" s="26" t="n">
        <v>821.106862609523</v>
      </c>
      <c r="C40" s="2" t="s">
        <v>505</v>
      </c>
    </row>
    <row r="41" customFormat="false" ht="15" hidden="false" customHeight="false" outlineLevel="0" collapsed="false">
      <c r="A41" s="2" t="s">
        <v>513</v>
      </c>
      <c r="B41" s="26" t="n">
        <v>16.6162245903099</v>
      </c>
      <c r="C41" s="2" t="s">
        <v>514</v>
      </c>
    </row>
    <row r="42" customFormat="false" ht="15" hidden="false" customHeight="false" outlineLevel="0" collapsed="false">
      <c r="A42" s="2" t="s">
        <v>515</v>
      </c>
      <c r="B42" s="26" t="n">
        <v>4.29227458147772</v>
      </c>
      <c r="C42" s="2" t="s">
        <v>516</v>
      </c>
    </row>
    <row r="43" customFormat="false" ht="15" hidden="false" customHeight="false" outlineLevel="0" collapsed="false">
      <c r="A43" s="2" t="s">
        <v>517</v>
      </c>
      <c r="B43" s="26" t="n">
        <v>2.60724990390395</v>
      </c>
      <c r="C43" s="2" t="s">
        <v>518</v>
      </c>
    </row>
    <row r="44" customFormat="false" ht="15" hidden="false" customHeight="false" outlineLevel="0" collapsed="false">
      <c r="A44" s="2" t="s">
        <v>519</v>
      </c>
      <c r="B44" s="26" t="n">
        <v>85.8323653866801</v>
      </c>
      <c r="C44" s="2" t="s">
        <v>520</v>
      </c>
    </row>
    <row r="45" customFormat="false" ht="15" hidden="false" customHeight="false" outlineLevel="0" collapsed="false">
      <c r="A45" s="2" t="s">
        <v>521</v>
      </c>
      <c r="B45" s="26" t="n">
        <v>13</v>
      </c>
      <c r="C45" s="2" t="s">
        <v>522</v>
      </c>
    </row>
    <row r="46" customFormat="false" ht="15" hidden="false" customHeight="false" outlineLevel="0" collapsed="false">
      <c r="A46" s="2" t="s">
        <v>239</v>
      </c>
      <c r="B46" s="26" t="n">
        <v>52.7101202158408</v>
      </c>
      <c r="C46" s="2" t="s">
        <v>240</v>
      </c>
    </row>
    <row r="47" customFormat="false" ht="15" hidden="false" customHeight="false" outlineLevel="0" collapsed="false">
      <c r="A47" s="2" t="s">
        <v>237</v>
      </c>
      <c r="B47" s="26" t="n">
        <v>938.948935124298</v>
      </c>
      <c r="C47" s="2" t="s">
        <v>238</v>
      </c>
    </row>
    <row r="48" customFormat="false" ht="15" hidden="false" customHeight="false" outlineLevel="0" collapsed="false">
      <c r="A48" s="2" t="s">
        <v>241</v>
      </c>
      <c r="B48" s="26" t="n">
        <v>1001.78617301788</v>
      </c>
      <c r="C48" s="2" t="s">
        <v>242</v>
      </c>
    </row>
    <row r="49" customFormat="false" ht="15" hidden="false" customHeight="false" outlineLevel="0" collapsed="false">
      <c r="A49" s="2" t="s">
        <v>523</v>
      </c>
      <c r="B49" s="26" t="n">
        <v>100.459222163545</v>
      </c>
      <c r="C49" s="2" t="s">
        <v>244</v>
      </c>
    </row>
    <row r="50" customFormat="false" ht="15" hidden="false" customHeight="false" outlineLevel="0" collapsed="false">
      <c r="A50" s="2" t="s">
        <v>524</v>
      </c>
      <c r="B50" s="26" t="n">
        <v>69.1209616829452</v>
      </c>
      <c r="C50" s="2" t="s">
        <v>246</v>
      </c>
    </row>
    <row r="51" customFormat="false" ht="15" hidden="false" customHeight="false" outlineLevel="0" collapsed="false">
      <c r="A51" s="2" t="s">
        <v>525</v>
      </c>
      <c r="B51" s="26" t="n">
        <v>31.3382604805994</v>
      </c>
      <c r="C51" s="2" t="s">
        <v>248</v>
      </c>
    </row>
    <row r="52" customFormat="false" ht="15" hidden="false" customHeight="false" outlineLevel="0" collapsed="false">
      <c r="A52" s="2" t="s">
        <v>251</v>
      </c>
      <c r="B52" s="26" t="n">
        <v>37.6219842699582</v>
      </c>
      <c r="C52" s="2" t="s">
        <v>252</v>
      </c>
    </row>
    <row r="53" customFormat="false" ht="15" hidden="false" customHeight="false" outlineLevel="0" collapsed="false">
      <c r="A53" s="2" t="s">
        <v>526</v>
      </c>
      <c r="B53" s="26" t="n">
        <v>21.3718597352414</v>
      </c>
      <c r="C53" s="2" t="s">
        <v>232</v>
      </c>
    </row>
    <row r="54" customFormat="false" ht="15" hidden="false" customHeight="false" outlineLevel="0" collapsed="false">
      <c r="A54" s="2" t="s">
        <v>527</v>
      </c>
      <c r="B54" s="26" t="n">
        <v>1039.40815728784</v>
      </c>
      <c r="C54" s="2" t="s">
        <v>235</v>
      </c>
    </row>
    <row r="55" customFormat="false" ht="15" hidden="false" customHeight="false" outlineLevel="0" collapsed="false">
      <c r="A55" s="2" t="s">
        <v>528</v>
      </c>
      <c r="B55" s="26" t="n">
        <v>189.92404767696</v>
      </c>
      <c r="C55" s="2" t="s">
        <v>529</v>
      </c>
    </row>
    <row r="56" customFormat="false" ht="15" hidden="false" customHeight="false" outlineLevel="0" collapsed="false">
      <c r="A56" s="2" t="s">
        <v>530</v>
      </c>
      <c r="B56" s="26" t="n">
        <v>160.401396231059</v>
      </c>
      <c r="C56" s="2" t="s">
        <v>529</v>
      </c>
    </row>
    <row r="57" customFormat="false" ht="15" hidden="false" customHeight="false" outlineLevel="0" collapsed="false">
      <c r="A57" s="2" t="s">
        <v>531</v>
      </c>
      <c r="B57" s="26" t="n">
        <v>158.807285194849</v>
      </c>
      <c r="C57" s="2" t="s">
        <v>529</v>
      </c>
    </row>
    <row r="58" customFormat="false" ht="15" hidden="false" customHeight="false" outlineLevel="0" collapsed="false">
      <c r="A58" s="2" t="s">
        <v>532</v>
      </c>
      <c r="B58" s="26" t="n">
        <v>32.673897125482</v>
      </c>
      <c r="C58" s="2" t="s">
        <v>529</v>
      </c>
    </row>
    <row r="59" customFormat="false" ht="15" hidden="false" customHeight="false" outlineLevel="0" collapsed="false">
      <c r="A59" s="2" t="s">
        <v>533</v>
      </c>
      <c r="B59" s="26" t="n">
        <v>1038.42526112908</v>
      </c>
      <c r="C59" s="2" t="s">
        <v>534</v>
      </c>
    </row>
    <row r="60" customFormat="false" ht="15" hidden="false" customHeight="false" outlineLevel="0" collapsed="false">
      <c r="A60" s="2" t="s">
        <v>535</v>
      </c>
      <c r="B60" s="26" t="n">
        <v>1040.25333990536</v>
      </c>
      <c r="C60" s="2" t="s">
        <v>536</v>
      </c>
    </row>
    <row r="61" customFormat="false" ht="15" hidden="false" customHeight="false" outlineLevel="0" collapsed="false">
      <c r="A61" s="2" t="s">
        <v>537</v>
      </c>
      <c r="B61" s="26" t="n">
        <v>1.82807877628102</v>
      </c>
      <c r="C61" s="2" t="s">
        <v>538</v>
      </c>
    </row>
    <row r="62" customFormat="false" ht="15" hidden="false" customHeight="false" outlineLevel="0" collapsed="false">
      <c r="A62" s="2" t="s">
        <v>539</v>
      </c>
      <c r="B62" s="26" t="n">
        <v>1.80701478466484</v>
      </c>
      <c r="C62" s="2" t="s">
        <v>540</v>
      </c>
    </row>
    <row r="63" customFormat="false" ht="15" hidden="false" customHeight="false" outlineLevel="0" collapsed="false">
      <c r="A63" s="2" t="s">
        <v>269</v>
      </c>
      <c r="B63" s="26" t="n">
        <v>1.76470588235293</v>
      </c>
      <c r="C63" s="2" t="s">
        <v>270</v>
      </c>
    </row>
    <row r="64" customFormat="false" ht="15" hidden="false" customHeight="false" outlineLevel="0" collapsed="false">
      <c r="A64" s="2" t="s">
        <v>271</v>
      </c>
      <c r="B64" s="26" t="n">
        <v>2.28571428571428</v>
      </c>
      <c r="C64" s="2" t="s">
        <v>272</v>
      </c>
    </row>
    <row r="65" customFormat="false" ht="15" hidden="false" customHeight="false" outlineLevel="0" collapsed="false">
      <c r="A65" s="2" t="s">
        <v>541</v>
      </c>
      <c r="B65" s="26" t="n">
        <v>0.774931769102807</v>
      </c>
      <c r="C65" s="2" t="s">
        <v>278</v>
      </c>
    </row>
    <row r="66" customFormat="false" ht="15" hidden="false" customHeight="false" outlineLevel="0" collapsed="false">
      <c r="A66" s="2" t="s">
        <v>542</v>
      </c>
      <c r="B66" s="26" t="n">
        <v>0.669621034671639</v>
      </c>
      <c r="C66" s="2" t="s">
        <v>281</v>
      </c>
    </row>
    <row r="67" customFormat="false" ht="15" hidden="false" customHeight="false" outlineLevel="0" collapsed="false">
      <c r="A67" s="2" t="s">
        <v>543</v>
      </c>
      <c r="B67" s="26" t="n">
        <v>0.157776108189331</v>
      </c>
      <c r="C67" s="2" t="s">
        <v>274</v>
      </c>
    </row>
    <row r="68" customFormat="false" ht="15" hidden="false" customHeight="false" outlineLevel="0" collapsed="false">
      <c r="A68" s="2" t="s">
        <v>544</v>
      </c>
      <c r="B68" s="26" t="n">
        <v>0.2036</v>
      </c>
      <c r="C68" s="2" t="s">
        <v>276</v>
      </c>
    </row>
    <row r="69" customFormat="false" ht="15" hidden="false" customHeight="false" outlineLevel="0" collapsed="false">
      <c r="A69" s="2" t="s">
        <v>545</v>
      </c>
      <c r="B69" s="26" t="n">
        <v>1.08802967932206</v>
      </c>
      <c r="C69" s="2" t="s">
        <v>288</v>
      </c>
    </row>
    <row r="70" customFormat="false" ht="15" hidden="false" customHeight="false" outlineLevel="0" collapsed="false">
      <c r="A70" s="2" t="s">
        <v>546</v>
      </c>
      <c r="B70" s="26" t="n">
        <v>0.751314800901578</v>
      </c>
      <c r="C70" s="2" t="s">
        <v>290</v>
      </c>
    </row>
    <row r="71" customFormat="false" ht="15" hidden="false" customHeight="false" outlineLevel="0" collapsed="false">
      <c r="A71" s="2" t="s">
        <v>547</v>
      </c>
      <c r="B71" s="26" t="n">
        <v>0.33671487842048</v>
      </c>
      <c r="C71" s="2" t="s">
        <v>292</v>
      </c>
    </row>
    <row r="72" customFormat="false" ht="15" hidden="false" customHeight="false" outlineLevel="0" collapsed="false">
      <c r="A72" s="2" t="s">
        <v>548</v>
      </c>
      <c r="B72" s="26" t="n">
        <v>3.9</v>
      </c>
      <c r="C72" s="2" t="s">
        <v>295</v>
      </c>
    </row>
    <row r="73" customFormat="false" ht="15" hidden="false" customHeight="false" outlineLevel="0" collapsed="false">
      <c r="A73" s="2" t="s">
        <v>549</v>
      </c>
      <c r="B73" s="26" t="n">
        <v>10.6685950413223</v>
      </c>
      <c r="C73" s="2" t="s">
        <v>550</v>
      </c>
    </row>
    <row r="74" customFormat="false" ht="15" hidden="false" customHeight="false" outlineLevel="0" collapsed="false">
      <c r="A74" s="2" t="s">
        <v>551</v>
      </c>
      <c r="B74" s="26" t="n">
        <v>10.3755822689707</v>
      </c>
      <c r="C74" s="2" t="s">
        <v>299</v>
      </c>
    </row>
    <row r="75" customFormat="false" ht="15" hidden="false" customHeight="false" outlineLevel="0" collapsed="false">
      <c r="A75" s="2" t="s">
        <v>552</v>
      </c>
      <c r="B75" s="26" t="n">
        <v>1</v>
      </c>
      <c r="C75" s="2" t="s">
        <v>283</v>
      </c>
    </row>
    <row r="76" customFormat="false" ht="15" hidden="false" customHeight="false" outlineLevel="0" collapsed="false">
      <c r="A76" s="2" t="s">
        <v>553</v>
      </c>
      <c r="B76" s="26" t="n">
        <v>15.2361812901827</v>
      </c>
      <c r="C76" s="2" t="s">
        <v>305</v>
      </c>
    </row>
    <row r="77" customFormat="false" ht="15" hidden="false" customHeight="false" outlineLevel="0" collapsed="false">
      <c r="A77" s="2" t="s">
        <v>554</v>
      </c>
      <c r="B77" s="26" t="n">
        <v>490</v>
      </c>
      <c r="C77" s="2" t="s">
        <v>317</v>
      </c>
    </row>
    <row r="78" customFormat="false" ht="15" hidden="false" customHeight="false" outlineLevel="0" collapsed="false">
      <c r="A78" s="2" t="s">
        <v>555</v>
      </c>
      <c r="B78" s="26" t="n">
        <v>17.7891549542722</v>
      </c>
      <c r="C78" s="2" t="s">
        <v>323</v>
      </c>
    </row>
    <row r="79" customFormat="false" ht="15" hidden="false" customHeight="false" outlineLevel="0" collapsed="false">
      <c r="A79" s="2" t="s">
        <v>556</v>
      </c>
      <c r="B79" s="26" t="n">
        <v>1040.75570053613</v>
      </c>
      <c r="C79" s="2" t="s">
        <v>315</v>
      </c>
    </row>
    <row r="80" customFormat="false" ht="15" hidden="false" customHeight="false" outlineLevel="0" collapsed="false">
      <c r="A80" s="2" t="s">
        <v>557</v>
      </c>
      <c r="B80" s="26" t="n">
        <v>1.34754324828714</v>
      </c>
      <c r="C80" s="2" t="s">
        <v>330</v>
      </c>
    </row>
    <row r="81" customFormat="false" ht="15" hidden="false" customHeight="false" outlineLevel="0" collapsed="false">
      <c r="A81" s="2" t="s">
        <v>558</v>
      </c>
      <c r="B81" s="26" t="n">
        <v>3.95479315219109</v>
      </c>
      <c r="C81" s="2" t="s">
        <v>559</v>
      </c>
    </row>
    <row r="82" customFormat="false" ht="15" hidden="false" customHeight="false" outlineLevel="0" collapsed="false">
      <c r="A82" s="2" t="s">
        <v>560</v>
      </c>
      <c r="B82" s="26" t="n">
        <v>1</v>
      </c>
      <c r="C82" s="2" t="s">
        <v>561</v>
      </c>
    </row>
    <row r="83" customFormat="false" ht="15" hidden="false" customHeight="false" outlineLevel="0" collapsed="false">
      <c r="A83" s="2" t="s">
        <v>562</v>
      </c>
      <c r="B83" s="26" t="n">
        <v>5</v>
      </c>
      <c r="C83" s="2" t="s">
        <v>343</v>
      </c>
    </row>
    <row r="84" customFormat="false" ht="15" hidden="false" customHeight="false" outlineLevel="0" collapsed="false">
      <c r="A84" s="2" t="s">
        <v>563</v>
      </c>
      <c r="B84" s="26" t="n">
        <v>22.7272727272727</v>
      </c>
      <c r="C84" s="2" t="s">
        <v>345</v>
      </c>
    </row>
    <row r="85" customFormat="false" ht="15" hidden="false" customHeight="false" outlineLevel="0" collapsed="false">
      <c r="A85" s="2" t="s">
        <v>564</v>
      </c>
      <c r="B85" s="26" t="n">
        <v>20</v>
      </c>
      <c r="C85" s="2" t="s">
        <v>347</v>
      </c>
    </row>
    <row r="86" customFormat="false" ht="15" hidden="false" customHeight="false" outlineLevel="0" collapsed="false">
      <c r="A86" s="2" t="s">
        <v>565</v>
      </c>
      <c r="B86" s="26" t="n">
        <v>2.27272727272727</v>
      </c>
      <c r="C86" s="2" t="s">
        <v>349</v>
      </c>
    </row>
    <row r="87" customFormat="false" ht="15" hidden="false" customHeight="false" outlineLevel="0" collapsed="false">
      <c r="A87" s="2" t="s">
        <v>566</v>
      </c>
      <c r="B87" s="26" t="n">
        <v>22.3547558940065</v>
      </c>
      <c r="C87" s="2" t="s">
        <v>505</v>
      </c>
    </row>
    <row r="88" customFormat="false" ht="15" hidden="false" customHeight="false" outlineLevel="0" collapsed="false">
      <c r="A88" s="2" t="s">
        <v>567</v>
      </c>
      <c r="B88" s="26" t="n">
        <v>1038.42526112908</v>
      </c>
      <c r="C88" s="2" t="s">
        <v>505</v>
      </c>
    </row>
    <row r="89" customFormat="false" ht="15" hidden="false" customHeight="false" outlineLevel="0" collapsed="false">
      <c r="A89" s="2" t="s">
        <v>568</v>
      </c>
      <c r="B89" s="26" t="n">
        <v>23.4368818976039</v>
      </c>
      <c r="C89" s="2" t="s">
        <v>505</v>
      </c>
    </row>
    <row r="90" customFormat="false" ht="15" hidden="false" customHeight="false" outlineLevel="0" collapsed="false">
      <c r="A90" s="2" t="s">
        <v>569</v>
      </c>
      <c r="B90" s="26" t="n">
        <v>1037.34313512548</v>
      </c>
      <c r="C90" s="2" t="s">
        <v>505</v>
      </c>
    </row>
    <row r="91" customFormat="false" ht="15" hidden="false" customHeight="false" outlineLevel="0" collapsed="false">
      <c r="A91" s="2" t="s">
        <v>570</v>
      </c>
      <c r="B91" s="26" t="n">
        <v>24.6482926697901</v>
      </c>
      <c r="C91" s="2" t="s">
        <v>505</v>
      </c>
    </row>
    <row r="92" customFormat="false" ht="15" hidden="false" customHeight="false" outlineLevel="0" collapsed="false">
      <c r="A92" s="2" t="s">
        <v>571</v>
      </c>
      <c r="B92" s="26" t="n">
        <v>1036.13172435329</v>
      </c>
      <c r="C92" s="2" t="s">
        <v>505</v>
      </c>
    </row>
    <row r="93" customFormat="false" ht="15" hidden="false" customHeight="false" outlineLevel="0" collapsed="false">
      <c r="A93" s="2" t="s">
        <v>572</v>
      </c>
      <c r="B93" s="26" t="n">
        <v>26.023084705421</v>
      </c>
      <c r="C93" s="2" t="s">
        <v>505</v>
      </c>
    </row>
    <row r="94" customFormat="false" ht="15" hidden="false" customHeight="false" outlineLevel="0" collapsed="false">
      <c r="A94" s="2" t="s">
        <v>573</v>
      </c>
      <c r="B94" s="26" t="n">
        <v>1034.75693231766</v>
      </c>
      <c r="C94" s="2" t="s">
        <v>505</v>
      </c>
    </row>
    <row r="95" customFormat="false" ht="15" hidden="false" customHeight="false" outlineLevel="0" collapsed="false">
      <c r="A95" s="2" t="s">
        <v>574</v>
      </c>
      <c r="B95" s="26" t="n">
        <v>27.5039463442323</v>
      </c>
      <c r="C95" s="2" t="s">
        <v>505</v>
      </c>
    </row>
    <row r="96" customFormat="false" ht="15" hidden="false" customHeight="false" outlineLevel="0" collapsed="false">
      <c r="A96" s="2" t="s">
        <v>575</v>
      </c>
      <c r="B96" s="26" t="n">
        <v>1033.27607067885</v>
      </c>
      <c r="C96" s="2" t="s">
        <v>505</v>
      </c>
    </row>
    <row r="97" customFormat="false" ht="15" hidden="false" customHeight="false" outlineLevel="0" collapsed="false">
      <c r="A97" s="2" t="s">
        <v>576</v>
      </c>
      <c r="B97" s="26" t="n">
        <v>29.2969368782745</v>
      </c>
      <c r="C97" s="2" t="s">
        <v>505</v>
      </c>
    </row>
    <row r="98" customFormat="false" ht="15" hidden="false" customHeight="false" outlineLevel="0" collapsed="false">
      <c r="A98" s="2" t="s">
        <v>577</v>
      </c>
      <c r="B98" s="26" t="n">
        <v>1031.48308014481</v>
      </c>
      <c r="C98" s="2" t="s">
        <v>505</v>
      </c>
    </row>
    <row r="99" customFormat="false" ht="15" hidden="false" customHeight="false" outlineLevel="0" collapsed="false">
      <c r="A99" s="2" t="s">
        <v>578</v>
      </c>
      <c r="B99" s="26" t="n">
        <v>2.06502216236231</v>
      </c>
      <c r="C99" s="2" t="s">
        <v>579</v>
      </c>
    </row>
    <row r="100" customFormat="false" ht="15" hidden="false" customHeight="false" outlineLevel="0" collapsed="false">
      <c r="A100" s="2" t="s">
        <v>580</v>
      </c>
      <c r="B100" s="26" t="n">
        <v>4.65122497017933</v>
      </c>
      <c r="C100" s="2" t="s">
        <v>581</v>
      </c>
    </row>
    <row r="101" customFormat="false" ht="15" hidden="false" customHeight="false" outlineLevel="0" collapsed="false">
      <c r="A101" s="2" t="s">
        <v>582</v>
      </c>
      <c r="B101" s="26" t="n">
        <v>0.314789681093599</v>
      </c>
      <c r="C101" s="2" t="s">
        <v>367</v>
      </c>
    </row>
    <row r="102" customFormat="false" ht="15" hidden="false" customHeight="false" outlineLevel="0" collapsed="false">
      <c r="A102" s="2" t="s">
        <v>583</v>
      </c>
      <c r="B102" s="26" t="n">
        <v>61.5991469068091</v>
      </c>
      <c r="C102" s="2" t="s">
        <v>371</v>
      </c>
    </row>
    <row r="103" customFormat="false" ht="15" hidden="false" customHeight="false" outlineLevel="0" collapsed="false">
      <c r="A103" s="2" t="s">
        <v>584</v>
      </c>
      <c r="B103" s="26" t="n">
        <v>57.6028166616579</v>
      </c>
      <c r="C103" s="2" t="s">
        <v>373</v>
      </c>
    </row>
    <row r="104" customFormat="false" ht="15" hidden="false" customHeight="false" outlineLevel="0" collapsed="false">
      <c r="A104" s="2" t="s">
        <v>585</v>
      </c>
      <c r="B104" s="26" t="n">
        <v>33.5160529198039</v>
      </c>
      <c r="C104" s="2" t="s">
        <v>382</v>
      </c>
    </row>
    <row r="105" customFormat="false" ht="15" hidden="false" customHeight="false" outlineLevel="0" collapsed="false">
      <c r="A105" s="2" t="s">
        <v>586</v>
      </c>
      <c r="B105" s="26" t="n">
        <v>1027.26396410328</v>
      </c>
      <c r="C105" s="2" t="s">
        <v>384</v>
      </c>
    </row>
    <row r="106" customFormat="false" ht="15" hidden="false" customHeight="false" outlineLevel="0" collapsed="false">
      <c r="A106" s="2" t="s">
        <v>385</v>
      </c>
      <c r="B106" s="26" t="n">
        <v>12.1441931845625</v>
      </c>
      <c r="C106" s="2" t="s">
        <v>587</v>
      </c>
    </row>
    <row r="107" customFormat="false" ht="15" hidden="false" customHeight="false" outlineLevel="0" collapsed="false">
      <c r="A107" s="2" t="s">
        <v>390</v>
      </c>
      <c r="B107" s="26" t="n">
        <v>13.562622230968</v>
      </c>
      <c r="C107" s="2" t="s">
        <v>391</v>
      </c>
    </row>
    <row r="108" customFormat="false" ht="15" hidden="false" customHeight="false" outlineLevel="0" collapsed="false">
      <c r="A108" s="2" t="s">
        <v>588</v>
      </c>
      <c r="B108" s="26" t="n">
        <v>0.8</v>
      </c>
      <c r="C108" s="2" t="s">
        <v>589</v>
      </c>
    </row>
    <row r="109" customFormat="false" ht="15" hidden="false" customHeight="false" outlineLevel="0" collapsed="false">
      <c r="A109" s="2" t="s">
        <v>590</v>
      </c>
      <c r="B109" s="26" t="n">
        <v>1.02462112512353</v>
      </c>
      <c r="C109" s="2" t="s">
        <v>591</v>
      </c>
    </row>
    <row r="110" customFormat="false" ht="15" hidden="false" customHeight="false" outlineLevel="0" collapsed="false">
      <c r="A110" s="2" t="s">
        <v>592</v>
      </c>
      <c r="B110" s="26" t="n">
        <v>0.840896415253715</v>
      </c>
      <c r="C110" s="2" t="s">
        <v>593</v>
      </c>
    </row>
    <row r="111" customFormat="false" ht="15" hidden="false" customHeight="false" outlineLevel="0" collapsed="false">
      <c r="A111" s="2" t="s">
        <v>594</v>
      </c>
      <c r="B111" s="26" t="n">
        <v>0.840896415253715</v>
      </c>
      <c r="C111" s="2" t="s">
        <v>593</v>
      </c>
    </row>
    <row r="112" customFormat="false" ht="15" hidden="false" customHeight="false" outlineLevel="0" collapsed="false">
      <c r="A112" s="2" t="s">
        <v>595</v>
      </c>
      <c r="B112" s="26" t="n">
        <v>0.608890971426792</v>
      </c>
      <c r="C112" s="2" t="s">
        <v>596</v>
      </c>
    </row>
    <row r="113" customFormat="false" ht="15" hidden="false" customHeight="false" outlineLevel="0" collapsed="false">
      <c r="A113" s="2" t="s">
        <v>597</v>
      </c>
      <c r="B113" s="26" t="n">
        <v>0.304445485713396</v>
      </c>
      <c r="C113" s="2" t="s">
        <v>408</v>
      </c>
    </row>
    <row r="114" customFormat="false" ht="15" hidden="false" customHeight="false" outlineLevel="0" collapsed="false">
      <c r="A114" s="2" t="s">
        <v>598</v>
      </c>
      <c r="B114" s="26" t="n">
        <v>0.0798038616519728</v>
      </c>
      <c r="C114" s="2" t="s">
        <v>410</v>
      </c>
    </row>
    <row r="115" customFormat="false" ht="15" hidden="false" customHeight="false" outlineLevel="0" collapsed="false">
      <c r="A115" s="2" t="s">
        <v>599</v>
      </c>
      <c r="B115" s="26" t="n">
        <v>1.39714724399579</v>
      </c>
      <c r="C115" s="2" t="s">
        <v>600</v>
      </c>
    </row>
    <row r="116" customFormat="false" ht="15" hidden="false" customHeight="false" outlineLevel="0" collapsed="false">
      <c r="A116" s="2" t="s">
        <v>601</v>
      </c>
      <c r="B116" s="26" t="n">
        <v>4.00000000000001</v>
      </c>
      <c r="C116" s="2" t="s">
        <v>602</v>
      </c>
    </row>
    <row r="117" customFormat="false" ht="15" hidden="false" customHeight="false" outlineLevel="0" collapsed="false">
      <c r="A117" s="2" t="s">
        <v>603</v>
      </c>
      <c r="B117" s="26" t="n">
        <v>0</v>
      </c>
      <c r="C117" s="2" t="s">
        <v>604</v>
      </c>
    </row>
    <row r="118" customFormat="false" ht="15" hidden="false" customHeight="false" outlineLevel="0" collapsed="false">
      <c r="A118" s="2" t="s">
        <v>605</v>
      </c>
      <c r="B118" s="26" t="n">
        <v>0</v>
      </c>
      <c r="C118" s="2" t="s">
        <v>604</v>
      </c>
    </row>
    <row r="119" customFormat="false" ht="15" hidden="false" customHeight="false" outlineLevel="0" collapsed="false">
      <c r="A119" s="2" t="s">
        <v>606</v>
      </c>
      <c r="B119" s="26" t="n">
        <v>0</v>
      </c>
      <c r="C119" s="2" t="s">
        <v>604</v>
      </c>
    </row>
    <row r="120" customFormat="false" ht="15" hidden="false" customHeight="false" outlineLevel="0" collapsed="false">
      <c r="A120" s="2" t="s">
        <v>607</v>
      </c>
      <c r="B120" s="26" t="n">
        <v>0</v>
      </c>
      <c r="C120" s="2" t="s">
        <v>604</v>
      </c>
    </row>
    <row r="121" customFormat="false" ht="15" hidden="false" customHeight="false" outlineLevel="0" collapsed="false">
      <c r="A121" s="2" t="s">
        <v>608</v>
      </c>
      <c r="B121" s="26" t="n">
        <v>0</v>
      </c>
      <c r="C121" s="2" t="s">
        <v>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450</v>
      </c>
      <c r="B1" s="8" t="s">
        <v>609</v>
      </c>
      <c r="C1" s="8" t="s">
        <v>451</v>
      </c>
      <c r="D1" s="8" t="s">
        <v>610</v>
      </c>
      <c r="E1" s="8" t="s">
        <v>611</v>
      </c>
      <c r="F1" s="8" t="s">
        <v>612</v>
      </c>
    </row>
    <row r="2" customFormat="false" ht="15" hidden="false" customHeight="false" outlineLevel="0" collapsed="false">
      <c r="A2" s="2" t="s">
        <v>453</v>
      </c>
      <c r="B2" s="11" t="n">
        <f aca="false">Sale_G</f>
        <v>92</v>
      </c>
      <c r="C2" s="39" t="n">
        <f aca="false">Reference_Values!B2</f>
        <v>92</v>
      </c>
      <c r="D2" s="40" t="n">
        <f aca="false">ABS(B2-C2)</f>
        <v>0</v>
      </c>
      <c r="E2" s="41" t="n">
        <v>0</v>
      </c>
      <c r="F2" s="4" t="str">
        <f aca="false">IF(D2&lt;=E2,"PASS","FAIL")</f>
        <v>PASS</v>
      </c>
    </row>
    <row r="3" customFormat="false" ht="15" hidden="false" customHeight="false" outlineLevel="0" collapsed="false">
      <c r="A3" s="2" t="s">
        <v>455</v>
      </c>
      <c r="B3" s="11" t="n">
        <f aca="false">Sav_price</f>
        <v>5.64473930053777</v>
      </c>
      <c r="C3" s="39" t="n">
        <f aca="false">Reference_Values!B3</f>
        <v>5.64473930053777</v>
      </c>
      <c r="D3" s="40" t="n">
        <f aca="false">ABS(B3-C3)</f>
        <v>0</v>
      </c>
      <c r="E3" s="41" t="n">
        <v>1E-012</v>
      </c>
      <c r="F3" s="4" t="str">
        <f aca="false">IF(D3&lt;=E3,"PASS","FAIL")</f>
        <v>PASS</v>
      </c>
    </row>
    <row r="4" customFormat="false" ht="15" hidden="false" customHeight="false" outlineLevel="0" collapsed="false">
      <c r="A4" s="2" t="s">
        <v>457</v>
      </c>
      <c r="B4" s="11" t="n">
        <f aca="false">Chapter5!B15</f>
        <v>1021.93254988115</v>
      </c>
      <c r="C4" s="39" t="n">
        <f aca="false">Reference_Values!B4</f>
        <v>1021.93254988115</v>
      </c>
      <c r="D4" s="40" t="n">
        <f aca="false">ABS(B4-C4)</f>
        <v>0</v>
      </c>
      <c r="E4" s="41" t="n">
        <v>1E-009</v>
      </c>
      <c r="F4" s="4" t="str">
        <f aca="false">IF(D4&lt;=E4,"PASS","FAIL")</f>
        <v>PASS</v>
      </c>
    </row>
    <row r="5" customFormat="false" ht="15" hidden="false" customHeight="false" outlineLevel="0" collapsed="false">
      <c r="A5" s="2" t="s">
        <v>459</v>
      </c>
      <c r="B5" s="11" t="n">
        <f aca="false">Chapter5!G6</f>
        <v>85</v>
      </c>
      <c r="C5" s="39" t="n">
        <f aca="false">Reference_Values!B5</f>
        <v>85</v>
      </c>
      <c r="D5" s="40" t="n">
        <f aca="false">ABS(B5-C5)</f>
        <v>0</v>
      </c>
      <c r="E5" s="41" t="n">
        <v>1E-009</v>
      </c>
      <c r="F5" s="4" t="str">
        <f aca="false">IF(D5&lt;=E5,"PASS","FAIL")</f>
        <v>PASS</v>
      </c>
    </row>
    <row r="6" customFormat="false" ht="15" hidden="false" customHeight="false" outlineLevel="0" collapsed="false">
      <c r="A6" s="2" t="s">
        <v>461</v>
      </c>
      <c r="B6" s="11" t="n">
        <f aca="false">Chapter5!G7</f>
        <v>0</v>
      </c>
      <c r="C6" s="39" t="n">
        <f aca="false">Reference_Values!B6</f>
        <v>0</v>
      </c>
      <c r="D6" s="40" t="n">
        <f aca="false">ABS(B6-C6)</f>
        <v>0</v>
      </c>
      <c r="E6" s="41" t="n">
        <v>1E-009</v>
      </c>
      <c r="F6" s="4" t="str">
        <f aca="false">IF(D6&lt;=E6,"PASS","FAIL")</f>
        <v>PASS</v>
      </c>
    </row>
    <row r="7" customFormat="false" ht="15" hidden="false" customHeight="false" outlineLevel="0" collapsed="false">
      <c r="A7" s="2" t="s">
        <v>462</v>
      </c>
      <c r="B7" s="11" t="n">
        <f aca="false">Chapter5!G8</f>
        <v>122.5</v>
      </c>
      <c r="C7" s="39" t="n">
        <f aca="false">Reference_Values!B7</f>
        <v>122.5</v>
      </c>
      <c r="D7" s="40" t="n">
        <f aca="false">ABS(B7-C7)</f>
        <v>0</v>
      </c>
      <c r="E7" s="41" t="n">
        <v>1E-009</v>
      </c>
      <c r="F7" s="4" t="str">
        <f aca="false">IF(D7&lt;=E7,"PASS","FAIL")</f>
        <v>PASS</v>
      </c>
    </row>
    <row r="8" customFormat="false" ht="15" hidden="false" customHeight="false" outlineLevel="0" collapsed="false">
      <c r="A8" s="2" t="s">
        <v>463</v>
      </c>
      <c r="B8" s="11" t="n">
        <f aca="false">Chapter5!G9</f>
        <v>122.5</v>
      </c>
      <c r="C8" s="39" t="n">
        <f aca="false">Reference_Values!B8</f>
        <v>122.5</v>
      </c>
      <c r="D8" s="40" t="n">
        <f aca="false">ABS(B8-C8)</f>
        <v>0</v>
      </c>
      <c r="E8" s="41" t="n">
        <v>1E-009</v>
      </c>
      <c r="F8" s="4" t="str">
        <f aca="false">IF(D8&lt;=E8,"PASS","FAIL")</f>
        <v>PASS</v>
      </c>
    </row>
    <row r="9" customFormat="false" ht="15" hidden="false" customHeight="false" outlineLevel="0" collapsed="false">
      <c r="A9" s="2" t="s">
        <v>464</v>
      </c>
      <c r="B9" s="11" t="n">
        <f aca="false">Chapter5!G10</f>
        <v>122.5</v>
      </c>
      <c r="C9" s="39" t="n">
        <f aca="false">Reference_Values!B9</f>
        <v>122.5</v>
      </c>
      <c r="D9" s="40" t="n">
        <f aca="false">ABS(B9-C9)</f>
        <v>0</v>
      </c>
      <c r="E9" s="41" t="n">
        <v>1E-009</v>
      </c>
      <c r="F9" s="4" t="str">
        <f aca="false">IF(D9&lt;=E9,"PASS","FAIL")</f>
        <v>PASS</v>
      </c>
    </row>
    <row r="10" customFormat="false" ht="15" hidden="false" customHeight="false" outlineLevel="0" collapsed="false">
      <c r="A10" s="2" t="s">
        <v>465</v>
      </c>
      <c r="B10" s="11" t="n">
        <f aca="false">Chapter5!G11</f>
        <v>2.5</v>
      </c>
      <c r="C10" s="39" t="n">
        <f aca="false">Reference_Values!B10</f>
        <v>2.5</v>
      </c>
      <c r="D10" s="40" t="n">
        <f aca="false">ABS(B10-C10)</f>
        <v>0</v>
      </c>
      <c r="E10" s="41" t="n">
        <v>1E-009</v>
      </c>
      <c r="F10" s="4" t="str">
        <f aca="false">IF(D10&lt;=E10,"PASS","FAIL")</f>
        <v>PASS</v>
      </c>
    </row>
    <row r="11" customFormat="false" ht="15" hidden="false" customHeight="false" outlineLevel="0" collapsed="false">
      <c r="A11" s="2" t="s">
        <v>466</v>
      </c>
      <c r="B11" s="11" t="n">
        <f aca="false">OneAccount!D12</f>
        <v>6.2</v>
      </c>
      <c r="C11" s="39" t="n">
        <f aca="false">Reference_Values!B11</f>
        <v>6.2</v>
      </c>
      <c r="D11" s="40" t="n">
        <f aca="false">ABS(B11-C11)</f>
        <v>0</v>
      </c>
      <c r="E11" s="41" t="n">
        <v>1E-009</v>
      </c>
      <c r="F11" s="4" t="str">
        <f aca="false">IF(D11&lt;=E11,"PASS","FAIL")</f>
        <v>PASS</v>
      </c>
    </row>
    <row r="12" customFormat="false" ht="15" hidden="false" customHeight="false" outlineLevel="0" collapsed="false">
      <c r="A12" s="2" t="s">
        <v>74</v>
      </c>
      <c r="B12" s="11" t="n">
        <f aca="false">Declarations!B34</f>
        <v>694.4</v>
      </c>
      <c r="C12" s="39" t="n">
        <f aca="false">Reference_Values!B12</f>
        <v>694.4</v>
      </c>
      <c r="D12" s="40" t="n">
        <f aca="false">ABS(B12-C12)</f>
        <v>0</v>
      </c>
      <c r="E12" s="41" t="n">
        <v>1E-009</v>
      </c>
      <c r="F12" s="4" t="str">
        <f aca="false">IF(D12&lt;=E12,"PASS","FAIL")</f>
        <v>PASS</v>
      </c>
    </row>
    <row r="13" customFormat="false" ht="15" hidden="false" customHeight="false" outlineLevel="0" collapsed="false">
      <c r="A13" s="2" t="s">
        <v>469</v>
      </c>
      <c r="B13" s="11" t="n">
        <f aca="false">Pkg_cost</f>
        <v>10.440610891413</v>
      </c>
      <c r="C13" s="39" t="n">
        <f aca="false">Reference_Values!B13</f>
        <v>10.440610891413</v>
      </c>
      <c r="D13" s="40" t="n">
        <f aca="false">ABS(B13-C13)</f>
        <v>0</v>
      </c>
      <c r="E13" s="41" t="n">
        <v>1E-009</v>
      </c>
      <c r="F13" s="4" t="str">
        <f aca="false">IF(D13&lt;=E13,"PASS","FAIL")</f>
        <v>PASS</v>
      </c>
    </row>
    <row r="14" customFormat="false" ht="15" hidden="false" customHeight="false" outlineLevel="0" collapsed="false">
      <c r="A14" s="2" t="s">
        <v>470</v>
      </c>
      <c r="B14" s="11" t="n">
        <f aca="false">OneAccount!B37</f>
        <v>7</v>
      </c>
      <c r="C14" s="39" t="n">
        <f aca="false">Reference_Values!B14</f>
        <v>7</v>
      </c>
      <c r="D14" s="40" t="n">
        <f aca="false">ABS(B14-C14)</f>
        <v>0</v>
      </c>
      <c r="E14" s="41" t="n">
        <v>0</v>
      </c>
      <c r="F14" s="4" t="str">
        <f aca="false">IF(D14&lt;=E14,"PASS","FAIL")</f>
        <v>PASS</v>
      </c>
    </row>
    <row r="15" customFormat="false" ht="15" hidden="false" customHeight="false" outlineLevel="0" collapsed="false">
      <c r="A15" s="2" t="s">
        <v>471</v>
      </c>
      <c r="B15" s="11" t="n">
        <f aca="false">OneAccount!B38</f>
        <v>121.63436791099</v>
      </c>
      <c r="C15" s="39" t="n">
        <f aca="false">Reference_Values!B15</f>
        <v>121.634367910991</v>
      </c>
      <c r="D15" s="40" t="n">
        <f aca="false">ABS(B15-C15)</f>
        <v>0</v>
      </c>
      <c r="E15" s="41" t="n">
        <v>1E-008</v>
      </c>
      <c r="F15" s="4" t="str">
        <f aca="false">IF(D15&lt;=E15,"PASS","FAIL")</f>
        <v>PASS</v>
      </c>
    </row>
    <row r="16" customFormat="false" ht="15" hidden="false" customHeight="false" outlineLevel="0" collapsed="false">
      <c r="A16" s="2" t="s">
        <v>472</v>
      </c>
      <c r="B16" s="11" t="n">
        <f aca="false">OneAccount!B39</f>
        <v>16.8669763706644</v>
      </c>
      <c r="C16" s="39" t="n">
        <f aca="false">Reference_Values!B16</f>
        <v>16.8669763706644</v>
      </c>
      <c r="D16" s="40" t="n">
        <f aca="false">ABS(B16-C16)</f>
        <v>0</v>
      </c>
      <c r="E16" s="41" t="n">
        <v>1E-006</v>
      </c>
      <c r="F16" s="4" t="str">
        <f aca="false">IF(D16&lt;=E16,"PASS","FAIL")</f>
        <v>PASS</v>
      </c>
    </row>
    <row r="17" customFormat="false" ht="15" hidden="false" customHeight="false" outlineLevel="0" collapsed="false">
      <c r="A17" s="2" t="s">
        <v>473</v>
      </c>
      <c r="B17" s="11" t="n">
        <f aca="false">OneAccount!J13</f>
        <v>7.25962200381196</v>
      </c>
      <c r="C17" s="39" t="n">
        <f aca="false">Reference_Values!B17</f>
        <v>7.25962200381196</v>
      </c>
      <c r="D17" s="40" t="n">
        <f aca="false">ABS(B17-C17)</f>
        <v>0</v>
      </c>
      <c r="E17" s="41" t="n">
        <v>1E-008</v>
      </c>
      <c r="F17" s="4" t="str">
        <f aca="false">IF(D17&lt;=E17,"PASS","FAIL")</f>
        <v>PASS</v>
      </c>
    </row>
    <row r="18" customFormat="false" ht="15" hidden="false" customHeight="false" outlineLevel="0" collapsed="false">
      <c r="A18" s="2" t="s">
        <v>475</v>
      </c>
      <c r="B18" s="11" t="n">
        <f aca="false">OneAccount!K13</f>
        <v>-84.740377996188</v>
      </c>
      <c r="C18" s="39" t="n">
        <f aca="false">Reference_Values!B18</f>
        <v>-84.740377996188</v>
      </c>
      <c r="D18" s="40" t="n">
        <f aca="false">ABS(B18-C18)</f>
        <v>0</v>
      </c>
      <c r="E18" s="41" t="n">
        <v>1E-008</v>
      </c>
      <c r="F18" s="4" t="str">
        <f aca="false">IF(D18&lt;=E18,"PASS","FAIL")</f>
        <v>PASS</v>
      </c>
    </row>
    <row r="19" customFormat="false" ht="15" hidden="false" customHeight="false" outlineLevel="0" collapsed="false">
      <c r="A19" s="2" t="s">
        <v>477</v>
      </c>
      <c r="B19" s="11" t="n">
        <f aca="false">OneAccount!B32</f>
        <v>9</v>
      </c>
      <c r="C19" s="39" t="n">
        <f aca="false">Reference_Values!B19</f>
        <v>9</v>
      </c>
      <c r="D19" s="40" t="n">
        <f aca="false">ABS(B19-C19)</f>
        <v>0</v>
      </c>
      <c r="E19" s="41" t="n">
        <v>0</v>
      </c>
      <c r="F19" s="4" t="str">
        <f aca="false">IF(D19&lt;=E19,"PASS","FAIL")</f>
        <v>PASS</v>
      </c>
    </row>
    <row r="20" customFormat="false" ht="15" hidden="false" customHeight="false" outlineLevel="0" collapsed="false">
      <c r="A20" s="2" t="s">
        <v>479</v>
      </c>
      <c r="B20" s="11" t="n">
        <f aca="false">OneAccount!C32</f>
        <v>115.365377996188</v>
      </c>
      <c r="C20" s="39" t="n">
        <f aca="false">Reference_Values!B20</f>
        <v>115.365377996188</v>
      </c>
      <c r="D20" s="40" t="n">
        <f aca="false">ABS(B20-C20)</f>
        <v>0</v>
      </c>
      <c r="E20" s="41" t="n">
        <v>1E-008</v>
      </c>
      <c r="F20" s="4" t="str">
        <f aca="false">IF(D20&lt;=E20,"PASS","FAIL")</f>
        <v>PASS</v>
      </c>
    </row>
    <row r="21" customFormat="false" ht="15" hidden="false" customHeight="false" outlineLevel="0" collapsed="false">
      <c r="A21" s="2" t="s">
        <v>481</v>
      </c>
      <c r="B21" s="11" t="n">
        <f aca="false">OneAccount!D32</f>
        <v>154.375</v>
      </c>
      <c r="C21" s="39" t="n">
        <f aca="false">Reference_Values!B21</f>
        <v>154.375</v>
      </c>
      <c r="D21" s="40" t="n">
        <f aca="false">ABS(B21-C21)</f>
        <v>0</v>
      </c>
      <c r="E21" s="41" t="n">
        <v>1E-008</v>
      </c>
      <c r="F21" s="4" t="str">
        <f aca="false">IF(D21&lt;=E21,"PASS","FAIL")</f>
        <v>PASS</v>
      </c>
    </row>
    <row r="22" customFormat="false" ht="15" hidden="false" customHeight="false" outlineLevel="0" collapsed="false">
      <c r="A22" s="2" t="s">
        <v>483</v>
      </c>
      <c r="B22" s="11" t="n">
        <f aca="false">OneAccount!E32</f>
        <v>85</v>
      </c>
      <c r="C22" s="39" t="n">
        <f aca="false">Reference_Values!B22</f>
        <v>85</v>
      </c>
      <c r="D22" s="40" t="n">
        <f aca="false">ABS(B22-C22)</f>
        <v>0</v>
      </c>
      <c r="E22" s="41" t="n">
        <v>1E-008</v>
      </c>
      <c r="F22" s="4" t="str">
        <f aca="false">IF(D22&lt;=E22,"PASS","FAIL")</f>
        <v>PASS</v>
      </c>
    </row>
    <row r="23" customFormat="false" ht="15" hidden="false" customHeight="false" outlineLevel="0" collapsed="false">
      <c r="A23" s="2" t="s">
        <v>485</v>
      </c>
      <c r="B23" s="11" t="n">
        <f aca="false">OneAccount!F32</f>
        <v>16.8669763706644</v>
      </c>
      <c r="C23" s="39" t="n">
        <f aca="false">Reference_Values!B23</f>
        <v>16.8669763706644</v>
      </c>
      <c r="D23" s="40" t="n">
        <f aca="false">ABS(B23-C23)</f>
        <v>0</v>
      </c>
      <c r="E23" s="41" t="n">
        <v>1E-006</v>
      </c>
      <c r="F23" s="4" t="str">
        <f aca="false">IF(D23&lt;=E23,"PASS","FAIL")</f>
        <v>PASS</v>
      </c>
    </row>
    <row r="24" customFormat="false" ht="15" hidden="false" customHeight="false" outlineLevel="0" collapsed="false">
      <c r="A24" s="2" t="s">
        <v>487</v>
      </c>
      <c r="B24" s="11" t="n">
        <f aca="false">OneAccount!I32</f>
        <v>-9.60735436685241</v>
      </c>
      <c r="C24" s="39" t="n">
        <f aca="false">Reference_Values!B24</f>
        <v>-9.60735436685241</v>
      </c>
      <c r="D24" s="40" t="n">
        <f aca="false">ABS(B24-C24)</f>
        <v>0</v>
      </c>
      <c r="E24" s="41" t="n">
        <v>1E-006</v>
      </c>
      <c r="F24" s="4" t="str">
        <f aca="false">IF(D24&lt;=E24,"PASS","FAIL")</f>
        <v>PASS</v>
      </c>
    </row>
    <row r="25" customFormat="false" ht="15" hidden="false" customHeight="false" outlineLevel="0" collapsed="false">
      <c r="A25" s="2" t="s">
        <v>489</v>
      </c>
      <c r="B25" s="11" t="n">
        <f aca="false">OneAccount!I31</f>
        <v>-101.607354366852</v>
      </c>
      <c r="C25" s="39" t="n">
        <f aca="false">Reference_Values!B25</f>
        <v>-101.607354366852</v>
      </c>
      <c r="D25" s="40" t="n">
        <f aca="false">ABS(B25-C25)</f>
        <v>0</v>
      </c>
      <c r="E25" s="41" t="n">
        <v>1E-006</v>
      </c>
      <c r="F25" s="4" t="str">
        <f aca="false">IF(D25&lt;=E25,"PASS","FAIL")</f>
        <v>PASS</v>
      </c>
    </row>
    <row r="26" customFormat="false" ht="15" hidden="false" customHeight="false" outlineLevel="0" collapsed="false">
      <c r="A26" s="2" t="s">
        <v>491</v>
      </c>
      <c r="B26" s="11" t="n">
        <f aca="false">OneAccount!H32</f>
        <v>362</v>
      </c>
      <c r="C26" s="39" t="n">
        <f aca="false">Reference_Values!B26</f>
        <v>362</v>
      </c>
      <c r="D26" s="40" t="n">
        <f aca="false">ABS(B26-C26)</f>
        <v>0</v>
      </c>
      <c r="E26" s="41" t="n">
        <v>0</v>
      </c>
      <c r="F26" s="4" t="str">
        <f aca="false">IF(D26&lt;=E26,"PASS","FAIL")</f>
        <v>PASS</v>
      </c>
    </row>
    <row r="27" customFormat="false" ht="15" hidden="false" customHeight="false" outlineLevel="0" collapsed="false">
      <c r="A27" s="2" t="s">
        <v>493</v>
      </c>
      <c r="B27" s="11" t="n">
        <f aca="false">OneAccount!C33</f>
        <v>80.7988741662247</v>
      </c>
      <c r="C27" s="39" t="n">
        <f aca="false">Reference_Values!B27</f>
        <v>80.7988741662247</v>
      </c>
      <c r="D27" s="40" t="n">
        <f aca="false">ABS(B27-C27)</f>
        <v>0</v>
      </c>
      <c r="E27" s="41" t="n">
        <v>1E-008</v>
      </c>
      <c r="F27" s="4" t="str">
        <f aca="false">IF(D27&lt;=E27,"PASS","FAIL")</f>
        <v>PASS</v>
      </c>
    </row>
    <row r="28" customFormat="false" ht="15" hidden="false" customHeight="false" outlineLevel="0" collapsed="false">
      <c r="A28" s="2" t="s">
        <v>495</v>
      </c>
      <c r="B28" s="11" t="n">
        <f aca="false">OneAccount!D33</f>
        <v>154.375</v>
      </c>
      <c r="C28" s="39" t="n">
        <f aca="false">Reference_Values!B28</f>
        <v>154.375</v>
      </c>
      <c r="D28" s="40" t="n">
        <f aca="false">ABS(B28-C28)</f>
        <v>0</v>
      </c>
      <c r="E28" s="41" t="n">
        <v>1E-008</v>
      </c>
      <c r="F28" s="4" t="str">
        <f aca="false">IF(D28&lt;=E28,"PASS","FAIL")</f>
        <v>PASS</v>
      </c>
    </row>
    <row r="29" customFormat="false" ht="15" hidden="false" customHeight="false" outlineLevel="0" collapsed="false">
      <c r="A29" s="2" t="s">
        <v>496</v>
      </c>
      <c r="B29" s="11" t="n">
        <f aca="false">OneAccount!E33</f>
        <v>0</v>
      </c>
      <c r="C29" s="39" t="n">
        <f aca="false">Reference_Values!B29</f>
        <v>0</v>
      </c>
      <c r="D29" s="40" t="n">
        <f aca="false">ABS(B29-C29)</f>
        <v>0</v>
      </c>
      <c r="E29" s="41" t="n">
        <v>1E-008</v>
      </c>
      <c r="F29" s="4" t="str">
        <f aca="false">IF(D29&lt;=E29,"PASS","FAIL")</f>
        <v>PASS</v>
      </c>
    </row>
    <row r="30" customFormat="false" ht="15" hidden="false" customHeight="false" outlineLevel="0" collapsed="false">
      <c r="A30" s="2" t="s">
        <v>498</v>
      </c>
      <c r="B30" s="11" t="n">
        <f aca="false">OneAccount!F33</f>
        <v>26.8669763706644</v>
      </c>
      <c r="C30" s="39" t="n">
        <f aca="false">Reference_Values!B30</f>
        <v>26.8669763706644</v>
      </c>
      <c r="D30" s="40" t="n">
        <f aca="false">ABS(B30-C30)</f>
        <v>0</v>
      </c>
      <c r="E30" s="41" t="n">
        <v>1E-006</v>
      </c>
      <c r="F30" s="4" t="str">
        <f aca="false">IF(D30&lt;=E30,"PASS","FAIL")</f>
        <v>PASS</v>
      </c>
    </row>
    <row r="31" customFormat="false" ht="15" hidden="false" customHeight="false" outlineLevel="0" collapsed="false">
      <c r="A31" s="2" t="s">
        <v>500</v>
      </c>
      <c r="B31" s="11" t="n">
        <f aca="false">OneAccount!I33</f>
        <v>99.959149463111</v>
      </c>
      <c r="C31" s="39" t="n">
        <f aca="false">Reference_Values!B31</f>
        <v>99.959149463111</v>
      </c>
      <c r="D31" s="40" t="n">
        <f aca="false">ABS(B31-C31)</f>
        <v>0</v>
      </c>
      <c r="E31" s="41" t="n">
        <v>1E-006</v>
      </c>
      <c r="F31" s="4" t="str">
        <f aca="false">IF(D31&lt;=E31,"PASS","FAIL")</f>
        <v>PASS</v>
      </c>
    </row>
    <row r="32" customFormat="false" ht="15" hidden="false" customHeight="false" outlineLevel="0" collapsed="false">
      <c r="A32" s="2" t="s">
        <v>502</v>
      </c>
      <c r="B32" s="11" t="n">
        <f aca="false">Table16_3!E6</f>
        <v>50.0190102215172</v>
      </c>
      <c r="C32" s="39" t="n">
        <f aca="false">Reference_Values!B32</f>
        <v>50.0190102215172</v>
      </c>
      <c r="D32" s="40" t="n">
        <f aca="false">ABS(B32-C32)</f>
        <v>0</v>
      </c>
      <c r="E32" s="41" t="n">
        <v>1E-008</v>
      </c>
      <c r="F32" s="4" t="str">
        <f aca="false">IF(D32&lt;=E32,"PASS","FAIL")</f>
        <v>PASS</v>
      </c>
    </row>
    <row r="33" customFormat="false" ht="15" hidden="false" customHeight="false" outlineLevel="0" collapsed="false">
      <c r="A33" s="2" t="s">
        <v>504</v>
      </c>
      <c r="B33" s="11" t="n">
        <f aca="false">Programs!O29</f>
        <v>1039.40815728784</v>
      </c>
      <c r="C33" s="39" t="n">
        <f aca="false">Reference_Values!B33</f>
        <v>1039.40815728784</v>
      </c>
      <c r="D33" s="40" t="n">
        <f aca="false">ABS(B33-C33)</f>
        <v>0</v>
      </c>
      <c r="E33" s="41" t="n">
        <v>1E-008</v>
      </c>
      <c r="F33" s="4" t="str">
        <f aca="false">IF(D33&lt;=E33,"PASS","FAIL")</f>
        <v>PASS</v>
      </c>
    </row>
    <row r="34" customFormat="false" ht="15" hidden="false" customHeight="false" outlineLevel="0" collapsed="false">
      <c r="A34" s="2" t="s">
        <v>506</v>
      </c>
      <c r="B34" s="11" t="n">
        <f aca="false">Programs!O41</f>
        <v>1036.80090738394</v>
      </c>
      <c r="C34" s="39" t="n">
        <f aca="false">Reference_Values!B34</f>
        <v>1036.80090738394</v>
      </c>
      <c r="D34" s="40" t="n">
        <f aca="false">ABS(B34-C34)</f>
        <v>0</v>
      </c>
      <c r="E34" s="41" t="n">
        <v>1E-008</v>
      </c>
      <c r="F34" s="4" t="str">
        <f aca="false">IF(D34&lt;=E34,"PASS","FAIL")</f>
        <v>PASS</v>
      </c>
    </row>
    <row r="35" customFormat="false" ht="15" hidden="false" customHeight="false" outlineLevel="0" collapsed="false">
      <c r="A35" s="2" t="s">
        <v>507</v>
      </c>
      <c r="B35" s="11" t="n">
        <f aca="false">Programs!O53</f>
        <v>1022.5658791809</v>
      </c>
      <c r="C35" s="39" t="n">
        <f aca="false">Reference_Values!B35</f>
        <v>1022.5658791809</v>
      </c>
      <c r="D35" s="40" t="n">
        <f aca="false">ABS(B35-C35)</f>
        <v>0</v>
      </c>
      <c r="E35" s="41" t="n">
        <v>1E-008</v>
      </c>
      <c r="F35" s="4" t="str">
        <f aca="false">IF(D35&lt;=E35,"PASS","FAIL")</f>
        <v>PASS</v>
      </c>
    </row>
    <row r="36" customFormat="false" ht="15" hidden="false" customHeight="false" outlineLevel="0" collapsed="false">
      <c r="A36" s="2" t="s">
        <v>508</v>
      </c>
      <c r="B36" s="11" t="n">
        <f aca="false">Programs!O65</f>
        <v>1001.5912867451</v>
      </c>
      <c r="C36" s="39" t="n">
        <f aca="false">Reference_Values!B36</f>
        <v>1001.5912867451</v>
      </c>
      <c r="D36" s="40" t="n">
        <f aca="false">ABS(B36-C36)</f>
        <v>0</v>
      </c>
      <c r="E36" s="41" t="n">
        <v>1E-008</v>
      </c>
      <c r="F36" s="4" t="str">
        <f aca="false">IF(D36&lt;=E36,"PASS","FAIL")</f>
        <v>PASS</v>
      </c>
    </row>
    <row r="37" customFormat="false" ht="15" hidden="false" customHeight="false" outlineLevel="0" collapsed="false">
      <c r="A37" s="2" t="s">
        <v>509</v>
      </c>
      <c r="B37" s="11" t="n">
        <f aca="false">Programs!O77</f>
        <v>953.575791901162</v>
      </c>
      <c r="C37" s="39" t="n">
        <f aca="false">Reference_Values!B37</f>
        <v>953.575791901162</v>
      </c>
      <c r="D37" s="40" t="n">
        <f aca="false">ABS(B37-C37)</f>
        <v>0</v>
      </c>
      <c r="E37" s="41" t="n">
        <v>1E-008</v>
      </c>
      <c r="F37" s="4" t="str">
        <f aca="false">IF(D37&lt;=E37,"PASS","FAIL")</f>
        <v>PASS</v>
      </c>
    </row>
    <row r="38" customFormat="false" ht="15" hidden="false" customHeight="false" outlineLevel="0" collapsed="false">
      <c r="A38" s="2" t="s">
        <v>510</v>
      </c>
      <c r="B38" s="11" t="n">
        <f aca="false">Programs!O89</f>
        <v>937.597703872563</v>
      </c>
      <c r="C38" s="39" t="n">
        <f aca="false">Reference_Values!B38</f>
        <v>937.597703872563</v>
      </c>
      <c r="D38" s="40" t="n">
        <f aca="false">ABS(B38-C38)</f>
        <v>0</v>
      </c>
      <c r="E38" s="41" t="n">
        <v>1E-008</v>
      </c>
      <c r="F38" s="4" t="str">
        <f aca="false">IF(D38&lt;=E38,"PASS","FAIL")</f>
        <v>PASS</v>
      </c>
    </row>
    <row r="39" customFormat="false" ht="15" hidden="false" customHeight="false" outlineLevel="0" collapsed="false">
      <c r="A39" s="2" t="s">
        <v>511</v>
      </c>
      <c r="B39" s="11" t="n">
        <f aca="false">Programs!O101</f>
        <v>883.161534678981</v>
      </c>
      <c r="C39" s="39" t="n">
        <f aca="false">Reference_Values!B39</f>
        <v>883.161534678981</v>
      </c>
      <c r="D39" s="40" t="n">
        <f aca="false">ABS(B39-C39)</f>
        <v>0</v>
      </c>
      <c r="E39" s="41" t="n">
        <v>1E-008</v>
      </c>
      <c r="F39" s="4" t="str">
        <f aca="false">IF(D39&lt;=E39,"PASS","FAIL")</f>
        <v>PASS</v>
      </c>
    </row>
    <row r="40" customFormat="false" ht="15" hidden="false" customHeight="false" outlineLevel="0" collapsed="false">
      <c r="A40" s="2" t="s">
        <v>512</v>
      </c>
      <c r="B40" s="11" t="n">
        <f aca="false">Programs!O113</f>
        <v>821.106862609523</v>
      </c>
      <c r="C40" s="39" t="n">
        <f aca="false">Reference_Values!B40</f>
        <v>821.106862609523</v>
      </c>
      <c r="D40" s="40" t="n">
        <f aca="false">ABS(B40-C40)</f>
        <v>0</v>
      </c>
      <c r="E40" s="41" t="n">
        <v>1E-008</v>
      </c>
      <c r="F40" s="4" t="str">
        <f aca="false">IF(D40&lt;=E40,"PASS","FAIL")</f>
        <v>PASS</v>
      </c>
    </row>
    <row r="41" customFormat="false" ht="15" hidden="false" customHeight="false" outlineLevel="0" collapsed="false">
      <c r="A41" s="2" t="s">
        <v>513</v>
      </c>
      <c r="B41" s="11" t="n">
        <f aca="false">Programs!O39</f>
        <v>16.6162245903099</v>
      </c>
      <c r="C41" s="39" t="n">
        <f aca="false">Reference_Values!B41</f>
        <v>16.6162245903099</v>
      </c>
      <c r="D41" s="40" t="n">
        <f aca="false">ABS(B41-C41)</f>
        <v>0</v>
      </c>
      <c r="E41" s="41" t="n">
        <v>1E-008</v>
      </c>
      <c r="F41" s="4" t="str">
        <f aca="false">IF(D41&lt;=E41,"PASS","FAIL")</f>
        <v>PASS</v>
      </c>
    </row>
    <row r="42" customFormat="false" ht="15" hidden="false" customHeight="false" outlineLevel="0" collapsed="false">
      <c r="A42" s="2" t="s">
        <v>515</v>
      </c>
      <c r="B42" s="11" t="n">
        <f aca="false">Programs!O51</f>
        <v>4.29227458147772</v>
      </c>
      <c r="C42" s="39" t="n">
        <f aca="false">Reference_Values!B42</f>
        <v>4.29227458147772</v>
      </c>
      <c r="D42" s="40" t="n">
        <f aca="false">ABS(B42-C42)</f>
        <v>0</v>
      </c>
      <c r="E42" s="41" t="n">
        <v>1E-008</v>
      </c>
      <c r="F42" s="4" t="str">
        <f aca="false">IF(D42&lt;=E42,"PASS","FAIL")</f>
        <v>PASS</v>
      </c>
    </row>
    <row r="43" customFormat="false" ht="15" hidden="false" customHeight="false" outlineLevel="0" collapsed="false">
      <c r="A43" s="2" t="s">
        <v>517</v>
      </c>
      <c r="B43" s="11" t="n">
        <f aca="false">Programs!P5</f>
        <v>2.60724990390395</v>
      </c>
      <c r="C43" s="39" t="n">
        <f aca="false">Reference_Values!B43</f>
        <v>2.60724990390395</v>
      </c>
      <c r="D43" s="40" t="n">
        <f aca="false">ABS(B43-C43)</f>
        <v>0</v>
      </c>
      <c r="E43" s="41" t="n">
        <v>1E-008</v>
      </c>
      <c r="F43" s="4" t="str">
        <f aca="false">IF(D43&lt;=E43,"PASS","FAIL")</f>
        <v>PASS</v>
      </c>
    </row>
    <row r="44" customFormat="false" ht="15" hidden="false" customHeight="false" outlineLevel="0" collapsed="false">
      <c r="A44" s="2" t="s">
        <v>519</v>
      </c>
      <c r="B44" s="11" t="n">
        <f aca="false">Programs!P8</f>
        <v>85.8323653866801</v>
      </c>
      <c r="C44" s="39" t="n">
        <f aca="false">Reference_Values!B44</f>
        <v>85.8323653866801</v>
      </c>
      <c r="D44" s="40" t="n">
        <f aca="false">ABS(B44-C44)</f>
        <v>0</v>
      </c>
      <c r="E44" s="41" t="n">
        <v>1E-008</v>
      </c>
      <c r="F44" s="4" t="str">
        <f aca="false">IF(D44&lt;=E44,"PASS","FAIL")</f>
        <v>PASS</v>
      </c>
    </row>
    <row r="45" customFormat="false" ht="15" hidden="false" customHeight="false" outlineLevel="0" collapsed="false">
      <c r="A45" s="2" t="s">
        <v>521</v>
      </c>
      <c r="B45" s="11" t="n">
        <f aca="false">SUM(Programs!Q4:Q16)</f>
        <v>13</v>
      </c>
      <c r="C45" s="39" t="n">
        <f aca="false">Reference_Values!B45</f>
        <v>13</v>
      </c>
      <c r="D45" s="40" t="n">
        <f aca="false">ABS(B45-C45)</f>
        <v>0</v>
      </c>
      <c r="E45" s="41" t="n">
        <v>0</v>
      </c>
      <c r="F45" s="4" t="str">
        <f aca="false">IF(D45&lt;=E45,"PASS","FAIL")</f>
        <v>PASS</v>
      </c>
    </row>
    <row r="46" customFormat="false" ht="15" hidden="false" customHeight="false" outlineLevel="0" collapsed="false">
      <c r="A46" s="2" t="s">
        <v>239</v>
      </c>
      <c r="B46" s="11" t="n">
        <f aca="false">Prices!B11</f>
        <v>52.7101202158408</v>
      </c>
      <c r="C46" s="39" t="n">
        <f aca="false">Reference_Values!B46</f>
        <v>52.7101202158408</v>
      </c>
      <c r="D46" s="40" t="n">
        <f aca="false">ABS(B46-C46)</f>
        <v>0</v>
      </c>
      <c r="E46" s="41" t="n">
        <v>1E-008</v>
      </c>
      <c r="F46" s="4" t="str">
        <f aca="false">IF(D46&lt;=E46,"PASS","FAIL")</f>
        <v>PASS</v>
      </c>
    </row>
    <row r="47" customFormat="false" ht="15" hidden="false" customHeight="false" outlineLevel="0" collapsed="false">
      <c r="A47" s="2" t="s">
        <v>237</v>
      </c>
      <c r="B47" s="11" t="n">
        <f aca="false">Prices!B10</f>
        <v>938.948935124298</v>
      </c>
      <c r="C47" s="39" t="n">
        <f aca="false">Reference_Values!B47</f>
        <v>938.948935124298</v>
      </c>
      <c r="D47" s="40" t="n">
        <f aca="false">ABS(B47-C47)</f>
        <v>0</v>
      </c>
      <c r="E47" s="41" t="n">
        <v>1E-008</v>
      </c>
      <c r="F47" s="4" t="str">
        <f aca="false">IF(D47&lt;=E47,"PASS","FAIL")</f>
        <v>PASS</v>
      </c>
    </row>
    <row r="48" customFormat="false" ht="15" hidden="false" customHeight="false" outlineLevel="0" collapsed="false">
      <c r="A48" s="2" t="s">
        <v>241</v>
      </c>
      <c r="B48" s="11" t="n">
        <f aca="false">Prices!B12</f>
        <v>1001.78617301788</v>
      </c>
      <c r="C48" s="39" t="n">
        <f aca="false">Reference_Values!B48</f>
        <v>1001.78617301788</v>
      </c>
      <c r="D48" s="40" t="n">
        <f aca="false">ABS(B48-C48)</f>
        <v>0</v>
      </c>
      <c r="E48" s="41" t="n">
        <v>1E-008</v>
      </c>
      <c r="F48" s="4" t="str">
        <f aca="false">IF(D48&lt;=E48,"PASS","FAIL")</f>
        <v>PASS</v>
      </c>
    </row>
    <row r="49" customFormat="false" ht="15" hidden="false" customHeight="false" outlineLevel="0" collapsed="false">
      <c r="A49" s="2" t="s">
        <v>523</v>
      </c>
      <c r="B49" s="11" t="n">
        <f aca="false">Prices!B13</f>
        <v>100.459222163545</v>
      </c>
      <c r="C49" s="39" t="n">
        <f aca="false">Reference_Values!B49</f>
        <v>100.459222163545</v>
      </c>
      <c r="D49" s="40" t="n">
        <f aca="false">ABS(B49-C49)</f>
        <v>0</v>
      </c>
      <c r="E49" s="41" t="n">
        <v>1E-008</v>
      </c>
      <c r="F49" s="4" t="str">
        <f aca="false">IF(D49&lt;=E49,"PASS","FAIL")</f>
        <v>PASS</v>
      </c>
    </row>
    <row r="50" customFormat="false" ht="15" hidden="false" customHeight="false" outlineLevel="0" collapsed="false">
      <c r="A50" s="2" t="s">
        <v>524</v>
      </c>
      <c r="B50" s="11" t="n">
        <f aca="false">Prices!B14</f>
        <v>69.1209616829452</v>
      </c>
      <c r="C50" s="39" t="n">
        <f aca="false">Reference_Values!B50</f>
        <v>69.1209616829452</v>
      </c>
      <c r="D50" s="40" t="n">
        <f aca="false">ABS(B50-C50)</f>
        <v>0</v>
      </c>
      <c r="E50" s="41" t="n">
        <v>1E-009</v>
      </c>
      <c r="F50" s="4" t="str">
        <f aca="false">IF(D50&lt;=E50,"PASS","FAIL")</f>
        <v>PASS</v>
      </c>
    </row>
    <row r="51" customFormat="false" ht="15" hidden="false" customHeight="false" outlineLevel="0" collapsed="false">
      <c r="A51" s="2" t="s">
        <v>525</v>
      </c>
      <c r="B51" s="11" t="n">
        <f aca="false">Prices!B15</f>
        <v>31.3382604805994</v>
      </c>
      <c r="C51" s="39" t="n">
        <f aca="false">Reference_Values!B51</f>
        <v>31.3382604805994</v>
      </c>
      <c r="D51" s="40" t="n">
        <f aca="false">ABS(B51-C51)</f>
        <v>0</v>
      </c>
      <c r="E51" s="41" t="n">
        <v>1E-008</v>
      </c>
      <c r="F51" s="4" t="str">
        <f aca="false">IF(D51&lt;=E51,"PASS","FAIL")</f>
        <v>PASS</v>
      </c>
    </row>
    <row r="52" customFormat="false" ht="15" hidden="false" customHeight="false" outlineLevel="0" collapsed="false">
      <c r="A52" s="2" t="s">
        <v>251</v>
      </c>
      <c r="B52" s="11" t="n">
        <f aca="false">Prices!B17</f>
        <v>37.6219842699582</v>
      </c>
      <c r="C52" s="39" t="n">
        <f aca="false">Reference_Values!B52</f>
        <v>37.6219842699582</v>
      </c>
      <c r="D52" s="40" t="n">
        <f aca="false">ABS(B52-C52)</f>
        <v>0</v>
      </c>
      <c r="E52" s="41" t="n">
        <v>1E-008</v>
      </c>
      <c r="F52" s="4" t="str">
        <f aca="false">IF(D52&lt;=E52,"PASS","FAIL")</f>
        <v>PASS</v>
      </c>
    </row>
    <row r="53" customFormat="false" ht="15" hidden="false" customHeight="false" outlineLevel="0" collapsed="false">
      <c r="A53" s="2" t="s">
        <v>526</v>
      </c>
      <c r="B53" s="11" t="n">
        <f aca="false">Prices!B4</f>
        <v>21.3718597352414</v>
      </c>
      <c r="C53" s="39" t="n">
        <f aca="false">Reference_Values!B53</f>
        <v>21.3718597352414</v>
      </c>
      <c r="D53" s="40" t="n">
        <f aca="false">ABS(B53-C53)</f>
        <v>0</v>
      </c>
      <c r="E53" s="41" t="n">
        <v>1E-008</v>
      </c>
      <c r="F53" s="4" t="str">
        <f aca="false">IF(D53&lt;=E53,"PASS","FAIL")</f>
        <v>PASS</v>
      </c>
    </row>
    <row r="54" customFormat="false" ht="15" hidden="false" customHeight="false" outlineLevel="0" collapsed="false">
      <c r="A54" s="2" t="s">
        <v>527</v>
      </c>
      <c r="B54" s="11" t="n">
        <f aca="false">Prices!B7</f>
        <v>1039.40815728784</v>
      </c>
      <c r="C54" s="39" t="n">
        <f aca="false">Reference_Values!B54</f>
        <v>1039.40815728784</v>
      </c>
      <c r="D54" s="40" t="n">
        <f aca="false">ABS(B54-C54)</f>
        <v>0</v>
      </c>
      <c r="E54" s="41" t="n">
        <v>1E-008</v>
      </c>
      <c r="F54" s="4" t="str">
        <f aca="false">IF(D54&lt;=E54,"PASS","FAIL")</f>
        <v>PASS</v>
      </c>
    </row>
    <row r="55" customFormat="false" ht="15" hidden="false" customHeight="false" outlineLevel="0" collapsed="false">
      <c r="A55" s="2" t="s">
        <v>528</v>
      </c>
      <c r="B55" s="11" t="n">
        <f aca="false">Programs!H27</f>
        <v>189.92404767696</v>
      </c>
      <c r="C55" s="39" t="n">
        <f aca="false">Reference_Values!B55</f>
        <v>189.92404767696</v>
      </c>
      <c r="D55" s="40" t="n">
        <f aca="false">ABS(B55-C55)</f>
        <v>0</v>
      </c>
      <c r="E55" s="41" t="n">
        <v>1E-008</v>
      </c>
      <c r="F55" s="4" t="str">
        <f aca="false">IF(D55&lt;=E55,"PASS","FAIL")</f>
        <v>PASS</v>
      </c>
    </row>
    <row r="56" customFormat="false" ht="15" hidden="false" customHeight="false" outlineLevel="0" collapsed="false">
      <c r="A56" s="2" t="s">
        <v>530</v>
      </c>
      <c r="B56" s="11" t="n">
        <f aca="false">Programs!H28</f>
        <v>160.401396231059</v>
      </c>
      <c r="C56" s="39" t="n">
        <f aca="false">Reference_Values!B56</f>
        <v>160.401396231059</v>
      </c>
      <c r="D56" s="40" t="n">
        <f aca="false">ABS(B56-C56)</f>
        <v>0</v>
      </c>
      <c r="E56" s="41" t="n">
        <v>1E-008</v>
      </c>
      <c r="F56" s="4" t="str">
        <f aca="false">IF(D56&lt;=E56,"PASS","FAIL")</f>
        <v>PASS</v>
      </c>
    </row>
    <row r="57" customFormat="false" ht="15" hidden="false" customHeight="false" outlineLevel="0" collapsed="false">
      <c r="A57" s="2" t="s">
        <v>531</v>
      </c>
      <c r="B57" s="11" t="n">
        <f aca="false">Programs!H29</f>
        <v>158.807285194849</v>
      </c>
      <c r="C57" s="39" t="n">
        <f aca="false">Reference_Values!B57</f>
        <v>158.807285194849</v>
      </c>
      <c r="D57" s="40" t="n">
        <f aca="false">ABS(B57-C57)</f>
        <v>0</v>
      </c>
      <c r="E57" s="41" t="n">
        <v>1E-008</v>
      </c>
      <c r="F57" s="4" t="str">
        <f aca="false">IF(D57&lt;=E57,"PASS","FAIL")</f>
        <v>PASS</v>
      </c>
    </row>
    <row r="58" customFormat="false" ht="15" hidden="false" customHeight="false" outlineLevel="0" collapsed="false">
      <c r="A58" s="2" t="s">
        <v>532</v>
      </c>
      <c r="B58" s="11" t="n">
        <f aca="false">Programs!H30</f>
        <v>32.673897125482</v>
      </c>
      <c r="C58" s="39" t="n">
        <f aca="false">Reference_Values!B58</f>
        <v>32.673897125482</v>
      </c>
      <c r="D58" s="40" t="n">
        <f aca="false">ABS(B58-C58)</f>
        <v>0</v>
      </c>
      <c r="E58" s="41" t="n">
        <v>1E-008</v>
      </c>
      <c r="F58" s="4" t="str">
        <f aca="false">IF(D58&lt;=E58,"PASS","FAIL")</f>
        <v>PASS</v>
      </c>
    </row>
    <row r="59" customFormat="false" ht="15" hidden="false" customHeight="false" outlineLevel="0" collapsed="false">
      <c r="A59" s="2" t="s">
        <v>533</v>
      </c>
      <c r="B59" s="11" t="n">
        <f aca="false">Prices!E21</f>
        <v>1038.42526112908</v>
      </c>
      <c r="C59" s="39" t="n">
        <f aca="false">Reference_Values!B59</f>
        <v>1038.42526112908</v>
      </c>
      <c r="D59" s="40" t="n">
        <f aca="false">ABS(B59-C59)</f>
        <v>0</v>
      </c>
      <c r="E59" s="41" t="n">
        <v>1E-008</v>
      </c>
      <c r="F59" s="4" t="str">
        <f aca="false">IF(D59&lt;=E59,"PASS","FAIL")</f>
        <v>PASS</v>
      </c>
    </row>
    <row r="60" customFormat="false" ht="15" hidden="false" customHeight="false" outlineLevel="0" collapsed="false">
      <c r="A60" s="2" t="s">
        <v>535</v>
      </c>
      <c r="B60" s="11" t="n">
        <f aca="false">Prices!E22</f>
        <v>1040.25333990536</v>
      </c>
      <c r="C60" s="39" t="n">
        <f aca="false">Reference_Values!B60</f>
        <v>1040.25333990536</v>
      </c>
      <c r="D60" s="40" t="n">
        <f aca="false">ABS(B60-C60)</f>
        <v>0</v>
      </c>
      <c r="E60" s="41" t="n">
        <v>1E-008</v>
      </c>
      <c r="F60" s="4" t="str">
        <f aca="false">IF(D60&lt;=E60,"PASS","FAIL")</f>
        <v>PASS</v>
      </c>
    </row>
    <row r="61" customFormat="false" ht="15" hidden="false" customHeight="false" outlineLevel="0" collapsed="false">
      <c r="A61" s="2" t="s">
        <v>537</v>
      </c>
      <c r="B61" s="11" t="n">
        <f aca="false">Prices!E23</f>
        <v>1.82807877628102</v>
      </c>
      <c r="C61" s="39" t="n">
        <f aca="false">Reference_Values!B61</f>
        <v>1.82807877628102</v>
      </c>
      <c r="D61" s="40" t="n">
        <f aca="false">ABS(B61-C61)</f>
        <v>0</v>
      </c>
      <c r="E61" s="41" t="n">
        <v>1E-008</v>
      </c>
      <c r="F61" s="4" t="str">
        <f aca="false">IF(D61&lt;=E61,"PASS","FAIL")</f>
        <v>PASS</v>
      </c>
    </row>
    <row r="62" customFormat="false" ht="15" hidden="false" customHeight="false" outlineLevel="0" collapsed="false">
      <c r="A62" s="2" t="s">
        <v>539</v>
      </c>
      <c r="B62" s="11" t="n">
        <f aca="false">Prices!D28</f>
        <v>1.80701478466484</v>
      </c>
      <c r="C62" s="39" t="n">
        <f aca="false">Reference_Values!B62</f>
        <v>1.80701478466484</v>
      </c>
      <c r="D62" s="40" t="n">
        <f aca="false">ABS(B62-C62)</f>
        <v>0</v>
      </c>
      <c r="E62" s="41" t="n">
        <v>1E-008</v>
      </c>
      <c r="F62" s="4" t="str">
        <f aca="false">IF(D62&lt;=E62,"PASS","FAIL")</f>
        <v>PASS</v>
      </c>
    </row>
    <row r="63" customFormat="false" ht="15" hidden="false" customHeight="false" outlineLevel="0" collapsed="false">
      <c r="A63" s="2" t="s">
        <v>269</v>
      </c>
      <c r="B63" s="11" t="n">
        <f aca="false">Prices!B39</f>
        <v>1.76470588235293</v>
      </c>
      <c r="C63" s="39" t="n">
        <f aca="false">Reference_Values!B63</f>
        <v>1.76470588235293</v>
      </c>
      <c r="D63" s="40" t="n">
        <f aca="false">ABS(B63-C63)</f>
        <v>0</v>
      </c>
      <c r="E63" s="41" t="n">
        <v>1E-008</v>
      </c>
      <c r="F63" s="4" t="str">
        <f aca="false">IF(D63&lt;=E63,"PASS","FAIL")</f>
        <v>PASS</v>
      </c>
    </row>
    <row r="64" customFormat="false" ht="15" hidden="false" customHeight="false" outlineLevel="0" collapsed="false">
      <c r="A64" s="2" t="s">
        <v>271</v>
      </c>
      <c r="B64" s="11" t="n">
        <f aca="false">Prices!B40</f>
        <v>2.28571428571428</v>
      </c>
      <c r="C64" s="39" t="n">
        <f aca="false">Reference_Values!B64</f>
        <v>2.28571428571428</v>
      </c>
      <c r="D64" s="40" t="n">
        <f aca="false">ABS(B64-C64)</f>
        <v>0</v>
      </c>
      <c r="E64" s="41" t="n">
        <v>1E-008</v>
      </c>
      <c r="F64" s="4" t="str">
        <f aca="false">IF(D64&lt;=E64,"PASS","FAIL")</f>
        <v>PASS</v>
      </c>
    </row>
    <row r="65" customFormat="false" ht="15" hidden="false" customHeight="false" outlineLevel="0" collapsed="false">
      <c r="A65" s="2" t="s">
        <v>541</v>
      </c>
      <c r="B65" s="11" t="n">
        <f aca="false">Prices!B43</f>
        <v>0.774931769102807</v>
      </c>
      <c r="C65" s="39" t="n">
        <f aca="false">Reference_Values!B65</f>
        <v>0.774931769102807</v>
      </c>
      <c r="D65" s="40" t="n">
        <f aca="false">ABS(B65-C65)</f>
        <v>0</v>
      </c>
      <c r="E65" s="41" t="n">
        <v>1E-008</v>
      </c>
      <c r="F65" s="4" t="str">
        <f aca="false">IF(D65&lt;=E65,"PASS","FAIL")</f>
        <v>PASS</v>
      </c>
    </row>
    <row r="66" customFormat="false" ht="15" hidden="false" customHeight="false" outlineLevel="0" collapsed="false">
      <c r="A66" s="2" t="s">
        <v>542</v>
      </c>
      <c r="B66" s="11" t="n">
        <f aca="false">Prices!B45</f>
        <v>0.669621034671639</v>
      </c>
      <c r="C66" s="39" t="n">
        <f aca="false">Reference_Values!B66</f>
        <v>0.669621034671639</v>
      </c>
      <c r="D66" s="40" t="n">
        <f aca="false">ABS(B66-C66)</f>
        <v>0</v>
      </c>
      <c r="E66" s="41" t="n">
        <v>1E-008</v>
      </c>
      <c r="F66" s="4" t="str">
        <f aca="false">IF(D66&lt;=E66,"PASS","FAIL")</f>
        <v>PASS</v>
      </c>
    </row>
    <row r="67" customFormat="false" ht="15" hidden="false" customHeight="false" outlineLevel="0" collapsed="false">
      <c r="A67" s="2" t="s">
        <v>543</v>
      </c>
      <c r="B67" s="11" t="n">
        <f aca="false">Prices!B41</f>
        <v>0.157776108189331</v>
      </c>
      <c r="C67" s="39" t="n">
        <f aca="false">Reference_Values!B67</f>
        <v>0.157776108189331</v>
      </c>
      <c r="D67" s="40" t="n">
        <f aca="false">ABS(B67-C67)</f>
        <v>0</v>
      </c>
      <c r="E67" s="41" t="n">
        <v>1E-012</v>
      </c>
      <c r="F67" s="4" t="str">
        <f aca="false">IF(D67&lt;=E67,"PASS","FAIL")</f>
        <v>PASS</v>
      </c>
    </row>
    <row r="68" customFormat="false" ht="15" hidden="false" customHeight="false" outlineLevel="0" collapsed="false">
      <c r="A68" s="2" t="s">
        <v>544</v>
      </c>
      <c r="B68" s="11" t="n">
        <f aca="false">Prices!B42</f>
        <v>0.2036</v>
      </c>
      <c r="C68" s="39" t="n">
        <f aca="false">Reference_Values!B68</f>
        <v>0.2036</v>
      </c>
      <c r="D68" s="40" t="n">
        <f aca="false">ABS(B68-C68)</f>
        <v>0</v>
      </c>
      <c r="E68" s="41" t="n">
        <v>1E-009</v>
      </c>
      <c r="F68" s="4" t="str">
        <f aca="false">IF(D68&lt;=E68,"PASS","FAIL")</f>
        <v>PASS</v>
      </c>
    </row>
    <row r="69" customFormat="false" ht="15" hidden="false" customHeight="false" outlineLevel="0" collapsed="false">
      <c r="A69" s="2" t="s">
        <v>545</v>
      </c>
      <c r="B69" s="11" t="n">
        <f aca="false">Prices!B50</f>
        <v>1.08802967932206</v>
      </c>
      <c r="C69" s="39" t="n">
        <f aca="false">Reference_Values!B69</f>
        <v>1.08802967932206</v>
      </c>
      <c r="D69" s="40" t="n">
        <f aca="false">ABS(B69-C69)</f>
        <v>0</v>
      </c>
      <c r="E69" s="41" t="n">
        <v>1E-008</v>
      </c>
      <c r="F69" s="4" t="str">
        <f aca="false">IF(D69&lt;=E69,"PASS","FAIL")</f>
        <v>PASS</v>
      </c>
    </row>
    <row r="70" customFormat="false" ht="15" hidden="false" customHeight="false" outlineLevel="0" collapsed="false">
      <c r="A70" s="2" t="s">
        <v>546</v>
      </c>
      <c r="B70" s="11" t="n">
        <f aca="false">Prices!B51</f>
        <v>0.751314800901578</v>
      </c>
      <c r="C70" s="39" t="n">
        <f aca="false">Reference_Values!B70</f>
        <v>0.751314800901578</v>
      </c>
      <c r="D70" s="40" t="n">
        <f aca="false">ABS(B70-C70)</f>
        <v>0</v>
      </c>
      <c r="E70" s="41" t="n">
        <v>1E-012</v>
      </c>
      <c r="F70" s="4" t="str">
        <f aca="false">IF(D70&lt;=E70,"PASS","FAIL")</f>
        <v>PASS</v>
      </c>
    </row>
    <row r="71" customFormat="false" ht="15" hidden="false" customHeight="false" outlineLevel="0" collapsed="false">
      <c r="A71" s="2" t="s">
        <v>547</v>
      </c>
      <c r="B71" s="11" t="n">
        <f aca="false">Prices!B52</f>
        <v>0.33671487842048</v>
      </c>
      <c r="C71" s="39" t="n">
        <f aca="false">Reference_Values!B71</f>
        <v>0.33671487842048</v>
      </c>
      <c r="D71" s="40" t="n">
        <f aca="false">ABS(B71-C71)</f>
        <v>0</v>
      </c>
      <c r="E71" s="41" t="n">
        <v>1E-008</v>
      </c>
      <c r="F71" s="4" t="str">
        <f aca="false">IF(D71&lt;=E71,"PASS","FAIL")</f>
        <v>PASS</v>
      </c>
    </row>
    <row r="72" customFormat="false" ht="15" hidden="false" customHeight="false" outlineLevel="0" collapsed="false">
      <c r="A72" s="2" t="s">
        <v>548</v>
      </c>
      <c r="B72" s="11" t="n">
        <f aca="false">Prices!B55</f>
        <v>3.9</v>
      </c>
      <c r="C72" s="39" t="n">
        <f aca="false">Reference_Values!B72</f>
        <v>3.9</v>
      </c>
      <c r="D72" s="40" t="n">
        <f aca="false">ABS(B72-C72)</f>
        <v>0</v>
      </c>
      <c r="E72" s="41" t="n">
        <v>1E-012</v>
      </c>
      <c r="F72" s="4" t="str">
        <f aca="false">IF(D72&lt;=E72,"PASS","FAIL")</f>
        <v>PASS</v>
      </c>
    </row>
    <row r="73" customFormat="false" ht="15" hidden="false" customHeight="false" outlineLevel="0" collapsed="false">
      <c r="A73" s="2" t="s">
        <v>549</v>
      </c>
      <c r="B73" s="11" t="n">
        <f aca="false">Prices!B56</f>
        <v>10.6685950413223</v>
      </c>
      <c r="C73" s="39" t="n">
        <f aca="false">Reference_Values!B73</f>
        <v>10.6685950413223</v>
      </c>
      <c r="D73" s="40" t="n">
        <f aca="false">ABS(B73-C73)</f>
        <v>0</v>
      </c>
      <c r="E73" s="41" t="n">
        <v>1E-009</v>
      </c>
      <c r="F73" s="4" t="str">
        <f aca="false">IF(D73&lt;=E73,"PASS","FAIL")</f>
        <v>PASS</v>
      </c>
    </row>
    <row r="74" customFormat="false" ht="15" hidden="false" customHeight="false" outlineLevel="0" collapsed="false">
      <c r="A74" s="2" t="s">
        <v>551</v>
      </c>
      <c r="B74" s="11" t="n">
        <f aca="false">Prices!B57</f>
        <v>10.3755822689707</v>
      </c>
      <c r="C74" s="39" t="n">
        <f aca="false">Reference_Values!B74</f>
        <v>10.3755822689707</v>
      </c>
      <c r="D74" s="40" t="n">
        <f aca="false">ABS(B74-C74)</f>
        <v>0</v>
      </c>
      <c r="E74" s="41" t="n">
        <v>1E-009</v>
      </c>
      <c r="F74" s="4" t="str">
        <f aca="false">IF(D74&lt;=E74,"PASS","FAIL")</f>
        <v>PASS</v>
      </c>
    </row>
    <row r="75" customFormat="false" ht="15" hidden="false" customHeight="false" outlineLevel="0" collapsed="false">
      <c r="A75" s="2" t="s">
        <v>552</v>
      </c>
      <c r="B75" s="11" t="n">
        <f aca="false">Prices!B46</f>
        <v>1</v>
      </c>
      <c r="C75" s="39" t="n">
        <f aca="false">Reference_Values!B75</f>
        <v>1</v>
      </c>
      <c r="D75" s="40" t="n">
        <f aca="false">ABS(B75-C75)</f>
        <v>0</v>
      </c>
      <c r="E75" s="41" t="n">
        <v>0</v>
      </c>
      <c r="F75" s="4" t="str">
        <f aca="false">IF(D75&lt;=E75,"PASS","FAIL")</f>
        <v>PASS</v>
      </c>
    </row>
    <row r="76" customFormat="false" ht="15" hidden="false" customHeight="false" outlineLevel="0" collapsed="false">
      <c r="A76" s="2" t="s">
        <v>553</v>
      </c>
      <c r="B76" s="11" t="n">
        <f aca="false">Prices!B62</f>
        <v>15.2361812901825</v>
      </c>
      <c r="C76" s="39" t="n">
        <f aca="false">Reference_Values!B76</f>
        <v>15.2361812901827</v>
      </c>
      <c r="D76" s="40" t="n">
        <f aca="false">ABS(B76-C76)</f>
        <v>2.32702745961433E-013</v>
      </c>
      <c r="E76" s="41" t="n">
        <v>1E-008</v>
      </c>
      <c r="F76" s="4" t="str">
        <f aca="false">IF(D76&lt;=E76,"PASS","FAIL")</f>
        <v>PASS</v>
      </c>
    </row>
    <row r="77" customFormat="false" ht="15" hidden="false" customHeight="false" outlineLevel="0" collapsed="false">
      <c r="A77" s="2" t="s">
        <v>554</v>
      </c>
      <c r="B77" s="11" t="n">
        <f aca="false">Trigger!B42</f>
        <v>490</v>
      </c>
      <c r="C77" s="39" t="n">
        <f aca="false">Reference_Values!B77</f>
        <v>490</v>
      </c>
      <c r="D77" s="40" t="n">
        <f aca="false">ABS(B77-C77)</f>
        <v>0</v>
      </c>
      <c r="E77" s="41" t="n">
        <v>0</v>
      </c>
      <c r="F77" s="4" t="str">
        <f aca="false">IF(D77&lt;=E77,"PASS","FAIL")</f>
        <v>PASS</v>
      </c>
    </row>
    <row r="78" customFormat="false" ht="15" hidden="false" customHeight="false" outlineLevel="0" collapsed="false">
      <c r="A78" s="2" t="s">
        <v>555</v>
      </c>
      <c r="B78" s="11" t="n">
        <f aca="false">Trigger!B45</f>
        <v>17.7891549542722</v>
      </c>
      <c r="C78" s="39" t="n">
        <f aca="false">Reference_Values!B78</f>
        <v>17.7891549542722</v>
      </c>
      <c r="D78" s="40" t="n">
        <f aca="false">ABS(B78-C78)</f>
        <v>0</v>
      </c>
      <c r="E78" s="41" t="n">
        <v>1E-008</v>
      </c>
      <c r="F78" s="4" t="str">
        <f aca="false">IF(D78&lt;=E78,"PASS","FAIL")</f>
        <v>PASS</v>
      </c>
    </row>
    <row r="79" customFormat="false" ht="15" hidden="false" customHeight="false" outlineLevel="0" collapsed="false">
      <c r="A79" s="2" t="s">
        <v>556</v>
      </c>
      <c r="B79" s="11" t="n">
        <f aca="false">Trigger!B41</f>
        <v>1040.75570053613</v>
      </c>
      <c r="C79" s="39" t="n">
        <f aca="false">Reference_Values!B79</f>
        <v>1040.75570053613</v>
      </c>
      <c r="D79" s="40" t="n">
        <f aca="false">ABS(B79-C79)</f>
        <v>0</v>
      </c>
      <c r="E79" s="41" t="n">
        <v>1E-008</v>
      </c>
      <c r="F79" s="4" t="str">
        <f aca="false">IF(D79&lt;=E79,"PASS","FAIL")</f>
        <v>PASS</v>
      </c>
    </row>
    <row r="80" customFormat="false" ht="15" hidden="false" customHeight="false" outlineLevel="0" collapsed="false">
      <c r="A80" s="2" t="s">
        <v>557</v>
      </c>
      <c r="B80" s="11" t="n">
        <f aca="false">Trigger!B49</f>
        <v>1.34754324828714</v>
      </c>
      <c r="C80" s="39" t="n">
        <f aca="false">Reference_Values!B80</f>
        <v>1.34754324828714</v>
      </c>
      <c r="D80" s="40" t="n">
        <f aca="false">ABS(B80-C80)</f>
        <v>0</v>
      </c>
      <c r="E80" s="41" t="n">
        <v>1E-008</v>
      </c>
      <c r="F80" s="4" t="str">
        <f aca="false">IF(D80&lt;=E80,"PASS","FAIL")</f>
        <v>PASS</v>
      </c>
    </row>
    <row r="81" customFormat="false" ht="15" hidden="false" customHeight="false" outlineLevel="0" collapsed="false">
      <c r="A81" s="2" t="s">
        <v>558</v>
      </c>
      <c r="B81" s="11" t="n">
        <f aca="false">Trigger!B50</f>
        <v>3.95479315219109</v>
      </c>
      <c r="C81" s="39" t="n">
        <f aca="false">Reference_Values!B81</f>
        <v>3.95479315219109</v>
      </c>
      <c r="D81" s="40" t="n">
        <f aca="false">ABS(B81-C81)</f>
        <v>0</v>
      </c>
      <c r="E81" s="41" t="n">
        <v>1E-008</v>
      </c>
      <c r="F81" s="4" t="str">
        <f aca="false">IF(D81&lt;=E81,"PASS","FAIL")</f>
        <v>PASS</v>
      </c>
    </row>
    <row r="82" customFormat="false" ht="15" hidden="false" customHeight="false" outlineLevel="0" collapsed="false">
      <c r="A82" s="2" t="s">
        <v>560</v>
      </c>
      <c r="B82" s="11" t="n">
        <f aca="false">Trigger!B51</f>
        <v>1</v>
      </c>
      <c r="C82" s="39" t="n">
        <f aca="false">Reference_Values!B82</f>
        <v>1</v>
      </c>
      <c r="D82" s="40" t="n">
        <f aca="false">ABS(B82-C82)</f>
        <v>0</v>
      </c>
      <c r="E82" s="41" t="n">
        <v>0</v>
      </c>
      <c r="F82" s="4" t="str">
        <f aca="false">IF(D82&lt;=E82,"PASS","FAIL")</f>
        <v>PASS</v>
      </c>
    </row>
    <row r="83" customFormat="false" ht="15" hidden="false" customHeight="false" outlineLevel="0" collapsed="false">
      <c r="A83" s="2" t="s">
        <v>562</v>
      </c>
      <c r="B83" s="11" t="n">
        <f aca="false">Trigger!B60</f>
        <v>5</v>
      </c>
      <c r="C83" s="39" t="n">
        <f aca="false">Reference_Values!B83</f>
        <v>5</v>
      </c>
      <c r="D83" s="40" t="n">
        <f aca="false">ABS(B83-C83)</f>
        <v>0</v>
      </c>
      <c r="E83" s="41" t="n">
        <v>1E-009</v>
      </c>
      <c r="F83" s="4" t="str">
        <f aca="false">IF(D83&lt;=E83,"PASS","FAIL")</f>
        <v>PASS</v>
      </c>
    </row>
    <row r="84" customFormat="false" ht="15" hidden="false" customHeight="false" outlineLevel="0" collapsed="false">
      <c r="A84" s="2" t="s">
        <v>563</v>
      </c>
      <c r="B84" s="11" t="n">
        <f aca="false">Trigger!B61</f>
        <v>22.7272727272727</v>
      </c>
      <c r="C84" s="39" t="n">
        <f aca="false">Reference_Values!B84</f>
        <v>22.7272727272727</v>
      </c>
      <c r="D84" s="40" t="n">
        <f aca="false">ABS(B84-C84)</f>
        <v>0</v>
      </c>
      <c r="E84" s="41" t="n">
        <v>1E-009</v>
      </c>
      <c r="F84" s="4" t="str">
        <f aca="false">IF(D84&lt;=E84,"PASS","FAIL")</f>
        <v>PASS</v>
      </c>
    </row>
    <row r="85" customFormat="false" ht="15" hidden="false" customHeight="false" outlineLevel="0" collapsed="false">
      <c r="A85" s="2" t="s">
        <v>564</v>
      </c>
      <c r="B85" s="11" t="n">
        <f aca="false">Trigger!B62</f>
        <v>20</v>
      </c>
      <c r="C85" s="39" t="n">
        <f aca="false">Reference_Values!B85</f>
        <v>20</v>
      </c>
      <c r="D85" s="40" t="n">
        <f aca="false">ABS(B85-C85)</f>
        <v>0</v>
      </c>
      <c r="E85" s="41" t="n">
        <v>1E-009</v>
      </c>
      <c r="F85" s="4" t="str">
        <f aca="false">IF(D85&lt;=E85,"PASS","FAIL")</f>
        <v>PASS</v>
      </c>
    </row>
    <row r="86" customFormat="false" ht="15" hidden="false" customHeight="false" outlineLevel="0" collapsed="false">
      <c r="A86" s="2" t="s">
        <v>565</v>
      </c>
      <c r="B86" s="11" t="n">
        <f aca="false">Trigger!B63</f>
        <v>2.27272727272727</v>
      </c>
      <c r="C86" s="39" t="n">
        <f aca="false">Reference_Values!B86</f>
        <v>2.27272727272727</v>
      </c>
      <c r="D86" s="40" t="n">
        <f aca="false">ABS(B86-C86)</f>
        <v>0</v>
      </c>
      <c r="E86" s="41" t="n">
        <v>1E-009</v>
      </c>
      <c r="F86" s="4" t="str">
        <f aca="false">IF(D86&lt;=E86,"PASS","FAIL")</f>
        <v>PASS</v>
      </c>
    </row>
    <row r="87" customFormat="false" ht="15" hidden="false" customHeight="false" outlineLevel="0" collapsed="false">
      <c r="A87" s="2" t="s">
        <v>566</v>
      </c>
      <c r="B87" s="11" t="n">
        <f aca="false">Certify!D6</f>
        <v>22.3547558940065</v>
      </c>
      <c r="C87" s="39" t="n">
        <f aca="false">Reference_Values!B87</f>
        <v>22.3547558940065</v>
      </c>
      <c r="D87" s="40" t="n">
        <f aca="false">ABS(B87-C87)</f>
        <v>0</v>
      </c>
      <c r="E87" s="41" t="n">
        <v>1E-008</v>
      </c>
      <c r="F87" s="4" t="str">
        <f aca="false">IF(D87&lt;=E87,"PASS","FAIL")</f>
        <v>PASS</v>
      </c>
    </row>
    <row r="88" customFormat="false" ht="15" hidden="false" customHeight="false" outlineLevel="0" collapsed="false">
      <c r="A88" s="2" t="s">
        <v>567</v>
      </c>
      <c r="B88" s="11" t="n">
        <f aca="false">Certify!E6</f>
        <v>1038.42526112908</v>
      </c>
      <c r="C88" s="39" t="n">
        <f aca="false">Reference_Values!B88</f>
        <v>1038.42526112908</v>
      </c>
      <c r="D88" s="40" t="n">
        <f aca="false">ABS(B88-C88)</f>
        <v>0</v>
      </c>
      <c r="E88" s="41" t="n">
        <v>1E-008</v>
      </c>
      <c r="F88" s="4" t="str">
        <f aca="false">IF(D88&lt;=E88,"PASS","FAIL")</f>
        <v>PASS</v>
      </c>
    </row>
    <row r="89" customFormat="false" ht="15" hidden="false" customHeight="false" outlineLevel="0" collapsed="false">
      <c r="A89" s="2" t="s">
        <v>568</v>
      </c>
      <c r="B89" s="11" t="n">
        <f aca="false">Certify!D7</f>
        <v>23.4368818976039</v>
      </c>
      <c r="C89" s="39" t="n">
        <f aca="false">Reference_Values!B89</f>
        <v>23.4368818976039</v>
      </c>
      <c r="D89" s="40" t="n">
        <f aca="false">ABS(B89-C89)</f>
        <v>0</v>
      </c>
      <c r="E89" s="41" t="n">
        <v>1E-008</v>
      </c>
      <c r="F89" s="4" t="str">
        <f aca="false">IF(D89&lt;=E89,"PASS","FAIL")</f>
        <v>PASS</v>
      </c>
    </row>
    <row r="90" customFormat="false" ht="15" hidden="false" customHeight="false" outlineLevel="0" collapsed="false">
      <c r="A90" s="2" t="s">
        <v>569</v>
      </c>
      <c r="B90" s="11" t="n">
        <f aca="false">Certify!E7</f>
        <v>1037.34313512548</v>
      </c>
      <c r="C90" s="39" t="n">
        <f aca="false">Reference_Values!B90</f>
        <v>1037.34313512548</v>
      </c>
      <c r="D90" s="40" t="n">
        <f aca="false">ABS(B90-C90)</f>
        <v>0</v>
      </c>
      <c r="E90" s="41" t="n">
        <v>1E-008</v>
      </c>
      <c r="F90" s="4" t="str">
        <f aca="false">IF(D90&lt;=E90,"PASS","FAIL")</f>
        <v>PASS</v>
      </c>
    </row>
    <row r="91" customFormat="false" ht="15" hidden="false" customHeight="false" outlineLevel="0" collapsed="false">
      <c r="A91" s="2" t="s">
        <v>570</v>
      </c>
      <c r="B91" s="11" t="n">
        <f aca="false">Certify!D8</f>
        <v>24.6482926697901</v>
      </c>
      <c r="C91" s="39" t="n">
        <f aca="false">Reference_Values!B91</f>
        <v>24.6482926697901</v>
      </c>
      <c r="D91" s="40" t="n">
        <f aca="false">ABS(B91-C91)</f>
        <v>0</v>
      </c>
      <c r="E91" s="41" t="n">
        <v>1E-008</v>
      </c>
      <c r="F91" s="4" t="str">
        <f aca="false">IF(D91&lt;=E91,"PASS","FAIL")</f>
        <v>PASS</v>
      </c>
    </row>
    <row r="92" customFormat="false" ht="15" hidden="false" customHeight="false" outlineLevel="0" collapsed="false">
      <c r="A92" s="2" t="s">
        <v>571</v>
      </c>
      <c r="B92" s="11" t="n">
        <f aca="false">Certify!E8</f>
        <v>1036.13172435329</v>
      </c>
      <c r="C92" s="39" t="n">
        <f aca="false">Reference_Values!B92</f>
        <v>1036.13172435329</v>
      </c>
      <c r="D92" s="40" t="n">
        <f aca="false">ABS(B92-C92)</f>
        <v>0</v>
      </c>
      <c r="E92" s="41" t="n">
        <v>1E-008</v>
      </c>
      <c r="F92" s="4" t="str">
        <f aca="false">IF(D92&lt;=E92,"PASS","FAIL")</f>
        <v>PASS</v>
      </c>
    </row>
    <row r="93" customFormat="false" ht="15" hidden="false" customHeight="false" outlineLevel="0" collapsed="false">
      <c r="A93" s="2" t="s">
        <v>572</v>
      </c>
      <c r="B93" s="11" t="n">
        <f aca="false">Certify!D9</f>
        <v>26.0230847054209</v>
      </c>
      <c r="C93" s="39" t="n">
        <f aca="false">Reference_Values!B93</f>
        <v>26.023084705421</v>
      </c>
      <c r="D93" s="40" t="n">
        <f aca="false">ABS(B93-C93)</f>
        <v>0</v>
      </c>
      <c r="E93" s="41" t="n">
        <v>1E-008</v>
      </c>
      <c r="F93" s="4" t="str">
        <f aca="false">IF(D93&lt;=E93,"PASS","FAIL")</f>
        <v>PASS</v>
      </c>
    </row>
    <row r="94" customFormat="false" ht="15" hidden="false" customHeight="false" outlineLevel="0" collapsed="false">
      <c r="A94" s="2" t="s">
        <v>573</v>
      </c>
      <c r="B94" s="11" t="n">
        <f aca="false">Certify!E9</f>
        <v>1034.75693231766</v>
      </c>
      <c r="C94" s="39" t="n">
        <f aca="false">Reference_Values!B94</f>
        <v>1034.75693231766</v>
      </c>
      <c r="D94" s="40" t="n">
        <f aca="false">ABS(B94-C94)</f>
        <v>0</v>
      </c>
      <c r="E94" s="41" t="n">
        <v>1E-008</v>
      </c>
      <c r="F94" s="4" t="str">
        <f aca="false">IF(D94&lt;=E94,"PASS","FAIL")</f>
        <v>PASS</v>
      </c>
    </row>
    <row r="95" customFormat="false" ht="15" hidden="false" customHeight="false" outlineLevel="0" collapsed="false">
      <c r="A95" s="2" t="s">
        <v>574</v>
      </c>
      <c r="B95" s="11" t="n">
        <f aca="false">Certify!D10</f>
        <v>27.5039463442323</v>
      </c>
      <c r="C95" s="39" t="n">
        <f aca="false">Reference_Values!B95</f>
        <v>27.5039463442323</v>
      </c>
      <c r="D95" s="40" t="n">
        <f aca="false">ABS(B95-C95)</f>
        <v>0</v>
      </c>
      <c r="E95" s="41" t="n">
        <v>1E-008</v>
      </c>
      <c r="F95" s="4" t="str">
        <f aca="false">IF(D95&lt;=E95,"PASS","FAIL")</f>
        <v>PASS</v>
      </c>
    </row>
    <row r="96" customFormat="false" ht="15" hidden="false" customHeight="false" outlineLevel="0" collapsed="false">
      <c r="A96" s="2" t="s">
        <v>575</v>
      </c>
      <c r="B96" s="11" t="n">
        <f aca="false">Certify!E10</f>
        <v>1033.27607067885</v>
      </c>
      <c r="C96" s="39" t="n">
        <f aca="false">Reference_Values!B96</f>
        <v>1033.27607067885</v>
      </c>
      <c r="D96" s="40" t="n">
        <f aca="false">ABS(B96-C96)</f>
        <v>0</v>
      </c>
      <c r="E96" s="41" t="n">
        <v>1E-008</v>
      </c>
      <c r="F96" s="4" t="str">
        <f aca="false">IF(D96&lt;=E96,"PASS","FAIL")</f>
        <v>PASS</v>
      </c>
    </row>
    <row r="97" customFormat="false" ht="15" hidden="false" customHeight="false" outlineLevel="0" collapsed="false">
      <c r="A97" s="2" t="s">
        <v>576</v>
      </c>
      <c r="B97" s="11" t="n">
        <f aca="false">Certify!D11</f>
        <v>29.2969368782745</v>
      </c>
      <c r="C97" s="39" t="n">
        <f aca="false">Reference_Values!B97</f>
        <v>29.2969368782745</v>
      </c>
      <c r="D97" s="40" t="n">
        <f aca="false">ABS(B97-C97)</f>
        <v>0</v>
      </c>
      <c r="E97" s="41" t="n">
        <v>1E-008</v>
      </c>
      <c r="F97" s="4" t="str">
        <f aca="false">IF(D97&lt;=E97,"PASS","FAIL")</f>
        <v>PASS</v>
      </c>
    </row>
    <row r="98" customFormat="false" ht="15" hidden="false" customHeight="false" outlineLevel="0" collapsed="false">
      <c r="A98" s="2" t="s">
        <v>577</v>
      </c>
      <c r="B98" s="11" t="n">
        <f aca="false">Certify!E11</f>
        <v>1031.48308014481</v>
      </c>
      <c r="C98" s="39" t="n">
        <f aca="false">Reference_Values!B98</f>
        <v>1031.48308014481</v>
      </c>
      <c r="D98" s="40" t="n">
        <f aca="false">ABS(B98-C98)</f>
        <v>0</v>
      </c>
      <c r="E98" s="41" t="n">
        <v>1E-008</v>
      </c>
      <c r="F98" s="4" t="str">
        <f aca="false">IF(D98&lt;=E98,"PASS","FAIL")</f>
        <v>PASS</v>
      </c>
    </row>
    <row r="99" customFormat="false" ht="15" hidden="false" customHeight="false" outlineLevel="0" collapsed="false">
      <c r="A99" s="2" t="s">
        <v>578</v>
      </c>
      <c r="B99" s="11" t="n">
        <f aca="false">Certify!F7</f>
        <v>2.06502216236231</v>
      </c>
      <c r="C99" s="39" t="n">
        <f aca="false">Reference_Values!B99</f>
        <v>2.06502216236231</v>
      </c>
      <c r="D99" s="40" t="n">
        <f aca="false">ABS(B99-C99)</f>
        <v>0</v>
      </c>
      <c r="E99" s="41" t="n">
        <v>1E-008</v>
      </c>
      <c r="F99" s="4" t="str">
        <f aca="false">IF(D99&lt;=E99,"PASS","FAIL")</f>
        <v>PASS</v>
      </c>
    </row>
    <row r="100" customFormat="false" ht="15" hidden="false" customHeight="false" outlineLevel="0" collapsed="false">
      <c r="A100" s="2" t="s">
        <v>580</v>
      </c>
      <c r="B100" s="11" t="n">
        <f aca="false">Certify!F9</f>
        <v>4.65122497017933</v>
      </c>
      <c r="C100" s="39" t="n">
        <f aca="false">Reference_Values!B100</f>
        <v>4.65122497017933</v>
      </c>
      <c r="D100" s="40" t="n">
        <f aca="false">ABS(B100-C100)</f>
        <v>0</v>
      </c>
      <c r="E100" s="41" t="n">
        <v>1E-008</v>
      </c>
      <c r="F100" s="4" t="str">
        <f aca="false">IF(D100&lt;=E100,"PASS","FAIL")</f>
        <v>PASS</v>
      </c>
    </row>
    <row r="101" customFormat="false" ht="15" hidden="false" customHeight="false" outlineLevel="0" collapsed="false">
      <c r="A101" s="2" t="s">
        <v>582</v>
      </c>
      <c r="B101" s="11" t="n">
        <f aca="false">Certify!B16</f>
        <v>0.3147896810936</v>
      </c>
      <c r="C101" s="39" t="n">
        <f aca="false">Reference_Values!B101</f>
        <v>0.314789681093599</v>
      </c>
      <c r="D101" s="40" t="n">
        <f aca="false">ABS(B101-C101)</f>
        <v>0</v>
      </c>
      <c r="E101" s="41" t="n">
        <v>1E-007</v>
      </c>
      <c r="F101" s="4" t="str">
        <f aca="false">IF(D101&lt;=E101,"PASS","FAIL")</f>
        <v>PASS</v>
      </c>
    </row>
    <row r="102" customFormat="false" ht="15" hidden="false" customHeight="false" outlineLevel="0" collapsed="false">
      <c r="A102" s="2" t="s">
        <v>583</v>
      </c>
      <c r="B102" s="11" t="n">
        <f aca="false">Certify!B18</f>
        <v>61.5991469068091</v>
      </c>
      <c r="C102" s="39" t="n">
        <f aca="false">Reference_Values!B102</f>
        <v>61.5991469068091</v>
      </c>
      <c r="D102" s="40" t="n">
        <f aca="false">ABS(B102-C102)</f>
        <v>0</v>
      </c>
      <c r="E102" s="41" t="n">
        <v>1E-006</v>
      </c>
      <c r="F102" s="4" t="str">
        <f aca="false">IF(D102&lt;=E102,"PASS","FAIL")</f>
        <v>PASS</v>
      </c>
    </row>
    <row r="103" customFormat="false" ht="15" hidden="false" customHeight="false" outlineLevel="0" collapsed="false">
      <c r="A103" s="2" t="s">
        <v>584</v>
      </c>
      <c r="B103" s="11" t="n">
        <f aca="false">Certify!B19</f>
        <v>57.6028166616579</v>
      </c>
      <c r="C103" s="39" t="n">
        <f aca="false">Reference_Values!B103</f>
        <v>57.6028166616579</v>
      </c>
      <c r="D103" s="40" t="n">
        <f aca="false">ABS(B103-C103)</f>
        <v>0</v>
      </c>
      <c r="E103" s="41" t="n">
        <v>1E-006</v>
      </c>
      <c r="F103" s="4" t="str">
        <f aca="false">IF(D103&lt;=E103,"PASS","FAIL")</f>
        <v>PASS</v>
      </c>
    </row>
    <row r="104" customFormat="false" ht="15" hidden="false" customHeight="false" outlineLevel="0" collapsed="false">
      <c r="A104" s="2" t="s">
        <v>585</v>
      </c>
      <c r="B104" s="11" t="n">
        <f aca="false">Certify!B25</f>
        <v>33.5160529198039</v>
      </c>
      <c r="C104" s="39" t="n">
        <f aca="false">Reference_Values!B104</f>
        <v>33.5160529198039</v>
      </c>
      <c r="D104" s="40" t="n">
        <f aca="false">ABS(B104-C104)</f>
        <v>0</v>
      </c>
      <c r="E104" s="41" t="n">
        <v>1E-008</v>
      </c>
      <c r="F104" s="4" t="str">
        <f aca="false">IF(D104&lt;=E104,"PASS","FAIL")</f>
        <v>PASS</v>
      </c>
    </row>
    <row r="105" customFormat="false" ht="15" hidden="false" customHeight="false" outlineLevel="0" collapsed="false">
      <c r="A105" s="2" t="s">
        <v>586</v>
      </c>
      <c r="B105" s="11" t="n">
        <f aca="false">Certify!B26</f>
        <v>1027.26396410328</v>
      </c>
      <c r="C105" s="39" t="n">
        <f aca="false">Reference_Values!B105</f>
        <v>1027.26396410328</v>
      </c>
      <c r="D105" s="40" t="n">
        <f aca="false">ABS(B105-C105)</f>
        <v>0</v>
      </c>
      <c r="E105" s="41" t="n">
        <v>1E-008</v>
      </c>
      <c r="F105" s="4" t="str">
        <f aca="false">IF(D105&lt;=E105,"PASS","FAIL")</f>
        <v>PASS</v>
      </c>
    </row>
    <row r="106" customFormat="false" ht="15" hidden="false" customHeight="false" outlineLevel="0" collapsed="false">
      <c r="A106" s="2" t="s">
        <v>385</v>
      </c>
      <c r="B106" s="11" t="n">
        <f aca="false">Certify!B27</f>
        <v>12.1441931845625</v>
      </c>
      <c r="C106" s="39" t="n">
        <f aca="false">Reference_Values!B106</f>
        <v>12.1441931845625</v>
      </c>
      <c r="D106" s="40" t="n">
        <f aca="false">ABS(B106-C106)</f>
        <v>0</v>
      </c>
      <c r="E106" s="41" t="n">
        <v>1E-008</v>
      </c>
      <c r="F106" s="4" t="str">
        <f aca="false">IF(D106&lt;=E106,"PASS","FAIL")</f>
        <v>PASS</v>
      </c>
    </row>
    <row r="107" customFormat="false" ht="15" hidden="false" customHeight="false" outlineLevel="0" collapsed="false">
      <c r="A107" s="2" t="s">
        <v>390</v>
      </c>
      <c r="B107" s="11" t="n">
        <f aca="false">Certify!B31</f>
        <v>13.562622230968</v>
      </c>
      <c r="C107" s="39" t="n">
        <f aca="false">Reference_Values!B107</f>
        <v>13.562622230968</v>
      </c>
      <c r="D107" s="40" t="n">
        <f aca="false">ABS(B107-C107)</f>
        <v>0</v>
      </c>
      <c r="E107" s="41" t="n">
        <v>1E-008</v>
      </c>
      <c r="F107" s="4" t="str">
        <f aca="false">IF(D107&lt;=E107,"PASS","FAIL")</f>
        <v>PASS</v>
      </c>
    </row>
    <row r="108" customFormat="false" ht="15" hidden="false" customHeight="false" outlineLevel="0" collapsed="false">
      <c r="A108" s="2" t="s">
        <v>588</v>
      </c>
      <c r="B108" s="11" t="n">
        <f aca="false">Core!E9</f>
        <v>0.8</v>
      </c>
      <c r="C108" s="39" t="n">
        <f aca="false">Reference_Values!B108</f>
        <v>0.8</v>
      </c>
      <c r="D108" s="40" t="n">
        <f aca="false">ABS(B108-C108)</f>
        <v>0</v>
      </c>
      <c r="E108" s="41" t="n">
        <v>1E-012</v>
      </c>
      <c r="F108" s="4" t="str">
        <f aca="false">IF(D108&lt;=E108,"PASS","FAIL")</f>
        <v>PASS</v>
      </c>
    </row>
    <row r="109" customFormat="false" ht="15" hidden="false" customHeight="false" outlineLevel="0" collapsed="false">
      <c r="A109" s="2" t="s">
        <v>590</v>
      </c>
      <c r="B109" s="11" t="n">
        <f aca="false">Core!E10</f>
        <v>1.02462112512353</v>
      </c>
      <c r="C109" s="39" t="n">
        <f aca="false">Reference_Values!B109</f>
        <v>1.02462112512353</v>
      </c>
      <c r="D109" s="40" t="n">
        <f aca="false">ABS(B109-C109)</f>
        <v>0</v>
      </c>
      <c r="E109" s="41" t="n">
        <v>1E-012</v>
      </c>
      <c r="F109" s="4" t="str">
        <f aca="false">IF(D109&lt;=E109,"PASS","FAIL")</f>
        <v>PASS</v>
      </c>
    </row>
    <row r="110" customFormat="false" ht="15" hidden="false" customHeight="false" outlineLevel="0" collapsed="false">
      <c r="A110" s="2" t="s">
        <v>592</v>
      </c>
      <c r="B110" s="11" t="n">
        <f aca="false">Core!E11</f>
        <v>0.840896415253715</v>
      </c>
      <c r="C110" s="39" t="n">
        <f aca="false">Reference_Values!B110</f>
        <v>0.840896415253715</v>
      </c>
      <c r="D110" s="40" t="n">
        <f aca="false">ABS(B110-C110)</f>
        <v>0</v>
      </c>
      <c r="E110" s="41" t="n">
        <v>1E-012</v>
      </c>
      <c r="F110" s="4" t="str">
        <f aca="false">IF(D110&lt;=E110,"PASS","FAIL")</f>
        <v>PASS</v>
      </c>
    </row>
    <row r="111" customFormat="false" ht="15" hidden="false" customHeight="false" outlineLevel="0" collapsed="false">
      <c r="A111" s="2" t="s">
        <v>594</v>
      </c>
      <c r="B111" s="11" t="n">
        <f aca="false">Core!E12</f>
        <v>0.840896415253715</v>
      </c>
      <c r="C111" s="39" t="n">
        <f aca="false">Reference_Values!B111</f>
        <v>0.840896415253715</v>
      </c>
      <c r="D111" s="40" t="n">
        <f aca="false">ABS(B111-C111)</f>
        <v>0</v>
      </c>
      <c r="E111" s="41" t="n">
        <v>1E-012</v>
      </c>
      <c r="F111" s="4" t="str">
        <f aca="false">IF(D111&lt;=E111,"PASS","FAIL")</f>
        <v>PASS</v>
      </c>
    </row>
    <row r="112" customFormat="false" ht="15" hidden="false" customHeight="false" outlineLevel="0" collapsed="false">
      <c r="A112" s="2" t="s">
        <v>595</v>
      </c>
      <c r="B112" s="11" t="n">
        <f aca="false">Core!E13</f>
        <v>0.608890971426791</v>
      </c>
      <c r="C112" s="39" t="n">
        <f aca="false">Reference_Values!B112</f>
        <v>0.608890971426792</v>
      </c>
      <c r="D112" s="40" t="n">
        <f aca="false">ABS(B112-C112)</f>
        <v>0</v>
      </c>
      <c r="E112" s="41" t="n">
        <v>1E-012</v>
      </c>
      <c r="F112" s="4" t="str">
        <f aca="false">IF(D112&lt;=E112,"PASS","FAIL")</f>
        <v>PASS</v>
      </c>
    </row>
    <row r="113" customFormat="false" ht="15" hidden="false" customHeight="false" outlineLevel="0" collapsed="false">
      <c r="A113" s="2" t="s">
        <v>597</v>
      </c>
      <c r="B113" s="11" t="n">
        <f aca="false">Core!B5</f>
        <v>0.304445485713396</v>
      </c>
      <c r="C113" s="39" t="n">
        <f aca="false">Reference_Values!B113</f>
        <v>0.304445485713396</v>
      </c>
      <c r="D113" s="40" t="n">
        <f aca="false">ABS(B113-C113)</f>
        <v>0</v>
      </c>
      <c r="E113" s="41" t="n">
        <v>1E-012</v>
      </c>
      <c r="F113" s="4" t="str">
        <f aca="false">IF(D113&lt;=E113,"PASS","FAIL")</f>
        <v>PASS</v>
      </c>
    </row>
    <row r="114" customFormat="false" ht="15" hidden="false" customHeight="false" outlineLevel="0" collapsed="false">
      <c r="A114" s="2" t="s">
        <v>598</v>
      </c>
      <c r="B114" s="11" t="n">
        <f aca="false">Core!B6</f>
        <v>0.0798038616519728</v>
      </c>
      <c r="C114" s="39" t="n">
        <f aca="false">Reference_Values!B114</f>
        <v>0.0798038616519728</v>
      </c>
      <c r="D114" s="40" t="n">
        <f aca="false">ABS(B114-C114)</f>
        <v>0</v>
      </c>
      <c r="E114" s="41" t="n">
        <v>1E-012</v>
      </c>
      <c r="F114" s="4" t="str">
        <f aca="false">IF(D114&lt;=E114,"PASS","FAIL")</f>
        <v>PASS</v>
      </c>
    </row>
    <row r="115" customFormat="false" ht="15" hidden="false" customHeight="false" outlineLevel="0" collapsed="false">
      <c r="A115" s="2" t="s">
        <v>599</v>
      </c>
      <c r="B115" s="11" t="n">
        <f aca="false">Core!F13</f>
        <v>1.39714724399579</v>
      </c>
      <c r="C115" s="39" t="n">
        <f aca="false">Reference_Values!B115</f>
        <v>1.39714724399579</v>
      </c>
      <c r="D115" s="40" t="n">
        <f aca="false">ABS(B115-C115)</f>
        <v>0</v>
      </c>
      <c r="E115" s="41" t="n">
        <v>1E-009</v>
      </c>
      <c r="F115" s="4" t="str">
        <f aca="false">IF(D115&lt;=E115,"PASS","FAIL")</f>
        <v>PASS</v>
      </c>
    </row>
    <row r="116" customFormat="false" ht="15" hidden="false" customHeight="false" outlineLevel="0" collapsed="false">
      <c r="A116" s="2" t="s">
        <v>601</v>
      </c>
      <c r="B116" s="11" t="n">
        <f aca="false">Core!F12</f>
        <v>4</v>
      </c>
      <c r="C116" s="39" t="n">
        <f aca="false">Reference_Values!B116</f>
        <v>4.00000000000001</v>
      </c>
      <c r="D116" s="40" t="n">
        <f aca="false">ABS(B116-C116)</f>
        <v>0</v>
      </c>
      <c r="E116" s="41" t="n">
        <v>1E-009</v>
      </c>
      <c r="F116" s="4" t="str">
        <f aca="false">IF(D116&lt;=E116,"PASS","FAIL")</f>
        <v>PASS</v>
      </c>
    </row>
    <row r="117" customFormat="false" ht="15" hidden="false" customHeight="false" outlineLevel="0" collapsed="false">
      <c r="A117" s="2" t="s">
        <v>603</v>
      </c>
      <c r="B117" s="11" t="n">
        <f aca="false">Core!I9-Core!E9</f>
        <v>0</v>
      </c>
      <c r="C117" s="39" t="n">
        <f aca="false">Reference_Values!B117</f>
        <v>0</v>
      </c>
      <c r="D117" s="40" t="n">
        <f aca="false">ABS(B117-C117)</f>
        <v>0</v>
      </c>
      <c r="E117" s="41" t="n">
        <v>1E-006</v>
      </c>
      <c r="F117" s="4" t="str">
        <f aca="false">IF(D117&lt;=E117,"PASS","FAIL")</f>
        <v>PASS</v>
      </c>
    </row>
    <row r="118" customFormat="false" ht="15" hidden="false" customHeight="false" outlineLevel="0" collapsed="false">
      <c r="A118" s="2" t="s">
        <v>605</v>
      </c>
      <c r="B118" s="11" t="n">
        <f aca="false">Core!I10-Core!E10</f>
        <v>0</v>
      </c>
      <c r="C118" s="39" t="n">
        <f aca="false">Reference_Values!B118</f>
        <v>0</v>
      </c>
      <c r="D118" s="40" t="n">
        <f aca="false">ABS(B118-C118)</f>
        <v>0</v>
      </c>
      <c r="E118" s="41" t="n">
        <v>1E-006</v>
      </c>
      <c r="F118" s="4" t="str">
        <f aca="false">IF(D118&lt;=E118,"PASS","FAIL")</f>
        <v>PASS</v>
      </c>
    </row>
    <row r="119" customFormat="false" ht="15" hidden="false" customHeight="false" outlineLevel="0" collapsed="false">
      <c r="A119" s="2" t="s">
        <v>606</v>
      </c>
      <c r="B119" s="11" t="n">
        <f aca="false">Core!I11-Core!E11</f>
        <v>0</v>
      </c>
      <c r="C119" s="39" t="n">
        <f aca="false">Reference_Values!B119</f>
        <v>0</v>
      </c>
      <c r="D119" s="40" t="n">
        <f aca="false">ABS(B119-C119)</f>
        <v>0</v>
      </c>
      <c r="E119" s="41" t="n">
        <v>1E-006</v>
      </c>
      <c r="F119" s="4" t="str">
        <f aca="false">IF(D119&lt;=E119,"PASS","FAIL")</f>
        <v>PASS</v>
      </c>
    </row>
    <row r="120" customFormat="false" ht="15" hidden="false" customHeight="false" outlineLevel="0" collapsed="false">
      <c r="A120" s="2" t="s">
        <v>607</v>
      </c>
      <c r="B120" s="11" t="n">
        <f aca="false">Core!I12-Core!E12</f>
        <v>0</v>
      </c>
      <c r="C120" s="39" t="n">
        <f aca="false">Reference_Values!B120</f>
        <v>0</v>
      </c>
      <c r="D120" s="40" t="n">
        <f aca="false">ABS(B120-C120)</f>
        <v>0</v>
      </c>
      <c r="E120" s="41" t="n">
        <v>1E-006</v>
      </c>
      <c r="F120" s="4" t="str">
        <f aca="false">IF(D120&lt;=E120,"PASS","FAIL")</f>
        <v>PASS</v>
      </c>
    </row>
    <row r="121" customFormat="false" ht="15" hidden="false" customHeight="false" outlineLevel="0" collapsed="false">
      <c r="A121" s="2" t="s">
        <v>608</v>
      </c>
      <c r="B121" s="11" t="n">
        <f aca="false">Core!I13-Core!E13</f>
        <v>0</v>
      </c>
      <c r="C121" s="39" t="n">
        <f aca="false">Reference_Values!B121</f>
        <v>0</v>
      </c>
      <c r="D121" s="40" t="n">
        <f aca="false">ABS(B121-C121)</f>
        <v>0</v>
      </c>
      <c r="E121" s="41" t="n">
        <v>1E-006</v>
      </c>
      <c r="F121" s="4" t="str">
        <f aca="false">IF(D121&lt;=E121,"PASS","FAIL")</f>
        <v>PASS</v>
      </c>
    </row>
    <row r="123" customFormat="false" ht="15" hidden="false" customHeight="false" outlineLevel="0" collapsed="false">
      <c r="A123" s="4" t="s">
        <v>613</v>
      </c>
      <c r="F123" s="4" t="str">
        <f aca="false">IF(COUNTIF(F2:F121,"PASS")=120,"ALL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2026-10-06T03:28:52Z</dcterms:created>
  <dc:creator>openpyxl</dc:creator>
  <dc:description/>
  <dc:language>en-US</dc:language>
  <cp:lastModifiedBy/>
  <dcterms:modified xsi:type="dcterms:W3CDTF">2026-10-06T03:28:52Z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